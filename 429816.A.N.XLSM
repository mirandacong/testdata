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7515" yWindow="990" windowWidth="19080" windowHeight="10470" tabRatio="847"/>
  </bookViews>
  <sheets>
    <sheet name="ImportantDisclosures" sheetId="37" r:id="rId1"/>
    <sheet name="IS" sheetId="5" r:id="rId2"/>
    <sheet name="RevBuild" sheetId="6" r:id="rId3"/>
    <sheet name="OrgRev" sheetId="7" r:id="rId4"/>
    <sheet name="BS" sheetId="10" r:id="rId5"/>
    <sheet name="CF" sheetId="11" r:id="rId6"/>
    <sheet name="Debt" sheetId="13" r:id="rId7"/>
    <sheet name="IndexInformation" sheetId="38" r:id="rId8"/>
    <sheet name="ModPubIndex" sheetId="39" r:id="rId9"/>
    <sheet name="MW-Cache" sheetId="30" state="veryHidden" r:id="rId10"/>
  </sheets>
  <externalReferences>
    <externalReference r:id="rId11"/>
    <externalReference r:id="rId12"/>
  </externalReferences>
  <definedNames>
    <definedName name="__FDS_HYPERLINK_TOGGLE_STATE__" hidden="1">"ON"</definedName>
    <definedName name="__FDS_UNIQUE_RANGE_ID_GENERATOR_COUNTER" localSheetId="6">73</definedName>
    <definedName name="__FDS_UNIQUE_RANGE_ID_GENERATOR_COUNTER" hidden="1">143</definedName>
    <definedName name="__FDS_USED_FOR_REUSING_RANGE_IDS_RECYCLE" hidden="1">{414,413,412,411,410,415,408,407,406,405,404,403,409,401,400,399,398,402,396,395,397,393,392,391,390,389,394,387,386,385,384,383,382,388,380,379,378,377,381,375,374,376}</definedName>
    <definedName name="_1__FDSAUDITLINK__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__FDSAUDITLINK___1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__FDSAUDITLINK___2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10__FDSAUDITLINK__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__FDSAUDITLINK___1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__FDSAUDITLINK___2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00__FDSAUDITLINK__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0__FDSAUDITLINK___1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0__FDSAUDITLINK___2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01__FDSAUDITLINK__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1__FDSAUDITLINK___1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1__FDSAUDITLINK___2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02__FDSAUDITLINK__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2__FDSAUDITLINK___1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2__FDSAUDITLINK___2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03__FDSAUDITLINK__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3__FDSAUDITLINK___1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3__FDSAUDITLINK___2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04__FDSAUDITLINK__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4__FDSAUDITLINK___1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4__FDSAUDITLINK___2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05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5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5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06__FDSAUDITLINK__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6__FDSAUDITLINK___1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6__FDSAUDITLINK___2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07__FDSAUDITLINK__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7__FDSAUDITLINK___1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7__FDSAUDITLINK___2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08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8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8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09__FDSAUDITLINK__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09__FDSAUDITLINK___1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09__FDSAUDITLINK___2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11__FDSAUDITLINK__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__FDSAUDITLINK___1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__FDSAUDITLINK___2" hidden="1">{"fdsup://directions/FAT Viewer?action=UPDATE&amp;creator=factset&amp;DYN_ARGS=TRUE&amp;DOC_NAME=FAT:FQL_AUDITING_CLIENT_TEMPLATE.FAT&amp;display_string=Audit&amp;VAR:KEY=CNIVYLQDOT&amp;VAR:QUERY=RkZfU0hMRFJTX0VRKEFOTiwwKQ==&amp;WINDOW=FIRST_POPUP&amp;HEIGHT=450&amp;WIDTH=450&amp;START_MAXIMIZED=","FALSE&amp;VAR:CALENDAR=US&amp;VAR:SYMBOL=ZMH&amp;VAR:INDEX=0"}</definedName>
    <definedName name="_110__FDSAUDITLINK__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0__FDSAUDITLINK___1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0__FDSAUDITLINK___2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111__FDSAUDITLINK__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1__FDSAUDITLINK___1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1__FDSAUDITLINK___2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112__FDSAUDITLINK__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2__FDSAUDITLINK___1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2__FDSAUDITLINK___2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113__FDSAUDITLINK__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3__FDSAUDITLINK___1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3__FDSAUDITLINK___2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114__FDSAUDITLINK__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4__FDSAUDITLINK___1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4__FDSAUDITLINK___2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115__FDSAUDITLINK__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5__FDSAUDITLINK___1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5__FDSAUDITLINK___2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116__FDSAUDITLINK__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6__FDSAUDITLINK___1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6__FDSAUDITLINK___2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117__FDSAUDITLINK__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7__FDSAUDITLINK___1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7__FDSAUDITLINK___2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118__FDSAUDITLINK__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8__FDSAUDITLINK___1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8__FDSAUDITLINK___2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119__FDSAUDITLINK__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19__FDSAUDITLINK___1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19__FDSAUDITLINK___2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12__FDSAUDITLINK__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__FDSAUDITLINK___1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__FDSAUDITLINK___2" hidden="1">{"fdsup://directions/FAT Viewer?action=UPDATE&amp;creator=factset&amp;DYN_ARGS=TRUE&amp;DOC_NAME=FAT:FQL_AUDITING_CLIENT_TEMPLATE.FAT&amp;display_string=Audit&amp;VAR:KEY=CNYFUBYFQP&amp;VAR:QUERY=RkZfREVCVChBTk4sMCk=&amp;WINDOW=FIRST_POPUP&amp;HEIGHT=450&amp;WIDTH=450&amp;START_MAXIMIZED=FALSE&amp;VA","R:CALENDAR=US&amp;VAR:SYMBOL=ZMH&amp;VAR:INDEX=0"}</definedName>
    <definedName name="_120__FDSAUDITLINK__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0__FDSAUDITLINK___1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0__FDSAUDITLINK___2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121__FDSAUDITLINK__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1__FDSAUDITLINK___1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1__FDSAUDITLINK___2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122__FDSAUDITLINK__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2__FDSAUDITLINK___1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2__FDSAUDITLINK___2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123__FDSAUDITLINK__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3__FDSAUDITLINK___1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3__FDSAUDITLINK___2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124__FDSAUDITLINK__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4__FDSAUDITLINK___1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4__FDSAUDITLINK___2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125__FDSAUDITLINK__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5__FDSAUDITLINK___1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5__FDSAUDITLINK___2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126__FDSAUDITLINK__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6__FDSAUDITLINK___1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6__FDSAUDITLINK___2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127__FDSAUDITLINK__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7__FDSAUDITLINK___1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7__FDSAUDITLINK___2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128__FDSAUDITLINK__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8__FDSAUDITLINK___1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8__FDSAUDITLINK___2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129__FDSAUDITLINK__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29__FDSAUDITLINK___1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29__FDSAUDITLINK___2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13__FDSAUDITLINK__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__FDSAUDITLINK___1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__FDSAUDITLINK___2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30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0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0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31__FDSAUDITLINK__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1__FDSAUDITLINK___1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1__FDSAUDITLINK___2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132__FDSAUDITLINK__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2__FDSAUDITLINK___1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2__FDSAUDITLINK___2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133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3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3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134__FDSAUDITLINK__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4__FDSAUDITLINK___1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4__FDSAUDITLINK___2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135__FDSAUDITLINK__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5__FDSAUDITLINK___1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5__FDSAUDITLINK___2" hidden="1">{"fdsup://directions/FAT Viewer?action=UPDATE&amp;creator=factset&amp;DYN_ARGS=TRUE&amp;DOC_NAME=FAT:FQL_AUDITING_CLIENT_TEMPLATE.FAT&amp;display_string=Audit&amp;VAR:KEY=CBWBYDQBYR&amp;VAR:QUERY=RkZfRU5UUlBSX1ZBTF9EQUlMWShOT1csLCwsLCdESUwnKQ==&amp;WINDOW=FIRST_POPUP&amp;HEIGHT=450&amp;WIDTH=","450&amp;START_MAXIMIZED=FALSE&amp;VAR:CALENDAR=FIVEDAY&amp;VAR:SYMBOL=LCRY&amp;VAR:INDEX=0"}</definedName>
    <definedName name="_136__FDSAUDITLINK__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6__FDSAUDITLINK___1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6__FDSAUDITLINK___2" hidden="1">{"fdsup://directions/FAT Viewer?action=UPDATE&amp;creator=factset&amp;DYN_ARGS=TRUE&amp;DOC_NAME=FAT:FQL_AUDITING_CLIENT_TEMPLATE.FAT&amp;display_string=Audit&amp;VAR:KEY=ODUDADIPCV&amp;VAR:QUERY=RkZfRU5UUlBSX1ZBTF9EQUlMWShOT1csLCwsLCdESUwnKQ==&amp;WINDOW=FIRST_POPUP&amp;HEIGHT=450&amp;WIDTH=","450&amp;START_MAXIMIZED=FALSE&amp;VAR:CALENDAR=FIVEDAY&amp;VAR:SYMBOL=TER&amp;VAR:INDEX=0"}</definedName>
    <definedName name="_137__FDSAUDITLINK__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7__FDSAUDITLINK___1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7__FDSAUDITLINK___2" hidden="1">{"fdsup://directions/FAT Viewer?action=UPDATE&amp;creator=factset&amp;DYN_ARGS=TRUE&amp;DOC_NAME=FAT:FQL_AUDITING_CLIENT_TEMPLATE.FAT&amp;display_string=Audit&amp;VAR:KEY=YHOZMZUDYT&amp;VAR:QUERY=RkZfRU5UUlBSX1ZBTF9EQUlMWShOT1csLCwsLCdESUwnKQ==&amp;WINDOW=FIRST_POPUP&amp;HEIGHT=450&amp;WIDTH=","450&amp;START_MAXIMIZED=FALSE&amp;VAR:CALENDAR=FIVEDAY&amp;VAR:SYMBOL=NATI&amp;VAR:INDEX=0"}</definedName>
    <definedName name="_138__FDSAUDITLINK__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8__FDSAUDITLINK___1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8__FDSAUDITLINK___2" hidden="1">{"fdsup://directions/FAT Viewer?action=UPDATE&amp;creator=factset&amp;DYN_ARGS=TRUE&amp;DOC_NAME=FAT:FQL_AUDITING_CLIENT_TEMPLATE.FAT&amp;display_string=Audit&amp;VAR:KEY=UZOZGRKXKL&amp;VAR:QUERY=RkZfRU5UUlBSX1ZBTF9EQUlMWShOT1csLCwsLCdESUwnKQ==&amp;WINDOW=FIRST_POPUP&amp;HEIGHT=450&amp;WIDTH=","450&amp;START_MAXIMIZED=FALSE&amp;VAR:CALENDAR=FIVEDAY&amp;VAR:SYMBOL=JDSU&amp;VAR:INDEX=0"}</definedName>
    <definedName name="_139__FDSAUDITLINK__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39__FDSAUDITLINK___1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39__FDSAUDITLINK___2" hidden="1">{"fdsup://directions/FAT Viewer?action=UPDATE&amp;creator=factset&amp;DYN_ARGS=TRUE&amp;DOC_NAME=FAT:FQL_AUDITING_CLIENT_TEMPLATE.FAT&amp;display_string=Audit&amp;VAR:KEY=QTSVONSRIP&amp;VAR:QUERY=RkZfRU5UUlBSX1ZBTF9EQUlMWShOT1csLCwsLCdESUwnKQ==&amp;WINDOW=FIRST_POPUP&amp;HEIGHT=450&amp;WIDTH=","450&amp;START_MAXIMIZED=FALSE&amp;VAR:CALENDAR=FIVEDAY&amp;VAR:SYMBOL=DHR&amp;VAR:INDEX=0"}</definedName>
    <definedName name="_14__FDSAUDITLINK__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__FDSAUDITLINK___1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__FDSAUDITLINK___2" hidden="1">{"fdsup://directions/FAT Viewer?action=UPDATE&amp;creator=factset&amp;DYN_ARGS=TRUE&amp;DOC_NAME=FAT:FQL_AUDITING_CLIENT_TEMPLATE.FAT&amp;display_string=Audit&amp;VAR:KEY=IHYVYNANAD&amp;VAR:QUERY=RkZfU0hMRFJTX0VRKEFOTiwwKQ==&amp;WINDOW=FIRST_POPUP&amp;HEIGHT=450&amp;WIDTH=450&amp;START_MAXIMIZED=","FALSE&amp;VAR:CALENDAR=US&amp;VAR:SYMBOL=MDT&amp;VAR:INDEX=0"}</definedName>
    <definedName name="_140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0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0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141__FDSAUDITLINK__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1__FDSAUDITLINK___1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1__FDSAUDITLINK___2" hidden="1">{"fdsup://directions/FAT Viewer?action=UPDATE&amp;creator=factset&amp;DYN_ARGS=TRUE&amp;DOC_NAME=FAT:FQL_AUDITING_CLIENT_TEMPLATE.FAT&amp;display_string=Audit&amp;VAR:KEY=SZKFETWBYZ&amp;VAR:QUERY=RkZfRU5UUlBSX1ZBTF9EQUlMWShOT1csLCwsLCdESUwnKQ==&amp;WINDOW=FIRST_POPUP&amp;HEIGHT=450&amp;WIDTH=","450&amp;START_MAXIMIZED=FALSE&amp;VAR:CALENDAR=FIVEDAY&amp;VAR:SYMBOL=ANSS&amp;VAR:INDEX=0"}</definedName>
    <definedName name="_142__FDSAUDITLINK__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42__FDSAUDITLINK___1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42__FDSAUDITLINK___2" hidden="1">{"fdsup://directions/FAT Viewer?action=UPDATE&amp;creator=factset&amp;DYN_ARGS=TRUE&amp;DOC_NAME=FAT:FQL_AUDITING_CLIENT_TEMPLATE.FAT&amp;display_string=Audit&amp;VAR:KEY=ALUTYBGPKX&amp;VAR:QUERY=RkZfRU5UUlBSX1ZBTF9EQUlMWShOT1csLCwsLCdESUwnKQ==&amp;WINDOW=FIRST_POPUP&amp;HEIGHT=450&amp;WIDTH=","450&amp;START_MAXIMIZED=FALSE&amp;VAR:CALENDAR=FIVEDAY&amp;VAR:SYMBOL=ARX&amp;VAR:INDEX=0"}</definedName>
    <definedName name="_15__FDSAUDITLINK__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5__FDSAUDITLINK___1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5__FDSAUDITLINK___2" hidden="1">{"fdsup://directions/FAT Viewer?action=UPDATE&amp;creator=factset&amp;DYN_ARGS=TRUE&amp;DOC_NAME=FAT:FQL_AUDITING_CLIENT_TEMPLATE.FAT&amp;display_string=Audit&amp;VAR:KEY=WFWDAHQNOB&amp;VAR:QUERY=RkZfREVCVChBTk4sMCk=&amp;WINDOW=FIRST_POPUP&amp;HEIGHT=450&amp;WIDTH=450&amp;START_MAXIMIZED=FALSE&amp;VA","R:CALENDAR=US&amp;VAR:SYMBOL=MDT&amp;VAR:INDEX=0"}</definedName>
    <definedName name="_16__FDSAUDITLINK__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6__FDSAUDITLINK___1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6__FDSAUDITLINK___2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7__FDSAUDITLINK__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7__FDSAUDITLINK___1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7__FDSAUDITLINK___2" hidden="1">{"fdsup://directions/FAT Viewer?action=UPDATE&amp;creator=factset&amp;DYN_ARGS=TRUE&amp;DOC_NAME=FAT:FQL_AUDITING_CLIENT_TEMPLATE.FAT&amp;display_string=Audit&amp;VAR:KEY=ADKHANUJIB&amp;VAR:QUERY=RkZfU0hMRFJTX0VRKEFOTiwwKQ==&amp;WINDOW=FIRST_POPUP&amp;HEIGHT=450&amp;WIDTH=450&amp;START_MAXIMIZED=","FALSE&amp;VAR:CALENDAR=US&amp;VAR:SYMBOL=IART&amp;VAR:INDEX=0"}</definedName>
    <definedName name="_18__FDSAUDITLINK__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8__FDSAUDITLINK___1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8__FDSAUDITLINK___2" hidden="1">{"fdsup://directions/FAT Viewer?action=UPDATE&amp;creator=factset&amp;DYN_ARGS=TRUE&amp;DOC_NAME=FAT:FQL_AUDITING_CLIENT_TEMPLATE.FAT&amp;display_string=Audit&amp;VAR:KEY=WZKLGRUJID&amp;VAR:QUERY=RkZfREVCVChBTk4sMCk=&amp;WINDOW=FIRST_POPUP&amp;HEIGHT=450&amp;WIDTH=450&amp;START_MAXIMIZED=FALSE&amp;VA","R:CALENDAR=US&amp;VAR:SYMBOL=IART&amp;VAR:INDEX=0"}</definedName>
    <definedName name="_19__FDSAUDITLINK__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9__FDSAUDITLINK___1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19__FDSAUDITLINK___2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__FDSAUDITLINK__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__FDSAUDITLINK___1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__FDSAUDITLINK___2" hidden="1">{"fdsup://directions/FAT Viewer?action=UPDATE&amp;creator=factset&amp;DYN_ARGS=TRUE&amp;DOC_NAME=FAT:FQL_AUDITING_CLIENT_TEMPLATE.FAT&amp;display_string=Audit&amp;VAR:KEY=INSRWVSTON&amp;VAR:QUERY=RkZfU0hMRFJTX0VRKEFOTiwwKQ==&amp;WINDOW=FIRST_POPUP&amp;HEIGHT=450&amp;WIDTH=450&amp;START_MAXIMIZED=","FALSE&amp;VAR:CALENDAR=US&amp;VAR:SYMBOL=HNSN&amp;VAR:INDEX=0"}</definedName>
    <definedName name="_20__FDSAUDITLINK__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0__FDSAUDITLINK___1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0__FDSAUDITLINK___2" hidden="1">{"fdsup://directions/FAT Viewer?action=UPDATE&amp;creator=factset&amp;DYN_ARGS=TRUE&amp;DOC_NAME=FAT:FQL_AUDITING_CLIENT_TEMPLATE.FAT&amp;display_string=Audit&amp;VAR:KEY=ATKJAZWHCF&amp;VAR:QUERY=RkZfU0hMRFJTX0VRKEFOTiwwKQ==&amp;WINDOW=FIRST_POPUP&amp;HEIGHT=450&amp;WIDTH=450&amp;START_MAXIMIZED=","FALSE&amp;VAR:CALENDAR=US&amp;VAR:SYMBOL=ISRG&amp;VAR:INDEX=0"}</definedName>
    <definedName name="_21__FDSAUDITLINK__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1__FDSAUDITLINK___1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1__FDSAUDITLINK___2" hidden="1">{"fdsup://directions/FAT Viewer?action=UPDATE&amp;creator=factset&amp;DYN_ARGS=TRUE&amp;DOC_NAME=FAT:FQL_AUDITING_CLIENT_TEMPLATE.FAT&amp;display_string=Audit&amp;VAR:KEY=OZKFURUTKB&amp;VAR:QUERY=RkZfREVCVChBTk4sMCk=&amp;WINDOW=FIRST_POPUP&amp;HEIGHT=450&amp;WIDTH=450&amp;START_MAXIMIZED=FALSE&amp;VA","R:CALENDAR=US&amp;VAR:SYMBOL=ISRG&amp;VAR:INDEX=0"}</definedName>
    <definedName name="_22__FDSAUDITLINK__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2__FDSAUDITLINK___1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2__FDSAUDITLINK___2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3__FDSAUDITLINK__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3__FDSAUDITLINK___1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3__FDSAUDITLINK___2" hidden="1">{"fdsup://directions/FAT Viewer?action=UPDATE&amp;creator=factset&amp;DYN_ARGS=TRUE&amp;DOC_NAME=FAT:FQL_AUDITING_CLIENT_TEMPLATE.FAT&amp;display_string=Audit&amp;VAR:KEY=EDUDMBAJMN&amp;VAR:QUERY=RkZfU0hMRFJTX0VRKEFOTiwwKQ==&amp;WINDOW=FIRST_POPUP&amp;HEIGHT=450&amp;WIDTH=450&amp;START_MAXIMIZED=","FALSE&amp;VAR:CALENDAR=US&amp;VAR:SYMBOL=HOLX&amp;VAR:INDEX=0"}</definedName>
    <definedName name="_24__FDSAUDITLINK__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4__FDSAUDITLINK___1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4__FDSAUDITLINK___2" hidden="1">{"fdsup://directions/FAT Viewer?action=UPDATE&amp;creator=factset&amp;DYN_ARGS=TRUE&amp;DOC_NAME=FAT:FQL_AUDITING_CLIENT_TEMPLATE.FAT&amp;display_string=Audit&amp;VAR:KEY=KPEXYJQLQR&amp;VAR:QUERY=RkZfREVCVChBTk4sMCk=&amp;WINDOW=FIRST_POPUP&amp;HEIGHT=450&amp;WIDTH=450&amp;START_MAXIMIZED=FALSE&amp;VA","R:CALENDAR=US&amp;VAR:SYMBOL=HOLX&amp;VAR:INDEX=0"}</definedName>
    <definedName name="_25__FDSAUDITLINK__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5__FDSAUDITLINK___1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5__FDSAUDITLINK___2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6__FDSAUDITLINK__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6__FDSAUDITLINK___1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6__FDSAUDITLINK___2" hidden="1">{"fdsup://directions/FAT Viewer?action=UPDATE&amp;creator=factset&amp;DYN_ARGS=TRUE&amp;DOC_NAME=FAT:FQL_AUDITING_CLIENT_TEMPLATE.FAT&amp;display_string=Audit&amp;VAR:KEY=ODONEVYNGP&amp;VAR:QUERY=RkZfU0hMRFJTX0VRKEFOTiwwKQ==&amp;WINDOW=FIRST_POPUP&amp;HEIGHT=450&amp;WIDTH=450&amp;START_MAXIMIZED=","FALSE&amp;VAR:CALENDAR=US&amp;VAR:SYMBOL=MAKO&amp;VAR:INDEX=0"}</definedName>
    <definedName name="_27__FDSAUDITLINK__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7__FDSAUDITLINK___1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7__FDSAUDITLINK___2" hidden="1">{"fdsup://directions/FAT Viewer?action=UPDATE&amp;creator=factset&amp;DYN_ARGS=TRUE&amp;DOC_NAME=FAT:FQL_AUDITING_CLIENT_TEMPLATE.FAT&amp;display_string=Audit&amp;VAR:KEY=CJSFYZMLYV&amp;VAR:QUERY=RkZfREVCVChBTk4sMCk=&amp;WINDOW=FIRST_POPUP&amp;HEIGHT=450&amp;WIDTH=450&amp;START_MAXIMIZED=FALSE&amp;VA","R:CALENDAR=US&amp;VAR:SYMBOL=MAKO&amp;VAR:INDEX=0"}</definedName>
    <definedName name="_28__FDSAUDITLINK__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8__FDSAUDITLINK___1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8__FDSAUDITLINK___2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29__FDSAUDITLINK__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29__FDSAUDITLINK___1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29__FDSAUDITLINK___2" hidden="1">{"fdsup://directions/FAT Viewer?action=UPDATE&amp;creator=factset&amp;DYN_ARGS=TRUE&amp;DOC_NAME=FAT:FQL_AUDITING_CLIENT_TEMPLATE.FAT&amp;display_string=Audit&amp;VAR:KEY=SPIJALOVOX&amp;VAR:QUERY=RkZfU0hMRFJTX0VRKEFOTiwwKQ==&amp;WINDOW=FIRST_POPUP&amp;HEIGHT=450&amp;WIDTH=450&amp;START_MAXIMIZED=","FALSE&amp;VAR:CALENDAR=US&amp;VAR:SYMBOL=BCR&amp;VAR:INDEX=0"}</definedName>
    <definedName name="_3__FDSAUDITLINK__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__FDSAUDITLINK___1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__FDSAUDITLINK___2" hidden="1">{"fdsup://directions/FAT Viewer?action=UPDATE&amp;creator=factset&amp;DYN_ARGS=TRUE&amp;DOC_NAME=FAT:FQL_AUDITING_CLIENT_TEMPLATE.FAT&amp;display_string=Audit&amp;VAR:KEY=UNMNIXCVWL&amp;VAR:QUERY=RkZfREVCVChBTk4sMCk=&amp;WINDOW=FIRST_POPUP&amp;HEIGHT=450&amp;WIDTH=450&amp;START_MAXIMIZED=FALSE&amp;VA","R:CALENDAR=US&amp;VAR:SYMBOL=HNSN&amp;VAR:INDEX=0"}</definedName>
    <definedName name="_30__FDSAUDITLINK__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0__FDSAUDITLINK___1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0__FDSAUDITLINK___2" hidden="1">{"fdsup://directions/FAT Viewer?action=UPDATE&amp;creator=factset&amp;DYN_ARGS=TRUE&amp;DOC_NAME=FAT:FQL_AUDITING_CLIENT_TEMPLATE.FAT&amp;display_string=Audit&amp;VAR:KEY=SJMDUHEBWL&amp;VAR:QUERY=RkZfREVCVChBTk4sMCk=&amp;WINDOW=FIRST_POPUP&amp;HEIGHT=450&amp;WIDTH=450&amp;START_MAXIMIZED=FALSE&amp;VA","R:CALENDAR=US&amp;VAR:SYMBOL=BCR&amp;VAR:INDEX=0"}</definedName>
    <definedName name="_31__FDSAUDITLINK__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1__FDSAUDITLINK___1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1__FDSAUDITLINK___2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2__FDSAUDITLINK__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2__FDSAUDITLINK___1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2__FDSAUDITLINK___2" hidden="1">{"fdsup://directions/FAT Viewer?action=UPDATE&amp;creator=factset&amp;DYN_ARGS=TRUE&amp;DOC_NAME=FAT:FQL_AUDITING_CLIENT_TEMPLATE.FAT&amp;display_string=Audit&amp;VAR:KEY=SBADOJWLUZ&amp;VAR:QUERY=RkZfU0hMRFJTX0VRKEFOTiwwKQ==&amp;WINDOW=FIRST_POPUP&amp;HEIGHT=450&amp;WIDTH=450&amp;START_MAXIMIZED=","FALSE&amp;VAR:CALENDAR=US&amp;VAR:SYMBOL=EW&amp;VAR:INDEX=0"}</definedName>
    <definedName name="_33__FDSAUDITLINK__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3__FDSAUDITLINK___1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3__FDSAUDITLINK___2" hidden="1">{"fdsup://directions/FAT Viewer?action=UPDATE&amp;creator=factset&amp;DYN_ARGS=TRUE&amp;DOC_NAME=FAT:FQL_AUDITING_CLIENT_TEMPLATE.FAT&amp;display_string=Audit&amp;VAR:KEY=UZUJEHQVMN&amp;VAR:QUERY=RkZfREVCVChBTk4sMCk=&amp;WINDOW=FIRST_POPUP&amp;HEIGHT=450&amp;WIDTH=450&amp;START_MAXIMIZED=FALSE&amp;VA","R:CALENDAR=US&amp;VAR:SYMBOL=EW&amp;VAR:INDEX=0"}</definedName>
    <definedName name="_34__FDSAUDITLINK__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4__FDSAUDITLINK___1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4__FDSAUDITLINK___2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5__FDSAUDITLINK__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5__FDSAUDITLINK___1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5__FDSAUDITLINK___2" hidden="1">{"fdsup://directions/FAT Viewer?action=UPDATE&amp;creator=factset&amp;DYN_ARGS=TRUE&amp;DOC_NAME=FAT:FQL_AUDITING_CLIENT_TEMPLATE.FAT&amp;display_string=Audit&amp;VAR:KEY=WPWDABQVWF&amp;VAR:QUERY=RkZfU0hMRFJTX0VRKEFOTiwwKQ==&amp;WINDOW=FIRST_POPUP&amp;HEIGHT=450&amp;WIDTH=450&amp;START_MAXIMIZED=","FALSE&amp;VAR:CALENDAR=US&amp;VAR:SYMBOL=BSX&amp;VAR:INDEX=0"}</definedName>
    <definedName name="_36__FDSAUDITLINK__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6__FDSAUDITLINK___1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6__FDSAUDITLINK___2" hidden="1">{"fdsup://directions/FAT Viewer?action=UPDATE&amp;creator=factset&amp;DYN_ARGS=TRUE&amp;DOC_NAME=FAT:FQL_AUDITING_CLIENT_TEMPLATE.FAT&amp;display_string=Audit&amp;VAR:KEY=SPEJQTEBEN&amp;VAR:QUERY=RkZfREVCVChBTk4sMCk=&amp;WINDOW=FIRST_POPUP&amp;HEIGHT=450&amp;WIDTH=450&amp;START_MAXIMIZED=FALSE&amp;VA","R:CALENDAR=US&amp;VAR:SYMBOL=BSX&amp;VAR:INDEX=0"}</definedName>
    <definedName name="_37__FDSAUDITLINK__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7__FDSAUDITLINK___1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7__FDSAUDITLINK___2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8__FDSAUDITLINK__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8__FDSAUDITLINK___1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8__FDSAUDITLINK___2" hidden="1">{"fdsup://directions/FAT Viewer?action=UPDATE&amp;creator=factset&amp;DYN_ARGS=TRUE&amp;DOC_NAME=FAT:FQL_AUDITING_CLIENT_TEMPLATE.FAT&amp;display_string=Audit&amp;VAR:KEY=QBGRYJGXCZ&amp;VAR:QUERY=RkZfU0hMRFJTX0VRKEFOTiwwKQ==&amp;WINDOW=FIRST_POPUP&amp;HEIGHT=450&amp;WIDTH=450&amp;START_MAXIMIZED=","FALSE&amp;VAR:CALENDAR=US&amp;VAR:SYMBOL=BDX&amp;VAR:INDEX=0"}</definedName>
    <definedName name="_39__FDSAUDITLINK__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9__FDSAUDITLINK___1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39__FDSAUDITLINK___2" hidden="1">{"fdsup://directions/FAT Viewer?action=UPDATE&amp;creator=factset&amp;DYN_ARGS=TRUE&amp;DOC_NAME=FAT:FQL_AUDITING_CLIENT_TEMPLATE.FAT&amp;display_string=Audit&amp;VAR:KEY=SVATOJKTWJ&amp;VAR:QUERY=RkZfREVCVChBTk4sMCk=&amp;WINDOW=FIRST_POPUP&amp;HEIGHT=450&amp;WIDTH=450&amp;START_MAXIMIZED=FALSE&amp;VA","R:CALENDAR=US&amp;VAR:SYMBOL=BDX&amp;VAR:INDEX=0"}</definedName>
    <definedName name="_4__FDSAUDITLINK__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__FDSAUDITLINK___1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__FDSAUDITLINK___2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40__FDSAUDITLINK__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0__FDSAUDITLINK___1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0__FDSAUDITLINK___2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1__FDSAUDITLINK__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1__FDSAUDITLINK___1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1__FDSAUDITLINK___2" hidden="1">{"fdsup://directions/FAT Viewer?action=UPDATE&amp;creator=factset&amp;DYN_ARGS=TRUE&amp;DOC_NAME=FAT:FQL_AUDITING_CLIENT_TEMPLATE.FAT&amp;display_string=Audit&amp;VAR:KEY=AZQJQZGTYH&amp;VAR:QUERY=RkZfU0hMRFJTX0VRKEFOTiwwKQ==&amp;WINDOW=FIRST_POPUP&amp;HEIGHT=450&amp;WIDTH=450&amp;START_MAXIMIZED=","FALSE&amp;VAR:CALENDAR=US&amp;VAR:SYMBOL=JNJ&amp;VAR:INDEX=0"}</definedName>
    <definedName name="_42__FDSAUDITLINK__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2__FDSAUDITLINK___1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2__FDSAUDITLINK___2" hidden="1">{"fdsup://directions/FAT Viewer?action=UPDATE&amp;creator=factset&amp;DYN_ARGS=TRUE&amp;DOC_NAME=FAT:FQL_AUDITING_CLIENT_TEMPLATE.FAT&amp;display_string=Audit&amp;VAR:KEY=ATYJWJEXOT&amp;VAR:QUERY=RkZfREVCVChBTk4sMCk=&amp;WINDOW=FIRST_POPUP&amp;HEIGHT=450&amp;WIDTH=450&amp;START_MAXIMIZED=FALSE&amp;VA","R:CALENDAR=US&amp;VAR:SYMBOL=JNJ&amp;VAR:INDEX=0"}</definedName>
    <definedName name="_43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3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3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4__FDSAUDITLINK__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4__FDSAUDITLINK___1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4__FDSAUDITLINK___2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45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5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5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46__FDSAUDITLINK__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6__FDSAUDITLINK___1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6__FDSAUDITLINK___2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7__FDSAUDITLINK__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7__FDSAUDITLINK___1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7__FDSAUDITLINK___2" hidden="1">{"fdsup://directions/FAT Viewer?action=UPDATE&amp;creator=factset&amp;DYN_ARGS=TRUE&amp;DOC_NAME=FAT:FQL_AUDITING_CLIENT_TEMPLATE.FAT&amp;display_string=Audit&amp;VAR:KEY=QJQXAFAHUH&amp;VAR:QUERY=RkZfU0hMRFJTX0VRKEFOTiwwKQ==&amp;WINDOW=FIRST_POPUP&amp;HEIGHT=450&amp;WIDTH=450&amp;START_MAXIMIZED=","FALSE&amp;VAR:CALENDAR=US&amp;VAR:SYMBOL=GRFS&amp;VAR:INDEX=0"}</definedName>
    <definedName name="_48__FDSAUDITLINK__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8__FDSAUDITLINK___1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8__FDSAUDITLINK___2" hidden="1">{"fdsup://directions/FAT Viewer?action=UPDATE&amp;creator=factset&amp;DYN_ARGS=TRUE&amp;DOC_NAME=FAT:FQL_AUDITING_CLIENT_TEMPLATE.FAT&amp;display_string=Audit&amp;VAR:KEY=ODYTGVKRIB&amp;VAR:QUERY=RkZfREVCVChBTk4sMCk=&amp;WINDOW=FIRST_POPUP&amp;HEIGHT=450&amp;WIDTH=450&amp;START_MAXIMIZED=FALSE&amp;VA","R:CALENDAR=US&amp;VAR:SYMBOL=GRFS&amp;VAR:INDEX=0"}</definedName>
    <definedName name="_49__FDSAUDITLINK__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49__FDSAUDITLINK___1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49__FDSAUDITLINK___2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__FDSAUDITLINK__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__FDSAUDITLINK___1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__FDSAUDITLINK___2" hidden="1">{"fdsup://directions/FAT Viewer?action=UPDATE&amp;creator=factset&amp;DYN_ARGS=TRUE&amp;DOC_NAME=FAT:FQL_AUDITING_CLIENT_TEMPLATE.FAT&amp;display_string=Audit&amp;VAR:KEY=CZONIFIPEV&amp;VAR:QUERY=RkZfU0hMRFJTX0VRKEFOTiwwKQ==&amp;WINDOW=FIRST_POPUP&amp;HEIGHT=450&amp;WIDTH=450&amp;START_MAXIMIZED=","FALSE&amp;VAR:CALENDAR=US&amp;VAR:SYMBOL=HAE&amp;VAR:INDEX=0"}</definedName>
    <definedName name="_50__FDSAUDITLINK__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0__FDSAUDITLINK___1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0__FDSAUDITLINK___2" hidden="1">{"fdsup://directions/FAT Viewer?action=UPDATE&amp;creator=factset&amp;DYN_ARGS=TRUE&amp;DOC_NAME=FAT:FQL_AUDITING_CLIENT_TEMPLATE.FAT&amp;display_string=Audit&amp;VAR:KEY=WFGRSLKHUJ&amp;VAR:QUERY=RkZfU0hMRFJTX0VRKEFOTiwwKQ==&amp;WINDOW=FIRST_POPUP&amp;HEIGHT=450&amp;WIDTH=450&amp;START_MAXIMIZED=","FALSE&amp;VAR:CALENDAR=US&amp;VAR:SYMBOL=SYK&amp;VAR:INDEX=0"}</definedName>
    <definedName name="_51__FDSAUDITLINK__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1__FDSAUDITLINK___1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1__FDSAUDITLINK___2" hidden="1">{"fdsup://directions/FAT Viewer?action=UPDATE&amp;creator=factset&amp;DYN_ARGS=TRUE&amp;DOC_NAME=FAT:FQL_AUDITING_CLIENT_TEMPLATE.FAT&amp;display_string=Audit&amp;VAR:KEY=GNIPCHATSZ&amp;VAR:QUERY=RkZfREVCVChBTk4sMCk=&amp;WINDOW=FIRST_POPUP&amp;HEIGHT=450&amp;WIDTH=450&amp;START_MAXIMIZED=FALSE&amp;VA","R:CALENDAR=US&amp;VAR:SYMBOL=SYK&amp;VAR:INDEX=0"}</definedName>
    <definedName name="_52__FDSAUDITLINK__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2__FDSAUDITLINK___1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2__FDSAUDITLINK___2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3__FDSAUDITLINK__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3__FDSAUDITLINK___1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3__FDSAUDITLINK___2" hidden="1">{"fdsup://directions/FAT Viewer?action=UPDATE&amp;creator=factset&amp;DYN_ARGS=TRUE&amp;DOC_NAME=FAT:FQL_AUDITING_CLIENT_TEMPLATE.FAT&amp;display_string=Audit&amp;VAR:KEY=UPALKLADUR&amp;VAR:QUERY=RkZfU0hMRFJTX0VRKEFOTiwwKQ==&amp;WINDOW=FIRST_POPUP&amp;HEIGHT=450&amp;WIDTH=450&amp;START_MAXIMIZED=","FALSE&amp;VAR:CALENDAR=US&amp;VAR:SYMBOL=G2554F11&amp;VAR:INDEX=0"}</definedName>
    <definedName name="_54__FDSAUDITLINK__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4__FDSAUDITLINK___1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4__FDSAUDITLINK___2" hidden="1">{"fdsup://directions/FAT Viewer?action=UPDATE&amp;creator=factset&amp;DYN_ARGS=TRUE&amp;DOC_NAME=FAT:FQL_AUDITING_CLIENT_TEMPLATE.FAT&amp;display_string=Audit&amp;VAR:KEY=WFOFIFQHUF&amp;VAR:QUERY=RkZfREVCVChBTk4sMCk=&amp;WINDOW=FIRST_POPUP&amp;HEIGHT=450&amp;WIDTH=450&amp;START_MAXIMIZED=FALSE&amp;VA","R:CALENDAR=US&amp;VAR:SYMBOL=G2554F11&amp;VAR:INDEX=0"}</definedName>
    <definedName name="_55__FDSAUDITLINK__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5__FDSAUDITLINK___1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5__FDSAUDITLINK___2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6__FDSAUDITLINK__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6__FDSAUDITLINK___1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6__FDSAUDITLINK___2" hidden="1">{"fdsup://directions/FAT Viewer?action=UPDATE&amp;creator=factset&amp;DYN_ARGS=TRUE&amp;DOC_NAME=FAT:FQL_AUDITING_CLIENT_TEMPLATE.FAT&amp;display_string=Audit&amp;VAR:KEY=AJONIVGJWF&amp;VAR:QUERY=RkZfU0hMRFJTX0VRKEFOTiwwKQ==&amp;WINDOW=FIRST_POPUP&amp;HEIGHT=450&amp;WIDTH=450&amp;START_MAXIMIZED=","FALSE&amp;VAR:CALENDAR=US&amp;VAR:SYMBOL=CFN&amp;VAR:INDEX=0"}</definedName>
    <definedName name="_57__FDSAUDITLINK__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7__FDSAUDITLINK___1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7__FDSAUDITLINK___2" hidden="1">{"fdsup://directions/FAT Viewer?action=UPDATE&amp;creator=factset&amp;DYN_ARGS=TRUE&amp;DOC_NAME=FAT:FQL_AUDITING_CLIENT_TEMPLATE.FAT&amp;display_string=Audit&amp;VAR:KEY=IZEFEHWRUL&amp;VAR:QUERY=RkZfREVCVChBTk4sMCk=&amp;WINDOW=FIRST_POPUP&amp;HEIGHT=450&amp;WIDTH=450&amp;START_MAXIMIZED=FALSE&amp;VA","R:CALENDAR=US&amp;VAR:SYMBOL=CFN&amp;VAR:INDEX=0"}</definedName>
    <definedName name="_58__FDSAUDITLINK__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8__FDSAUDITLINK___1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8__FDSAUDITLINK___2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59__FDSAUDITLINK__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59__FDSAUDITLINK___1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59__FDSAUDITLINK___2" hidden="1">{"fdsup://directions/FAT Viewer?action=UPDATE&amp;creator=factset&amp;DYN_ARGS=TRUE&amp;DOC_NAME=FAT:FQL_AUDITING_CLIENT_TEMPLATE.FAT&amp;display_string=Audit&amp;VAR:KEY=ULODCZQHUV&amp;VAR:QUERY=RkZfU0hMRFJTX0VRKEFOTiwwKQ==&amp;WINDOW=FIRST_POPUP&amp;HEIGHT=450&amp;WIDTH=450&amp;START_MAXIMIZED=","FALSE&amp;VAR:CALENDAR=US&amp;VAR:SYMBOL=BAX&amp;VAR:INDEX=0"}</definedName>
    <definedName name="_6__FDSAUDITLINK__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__FDSAUDITLINK___1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__FDSAUDITLINK___2" hidden="1">{"fdsup://directions/FAT Viewer?action=UPDATE&amp;creator=factset&amp;DYN_ARGS=TRUE&amp;DOC_NAME=FAT:FQL_AUDITING_CLIENT_TEMPLATE.FAT&amp;display_string=Audit&amp;VAR:KEY=KNEDEHEBGJ&amp;VAR:QUERY=RkZfREVCVChBTk4sMCk=&amp;WINDOW=FIRST_POPUP&amp;HEIGHT=450&amp;WIDTH=450&amp;START_MAXIMIZED=FALSE&amp;VA","R:CALENDAR=US&amp;VAR:SYMBOL=HAE&amp;VAR:INDEX=0"}</definedName>
    <definedName name="_60__FDSAUDITLINK__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0__FDSAUDITLINK___1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0__FDSAUDITLINK___2" hidden="1">{"fdsup://directions/FAT Viewer?action=UPDATE&amp;creator=factset&amp;DYN_ARGS=TRUE&amp;DOC_NAME=FAT:FQL_AUDITING_CLIENT_TEMPLATE.FAT&amp;display_string=Audit&amp;VAR:KEY=WVWPYTANCF&amp;VAR:QUERY=RkZfREVCVChBTk4sMCk=&amp;WINDOW=FIRST_POPUP&amp;HEIGHT=450&amp;WIDTH=450&amp;START_MAXIMIZED=FALSE&amp;VA","R:CALENDAR=US&amp;VAR:SYMBOL=BAX&amp;VAR:INDEX=0"}</definedName>
    <definedName name="_61__FDSAUDITLINK__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1__FDSAUDITLINK___1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1__FDSAUDITLINK___2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2__FDSAUDITLINK__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2__FDSAUDITLINK___1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2__FDSAUDITLINK___2" hidden="1">{"fdsup://directions/FAT Viewer?action=UPDATE&amp;creator=factset&amp;DYN_ARGS=TRUE&amp;DOC_NAME=FAT:FQL_AUDITING_CLIENT_TEMPLATE.FAT&amp;display_string=Audit&amp;VAR:KEY=MHEPWPCLGD&amp;VAR:QUERY=RkZfU0hMRFJTX0VRKEFOTiwwKQ==&amp;WINDOW=FIRST_POPUP&amp;HEIGHT=450&amp;WIDTH=450&amp;START_MAXIMIZED=","FALSE&amp;VAR:CALENDAR=US&amp;VAR:SYMBOL=ABT&amp;VAR:INDEX=0"}</definedName>
    <definedName name="_63__FDSAUDITLINK__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3__FDSAUDITLINK___1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3__FDSAUDITLINK___2" hidden="1">{"fdsup://directions/FAT Viewer?action=UPDATE&amp;creator=factset&amp;DYN_ARGS=TRUE&amp;DOC_NAME=FAT:FQL_AUDITING_CLIENT_TEMPLATE.FAT&amp;display_string=Audit&amp;VAR:KEY=OPKZEZUZEL&amp;VAR:QUERY=RkZfREVCVChBTk4sMCk=&amp;WINDOW=FIRST_POPUP&amp;HEIGHT=450&amp;WIDTH=450&amp;START_MAXIMIZED=FALSE&amp;VA","R:CALENDAR=US&amp;VAR:SYMBOL=ABT&amp;VAR:INDEX=0"}</definedName>
    <definedName name="_64__FDSAUDITLINK__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4__FDSAUDITLINK___1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4__FDSAUDITLINK___2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5__FDSAUDITLINK__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5__FDSAUDITLINK___1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5__FDSAUDITLINK___2" hidden="1">{"fdsup://directions/FAT Viewer?action=UPDATE&amp;creator=factset&amp;DYN_ARGS=TRUE&amp;DOC_NAME=FAT:FQL_AUDITING_CLIENT_TEMPLATE.FAT&amp;display_string=Audit&amp;VAR:KEY=KVAPUVMPGH&amp;VAR:QUERY=RkZfU0hMRFJTX0VRKEFOTiwwKQ==&amp;WINDOW=FIRST_POPUP&amp;HEIGHT=450&amp;WIDTH=450&amp;START_MAXIMIZED=","FALSE&amp;VAR:CALENDAR=US&amp;VAR:SYMBOL=TFX&amp;VAR:INDEX=0"}</definedName>
    <definedName name="_66__FDSAUDITLINK__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6__FDSAUDITLINK___1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6__FDSAUDITLINK___2" hidden="1">{"fdsup://directions/FAT Viewer?action=UPDATE&amp;creator=factset&amp;DYN_ARGS=TRUE&amp;DOC_NAME=FAT:FQL_AUDITING_CLIENT_TEMPLATE.FAT&amp;display_string=Audit&amp;VAR:KEY=YBGHCRSVAL&amp;VAR:QUERY=RkZfREVCVChBTk4sMCk=&amp;WINDOW=FIRST_POPUP&amp;HEIGHT=450&amp;WIDTH=450&amp;START_MAXIMIZED=FALSE&amp;VA","R:CALENDAR=US&amp;VAR:SYMBOL=TFX&amp;VAR:INDEX=0"}</definedName>
    <definedName name="_67__FDSAUDITLINK__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7__FDSAUDITLINK___1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7__FDSAUDITLINK___2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8__FDSAUDITLINK__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8__FDSAUDITLINK___1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8__FDSAUDITLINK___2" hidden="1">{"fdsup://directions/FAT Viewer?action=UPDATE&amp;creator=factset&amp;DYN_ARGS=TRUE&amp;DOC_NAME=FAT:FQL_AUDITING_CLIENT_TEMPLATE.FAT&amp;display_string=Audit&amp;VAR:KEY=QJGDGREDEZ&amp;VAR:QUERY=RkZfU0hMRFJTX0VRKEFOTiwwKQ==&amp;WINDOW=FIRST_POPUP&amp;HEIGHT=450&amp;WIDTH=450&amp;START_MAXIMIZED=","FALSE&amp;VAR:CALENDAR=US&amp;VAR:SYMBOL=HRC&amp;VAR:INDEX=0"}</definedName>
    <definedName name="_69__FDSAUDITLINK__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9__FDSAUDITLINK___1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69__FDSAUDITLINK___2" hidden="1">{"fdsup://directions/FAT Viewer?action=UPDATE&amp;creator=factset&amp;DYN_ARGS=TRUE&amp;DOC_NAME=FAT:FQL_AUDITING_CLIENT_TEMPLATE.FAT&amp;display_string=Audit&amp;VAR:KEY=UFKNODWFEV&amp;VAR:QUERY=RkZfREVCVChBTk4sMCk=&amp;WINDOW=FIRST_POPUP&amp;HEIGHT=450&amp;WIDTH=450&amp;START_MAXIMIZED=FALSE&amp;VA","R:CALENDAR=US&amp;VAR:SYMBOL=HRC&amp;VAR:INDEX=0"}</definedName>
    <definedName name="_7__FDSAUDITLINK__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__FDSAUDITLINK___1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__FDSAUDITLINK___2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70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0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0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1__FDSAUDITLINK__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1__FDSAUDITLINK___1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1__FDSAUDITLINK___2" hidden="1">{"fdsup://directions/FAT Viewer?action=UPDATE&amp;creator=factset&amp;DYN_ARGS=TRUE&amp;DOC_NAME=FAT:FQL_AUDITING_CLIENT_TEMPLATE.FAT&amp;display_string=Audit&amp;VAR:KEY=UPCHEHKTWT&amp;VAR:QUERY=RkZfU0hMRFJTX0VRKEFOTiwwKQ==&amp;WINDOW=FIRST_POPUP&amp;HEIGHT=450&amp;WIDTH=450&amp;START_MAXIMIZED=","FALSE&amp;VAR:CALENDAR=US&amp;VAR:SYMBOL=ABMD&amp;VAR:INDEX=0"}</definedName>
    <definedName name="_72__FDSAUDITLINK__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2__FDSAUDITLINK___1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2__FDSAUDITLINK___2" hidden="1">{"fdsup://directions/FAT Viewer?action=UPDATE&amp;creator=factset&amp;DYN_ARGS=TRUE&amp;DOC_NAME=FAT:FQL_AUDITING_CLIENT_TEMPLATE.FAT&amp;display_string=Audit&amp;VAR:KEY=STUXQNKPEF&amp;VAR:QUERY=RkZfREVCVChBTk4sMCk=&amp;WINDOW=FIRST_POPUP&amp;HEIGHT=450&amp;WIDTH=450&amp;START_MAXIMIZED=FALSE&amp;VA","R:CALENDAR=US&amp;VAR:SYMBOL=ABMD&amp;VAR:INDEX=0"}</definedName>
    <definedName name="_73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3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3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74__FDSAUDITLINK__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4__FDSAUDITLINK___1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4__FDSAUDITLINK___2" hidden="1">{"fdsup://directions/FAT Viewer?action=UPDATE&amp;creator=factset&amp;DYN_ARGS=TRUE&amp;DOC_NAME=FAT:FQL_AUDITING_CLIENT_TEMPLATE.FAT&amp;display_string=Audit&amp;VAR:KEY=MZIRGRQDQT&amp;VAR:QUERY=RkZfRU5UUlBSX1ZBTF9EQUlMWShOT1csLCwsLCdESUwnKQ==&amp;WINDOW=FIRST_POPUP&amp;HEIGHT=450&amp;WIDTH=","450&amp;START_MAXIMIZED=FALSE&amp;VAR:CALENDAR=FIVEDAY&amp;VAR:SYMBOL=PACB&amp;VAR:INDEX=0"}</definedName>
    <definedName name="_75__FDSAUDITLINK__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5__FDSAUDITLINK___1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5__FDSAUDITLINK___2" hidden="1">{"fdsup://directions/FAT Viewer?action=UPDATE&amp;creator=factset&amp;DYN_ARGS=TRUE&amp;DOC_NAME=FAT:FQL_AUDITING_CLIENT_TEMPLATE.FAT&amp;display_string=Audit&amp;VAR:KEY=EZCLCRSDAP&amp;VAR:QUERY=RkZfRU5UUlBSX1ZBTF9EQUlMWShOT1csLCwsLCdESUwnKQ==&amp;WINDOW=FIRST_POPUP&amp;HEIGHT=450&amp;WIDTH=","450&amp;START_MAXIMIZED=FALSE&amp;VAR:CALENDAR=FIVEDAY&amp;VAR:SYMBOL=AFFX&amp;VAR:INDEX=0"}</definedName>
    <definedName name="_76__FDSAUDITLINK__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6__FDSAUDITLINK___1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6__FDSAUDITLINK___2" hidden="1">{"fdsup://directions/FAT Viewer?action=UPDATE&amp;creator=factset&amp;DYN_ARGS=TRUE&amp;DOC_NAME=FAT:FQL_AUDITING_CLIENT_TEMPLATE.FAT&amp;display_string=Audit&amp;VAR:KEY=OLOPGHWHAP&amp;VAR:QUERY=RkZfRU5UUlBSX1ZBTF9EQUlMWShOT1csLCwsLCdESUwnKQ==&amp;WINDOW=FIRST_POPUP&amp;HEIGHT=450&amp;WIDTH=","450&amp;START_MAXIMIZED=FALSE&amp;VAR:CALENDAR=FIVEDAY&amp;VAR:SYMBOL=BDX&amp;VAR:INDEX=0"}</definedName>
    <definedName name="_77__FDSAUDITLINK__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7__FDSAUDITLINK___1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7__FDSAUDITLINK___2" hidden="1">{"fdsup://directions/FAT Viewer?action=UPDATE&amp;creator=factset&amp;DYN_ARGS=TRUE&amp;DOC_NAME=FAT:FQL_AUDITING_CLIENT_TEMPLATE.FAT&amp;display_string=Audit&amp;VAR:KEY=ONQHQDUZKF&amp;VAR:QUERY=RkZfRU5UUlBSX1ZBTF9EQUlMWShOT1csLCwsLCdESUwnKQ==&amp;WINDOW=FIRST_POPUP&amp;HEIGHT=450&amp;WIDTH=","450&amp;START_MAXIMIZED=FALSE&amp;VAR:CALENDAR=FIVEDAY&amp;VAR:SYMBOL=BEC&amp;VAR:INDEX=0"}</definedName>
    <definedName name="_78__FDSAUDITLINK__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8__FDSAUDITLINK___1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8__FDSAUDITLINK___2" hidden="1">{"fdsup://directions/FAT Viewer?action=UPDATE&amp;creator=factset&amp;DYN_ARGS=TRUE&amp;DOC_NAME=FAT:FQL_AUDITING_CLIENT_TEMPLATE.FAT&amp;display_string=Audit&amp;VAR:KEY=GPYRITKBWH&amp;VAR:QUERY=RkZfRU5UUlBSX1ZBTF9EQUlMWShOT1csLCwsLCdESUwnKQ==&amp;WINDOW=FIRST_POPUP&amp;HEIGHT=450&amp;WIDTH=","450&amp;START_MAXIMIZED=FALSE&amp;VAR:CALENDAR=FIVEDAY&amp;VAR:SYMBOL=GPRO&amp;VAR:INDEX=0"}</definedName>
    <definedName name="_79__FDSAUDITLINK__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79__FDSAUDITLINK___1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79__FDSAUDITLINK___2" hidden="1">{"fdsup://directions/FAT Viewer?action=UPDATE&amp;creator=factset&amp;DYN_ARGS=TRUE&amp;DOC_NAME=FAT:FQL_AUDITING_CLIENT_TEMPLATE.FAT&amp;display_string=Audit&amp;VAR:KEY=UXUVUJWNOH&amp;VAR:QUERY=RkZfRU5UUlBSX1ZBTF9EQUlMWShOT1csLCwsLCdESUwnKQ==&amp;WINDOW=FIRST_POPUP&amp;HEIGHT=450&amp;WIDTH=","450&amp;START_MAXIMIZED=FALSE&amp;VAR:CALENDAR=FIVEDAY&amp;VAR:SYMBOL=HSP&amp;VAR:INDEX=0"}</definedName>
    <definedName name="_8__FDSAUDITLINK__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__FDSAUDITLINK___1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__FDSAUDITLINK___2" hidden="1">{"fdsup://directions/FAT Viewer?action=UPDATE&amp;creator=factset&amp;DYN_ARGS=TRUE&amp;DOC_NAME=FAT:FQL_AUDITING_CLIENT_TEMPLATE.FAT&amp;display_string=Audit&amp;VAR:KEY=OTKPETWXCN&amp;VAR:QUERY=RkZfU0hMRFJTX0VRKEFOTiwwKQ==&amp;WINDOW=FIRST_POPUP&amp;HEIGHT=450&amp;WIDTH=450&amp;START_MAXIMIZED=","FALSE&amp;VAR:CALENDAR=US&amp;VAR:SYMBOL=STJ&amp;VAR:INDEX=0"}</definedName>
    <definedName name="_80__FDSAUDITLINK__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0__FDSAUDITLINK___1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0__FDSAUDITLINK___2" hidden="1">{"fdsup://directions/FAT Viewer?action=UPDATE&amp;creator=factset&amp;DYN_ARGS=TRUE&amp;DOC_NAME=FAT:FQL_AUDITING_CLIENT_TEMPLATE.FAT&amp;display_string=Audit&amp;VAR:KEY=QDWBINOJIH&amp;VAR:QUERY=RkZfRU5UUlBSX1ZBTF9EQUlMWShOT1csLCwsLCdESUwnKQ==&amp;WINDOW=FIRST_POPUP&amp;HEIGHT=450&amp;WIDTH=","450&amp;START_MAXIMIZED=FALSE&amp;VAR:CALENDAR=FIVEDAY&amp;VAR:SYMBOL=MYGN&amp;VAR:INDEX=0"}</definedName>
    <definedName name="_81__FDSAUDITLINK__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1__FDSAUDITLINK___1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1__FDSAUDITLINK___2" hidden="1">{"fdsup://directions/FAT Viewer?action=UPDATE&amp;creator=factset&amp;DYN_ARGS=TRUE&amp;DOC_NAME=FAT:FQL_AUDITING_CLIENT_TEMPLATE.FAT&amp;display_string=Audit&amp;VAR:KEY=KPODUPWHYR&amp;VAR:QUERY=RkZfRU5UUlBSX1ZBTF9EQUlMWShOT1csLCwsLCdESUwnKQ==&amp;WINDOW=FIRST_POPUP&amp;HEIGHT=450&amp;WIDTH=","450&amp;START_MAXIMIZED=FALSE&amp;VAR:CALENDAR=FIVEDAY&amp;VAR:SYMBOL=QGEN&amp;VAR:INDEX=0"}</definedName>
    <definedName name="_82__FDSAUDITLINK__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2__FDSAUDITLINK___1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2__FDSAUDITLINK___2" hidden="1">{"fdsup://directions/FAT Viewer?action=UPDATE&amp;creator=factset&amp;DYN_ARGS=TRUE&amp;DOC_NAME=FAT:FQL_AUDITING_CLIENT_TEMPLATE.FAT&amp;display_string=Audit&amp;VAR:KEY=CBKNWDAHKJ&amp;VAR:QUERY=RkZfRU5UUlBSX1ZBTF9EQUlMWShOT1csLCwsLCdESUwnKQ==&amp;WINDOW=FIRST_POPUP&amp;HEIGHT=450&amp;WIDTH=","450&amp;START_MAXIMIZED=FALSE&amp;VAR:CALENDAR=FIVEDAY&amp;VAR:SYMBOL=BIO&amp;VAR:INDEX=0"}</definedName>
    <definedName name="_83__FDSAUDITLINK__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3__FDSAUDITLINK___1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3__FDSAUDITLINK___2" hidden="1">{"fdsup://directions/FAT Viewer?action=UPDATE&amp;creator=factset&amp;DYN_ARGS=TRUE&amp;DOC_NAME=FAT:FQL_AUDITING_CLIENT_TEMPLATE.FAT&amp;display_string=Audit&amp;VAR:KEY=UNOBIVMNGP&amp;VAR:QUERY=RkZfRU5UUlBSX1ZBTF9EQUlMWShOT1csLCwsLCdESUwnKQ==&amp;WINDOW=FIRST_POPUP&amp;HEIGHT=450&amp;WIDTH=","450&amp;START_MAXIMIZED=FALSE&amp;VAR:CALENDAR=FIVEDAY&amp;VAR:SYMBOL=DNEX&amp;VAR:INDEX=0"}</definedName>
    <definedName name="_84__FDSAUDITLINK__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4__FDSAUDITLINK___1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4__FDSAUDITLINK___2" hidden="1">{"fdsup://directions/FAT Viewer?action=UPDATE&amp;creator=factset&amp;DYN_ARGS=TRUE&amp;DOC_NAME=FAT:FQL_AUDITING_CLIENT_TEMPLATE.FAT&amp;display_string=Audit&amp;VAR:KEY=QPUPARQXUX&amp;VAR:QUERY=RkZfRU5UUlBSX1ZBTF9EQUlMWShOT1csLCwsLCdESUwnKQ==&amp;WINDOW=FIRST_POPUP&amp;HEIGHT=450&amp;WIDTH=","450&amp;START_MAXIMIZED=FALSE&amp;VAR:CALENDAR=FIVEDAY&amp;VAR:SYMBOL=LMNX&amp;VAR:INDEX=0"}</definedName>
    <definedName name="_85__FDSAUDITLINK__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5__FDSAUDITLINK___1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5__FDSAUDITLINK___2" hidden="1">{"fdsup://directions/FAT Viewer?action=UPDATE&amp;creator=factset&amp;DYN_ARGS=TRUE&amp;DOC_NAME=FAT:FQL_AUDITING_CLIENT_TEMPLATE.FAT&amp;display_string=Audit&amp;VAR:KEY=ENALIHQZUJ&amp;VAR:QUERY=RkZfRU5UUlBSX1ZBTF9EQUlMWShOT1csLCwsLCdESUwnKQ==&amp;WINDOW=FIRST_POPUP&amp;HEIGHT=450&amp;WIDTH=","450&amp;START_MAXIMIZED=FALSE&amp;VAR:CALENDAR=FIVEDAY&amp;VAR:SYMBOL=SIAL&amp;VAR:INDEX=0"}</definedName>
    <definedName name="_86__FDSAUDITLINK__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6__FDSAUDITLINK___1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6__FDSAUDITLINK___2" hidden="1">{"fdsup://directions/FAT Viewer?action=UPDATE&amp;creator=factset&amp;DYN_ARGS=TRUE&amp;DOC_NAME=FAT:FQL_AUDITING_CLIENT_TEMPLATE.FAT&amp;display_string=Audit&amp;VAR:KEY=EPWDAVAVWL&amp;VAR:QUERY=RkZfRU5UUlBSX1ZBTF9EQUlMWShOT1csLCwsLCdESUwnKQ==&amp;WINDOW=FIRST_POPUP&amp;HEIGHT=450&amp;WIDTH=","450&amp;START_MAXIMIZED=FALSE&amp;VAR:CALENDAR=FIVEDAY&amp;VAR:SYMBOL=TECH&amp;VAR:INDEX=0"}</definedName>
    <definedName name="_87__FDSAUDITLINK__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7__FDSAUDITLINK___1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7__FDSAUDITLINK___2" hidden="1">{"fdsup://directions/FAT Viewer?action=UPDATE&amp;creator=factset&amp;DYN_ARGS=TRUE&amp;DOC_NAME=FAT:FQL_AUDITING_CLIENT_TEMPLATE.FAT&amp;display_string=Audit&amp;VAR:KEY=CFMTMNEHCF&amp;VAR:QUERY=RkZfRU5UUlBSX1ZBTF9EQUlMWShOT1csLCwsLCdESUwnKQ==&amp;WINDOW=FIRST_POPUP&amp;HEIGHT=450&amp;WIDTH=","450&amp;START_MAXIMIZED=FALSE&amp;VAR:CALENDAR=FIVEDAY&amp;VAR:SYMBOL=ALR&amp;VAR:INDEX=0"}</definedName>
    <definedName name="_88__FDSAUDITLINK__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8__FDSAUDITLINK___1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8__FDSAUDITLINK___2" hidden="1">{"fdsup://directions/FAT Viewer?action=UPDATE&amp;creator=factset&amp;DYN_ARGS=TRUE&amp;DOC_NAME=FAT:FQL_AUDITING_CLIENT_TEMPLATE.FAT&amp;display_string=Audit&amp;VAR:KEY=CBUFQRWTMN&amp;VAR:QUERY=RkZfRU5UUlBSX1ZBTF9EQUlMWShOT1csLCwsLCdESUwnKQ==&amp;WINDOW=FIRST_POPUP&amp;HEIGHT=450&amp;WIDTH=","450&amp;START_MAXIMIZED=FALSE&amp;VAR:CALENDAR=FIVEDAY&amp;VAR:SYMBOL=GHDX&amp;VAR:INDEX=0"}</definedName>
    <definedName name="_89__FDSAUDITLINK__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89__FDSAUDITLINK___1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89__FDSAUDITLINK___2" hidden="1">{"fdsup://directions/FAT Viewer?action=UPDATE&amp;creator=factset&amp;DYN_ARGS=TRUE&amp;DOC_NAME=FAT:FQL_AUDITING_CLIENT_TEMPLATE.FAT&amp;display_string=Audit&amp;VAR:KEY=GFSNGJUZGB&amp;VAR:QUERY=RkZfRU5UUlBSX1ZBTF9EQUlMWShOT1csLCwsLCdESUwnKQ==&amp;WINDOW=FIRST_POPUP&amp;HEIGHT=450&amp;WIDTH=","450&amp;START_MAXIMIZED=FALSE&amp;VAR:CALENDAR=FIVEDAY&amp;VAR:SYMBOL=CPHD&amp;VAR:INDEX=0"}</definedName>
    <definedName name="_9__FDSAUDITLINK__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__FDSAUDITLINK___1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__FDSAUDITLINK___2" hidden="1">{"fdsup://directions/FAT Viewer?action=UPDATE&amp;creator=factset&amp;DYN_ARGS=TRUE&amp;DOC_NAME=FAT:FQL_AUDITING_CLIENT_TEMPLATE.FAT&amp;display_string=Audit&amp;VAR:KEY=UFOZKPGNCL&amp;VAR:QUERY=RkZfREVCVChBTk4sMCk=&amp;WINDOW=FIRST_POPUP&amp;HEIGHT=450&amp;WIDTH=450&amp;START_MAXIMIZED=FALSE&amp;VA","R:CALENDAR=US&amp;VAR:SYMBOL=STJ&amp;VAR:INDEX=0"}</definedName>
    <definedName name="_90__FDSAUDITLINK__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0__FDSAUDITLINK___1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0__FDSAUDITLINK___2" hidden="1">{"fdsup://directions/FAT Viewer?action=UPDATE&amp;creator=factset&amp;DYN_ARGS=TRUE&amp;DOC_NAME=FAT:FQL_AUDITING_CLIENT_TEMPLATE.FAT&amp;display_string=Audit&amp;VAR:KEY=YHONQXAZSR&amp;VAR:QUERY=RkZfRU5UUlBSX1ZBTF9EQUlMWShOT1csLCwsLCdESUwnKQ==&amp;WINDOW=FIRST_POPUP&amp;HEIGHT=450&amp;WIDTH=","450&amp;START_MAXIMIZED=FALSE&amp;VAR:CALENDAR=FIVEDAY&amp;VAR:SYMBOL=VIVO&amp;VAR:INDEX=0"}</definedName>
    <definedName name="_91__FDSAUDITLINK__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1__FDSAUDITLINK___1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1__FDSAUDITLINK___2" hidden="1">{"fdsup://directions/FAT Viewer?action=UPDATE&amp;creator=factset&amp;DYN_ARGS=TRUE&amp;DOC_NAME=FAT:FQL_AUDITING_CLIENT_TEMPLATE.FAT&amp;display_string=Audit&amp;VAR:KEY=KDCPCRGJOX&amp;VAR:QUERY=RkZfRU5UUlBSX1ZBTF9EQUlMWShOT1csLCwsLCdESUwnKQ==&amp;WINDOW=FIRST_POPUP&amp;HEIGHT=450&amp;WIDTH=","450&amp;START_MAXIMIZED=FALSE&amp;VAR:CALENDAR=FIVEDAY&amp;VAR:SYMBOL=ILMN&amp;VAR:INDEX=0"}</definedName>
    <definedName name="_92__FDSAUDITLINK__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2__FDSAUDITLINK___1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2__FDSAUDITLINK___2" hidden="1">{"fdsup://directions/FAT Viewer?action=UPDATE&amp;creator=factset&amp;DYN_ARGS=TRUE&amp;DOC_NAME=FAT:FQL_AUDITING_CLIENT_TEMPLATE.FAT&amp;display_string=Audit&amp;VAR:KEY=WNEPKPEBAB&amp;VAR:QUERY=RkZfRU5UUlBSX1ZBTF9EQUlMWShOT1csLCwsLCdESUwnKQ==&amp;WINDOW=FIRST_POPUP&amp;HEIGHT=450&amp;WIDTH=","450&amp;START_MAXIMIZED=FALSE&amp;VAR:CALENDAR=FIVEDAY&amp;VAR:SYMBOL=LIFE&amp;VAR:INDEX=0"}</definedName>
    <definedName name="_93__FDSAUDITLINK__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3__FDSAUDITLINK___1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3__FDSAUDITLINK___2" hidden="1">{"fdsup://directions/FAT Viewer?action=UPDATE&amp;creator=factset&amp;DYN_ARGS=TRUE&amp;DOC_NAME=FAT:FQL_AUDITING_CLIENT_TEMPLATE.FAT&amp;display_string=Audit&amp;VAR:KEY=WHUFCHOVAN&amp;VAR:QUERY=RkZfRU5UUlBSX1ZBTF9EQUlMWShOT1csLCwsLCdESUwnKQ==&amp;WINDOW=FIRST_POPUP&amp;HEIGHT=450&amp;WIDTH=","450&amp;START_MAXIMIZED=FALSE&amp;VAR:CALENDAR=FIVEDAY&amp;VAR:SYMBOL=WAT&amp;VAR:INDEX=0"}</definedName>
    <definedName name="_94__FDSAUDITLINK__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4__FDSAUDITLINK___1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4__FDSAUDITLINK___2" hidden="1">{"fdsup://directions/FAT Viewer?action=UPDATE&amp;creator=factset&amp;DYN_ARGS=TRUE&amp;DOC_NAME=FAT:FQL_AUDITING_CLIENT_TEMPLATE.FAT&amp;display_string=Audit&amp;VAR:KEY=CBYLCVWFIZ&amp;VAR:QUERY=RkZfRU5UUlBSX1ZBTF9EQUlMWShOT1csLCwsLCdESUwnKQ==&amp;WINDOW=FIRST_POPUP&amp;HEIGHT=450&amp;WIDTH=","450&amp;START_MAXIMIZED=FALSE&amp;VAR:CALENDAR=FIVEDAY&amp;VAR:SYMBOL=TMO&amp;VAR:INDEX=0"}</definedName>
    <definedName name="_95__FDSAUDITLINK__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5__FDSAUDITLINK___1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5__FDSAUDITLINK___2" hidden="1">{"fdsup://directions/FAT Viewer?action=UPDATE&amp;creator=factset&amp;DYN_ARGS=TRUE&amp;DOC_NAME=FAT:FQL_AUDITING_CLIENT_TEMPLATE.FAT&amp;display_string=Audit&amp;VAR:KEY=CHSVMLSVYH&amp;VAR:QUERY=RkZfRU5UUlBSX1ZBTF9EQUlMWShOT1csLCwsLCdESUwnKQ==&amp;WINDOW=FIRST_POPUP&amp;HEIGHT=450&amp;WIDTH=","450&amp;START_MAXIMIZED=FALSE&amp;VAR:CALENDAR=FIVEDAY&amp;VAR:SYMBOL=BRKR&amp;VAR:INDEX=0"}</definedName>
    <definedName name="_96__FDSAUDITLINK__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6__FDSAUDITLINK___1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6__FDSAUDITLINK___2" hidden="1">{"fdsup://directions/FAT Viewer?action=UPDATE&amp;creator=factset&amp;DYN_ARGS=TRUE&amp;DOC_NAME=FAT:FQL_AUDITING_CLIENT_TEMPLATE.FAT&amp;display_string=Audit&amp;VAR:KEY=OZKRUNWHIL&amp;VAR:QUERY=RkZfRU5UUlBSX1ZBTF9EQUlMWShOT1csLCwsLCdESUwnKQ==&amp;WINDOW=FIRST_POPUP&amp;HEIGHT=450&amp;WIDTH=","450&amp;START_MAXIMIZED=FALSE&amp;VAR:CALENDAR=FIVEDAY&amp;VAR:SYMBOL=MTD&amp;VAR:INDEX=0"}</definedName>
    <definedName name="_97__FDSAUDITLINK__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7__FDSAUDITLINK___1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7__FDSAUDITLINK___2" hidden="1">{"fdsup://directions/FAT Viewer?action=UPDATE&amp;creator=factset&amp;DYN_ARGS=TRUE&amp;DOC_NAME=FAT:FQL_AUDITING_CLIENT_TEMPLATE.FAT&amp;display_string=Audit&amp;VAR:KEY=EFKFOZQBKX&amp;VAR:QUERY=RkZfRU5UUlBSX1ZBTF9EQUlMWShOT1csLCwsLCdESUwnKQ==&amp;WINDOW=FIRST_POPUP&amp;HEIGHT=450&amp;WIDTH=","450&amp;START_MAXIMIZED=FALSE&amp;VAR:CALENDAR=FIVEDAY&amp;VAR:SYMBOL=PKI&amp;VAR:INDEX=0"}</definedName>
    <definedName name="_98__FDSAUDITLINK__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8__FDSAUDITLINK___1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8__FDSAUDITLINK___2" hidden="1">{"fdsup://directions/FAT Viewer?action=UPDATE&amp;creator=factset&amp;DYN_ARGS=TRUE&amp;DOC_NAME=FAT:FQL_AUDITING_CLIENT_TEMPLATE.FAT&amp;display_string=Audit&amp;VAR:KEY=AZYZAZOHSN&amp;VAR:QUERY=RkZfRU5UUlBSX1ZBTF9EQUlMWShOT1csLCwsLCdESUwnKQ==&amp;WINDOW=FIRST_POPUP&amp;HEIGHT=450&amp;WIDTH=","450&amp;START_MAXIMIZED=FALSE&amp;VAR:CALENDAR=FIVEDAY&amp;VAR:SYMBOL=A&amp;VAR:INDEX=0"}</definedName>
    <definedName name="_99__FDSAUDITLINK__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99__FDSAUDITLINK___1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99__FDSAUDITLINK___2" hidden="1">{"fdsup://directions/FAT Viewer?action=UPDATE&amp;creator=factset&amp;DYN_ARGS=TRUE&amp;DOC_NAME=FAT:FQL_AUDITING_CLIENT_TEMPLATE.FAT&amp;display_string=Audit&amp;VAR:KEY=ELINIDUNIT&amp;VAR:QUERY=RkZfRU5UUlBSX1ZBTF9EQUlMWShOT1csLCwsLCdESUwnKQ==&amp;WINDOW=FIRST_POPUP&amp;HEIGHT=450&amp;WIDTH=","450&amp;START_MAXIMIZED=FALSE&amp;VAR:CALENDAR=FIVEDAY&amp;VAR:SYMBOL=ZIGO&amp;VAR:INDEX=0"}</definedName>
    <definedName name="_Order1" hidden="1">255</definedName>
    <definedName name="AdditionalInstructions">IndexInformation!$B$42</definedName>
    <definedName name="Address" localSheetId="0">ImportantDisclosures!$A$2:$A$2</definedName>
    <definedName name="ANA" localSheetId="8">ModPubIndex!$A$7</definedName>
    <definedName name="Authors" localSheetId="0">ImportantDisclosures!$A$7</definedName>
    <definedName name="Authors" localSheetId="7">IndexInformation!$B$18</definedName>
    <definedName name="BRO" localSheetId="8">ModPubIndex!$A$1</definedName>
    <definedName name="CashFlowCapitalExpenditureCellular">0</definedName>
    <definedName name="CashFlowCapitalExpenditureOther">0</definedName>
    <definedName name="CashFlowCapitalExpenditurePaging">0</definedName>
    <definedName name="CashFlowCapitalExpenditureTelephone">0</definedName>
    <definedName name="CashFlowCapitalExpenditureWireless">0</definedName>
    <definedName name="CashFlowDividendPaidPreferredStock">0</definedName>
    <definedName name="conv_rate">14.5352</definedName>
    <definedName name="CopyrightStamp">ImportantDisclosures!$A$27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te" localSheetId="0">ImportantDisclosures!$A$8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0">ImportantDisclosures!#REF!</definedName>
    <definedName name="DistTablePreamble" localSheetId="0">ImportantDisclosures!#REF!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EMAIL_ALERT" localSheetId="8">ModPubIndex!$A$10</definedName>
    <definedName name="EmailAlert" localSheetId="7">IndexInformation!$B$28</definedName>
    <definedName name="EquityAdjustments">0</definedName>
    <definedName name="EquityEmployeeStockOwnershipPlan">0</definedName>
    <definedName name="EquityPaidInCapital">0</definedName>
    <definedName name="EquityTreasuryStock">0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HL" localSheetId="8">ModPubIndex!$A$8</definedName>
    <definedName name="IncomeEPSFullyDiluted">0</definedName>
    <definedName name="IncomeEPSPrimary">0</definedName>
    <definedName name="IncomeEPSRegular">0</definedName>
    <definedName name="IND" localSheetId="8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38859.8503356481</definedName>
    <definedName name="IQ_REVISION_DATE__1" hidden="1">38859.8503356481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KeepVersions" localSheetId="7">IndexInformation!$B$8</definedName>
    <definedName name="LanguageCode">IndexInformation!$B$38</definedName>
    <definedName name="LastCell" localSheetId="0">ImportantDisclosures!$A$22</definedName>
    <definedName name="LiabilitiesCurrentAccruedLiabilities">0</definedName>
    <definedName name="LiabilitiesCurrentNotesPayable">0</definedName>
    <definedName name="LiabilitiesDeferredIncomeTaxes">0</definedName>
    <definedName name="LiabilitiesOther">0</definedName>
    <definedName name="LiabilitiesUnamortizedInvestmentTaxCredits">0</definedName>
    <definedName name="Linking_10">OrgRev!$CO$5:$DN$33</definedName>
    <definedName name="Linking_13">OrgRev!$CO$5:$DN$65</definedName>
    <definedName name="Linking_17">IS!$A$7:$CA$120</definedName>
    <definedName name="Linking_18">RevBuild!$A$5:$CA$59</definedName>
    <definedName name="Linking_2">#N/A</definedName>
    <definedName name="Linking_25">IS!$A$7:$CG$120</definedName>
    <definedName name="Linking_26">RevBuild!$A$5:$CG$59</definedName>
    <definedName name="Linking_28">OrgRev!$CO$5:$DQ$33</definedName>
    <definedName name="Linking_3">OrgRev!$CO$5:$DJ$33</definedName>
    <definedName name="Linking_36">OrgRev!$CO$42:$DL$65</definedName>
    <definedName name="Linking_37">OrgRev!$CO$42:$DM$65</definedName>
    <definedName name="Linking_38">OrgRev!$CO$42:$DN$65</definedName>
    <definedName name="Linking_6">OrgRev!$CO$5:$DJ$65</definedName>
    <definedName name="Linking_Range_1">'[1]Mgmt Scenario'!$A$1:$J$15</definedName>
    <definedName name="Linking_Range_10">BS!$A$7:$BC$70</definedName>
    <definedName name="Linking_Range_100">RevBuild!$A$5:$BU$169</definedName>
    <definedName name="Linking_Range_101">IS!$A$7:$BO$35</definedName>
    <definedName name="Linking_Range_102">RevBuild!$A$5:$BO$169</definedName>
    <definedName name="Linking_Range_103">BS!$A$6:$BO$76</definedName>
    <definedName name="Linking_Range_104">CF!$A$6:$BO$87</definedName>
    <definedName name="Linking_Range_105">OrgRev!$A$5:$BO$34</definedName>
    <definedName name="Linking_Range_109">RevBuild!$A$5:$BO$171</definedName>
    <definedName name="Linking_Range_11">CF!$A$7:$BC$84</definedName>
    <definedName name="Linking_Range_110">OrgRev!$A$5:$BU$34</definedName>
    <definedName name="Linking_Range_111">BS!$A$6:$BO$82</definedName>
    <definedName name="Linking_Range_113">IS!$A$7:$BO$120</definedName>
    <definedName name="Linking_Range_114">RevBuild!$A$5:$BO$77</definedName>
    <definedName name="Linking_Range_115">RevBuild!$A$6:$BO$77</definedName>
    <definedName name="Linking_Range_116">RevBuild!$A$5:$BO$69</definedName>
    <definedName name="Linking_Range_117">RevBuild!$A$5:$BO$58</definedName>
    <definedName name="Linking_Range_12">RevBuild!$A$7:$BC$62</definedName>
    <definedName name="Linking_Range_13">RevBuild!$A$7:$BC$18</definedName>
    <definedName name="Linking_Range_14">IS!$A$8:$BC$35</definedName>
    <definedName name="Linking_Range_19">BS!$A$7:$BC$46</definedName>
    <definedName name="Linking_Range_2">[1]Varian!$K$2:$Q$30</definedName>
    <definedName name="Linking_Range_20">CF!$A$7:$BC$75</definedName>
    <definedName name="Linking_Range_26">RevBuild!$A$7:$BC$62</definedName>
    <definedName name="Linking_Range_27">OrgRev!$A$1:$BC$34</definedName>
    <definedName name="Linking_Range_28">OrgRev!$A$1:$BC$25</definedName>
    <definedName name="Linking_Range_29">OrgRev!$A$1:$AQ$34</definedName>
    <definedName name="Linking_Range_3">[1]Varian!$K$3:$R$31</definedName>
    <definedName name="Linking_Range_31">RevBuild!$A$7:$AQ$62</definedName>
    <definedName name="Linking_Range_33">OrgRev!$A$1:$AQ$25</definedName>
    <definedName name="Linking_Range_34">OrgRev!$A$1:$AW$34</definedName>
    <definedName name="Linking_Range_38">CF!$A$7:$BC$81</definedName>
    <definedName name="Linking_Range_39">IS!$A$8:$BO$120</definedName>
    <definedName name="Linking_Range_40">BS!$A$7:$BI$46</definedName>
    <definedName name="Linking_Range_41">CF!$A$7:$BO$84</definedName>
    <definedName name="Linking_Range_42">CF!$A$7:$BI$84</definedName>
    <definedName name="Linking_Range_43">IS!$A$8:$BI$137</definedName>
    <definedName name="Linking_Range_44">RevBuild!$A$7:$BI$62</definedName>
    <definedName name="Linking_Range_45">IS!$A$8:$AW$137</definedName>
    <definedName name="Linking_Range_46">BS!$A$7:$AW$46</definedName>
    <definedName name="Linking_Range_47">CF!$A$7:$AW$84</definedName>
    <definedName name="Linking_Range_48">RevBuild!$A$7:$AW$62</definedName>
    <definedName name="Linking_Range_50">RevBuild!$A$7:$BC$59</definedName>
    <definedName name="Linking_Range_51">IS!$A$8:$AW$120</definedName>
    <definedName name="Linking_Range_52">BS!$A$6:$AW$52</definedName>
    <definedName name="Linking_Range_53">CF!$A$6:$AW$84</definedName>
    <definedName name="Linking_Range_54">CF!$A$6:$AW$75</definedName>
    <definedName name="Linking_Range_55">RevBuild!$A$5:$AW$59</definedName>
    <definedName name="Linking_Range_56">OrgRev!$A$5:$AW$34</definedName>
    <definedName name="Linking_Range_57">OrgRev!$A$5:$AQ$25</definedName>
    <definedName name="Linking_Range_58">RevBuild!$A$63:$AQ$78</definedName>
    <definedName name="Linking_Range_59">RevBuild!$A$70:$AQ$78</definedName>
    <definedName name="Linking_Range_61">RevBuild!$A$5:$BO$59</definedName>
    <definedName name="Linking_Range_62">BS!$A$6:$BC$46</definedName>
    <definedName name="Linking_Range_63">CF!$A$6:$BC$75</definedName>
    <definedName name="Linking_Range_65">IS!$A$8:$BD$147</definedName>
    <definedName name="Linking_Range_66">RevBuild!$A$5:$BC$59</definedName>
    <definedName name="Linking_Range_67">BS!$A$6:$BO$46</definedName>
    <definedName name="Linking_Range_68">CF!$A$6:$BO$75</definedName>
    <definedName name="Linking_Range_69">OrgRev!$A$5:$BC$34</definedName>
    <definedName name="Linking_Range_71">RevBuild!$A$5:$BI$59</definedName>
    <definedName name="Linking_Range_72">BS!$A$6:$BI$46</definedName>
    <definedName name="Linking_Range_73">CF!$A$6:$BI$75</definedName>
    <definedName name="Linking_Range_75">OrgRev!$CO$5:$DB$27</definedName>
    <definedName name="Linking_Range_78">IS!$A$8:$BI$120</definedName>
    <definedName name="Linking_Range_79">RevBuild!$A$5:$BI$69</definedName>
    <definedName name="Linking_Range_80">RevBuild!$A$3:$BI$69</definedName>
    <definedName name="Linking_Range_81">IS!$A$3:$BI$120</definedName>
    <definedName name="Linking_Range_82">OrgRev!$CO$5:$DA$27</definedName>
    <definedName name="Linking_Range_85">RevBuild!$A$5:$BO$61</definedName>
    <definedName name="Linking_Range_88">OrgRev!$CO$5:$DF$27</definedName>
    <definedName name="Linking_Range_89">RevBuild!$A$5:$BO$81</definedName>
    <definedName name="Linking_Range_9">IS!$A$8:$BC$120</definedName>
    <definedName name="Linking_Range_90">OrgRev!$AS$40:$AY$45</definedName>
    <definedName name="Linking_Range_92">IS!$A$8:$BI$35</definedName>
    <definedName name="Linking_Range_93">IS!$A$8:$BO$35</definedName>
    <definedName name="Linking_Range_94">IS!$A$8:$BU$35</definedName>
    <definedName name="Linking_Range_95">RevBuild!$A$5:$BU$59</definedName>
    <definedName name="Linking_Range_96">CF!$A$6:$BU$75</definedName>
    <definedName name="Linking_Range_97">RevBuild!$A$5:$BU$77</definedName>
    <definedName name="Linking_Range_98">OrgRev!$CO$5:$DF$33</definedName>
    <definedName name="Linking_Range_99">IS!$A$8:$BU$120</definedName>
    <definedName name="Linking_Text_1">IS!$AK$16</definedName>
    <definedName name="Linking_Text_2">IS!$AP$8</definedName>
    <definedName name="MacroVersion" localSheetId="7">IndexInformation!$B$1</definedName>
    <definedName name="ModelPrice" localSheetId="0">ImportantDisclosures!$A$14</definedName>
    <definedName name="MonitorCol">1</definedName>
    <definedName name="MonitorRow">1</definedName>
    <definedName name="Multiplier" localSheetId="7">IndexInformation!$B$35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Normalized_Income_Statement">"IS_Annual"</definedName>
    <definedName name="ObjectType">IndexInformation!$B$37</definedName>
    <definedName name="OpExAmortization">0</definedName>
    <definedName name="OpExBeforeDepreciationAmortizationExtraordinariesOther">0</definedName>
    <definedName name="OpExBeforeDepreciationAmortizationExtraordinariesTotal">0</definedName>
    <definedName name="OpExCostOfEquipment">0</definedName>
    <definedName name="OpExDepreciation">0</definedName>
    <definedName name="OpExGeneralAdministrative">0</definedName>
    <definedName name="OpExSellingMarketing">0</definedName>
    <definedName name="OpExTotal">0</definedName>
    <definedName name="OtherExEquityIncome">0</definedName>
    <definedName name="OtherExGainOnSale">0</definedName>
    <definedName name="OtherExInterestIncome">0</definedName>
    <definedName name="OtherExMinorityInterest">0</definedName>
    <definedName name="OtherExTotal">0</definedName>
    <definedName name="PANA" localSheetId="8">ModPubIndex!$A$11</definedName>
    <definedName name="PathName" localSheetId="7">IndexInformation!$B$25</definedName>
    <definedName name="_xlnm.Print_Area" localSheetId="1">IS!$A$1:$CN$243</definedName>
    <definedName name="_xlnm.Print_Area" localSheetId="2">RevBuild!$A$1:$BV$148</definedName>
    <definedName name="_xlnm.Print_Area">[2]CENMODEL!#REF!</definedName>
    <definedName name="PRODUCT" localSheetId="8">ModPubIndex!$A$6</definedName>
    <definedName name="ProjectName">{"Client Name or Project Name"}</definedName>
    <definedName name="ProjectName_1">{"Client Name or Project Name"}</definedName>
    <definedName name="ProjectName_2">{"Client Name or Project Name"}</definedName>
    <definedName name="PSYM" localSheetId="8">ModPubIndex!$A$4</definedName>
    <definedName name="PublishDate" localSheetId="7">IndexInformation!$B$2</definedName>
    <definedName name="Rating" localSheetId="7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7">IndexInformation!$B$4</definedName>
    <definedName name="RevenuesCellularEquipment">0</definedName>
    <definedName name="RevenuesCellularOther">0</definedName>
    <definedName name="RevenuesCellularService">0</definedName>
    <definedName name="RevenuesCellularTotal">0</definedName>
    <definedName name="RevenuesPagingEquipment">0</definedName>
    <definedName name="RevenuesPagingOther">0</definedName>
    <definedName name="RevenuesPagingService">0</definedName>
    <definedName name="RevenuesPagingTotal">0</definedName>
    <definedName name="RevenuesWirelessEquipment">0</definedName>
    <definedName name="RevenuesWirelessOther">0</definedName>
    <definedName name="RevenuesWirelessService">0</definedName>
    <definedName name="RIC" localSheetId="7">IndexInformation!$B$21</definedName>
    <definedName name="SECSettlement" localSheetId="0">ImportantDisclosures!#REF!</definedName>
    <definedName name="SEDOL" localSheetId="7">IndexInformation!$B$22</definedName>
    <definedName name="SharesConvertibleSecurities">0</definedName>
    <definedName name="SharesFullyDiluted">0</definedName>
    <definedName name="SharesOptions">0</definedName>
    <definedName name="SharesOutstandingLatestDate">0</definedName>
    <definedName name="SharesOutstandingOther">0</definedName>
    <definedName name="SharesOutstandingSenior">0</definedName>
    <definedName name="SharesOutstandingSubordinate">0</definedName>
    <definedName name="SharesPrimary">0</definedName>
    <definedName name="SharesWarrants">0</definedName>
    <definedName name="SourceDefined" localSheetId="0">ImportantDisclosures!$A$19</definedName>
    <definedName name="StatsAccessLinesDomesticInternationalTotalAverage">0</definedName>
    <definedName name="StatsAccessLinesTotalAverage">0</definedName>
    <definedName name="StatsAverageMonthlyRevenue">0</definedName>
    <definedName name="StatsEmployeesConsolidatedInternational">0</definedName>
    <definedName name="StatsEmployeesTelephoneInternational">0</definedName>
    <definedName name="StatsPagingAverageMonthlyRevenue">0</definedName>
    <definedName name="StatsPagingSubscribers">0</definedName>
    <definedName name="StatsPenetration">0</definedName>
    <definedName name="StatsPOPS">0</definedName>
    <definedName name="StatsProportionatePenetration">0</definedName>
    <definedName name="StatsProportionatePOPS">0</definedName>
    <definedName name="StatsProportionateSubscribersAverage">0</definedName>
    <definedName name="StatsProportionateSubscribersBeginning">0</definedName>
    <definedName name="StatsProportionateSubscribersEnding">0</definedName>
    <definedName name="StatsProportionateSubscribersNetAdds">0</definedName>
    <definedName name="StatsSubscribersAverage">0</definedName>
    <definedName name="StatsSubscribersBeginning">0</definedName>
    <definedName name="StatsSubscribersEnding">0</definedName>
    <definedName name="StatsSubscribersNetAdds">0</definedName>
    <definedName name="StockRating" localSheetId="0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0">ImportantDisclosures!$A$15</definedName>
    <definedName name="tax_benefit_rate">0.34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7">IndexInformation!$B$19</definedName>
    <definedName name="UpdateReason" localSheetId="7">IndexInformation!$B$17</definedName>
    <definedName name="USRegDisclosures" localSheetId="0">ImportantDisclosures!#REF!</definedName>
    <definedName name="ValuationAdjustmentsOther">0</definedName>
    <definedName name="ValuationAdjustmentsValue">0</definedName>
    <definedName name="ValuationCellularValue">0</definedName>
    <definedName name="ValuationDebtAdjustment">0</definedName>
    <definedName name="ValuationDebtNet">0</definedName>
    <definedName name="ValuationDebtTotal">0</definedName>
    <definedName name="ValuationFirmValue">0</definedName>
    <definedName name="ValuationInvestments">0</definedName>
    <definedName name="ValuationMarketCapitalization">0</definedName>
    <definedName name="ValuationOtherValue">0</definedName>
    <definedName name="ValuationPagingValue">0</definedName>
    <definedName name="ValuationTelephoneValue">0</definedName>
    <definedName name="ValuationWirelessValue">0</definedName>
  </definedNames>
  <calcPr calcId="145621"/>
</workbook>
</file>

<file path=xl/calcChain.xml><?xml version="1.0" encoding="utf-8"?>
<calcChain xmlns="http://schemas.openxmlformats.org/spreadsheetml/2006/main">
  <c r="BT101" i="5" l="1"/>
  <c r="BS101" i="5"/>
  <c r="BR101" i="5"/>
  <c r="BT84" i="5"/>
  <c r="BS84" i="5"/>
  <c r="BT86" i="5"/>
  <c r="BS86" i="5"/>
  <c r="BT88" i="5"/>
  <c r="BS88" i="5"/>
  <c r="BR88" i="5"/>
  <c r="BR86" i="5"/>
  <c r="BR84" i="5"/>
  <c r="BT103" i="5"/>
  <c r="BS103" i="5"/>
  <c r="BT105" i="5"/>
  <c r="BS105" i="5"/>
  <c r="BR105" i="5"/>
  <c r="BR103" i="5"/>
  <c r="BT67" i="5"/>
  <c r="BS67" i="5"/>
  <c r="BT69" i="5"/>
  <c r="BS69" i="5"/>
  <c r="BT71" i="5"/>
  <c r="BS71" i="5"/>
  <c r="BR71" i="5"/>
  <c r="BR69" i="5"/>
  <c r="BR67" i="5"/>
  <c r="O72" i="7" l="1"/>
  <c r="M64" i="7"/>
  <c r="S64" i="7"/>
  <c r="Y64" i="7"/>
  <c r="AE64" i="7"/>
  <c r="AK67" i="7"/>
  <c r="AK66" i="7"/>
  <c r="AK65" i="7"/>
  <c r="AK64" i="7"/>
  <c r="AK62" i="7"/>
  <c r="L72" i="7"/>
  <c r="K72" i="7"/>
  <c r="M72" i="7"/>
  <c r="R72" i="7"/>
  <c r="Q72" i="7"/>
  <c r="P72" i="7"/>
  <c r="S72" i="7"/>
  <c r="AE72" i="7" l="1"/>
  <c r="AK72" i="7"/>
  <c r="X72" i="7"/>
  <c r="W72" i="7"/>
  <c r="V72" i="7"/>
  <c r="U72" i="7"/>
  <c r="Y72" i="7" s="1"/>
  <c r="AD70" i="7"/>
  <c r="AC70" i="7"/>
  <c r="AB70" i="7"/>
  <c r="AD72" i="7"/>
  <c r="AC72" i="7"/>
  <c r="AB72" i="7"/>
  <c r="AJ75" i="7"/>
  <c r="AI75" i="7"/>
  <c r="AH75" i="7"/>
  <c r="AG75" i="7"/>
  <c r="AJ74" i="7"/>
  <c r="AI74" i="7"/>
  <c r="AH74" i="7"/>
  <c r="AG74" i="7"/>
  <c r="AJ73" i="7"/>
  <c r="AI73" i="7"/>
  <c r="AH73" i="7"/>
  <c r="AG73" i="7"/>
  <c r="AJ72" i="7"/>
  <c r="AI72" i="7"/>
  <c r="AH72" i="7"/>
  <c r="AG72" i="7"/>
  <c r="AJ71" i="7"/>
  <c r="AI71" i="7"/>
  <c r="AH71" i="7"/>
  <c r="AG71" i="7"/>
  <c r="AJ70" i="7"/>
  <c r="AI70" i="7"/>
  <c r="AH70" i="7"/>
  <c r="AG70" i="7"/>
  <c r="AM75" i="7"/>
  <c r="AM74" i="7"/>
  <c r="AM73" i="7"/>
  <c r="AM72" i="7"/>
  <c r="AM71" i="7"/>
  <c r="AM70" i="7"/>
  <c r="AC64" i="7"/>
  <c r="AA72" i="7"/>
  <c r="BW84" i="5" l="1"/>
  <c r="BW86" i="5"/>
  <c r="BW88" i="5"/>
  <c r="BZ71" i="5" l="1"/>
  <c r="CF71" i="5" s="1"/>
  <c r="CL71" i="5" s="1"/>
  <c r="BY71" i="5"/>
  <c r="CE71" i="5" s="1"/>
  <c r="CK71" i="5" s="1"/>
  <c r="BX71" i="5"/>
  <c r="CD71" i="5" s="1"/>
  <c r="CJ71" i="5" s="1"/>
  <c r="BZ69" i="5"/>
  <c r="CF69" i="5" s="1"/>
  <c r="CL69" i="5" s="1"/>
  <c r="BY69" i="5"/>
  <c r="CE69" i="5" s="1"/>
  <c r="CK69" i="5" s="1"/>
  <c r="BX69" i="5"/>
  <c r="CD69" i="5" s="1"/>
  <c r="CJ69" i="5" s="1"/>
  <c r="BZ67" i="5"/>
  <c r="CF67" i="5" s="1"/>
  <c r="CL67" i="5" s="1"/>
  <c r="BY67" i="5"/>
  <c r="CE67" i="5" s="1"/>
  <c r="CK67" i="5" s="1"/>
  <c r="BX67" i="5"/>
  <c r="CD67" i="5" s="1"/>
  <c r="CJ67" i="5" s="1"/>
  <c r="BW71" i="5"/>
  <c r="CC71" i="5" s="1"/>
  <c r="CI71" i="5" s="1"/>
  <c r="BW69" i="5"/>
  <c r="CC69" i="5" s="1"/>
  <c r="CI69" i="5" s="1"/>
  <c r="BW67" i="5"/>
  <c r="CC67" i="5" s="1"/>
  <c r="CI67" i="5" s="1"/>
  <c r="BZ88" i="5"/>
  <c r="BY88" i="5"/>
  <c r="BZ86" i="5"/>
  <c r="BY86" i="5"/>
  <c r="BZ84" i="5"/>
  <c r="BY84" i="5"/>
  <c r="BQ101" i="5" l="1"/>
  <c r="BW101" i="5" s="1"/>
  <c r="BQ103" i="5"/>
  <c r="BW103" i="5" s="1"/>
  <c r="BQ105" i="5"/>
  <c r="BW105" i="5" s="1"/>
  <c r="BQ133" i="5" l="1"/>
  <c r="BQ131" i="5"/>
  <c r="BQ166" i="10" l="1"/>
  <c r="BQ165" i="10"/>
  <c r="BQ164" i="10"/>
  <c r="BQ167" i="10" s="1"/>
  <c r="BQ161" i="10"/>
  <c r="BQ160" i="10"/>
  <c r="BQ159" i="10"/>
  <c r="BQ158" i="10"/>
  <c r="BQ157" i="10"/>
  <c r="BQ156" i="10"/>
  <c r="BQ162" i="10" s="1"/>
  <c r="BQ145" i="10"/>
  <c r="BQ142" i="10"/>
  <c r="BQ139" i="10"/>
  <c r="BQ136" i="10"/>
  <c r="BQ125" i="10"/>
  <c r="BQ119" i="10"/>
  <c r="BQ115" i="10"/>
  <c r="BQ107" i="10"/>
  <c r="BQ101" i="10"/>
  <c r="BQ106" i="10"/>
  <c r="BQ94" i="10"/>
  <c r="BQ52" i="10"/>
  <c r="BQ50" i="10"/>
  <c r="BS44" i="13"/>
  <c r="BS45" i="13" s="1"/>
  <c r="BS43" i="13"/>
  <c r="BS41" i="13"/>
  <c r="BS35" i="13"/>
  <c r="BS34" i="13"/>
  <c r="BS33" i="13"/>
  <c r="BS32" i="13"/>
  <c r="BS31" i="13"/>
  <c r="BS30" i="13"/>
  <c r="BS29" i="13"/>
  <c r="BS28" i="13"/>
  <c r="BS27" i="13"/>
  <c r="BS26" i="13"/>
  <c r="BS21" i="13"/>
  <c r="BQ188" i="10"/>
  <c r="BQ187" i="10"/>
  <c r="BQ189" i="10" s="1"/>
  <c r="BQ107" i="11"/>
  <c r="BQ106" i="11" s="1"/>
  <c r="BQ108" i="11"/>
  <c r="BQ57" i="11"/>
  <c r="BQ30" i="11"/>
  <c r="BQ47" i="11"/>
  <c r="BQ11" i="11"/>
  <c r="BQ114" i="5"/>
  <c r="BQ115" i="5"/>
  <c r="BQ36" i="5"/>
  <c r="BN36" i="5"/>
  <c r="BS36" i="13" l="1"/>
  <c r="BQ169" i="10"/>
  <c r="BQ143" i="10"/>
  <c r="BQ51" i="10"/>
  <c r="M38" i="7"/>
  <c r="L38" i="7"/>
  <c r="K38" i="7"/>
  <c r="M21" i="7" l="1"/>
  <c r="L21" i="7"/>
  <c r="K21" i="7"/>
  <c r="J21" i="7"/>
  <c r="I21" i="7"/>
  <c r="I38" i="7" s="1"/>
  <c r="G21" i="7"/>
  <c r="F21" i="7"/>
  <c r="E21" i="7"/>
  <c r="D21" i="7"/>
  <c r="C21" i="7"/>
  <c r="J38" i="7" l="1"/>
  <c r="BQ59" i="7"/>
  <c r="BQ58" i="7"/>
  <c r="BQ57" i="7"/>
  <c r="BQ56" i="7"/>
  <c r="BQ55" i="7"/>
  <c r="BN59" i="7"/>
  <c r="BM59" i="7"/>
  <c r="BL59" i="7"/>
  <c r="BK59" i="7"/>
  <c r="BN58" i="7"/>
  <c r="BM58" i="7"/>
  <c r="BL58" i="7"/>
  <c r="BK58" i="7"/>
  <c r="BN57" i="7"/>
  <c r="BM57" i="7"/>
  <c r="BL57" i="7"/>
  <c r="BK57" i="7"/>
  <c r="BN56" i="7"/>
  <c r="BM56" i="7"/>
  <c r="BL56" i="7"/>
  <c r="BK56" i="7"/>
  <c r="BN55" i="7"/>
  <c r="BM55" i="7"/>
  <c r="BL55" i="7"/>
  <c r="BK55" i="7"/>
  <c r="BH59" i="7"/>
  <c r="BE59" i="7"/>
  <c r="BH58" i="7"/>
  <c r="BH57" i="7"/>
  <c r="BE57" i="7"/>
  <c r="BH56" i="7"/>
  <c r="BH55" i="7"/>
  <c r="BE55" i="7"/>
  <c r="BB57" i="7"/>
  <c r="AY57" i="7"/>
  <c r="BB55" i="7"/>
  <c r="AY55" i="7"/>
  <c r="AV57" i="7"/>
  <c r="AU57" i="7"/>
  <c r="AT57" i="7"/>
  <c r="AS57" i="7"/>
  <c r="AV55" i="7"/>
  <c r="AU55" i="7"/>
  <c r="AT55" i="7"/>
  <c r="AS55" i="7"/>
  <c r="AP58" i="7"/>
  <c r="AO58" i="7"/>
  <c r="AN58" i="7"/>
  <c r="AP57" i="7"/>
  <c r="AO57" i="7"/>
  <c r="AN57" i="7"/>
  <c r="AP56" i="7"/>
  <c r="AO56" i="7"/>
  <c r="AN56" i="7"/>
  <c r="AP55" i="7"/>
  <c r="AO55" i="7"/>
  <c r="AN55" i="7"/>
  <c r="AM56" i="7"/>
  <c r="AM57" i="7"/>
  <c r="AM58" i="7"/>
  <c r="AM55" i="7"/>
  <c r="BQ52" i="6" l="1"/>
  <c r="BQ236" i="5" l="1"/>
  <c r="BQ75" i="7" l="1"/>
  <c r="BQ70" i="7"/>
  <c r="BQ71" i="7"/>
  <c r="BQ74" i="7"/>
  <c r="BQ73" i="7"/>
  <c r="BQ72" i="7"/>
  <c r="BN75" i="7"/>
  <c r="BN74" i="7"/>
  <c r="BN73" i="7"/>
  <c r="BN72" i="7"/>
  <c r="BN71" i="7"/>
  <c r="BN70" i="7"/>
  <c r="BQ43" i="6"/>
  <c r="BX88" i="5" l="1"/>
  <c r="BX86" i="5"/>
  <c r="BX84" i="5"/>
  <c r="BN236" i="5" l="1"/>
  <c r="BM236" i="5"/>
  <c r="BL236" i="5"/>
  <c r="BR54" i="6" l="1"/>
  <c r="BR50" i="6" l="1"/>
  <c r="BR43" i="6"/>
  <c r="BN43" i="6"/>
  <c r="BN41" i="6"/>
  <c r="BQ54" i="6"/>
  <c r="BQ50" i="6"/>
  <c r="BQ41" i="6"/>
  <c r="DN49" i="7" l="1"/>
  <c r="DN48" i="7"/>
  <c r="DN47" i="7"/>
  <c r="DN46" i="7"/>
  <c r="DN45" i="7"/>
  <c r="DN44" i="7"/>
  <c r="BN107" i="10" l="1"/>
  <c r="BM93" i="11"/>
  <c r="BP41" i="13" l="1"/>
  <c r="BP35" i="13"/>
  <c r="BP34" i="13"/>
  <c r="BP33" i="13"/>
  <c r="BP32" i="13"/>
  <c r="BP31" i="13"/>
  <c r="BP30" i="13"/>
  <c r="BP29" i="13"/>
  <c r="BP28" i="13"/>
  <c r="BP27" i="13"/>
  <c r="BP26" i="13"/>
  <c r="BP44" i="13"/>
  <c r="BP21" i="13"/>
  <c r="BP36" i="13" l="1"/>
  <c r="BN145" i="10"/>
  <c r="BN142" i="10"/>
  <c r="BQ144" i="10" s="1"/>
  <c r="BN139" i="10"/>
  <c r="BN136" i="10"/>
  <c r="BO136" i="10" s="1"/>
  <c r="BN125" i="10"/>
  <c r="BO123" i="10"/>
  <c r="BN119" i="10"/>
  <c r="BN95" i="10"/>
  <c r="BN92" i="10"/>
  <c r="BN52" i="10"/>
  <c r="BN50" i="10"/>
  <c r="BO142" i="10" l="1"/>
  <c r="BN143" i="10"/>
  <c r="BN51" i="10"/>
  <c r="BO67" i="7" l="1"/>
  <c r="BO66" i="7"/>
  <c r="BO65" i="7"/>
  <c r="BO64" i="7"/>
  <c r="BO63" i="7"/>
  <c r="BO62" i="7"/>
  <c r="BO52" i="7"/>
  <c r="BO51" i="7"/>
  <c r="BO50" i="7"/>
  <c r="BO49" i="7"/>
  <c r="BO48" i="7"/>
  <c r="BO45" i="7"/>
  <c r="BO44" i="7"/>
  <c r="BO43" i="7"/>
  <c r="BO42" i="7"/>
  <c r="BO41" i="7"/>
  <c r="BN145" i="6" l="1"/>
  <c r="BN146" i="6"/>
  <c r="BN147" i="6"/>
  <c r="BN50" i="6"/>
  <c r="BN105" i="5"/>
  <c r="BN103" i="5"/>
  <c r="BN101" i="5"/>
  <c r="BN102" i="5" l="1"/>
  <c r="BN100" i="5"/>
  <c r="BN104" i="5"/>
  <c r="BZ101" i="5" l="1"/>
  <c r="BZ103" i="5"/>
  <c r="CF103" i="5" s="1"/>
  <c r="CL103" i="5" s="1"/>
  <c r="BZ105" i="5"/>
  <c r="CF105" i="5" l="1"/>
  <c r="CF101" i="5"/>
  <c r="CL101" i="5" s="1"/>
  <c r="BI52" i="7" l="1"/>
  <c r="BI51" i="7"/>
  <c r="BO58" i="7" s="1"/>
  <c r="BI50" i="7"/>
  <c r="BI49" i="7"/>
  <c r="BO56" i="7" s="1"/>
  <c r="BI48" i="7"/>
  <c r="BI42" i="7"/>
  <c r="BI43" i="7"/>
  <c r="BI44" i="7"/>
  <c r="BI41" i="7"/>
  <c r="BC42" i="7"/>
  <c r="BC43" i="7"/>
  <c r="BC44" i="7"/>
  <c r="BC41" i="7"/>
  <c r="AW50" i="7"/>
  <c r="AW48" i="7"/>
  <c r="AW44" i="7"/>
  <c r="AW43" i="7"/>
  <c r="AW42" i="7"/>
  <c r="AW41" i="7"/>
  <c r="AQ51" i="7"/>
  <c r="AQ50" i="7"/>
  <c r="AQ49" i="7"/>
  <c r="AQ48" i="7"/>
  <c r="AQ44" i="7"/>
  <c r="AQ43" i="7"/>
  <c r="AQ42" i="7"/>
  <c r="AQ41" i="7"/>
  <c r="AK51" i="7"/>
  <c r="AK50" i="7"/>
  <c r="AK49" i="7"/>
  <c r="AK48" i="7"/>
  <c r="AK42" i="7"/>
  <c r="AK43" i="7"/>
  <c r="AK44" i="7"/>
  <c r="AK41" i="7"/>
  <c r="AE49" i="7"/>
  <c r="AE48" i="7"/>
  <c r="AE42" i="7"/>
  <c r="AE41" i="7"/>
  <c r="AQ56" i="7" l="1"/>
  <c r="AW57" i="7"/>
  <c r="BO55" i="7"/>
  <c r="BO59" i="7"/>
  <c r="AQ58" i="7"/>
  <c r="AQ57" i="7"/>
  <c r="AQ55" i="7"/>
  <c r="AW55" i="7"/>
  <c r="BO57" i="7"/>
  <c r="BM204" i="10"/>
  <c r="BL204" i="10"/>
  <c r="BK204" i="10"/>
  <c r="BH204" i="10"/>
  <c r="BG204" i="10"/>
  <c r="BF204" i="10"/>
  <c r="BE204" i="10"/>
  <c r="BB204" i="10"/>
  <c r="BA204" i="10"/>
  <c r="AZ204" i="10"/>
  <c r="AY204" i="10"/>
  <c r="AV204" i="10"/>
  <c r="AS204" i="10"/>
  <c r="AP204" i="10"/>
  <c r="AJ204" i="10"/>
  <c r="BM207" i="10" l="1"/>
  <c r="BL207" i="10"/>
  <c r="BK207" i="10"/>
  <c r="BH207" i="10"/>
  <c r="BG207" i="10"/>
  <c r="BF207" i="10"/>
  <c r="BE207" i="10"/>
  <c r="BB207" i="10"/>
  <c r="BA207" i="10"/>
  <c r="AZ207" i="10"/>
  <c r="AY207" i="10"/>
  <c r="AV207" i="10"/>
  <c r="AS207" i="10"/>
  <c r="AP207" i="10"/>
  <c r="AO207" i="10"/>
  <c r="AN207" i="10"/>
  <c r="AM207" i="10"/>
  <c r="AJ207" i="10"/>
  <c r="AI207" i="10"/>
  <c r="AH207" i="10"/>
  <c r="AG207" i="10"/>
  <c r="AD207" i="10"/>
  <c r="AC207" i="10"/>
  <c r="AB207" i="10"/>
  <c r="AA207" i="10"/>
  <c r="X207" i="10"/>
  <c r="W207" i="10"/>
  <c r="V207" i="10"/>
  <c r="U207" i="10"/>
  <c r="R207" i="10"/>
  <c r="Q207" i="10"/>
  <c r="P207" i="10"/>
  <c r="O207" i="10"/>
  <c r="L207" i="10"/>
  <c r="K207" i="10"/>
  <c r="J207" i="10"/>
  <c r="I207" i="10"/>
  <c r="F207" i="10"/>
  <c r="E207" i="10"/>
  <c r="D207" i="10"/>
  <c r="C207" i="10"/>
  <c r="BH214" i="10" l="1"/>
  <c r="BG214" i="10"/>
  <c r="BF214" i="10"/>
  <c r="BE214" i="10"/>
  <c r="BH212" i="10"/>
  <c r="BG212" i="10"/>
  <c r="BF212" i="10"/>
  <c r="BE212" i="10"/>
  <c r="BH208" i="10"/>
  <c r="BG208" i="10"/>
  <c r="BF208" i="10"/>
  <c r="BE208" i="10"/>
  <c r="BB214" i="10"/>
  <c r="BA214" i="10"/>
  <c r="AZ214" i="10"/>
  <c r="AY214" i="10"/>
  <c r="BB212" i="10"/>
  <c r="BA212" i="10"/>
  <c r="AZ212" i="10"/>
  <c r="AY212" i="10"/>
  <c r="BB208" i="10"/>
  <c r="BA208" i="10"/>
  <c r="AZ208" i="10"/>
  <c r="AY208" i="10"/>
  <c r="AV214" i="10"/>
  <c r="AS214" i="10"/>
  <c r="AV212" i="10"/>
  <c r="AS212" i="10"/>
  <c r="AV208" i="10"/>
  <c r="AS208" i="10"/>
  <c r="AP214" i="10"/>
  <c r="AP212" i="10"/>
  <c r="AO212" i="10"/>
  <c r="AN212" i="10"/>
  <c r="AM212" i="10"/>
  <c r="AP208" i="10"/>
  <c r="AO208" i="10"/>
  <c r="AN208" i="10"/>
  <c r="AM208" i="10"/>
  <c r="AJ214" i="10"/>
  <c r="AJ212" i="10"/>
  <c r="AI212" i="10"/>
  <c r="AH212" i="10"/>
  <c r="AG212" i="10"/>
  <c r="AJ208" i="10"/>
  <c r="AI208" i="10"/>
  <c r="AH208" i="10"/>
  <c r="AG208" i="10"/>
  <c r="AD212" i="10"/>
  <c r="AC212" i="10"/>
  <c r="AB212" i="10"/>
  <c r="AA212" i="10"/>
  <c r="AD208" i="10"/>
  <c r="AC208" i="10"/>
  <c r="AB208" i="10"/>
  <c r="AA208" i="10"/>
  <c r="X212" i="10"/>
  <c r="W212" i="10"/>
  <c r="V212" i="10"/>
  <c r="U212" i="10"/>
  <c r="X208" i="10"/>
  <c r="W208" i="10"/>
  <c r="V208" i="10"/>
  <c r="U208" i="10"/>
  <c r="Q214" i="10"/>
  <c r="P214" i="10"/>
  <c r="O214" i="10"/>
  <c r="R212" i="10"/>
  <c r="Q212" i="10"/>
  <c r="P212" i="10"/>
  <c r="O212" i="10"/>
  <c r="R208" i="10"/>
  <c r="Q208" i="10"/>
  <c r="P208" i="10"/>
  <c r="O208" i="10"/>
  <c r="K214" i="10"/>
  <c r="J214" i="10"/>
  <c r="I214" i="10"/>
  <c r="L212" i="10"/>
  <c r="K212" i="10"/>
  <c r="J212" i="10"/>
  <c r="I212" i="10"/>
  <c r="L208" i="10"/>
  <c r="K208" i="10"/>
  <c r="J208" i="10"/>
  <c r="I208" i="10"/>
  <c r="F214" i="10"/>
  <c r="E214" i="10"/>
  <c r="D214" i="10"/>
  <c r="C214" i="10"/>
  <c r="F212" i="10"/>
  <c r="E212" i="10"/>
  <c r="D212" i="10"/>
  <c r="C212" i="10"/>
  <c r="F208" i="10"/>
  <c r="E208" i="10"/>
  <c r="D208" i="10"/>
  <c r="C208" i="10"/>
  <c r="BL214" i="10"/>
  <c r="BK214" i="10"/>
  <c r="BL212" i="10"/>
  <c r="BK212" i="10"/>
  <c r="BL208" i="10"/>
  <c r="BK208" i="10"/>
  <c r="BM214" i="10"/>
  <c r="BM212" i="10"/>
  <c r="BM208" i="10"/>
  <c r="DM49" i="7" l="1"/>
  <c r="DM48" i="7"/>
  <c r="DM47" i="7"/>
  <c r="DM46" i="7"/>
  <c r="DM45" i="7"/>
  <c r="DM44" i="7"/>
  <c r="AW94" i="7" l="1"/>
  <c r="AT94" i="7"/>
  <c r="AS94" i="7"/>
  <c r="AW93" i="7"/>
  <c r="AT93" i="7"/>
  <c r="AS93" i="7"/>
  <c r="AW92" i="7"/>
  <c r="AT92" i="7"/>
  <c r="AS92" i="7"/>
  <c r="AQ94" i="7"/>
  <c r="AQ107" i="7" s="1"/>
  <c r="AP94" i="7"/>
  <c r="AP107" i="7" s="1"/>
  <c r="AO94" i="7"/>
  <c r="AO107" i="7" s="1"/>
  <c r="AN94" i="7"/>
  <c r="AQ93" i="7"/>
  <c r="AP93" i="7"/>
  <c r="AP106" i="7" s="1"/>
  <c r="AO93" i="7"/>
  <c r="AO106" i="7" s="1"/>
  <c r="AN93" i="7"/>
  <c r="AT106" i="7" s="1"/>
  <c r="AQ92" i="7"/>
  <c r="AQ105" i="7" s="1"/>
  <c r="AP92" i="7"/>
  <c r="AP105" i="7" s="1"/>
  <c r="AO92" i="7"/>
  <c r="AO105" i="7" s="1"/>
  <c r="AN92" i="7"/>
  <c r="AM94" i="7"/>
  <c r="AM93" i="7"/>
  <c r="AM92" i="7"/>
  <c r="AS105" i="7" l="1"/>
  <c r="AS106" i="7"/>
  <c r="AS107" i="7"/>
  <c r="AW106" i="7"/>
  <c r="AT105" i="7"/>
  <c r="AT107" i="7"/>
  <c r="AW107" i="7"/>
  <c r="AM107" i="7"/>
  <c r="AW105" i="7"/>
  <c r="AM105" i="7"/>
  <c r="AN106" i="7"/>
  <c r="AN105" i="7"/>
  <c r="AM106" i="7"/>
  <c r="AQ106" i="7"/>
  <c r="AN107" i="7"/>
  <c r="BS50" i="6" l="1"/>
  <c r="DO25" i="7" l="1"/>
  <c r="DP25" i="7"/>
  <c r="DQ25" i="7"/>
  <c r="BK136" i="10" l="1"/>
  <c r="BL136" i="10"/>
  <c r="BM135" i="10" s="1"/>
  <c r="BM136" i="10"/>
  <c r="BN135" i="10" s="1"/>
  <c r="BN137" i="10" s="1"/>
  <c r="BN138" i="10" s="1"/>
  <c r="BM137" i="10" l="1"/>
  <c r="BL135" i="10"/>
  <c r="BL137" i="10" s="1"/>
  <c r="BO44" i="13" l="1"/>
  <c r="BO43" i="13"/>
  <c r="BO41" i="13"/>
  <c r="BO35" i="13"/>
  <c r="BO34" i="13"/>
  <c r="BO33" i="13"/>
  <c r="BO32" i="13"/>
  <c r="BO31" i="13"/>
  <c r="BO30" i="13"/>
  <c r="BO29" i="13"/>
  <c r="BO28" i="13"/>
  <c r="BO27" i="13"/>
  <c r="BO26" i="13"/>
  <c r="BO21" i="13"/>
  <c r="BP37" i="13" s="1"/>
  <c r="BM145" i="10"/>
  <c r="BM142" i="10"/>
  <c r="BN144" i="10" s="1"/>
  <c r="BM139" i="10"/>
  <c r="BM125" i="10"/>
  <c r="BN122" i="10" s="1"/>
  <c r="BN124" i="10" s="1"/>
  <c r="BM119" i="10"/>
  <c r="BN114" i="10" s="1"/>
  <c r="BM107" i="10"/>
  <c r="BN100" i="10" s="1"/>
  <c r="BM95" i="10"/>
  <c r="BM92" i="10"/>
  <c r="BM52" i="10"/>
  <c r="BM50" i="10"/>
  <c r="BM202" i="10" s="1"/>
  <c r="BM36" i="5"/>
  <c r="BM18" i="5"/>
  <c r="BM123" i="5" s="1"/>
  <c r="BM17" i="5"/>
  <c r="BM115" i="5"/>
  <c r="BM114" i="5"/>
  <c r="BO45" i="13" l="1"/>
  <c r="BM143" i="10"/>
  <c r="BO36" i="13"/>
  <c r="BM51" i="10"/>
  <c r="CJ107" i="11" l="1"/>
  <c r="CK107" i="11" s="1"/>
  <c r="CL107" i="11" s="1"/>
  <c r="CL93" i="11"/>
  <c r="CK93" i="11"/>
  <c r="CJ93" i="11"/>
  <c r="CI93" i="11"/>
  <c r="CM70" i="11"/>
  <c r="CM69" i="11"/>
  <c r="CM65" i="11"/>
  <c r="CM63" i="11"/>
  <c r="CM61" i="11"/>
  <c r="CM60" i="11"/>
  <c r="CM59" i="11"/>
  <c r="CM58" i="11"/>
  <c r="CM57" i="11"/>
  <c r="CM56" i="11"/>
  <c r="CM55" i="11"/>
  <c r="CJ53" i="11"/>
  <c r="CI53" i="11"/>
  <c r="CM48" i="11"/>
  <c r="CM46" i="11"/>
  <c r="CM45" i="11"/>
  <c r="CM44" i="11"/>
  <c r="CM43" i="11"/>
  <c r="CM42" i="11"/>
  <c r="CM41" i="11"/>
  <c r="CM40" i="11"/>
  <c r="CM39" i="11"/>
  <c r="CM38" i="11"/>
  <c r="CM37" i="11"/>
  <c r="CM32" i="11"/>
  <c r="CM29" i="11"/>
  <c r="CJ22" i="11"/>
  <c r="CK22" i="11" s="1"/>
  <c r="CL22" i="11" s="1"/>
  <c r="CM21" i="11"/>
  <c r="CM20" i="11"/>
  <c r="CM19" i="11"/>
  <c r="CM18" i="11"/>
  <c r="CM17" i="11"/>
  <c r="CM16" i="11"/>
  <c r="CM15" i="11"/>
  <c r="CM14" i="11"/>
  <c r="CL10" i="11"/>
  <c r="CK10" i="11"/>
  <c r="CJ10" i="11"/>
  <c r="CI10" i="11"/>
  <c r="CM9" i="11"/>
  <c r="CM6" i="11"/>
  <c r="CM236" i="5"/>
  <c r="CM235" i="5"/>
  <c r="CM234" i="5"/>
  <c r="CM233" i="5"/>
  <c r="CM232" i="5"/>
  <c r="CI226" i="5"/>
  <c r="CI196" i="10" s="1"/>
  <c r="CI219" i="5"/>
  <c r="CI152" i="10" s="1"/>
  <c r="CM135" i="5"/>
  <c r="CM128" i="5"/>
  <c r="CJ116" i="5"/>
  <c r="CM115" i="5"/>
  <c r="CL115" i="5"/>
  <c r="CK115" i="5"/>
  <c r="CJ115" i="5"/>
  <c r="CI115" i="5"/>
  <c r="CM114" i="5"/>
  <c r="CL114" i="5"/>
  <c r="CK114" i="5"/>
  <c r="CJ114" i="5"/>
  <c r="CI114" i="5"/>
  <c r="CM27" i="5"/>
  <c r="CM23" i="5"/>
  <c r="CM22" i="5"/>
  <c r="CM7" i="5"/>
  <c r="CM8" i="5" s="1"/>
  <c r="CL51" i="6"/>
  <c r="CI51" i="6"/>
  <c r="CK55" i="6"/>
  <c r="CK52" i="6" s="1"/>
  <c r="CJ55" i="6"/>
  <c r="CJ52" i="6" s="1"/>
  <c r="CI55" i="6"/>
  <c r="CI52" i="6" s="1"/>
  <c r="CK51" i="6"/>
  <c r="CJ51" i="6"/>
  <c r="CK44" i="6"/>
  <c r="CK41" i="6" s="1"/>
  <c r="CJ44" i="6"/>
  <c r="CJ41" i="6" s="1"/>
  <c r="CI5" i="6"/>
  <c r="CM5" i="6" s="1"/>
  <c r="CK23" i="7"/>
  <c r="CJ23" i="7"/>
  <c r="CL16" i="7"/>
  <c r="CK16" i="7"/>
  <c r="CJ16" i="7"/>
  <c r="CI16" i="7"/>
  <c r="CL15" i="7"/>
  <c r="CK15" i="7"/>
  <c r="CJ15" i="7"/>
  <c r="CI15" i="7"/>
  <c r="CL14" i="7"/>
  <c r="CK14" i="7"/>
  <c r="CJ14" i="7"/>
  <c r="CI14" i="7"/>
  <c r="CL13" i="7"/>
  <c r="CK13" i="7"/>
  <c r="CJ13" i="7"/>
  <c r="CI13" i="7"/>
  <c r="CL11" i="7"/>
  <c r="CK11" i="7"/>
  <c r="CJ11" i="7"/>
  <c r="CI11" i="7"/>
  <c r="CM124" i="10"/>
  <c r="CL123" i="10"/>
  <c r="CK123" i="10"/>
  <c r="CJ123" i="10"/>
  <c r="CI123" i="10"/>
  <c r="CM118" i="10"/>
  <c r="CL115" i="10"/>
  <c r="CK115" i="10"/>
  <c r="CJ115" i="10"/>
  <c r="CI115" i="10"/>
  <c r="CJ106" i="10"/>
  <c r="CK106" i="10" s="1"/>
  <c r="CL104" i="10"/>
  <c r="CK104" i="10"/>
  <c r="CJ104" i="10"/>
  <c r="CI104" i="10"/>
  <c r="CL103" i="10"/>
  <c r="CK103" i="10"/>
  <c r="CJ103" i="10"/>
  <c r="CI103" i="10"/>
  <c r="CJ102" i="10"/>
  <c r="CK102" i="10" s="1"/>
  <c r="CM33" i="10"/>
  <c r="CN36" i="13"/>
  <c r="CM36" i="13"/>
  <c r="CL36" i="13"/>
  <c r="CK7" i="13"/>
  <c r="CO7" i="13" s="1"/>
  <c r="CJ219" i="5" l="1"/>
  <c r="CJ152" i="10" s="1"/>
  <c r="CL23" i="7"/>
  <c r="CL44" i="6"/>
  <c r="CL41" i="6" s="1"/>
  <c r="CL55" i="6"/>
  <c r="CL52" i="6" s="1"/>
  <c r="CI23" i="7"/>
  <c r="CI44" i="6"/>
  <c r="CI41" i="6" s="1"/>
  <c r="CM10" i="11"/>
  <c r="CK53" i="11"/>
  <c r="CL53" i="11"/>
  <c r="CM115" i="10"/>
  <c r="CM107" i="11"/>
  <c r="CM103" i="10"/>
  <c r="CM104" i="10"/>
  <c r="CM22" i="11"/>
  <c r="CM123" i="10"/>
  <c r="CM139" i="5"/>
  <c r="CM193" i="5"/>
  <c r="CM159" i="5"/>
  <c r="CM38" i="5"/>
  <c r="CI5" i="7"/>
  <c r="CJ226" i="5"/>
  <c r="CJ196" i="10" s="1"/>
  <c r="CK116" i="5"/>
  <c r="CL102" i="10"/>
  <c r="CL106" i="10"/>
  <c r="CM53" i="11" l="1"/>
  <c r="CM5" i="7"/>
  <c r="CI6" i="10"/>
  <c r="CM6" i="10" s="1"/>
  <c r="CK219" i="5"/>
  <c r="CK152" i="10" s="1"/>
  <c r="CK226" i="5"/>
  <c r="CK196" i="10" s="1"/>
  <c r="CL116" i="5"/>
  <c r="BS43" i="6"/>
  <c r="BM43" i="6"/>
  <c r="BM234" i="5"/>
  <c r="CL226" i="5" l="1"/>
  <c r="CL196" i="10" s="1"/>
  <c r="CL219" i="5"/>
  <c r="CL152" i="10" s="1"/>
  <c r="BM50" i="6" l="1"/>
  <c r="BM54" i="6"/>
  <c r="BM145" i="6"/>
  <c r="BM146" i="6"/>
  <c r="BM70" i="7"/>
  <c r="BM71" i="7"/>
  <c r="BM72" i="7"/>
  <c r="BM73" i="7"/>
  <c r="BM74" i="7"/>
  <c r="BM75" i="7"/>
  <c r="BM101" i="5"/>
  <c r="BM103" i="5"/>
  <c r="BM105" i="5"/>
  <c r="BM133" i="5"/>
  <c r="BY105" i="5" l="1"/>
  <c r="BY103" i="5"/>
  <c r="CE103" i="5" s="1"/>
  <c r="CK103" i="5" s="1"/>
  <c r="BY101" i="5"/>
  <c r="CE101" i="5" l="1"/>
  <c r="CK101" i="5" s="1"/>
  <c r="CE105" i="5"/>
  <c r="DL44" i="7"/>
  <c r="DL45" i="7"/>
  <c r="DL46" i="7"/>
  <c r="DL47" i="7"/>
  <c r="DL48" i="7"/>
  <c r="DL49" i="7"/>
  <c r="BA52" i="7" l="1"/>
  <c r="BG59" i="7" s="1"/>
  <c r="BA51" i="7"/>
  <c r="BG58" i="7" s="1"/>
  <c r="BA50" i="7"/>
  <c r="BA49" i="7"/>
  <c r="BG56" i="7" s="1"/>
  <c r="BA48" i="7"/>
  <c r="AZ52" i="7"/>
  <c r="AZ51" i="7"/>
  <c r="BF58" i="7" s="1"/>
  <c r="AZ50" i="7"/>
  <c r="AZ49" i="7"/>
  <c r="BF56" i="7" s="1"/>
  <c r="AZ48" i="7"/>
  <c r="AZ70" i="7"/>
  <c r="BC52" i="7" l="1"/>
  <c r="BI59" i="7" s="1"/>
  <c r="BF59" i="7"/>
  <c r="BG57" i="7"/>
  <c r="BA57" i="7"/>
  <c r="BG55" i="7"/>
  <c r="BA55" i="7"/>
  <c r="BC48" i="7"/>
  <c r="BF55" i="7"/>
  <c r="AZ55" i="7"/>
  <c r="BC50" i="7"/>
  <c r="BF57" i="7"/>
  <c r="AZ57" i="7"/>
  <c r="BK147" i="6"/>
  <c r="BK146" i="6"/>
  <c r="BK145" i="6"/>
  <c r="BC55" i="7" l="1"/>
  <c r="BI55" i="7"/>
  <c r="BC57" i="7"/>
  <c r="BI57" i="7"/>
  <c r="BN44" i="13"/>
  <c r="BN43" i="13"/>
  <c r="BN41" i="13"/>
  <c r="BN35" i="13"/>
  <c r="BN34" i="13"/>
  <c r="BN33" i="13"/>
  <c r="BN32" i="13"/>
  <c r="BN31" i="13"/>
  <c r="BN30" i="13"/>
  <c r="BN29" i="13"/>
  <c r="BN28" i="13"/>
  <c r="BN27" i="13"/>
  <c r="BN26" i="13"/>
  <c r="BN21" i="13"/>
  <c r="BO37" i="13" s="1"/>
  <c r="BL188" i="10"/>
  <c r="BL187" i="10"/>
  <c r="BL166" i="10"/>
  <c r="BL165" i="10"/>
  <c r="BL164" i="10"/>
  <c r="BL161" i="10"/>
  <c r="BL160" i="10"/>
  <c r="BL159" i="10"/>
  <c r="BL158" i="10"/>
  <c r="BL157" i="10"/>
  <c r="BL156" i="10"/>
  <c r="BL145" i="10"/>
  <c r="BL142" i="10"/>
  <c r="BM144" i="10" s="1"/>
  <c r="BL139" i="10"/>
  <c r="BM138" i="10"/>
  <c r="BL125" i="10"/>
  <c r="BM122" i="10" s="1"/>
  <c r="BM124" i="10" s="1"/>
  <c r="BK125" i="10"/>
  <c r="BL122" i="10" s="1"/>
  <c r="BL119" i="10"/>
  <c r="BM114" i="10" s="1"/>
  <c r="BK119" i="10"/>
  <c r="BL114" i="10" s="1"/>
  <c r="BK115" i="10"/>
  <c r="BL107" i="10"/>
  <c r="BM100" i="10" s="1"/>
  <c r="BL95" i="10"/>
  <c r="BL92" i="10"/>
  <c r="BL52" i="10"/>
  <c r="BL50" i="10"/>
  <c r="BL69" i="11"/>
  <c r="BL53" i="11"/>
  <c r="BL59" i="11"/>
  <c r="BL58" i="11"/>
  <c r="BL54" i="11"/>
  <c r="BL57" i="11"/>
  <c r="BL52" i="11"/>
  <c r="BL46" i="11"/>
  <c r="BL41" i="11"/>
  <c r="BL36" i="11"/>
  <c r="BL30" i="11"/>
  <c r="BL27" i="11"/>
  <c r="BL26" i="11"/>
  <c r="BL25" i="11"/>
  <c r="BL24" i="11"/>
  <c r="BL22" i="11"/>
  <c r="BL15" i="11"/>
  <c r="BL14" i="11"/>
  <c r="BM14" i="11" s="1"/>
  <c r="BL13" i="11"/>
  <c r="BL12" i="11"/>
  <c r="BL8" i="11"/>
  <c r="BL70" i="11"/>
  <c r="BM70" i="11" s="1"/>
  <c r="BL65" i="11"/>
  <c r="BM65" i="11" s="1"/>
  <c r="BL63" i="11"/>
  <c r="BM63" i="11" s="1"/>
  <c r="BL62" i="11"/>
  <c r="BM62" i="11" s="1"/>
  <c r="BL61" i="11"/>
  <c r="BM61" i="11" s="1"/>
  <c r="BL60" i="11"/>
  <c r="BM60" i="11" s="1"/>
  <c r="BL56" i="11"/>
  <c r="BM56" i="11" s="1"/>
  <c r="BL55" i="11"/>
  <c r="BM55" i="11" s="1"/>
  <c r="BL48" i="11"/>
  <c r="BM48" i="11" s="1"/>
  <c r="BL45" i="11"/>
  <c r="BL44" i="11"/>
  <c r="BM44" i="11" s="1"/>
  <c r="BL43" i="11"/>
  <c r="BL42" i="11"/>
  <c r="BM42" i="11" s="1"/>
  <c r="BL40" i="11"/>
  <c r="BM40" i="11" s="1"/>
  <c r="BL39" i="11"/>
  <c r="BM39" i="11" s="1"/>
  <c r="BL38" i="11"/>
  <c r="BM38" i="11" s="1"/>
  <c r="BL37" i="11"/>
  <c r="BM37" i="11" s="1"/>
  <c r="BL32" i="11"/>
  <c r="BM32" i="11" s="1"/>
  <c r="BL29" i="11"/>
  <c r="BM29" i="11" s="1"/>
  <c r="BL28" i="11"/>
  <c r="BM28" i="11" s="1"/>
  <c r="BL21" i="11"/>
  <c r="BM21" i="11" s="1"/>
  <c r="BL20" i="11"/>
  <c r="BM20" i="11" s="1"/>
  <c r="BL19" i="11"/>
  <c r="BM19" i="11" s="1"/>
  <c r="BL18" i="11"/>
  <c r="BM18" i="11" s="1"/>
  <c r="BL17" i="11"/>
  <c r="BM17" i="11" s="1"/>
  <c r="BL16" i="11"/>
  <c r="BM16" i="11" s="1"/>
  <c r="BL10" i="11"/>
  <c r="BM10" i="11" s="1"/>
  <c r="BL9" i="11"/>
  <c r="BM9" i="11" s="1"/>
  <c r="BL147" i="6"/>
  <c r="BL146" i="6"/>
  <c r="BL145" i="6"/>
  <c r="BL36" i="5"/>
  <c r="BK36" i="5"/>
  <c r="BH36" i="5"/>
  <c r="BG36" i="5"/>
  <c r="BM24" i="11" l="1"/>
  <c r="BN24" i="11" s="1"/>
  <c r="BM52" i="11"/>
  <c r="BN52" i="11" s="1"/>
  <c r="BM25" i="11"/>
  <c r="BN25" i="11" s="1"/>
  <c r="BM57" i="11"/>
  <c r="BN57" i="11" s="1"/>
  <c r="BM43" i="11"/>
  <c r="BN43" i="11" s="1"/>
  <c r="BM8" i="11"/>
  <c r="BN8" i="11" s="1"/>
  <c r="BM15" i="11"/>
  <c r="BN15" i="11" s="1"/>
  <c r="BM26" i="11"/>
  <c r="BN26" i="11" s="1"/>
  <c r="BM41" i="11"/>
  <c r="BN41" i="11" s="1"/>
  <c r="BM69" i="11"/>
  <c r="BN69" i="11" s="1"/>
  <c r="BM45" i="11"/>
  <c r="BN45" i="11" s="1"/>
  <c r="BM13" i="11"/>
  <c r="BN13" i="11" s="1"/>
  <c r="BM30" i="11"/>
  <c r="BN30" i="11" s="1"/>
  <c r="BM59" i="11"/>
  <c r="BN59" i="11" s="1"/>
  <c r="BM22" i="11"/>
  <c r="BN22" i="11" s="1"/>
  <c r="BM27" i="11"/>
  <c r="BN27" i="11" s="1"/>
  <c r="BM58" i="11"/>
  <c r="BN58" i="11" s="1"/>
  <c r="BM36" i="11"/>
  <c r="BM101" i="10" s="1"/>
  <c r="BM53" i="11"/>
  <c r="BM107" i="11" s="1"/>
  <c r="BM12" i="11"/>
  <c r="BN12" i="11" s="1"/>
  <c r="BL51" i="10"/>
  <c r="BL202" i="10"/>
  <c r="BL94" i="10"/>
  <c r="BM54" i="11"/>
  <c r="BM94" i="10" s="1"/>
  <c r="BL115" i="10"/>
  <c r="BM46" i="11"/>
  <c r="BM115" i="10" s="1"/>
  <c r="BN36" i="13"/>
  <c r="BL101" i="10"/>
  <c r="BL107" i="11"/>
  <c r="BN45" i="13"/>
  <c r="BL124" i="10"/>
  <c r="BL162" i="10"/>
  <c r="BL189" i="10"/>
  <c r="BL167" i="10"/>
  <c r="BL143" i="10"/>
  <c r="BN36" i="11" l="1"/>
  <c r="BN101" i="10" s="1"/>
  <c r="BN46" i="11"/>
  <c r="BN115" i="10" s="1"/>
  <c r="BO115" i="10" s="1"/>
  <c r="BN54" i="11"/>
  <c r="BN94" i="10" s="1"/>
  <c r="BO52" i="11"/>
  <c r="BN53" i="11"/>
  <c r="BN107" i="11" s="1"/>
  <c r="BL169" i="10"/>
  <c r="BL123" i="5"/>
  <c r="BL54" i="6" l="1"/>
  <c r="BL50" i="6"/>
  <c r="BL43" i="6"/>
  <c r="BL75" i="7"/>
  <c r="BL74" i="7"/>
  <c r="BL73" i="7"/>
  <c r="BL72" i="7"/>
  <c r="BL71" i="7"/>
  <c r="BL70" i="7"/>
  <c r="BL101" i="5"/>
  <c r="BL103" i="5"/>
  <c r="BL105" i="5"/>
  <c r="BX101" i="5" l="1"/>
  <c r="BX105" i="5"/>
  <c r="CD105" i="5" s="1"/>
  <c r="BX103" i="5"/>
  <c r="BL104" i="5"/>
  <c r="BL102" i="5"/>
  <c r="BL100" i="5"/>
  <c r="BL126" i="5"/>
  <c r="CD103" i="5" l="1"/>
  <c r="CJ103" i="5" s="1"/>
  <c r="CD101" i="5"/>
  <c r="CJ101" i="5" s="1"/>
  <c r="DK59" i="7" l="1"/>
  <c r="DK49" i="7"/>
  <c r="DK48" i="7"/>
  <c r="DK47" i="7"/>
  <c r="DK46" i="7"/>
  <c r="DK45" i="7"/>
  <c r="DK44" i="7"/>
  <c r="BK43" i="6" l="1"/>
  <c r="BK54" i="6"/>
  <c r="BG43" i="6"/>
  <c r="BH54" i="6"/>
  <c r="BA43" i="6"/>
  <c r="AZ43" i="6"/>
  <c r="AJ64" i="7" l="1"/>
  <c r="AJ62" i="7"/>
  <c r="AJ67" i="7"/>
  <c r="AJ66" i="7"/>
  <c r="CG23" i="5" l="1"/>
  <c r="CA23" i="5"/>
  <c r="BM44" i="13" l="1"/>
  <c r="BM43" i="13"/>
  <c r="BM41" i="13"/>
  <c r="BM35" i="13"/>
  <c r="BM34" i="13"/>
  <c r="BM33" i="13"/>
  <c r="BM32" i="13"/>
  <c r="BM31" i="13"/>
  <c r="BM30" i="13"/>
  <c r="BM29" i="13"/>
  <c r="BM28" i="13"/>
  <c r="BM27" i="13"/>
  <c r="BM26" i="13"/>
  <c r="BK145" i="10"/>
  <c r="BO145" i="10" s="1"/>
  <c r="BO143" i="10" s="1"/>
  <c r="BK142" i="10"/>
  <c r="BL144" i="10" s="1"/>
  <c r="BK139" i="10"/>
  <c r="BO139" i="10" s="1"/>
  <c r="BL138" i="10"/>
  <c r="BK107" i="10"/>
  <c r="BL100" i="10" s="1"/>
  <c r="BK101" i="10"/>
  <c r="BO101" i="10" s="1"/>
  <c r="BK94" i="10"/>
  <c r="BO94" i="10" s="1"/>
  <c r="BK52" i="10"/>
  <c r="BK50" i="10"/>
  <c r="BK202" i="10" s="1"/>
  <c r="BK15" i="10"/>
  <c r="BK108" i="11"/>
  <c r="BK107" i="11"/>
  <c r="BK106" i="11" s="1"/>
  <c r="BK93" i="11"/>
  <c r="BK123" i="5"/>
  <c r="BM45" i="13" l="1"/>
  <c r="BK51" i="10"/>
  <c r="BK143" i="10"/>
  <c r="BM36" i="13"/>
  <c r="BK236" i="5" l="1"/>
  <c r="BK23" i="5"/>
  <c r="BK84" i="5"/>
  <c r="BK86" i="5"/>
  <c r="BK88" i="5"/>
  <c r="BK105" i="5" l="1"/>
  <c r="CC105" i="5" s="1"/>
  <c r="BK101" i="5"/>
  <c r="CC101" i="5" s="1"/>
  <c r="CI101" i="5" s="1"/>
  <c r="BK103" i="5"/>
  <c r="CC103" i="5" s="1"/>
  <c r="CI103" i="5" s="1"/>
  <c r="BF71" i="7" l="1"/>
  <c r="BL79" i="7" s="1"/>
  <c r="DK61" i="7" s="1"/>
  <c r="BH75" i="7"/>
  <c r="BN83" i="7" s="1"/>
  <c r="DM65" i="7" s="1"/>
  <c r="BH74" i="7"/>
  <c r="BN82" i="7" s="1"/>
  <c r="DM64" i="7" s="1"/>
  <c r="BH73" i="7"/>
  <c r="BN81" i="7" s="1"/>
  <c r="DM63" i="7" s="1"/>
  <c r="BH72" i="7"/>
  <c r="BN80" i="7" s="1"/>
  <c r="DM62" i="7" s="1"/>
  <c r="BH71" i="7"/>
  <c r="BN79" i="7" s="1"/>
  <c r="DM61" i="7" s="1"/>
  <c r="BH70" i="7"/>
  <c r="BN78" i="7" s="1"/>
  <c r="DM60" i="7" s="1"/>
  <c r="BG75" i="7"/>
  <c r="BM83" i="7" s="1"/>
  <c r="DL65" i="7" s="1"/>
  <c r="BG74" i="7"/>
  <c r="BM82" i="7" s="1"/>
  <c r="DL64" i="7" s="1"/>
  <c r="BG73" i="7"/>
  <c r="BM81" i="7" s="1"/>
  <c r="DL63" i="7" s="1"/>
  <c r="BG72" i="7"/>
  <c r="BM80" i="7" s="1"/>
  <c r="DL62" i="7" s="1"/>
  <c r="BG71" i="7"/>
  <c r="BM79" i="7" s="1"/>
  <c r="DL61" i="7" s="1"/>
  <c r="BG70" i="7"/>
  <c r="BM78" i="7" s="1"/>
  <c r="DL60" i="7" s="1"/>
  <c r="BF75" i="7"/>
  <c r="BL83" i="7" s="1"/>
  <c r="DK65" i="7" s="1"/>
  <c r="BF74" i="7"/>
  <c r="BL82" i="7" s="1"/>
  <c r="DK64" i="7" s="1"/>
  <c r="BF73" i="7"/>
  <c r="BL81" i="7" s="1"/>
  <c r="DK63" i="7" s="1"/>
  <c r="BF72" i="7"/>
  <c r="BL80" i="7" s="1"/>
  <c r="DK62" i="7" s="1"/>
  <c r="BF70" i="7"/>
  <c r="BL78" i="7" s="1"/>
  <c r="DK60" i="7" s="1"/>
  <c r="BK75" i="7"/>
  <c r="BQ83" i="7" s="1"/>
  <c r="DN65" i="7" s="1"/>
  <c r="BK74" i="7"/>
  <c r="BQ82" i="7" s="1"/>
  <c r="DN64" i="7" s="1"/>
  <c r="BK73" i="7"/>
  <c r="BQ81" i="7" s="1"/>
  <c r="DN63" i="7" s="1"/>
  <c r="BK72" i="7"/>
  <c r="BQ80" i="7" s="1"/>
  <c r="DN62" i="7" s="1"/>
  <c r="BK71" i="7"/>
  <c r="BQ79" i="7" s="1"/>
  <c r="DN61" i="7" s="1"/>
  <c r="BK70" i="7"/>
  <c r="BQ78" i="7" s="1"/>
  <c r="DN60" i="7" s="1"/>
  <c r="DJ59" i="7"/>
  <c r="DJ46" i="7" l="1"/>
  <c r="BO72" i="7"/>
  <c r="DJ47" i="7"/>
  <c r="BO73" i="7"/>
  <c r="BO70" i="7"/>
  <c r="BO74" i="7"/>
  <c r="DJ45" i="7"/>
  <c r="BO71" i="7"/>
  <c r="DJ49" i="7"/>
  <c r="BO75" i="7"/>
  <c r="DJ44" i="7"/>
  <c r="DJ48" i="7"/>
  <c r="BK131" i="5" l="1"/>
  <c r="CF16" i="7" l="1"/>
  <c r="CE16" i="7"/>
  <c r="CD16" i="7"/>
  <c r="CC16" i="7"/>
  <c r="CF15" i="7"/>
  <c r="CE15" i="7"/>
  <c r="CD15" i="7"/>
  <c r="CC15" i="7"/>
  <c r="CF14" i="7"/>
  <c r="CE14" i="7"/>
  <c r="CD14" i="7"/>
  <c r="CC14" i="7"/>
  <c r="CF13" i="7"/>
  <c r="CE13" i="7"/>
  <c r="CD13" i="7"/>
  <c r="CC13" i="7"/>
  <c r="CF11" i="7"/>
  <c r="CE11" i="7"/>
  <c r="CD11" i="7"/>
  <c r="CC11" i="7"/>
  <c r="CG236" i="5"/>
  <c r="CG235" i="5"/>
  <c r="CG234" i="5"/>
  <c r="CG233" i="5"/>
  <c r="CG232" i="5"/>
  <c r="CC226" i="5"/>
  <c r="CC196" i="10" s="1"/>
  <c r="CC219" i="5"/>
  <c r="CC152" i="10" s="1"/>
  <c r="CG135" i="5"/>
  <c r="CG128" i="5"/>
  <c r="CD116" i="5"/>
  <c r="CG115" i="5"/>
  <c r="CF115" i="5"/>
  <c r="CE115" i="5"/>
  <c r="CD115" i="5"/>
  <c r="CC115" i="5"/>
  <c r="CG114" i="5"/>
  <c r="CF114" i="5"/>
  <c r="CE114" i="5"/>
  <c r="CD114" i="5"/>
  <c r="CC114" i="5"/>
  <c r="CG27" i="5"/>
  <c r="CG22" i="5"/>
  <c r="CG7" i="5"/>
  <c r="CG8" i="5" s="1"/>
  <c r="CF23" i="7"/>
  <c r="CE23" i="7"/>
  <c r="CD23" i="7"/>
  <c r="CC23" i="7"/>
  <c r="CF51" i="6"/>
  <c r="CC5" i="6"/>
  <c r="CG5" i="6" s="1"/>
  <c r="CD107" i="11"/>
  <c r="CE107" i="11" s="1"/>
  <c r="CF93" i="11"/>
  <c r="CE93" i="11"/>
  <c r="CD93" i="11"/>
  <c r="CC93" i="11"/>
  <c r="CG70" i="11"/>
  <c r="CG69" i="11"/>
  <c r="CG65" i="11"/>
  <c r="CG63" i="11"/>
  <c r="CG61" i="11"/>
  <c r="CG60" i="11"/>
  <c r="CG59" i="11"/>
  <c r="CG58" i="11"/>
  <c r="CG57" i="11"/>
  <c r="CG56" i="11"/>
  <c r="CG55" i="11"/>
  <c r="CC53" i="11"/>
  <c r="CG48" i="11"/>
  <c r="CG46" i="11"/>
  <c r="CG45" i="11"/>
  <c r="CG44" i="11"/>
  <c r="CG43" i="11"/>
  <c r="CG42" i="11"/>
  <c r="CG41" i="11"/>
  <c r="CG40" i="11"/>
  <c r="CG39" i="11"/>
  <c r="CG38" i="11"/>
  <c r="CG37" i="11"/>
  <c r="CG32" i="11"/>
  <c r="CG29" i="11"/>
  <c r="CD22" i="11"/>
  <c r="CE22" i="11" s="1"/>
  <c r="CG21" i="11"/>
  <c r="CG20" i="11"/>
  <c r="CG19" i="11"/>
  <c r="CG18" i="11"/>
  <c r="CG17" i="11"/>
  <c r="CG16" i="11"/>
  <c r="CG15" i="11"/>
  <c r="CG14" i="11"/>
  <c r="CF10" i="11"/>
  <c r="CE10" i="11"/>
  <c r="CD10" i="11"/>
  <c r="CC10" i="11"/>
  <c r="CG9" i="11"/>
  <c r="CG6" i="11"/>
  <c r="CG124" i="10"/>
  <c r="CF123" i="10"/>
  <c r="CE123" i="10"/>
  <c r="CD123" i="10"/>
  <c r="CC123" i="10"/>
  <c r="CG118" i="10"/>
  <c r="CF115" i="10"/>
  <c r="CE115" i="10"/>
  <c r="CD115" i="10"/>
  <c r="CC115" i="10"/>
  <c r="CD106" i="10"/>
  <c r="CE106" i="10" s="1"/>
  <c r="CF106" i="10" s="1"/>
  <c r="CF104" i="10"/>
  <c r="CE104" i="10"/>
  <c r="CD104" i="10"/>
  <c r="CC104" i="10"/>
  <c r="CF103" i="10"/>
  <c r="CE103" i="10"/>
  <c r="CD103" i="10"/>
  <c r="CC103" i="10"/>
  <c r="CD102" i="10"/>
  <c r="CE102" i="10" s="1"/>
  <c r="CG33" i="10"/>
  <c r="CH36" i="13"/>
  <c r="CG36" i="13"/>
  <c r="CF36" i="13"/>
  <c r="CE7" i="13"/>
  <c r="CI7" i="13" s="1"/>
  <c r="CD219" i="5" l="1"/>
  <c r="CD152" i="10" s="1"/>
  <c r="CL31" i="7"/>
  <c r="CJ28" i="7"/>
  <c r="CJ30" i="7"/>
  <c r="CJ31" i="7"/>
  <c r="CJ32" i="7"/>
  <c r="CJ33" i="7"/>
  <c r="CL28" i="7"/>
  <c r="CL32" i="7"/>
  <c r="CK28" i="7"/>
  <c r="CK30" i="7"/>
  <c r="CK31" i="7"/>
  <c r="CK32" i="7"/>
  <c r="CK33" i="7"/>
  <c r="CL30" i="7"/>
  <c r="CL33" i="7"/>
  <c r="CI28" i="7"/>
  <c r="CI30" i="7"/>
  <c r="CI31" i="7"/>
  <c r="CI32" i="7"/>
  <c r="CI33" i="7"/>
  <c r="CF44" i="6"/>
  <c r="CF41" i="6" s="1"/>
  <c r="CE51" i="6"/>
  <c r="CE44" i="6"/>
  <c r="CE41" i="6" s="1"/>
  <c r="CE55" i="6"/>
  <c r="CE52" i="6" s="1"/>
  <c r="CC44" i="6"/>
  <c r="CC41" i="6" s="1"/>
  <c r="CC55" i="6"/>
  <c r="CC52" i="6" s="1"/>
  <c r="CC51" i="6"/>
  <c r="CD44" i="6"/>
  <c r="CD41" i="6" s="1"/>
  <c r="CD51" i="6"/>
  <c r="CD55" i="6"/>
  <c r="CD52" i="6" s="1"/>
  <c r="CF55" i="6"/>
  <c r="CF52" i="6" s="1"/>
  <c r="CG115" i="10"/>
  <c r="CD53" i="11"/>
  <c r="CE116" i="5"/>
  <c r="CC5" i="7"/>
  <c r="CC6" i="10" s="1"/>
  <c r="CG6" i="10" s="1"/>
  <c r="CG139" i="5"/>
  <c r="CG193" i="5"/>
  <c r="CG159" i="5"/>
  <c r="CG38" i="5"/>
  <c r="CG10" i="11"/>
  <c r="CD226" i="5"/>
  <c r="CD196" i="10" s="1"/>
  <c r="CF22" i="11"/>
  <c r="CG22" i="11" s="1"/>
  <c r="CF107" i="11"/>
  <c r="CG107" i="11" s="1"/>
  <c r="CE53" i="11"/>
  <c r="CG103" i="10"/>
  <c r="CG104" i="10"/>
  <c r="CF102" i="10"/>
  <c r="CG123" i="10"/>
  <c r="CE219" i="5" l="1"/>
  <c r="CE152" i="10" s="1"/>
  <c r="CE226" i="5"/>
  <c r="CE196" i="10" s="1"/>
  <c r="CF116" i="5"/>
  <c r="CG5" i="7"/>
  <c r="CF53" i="11"/>
  <c r="CF219" i="5" l="1"/>
  <c r="CF152" i="10" s="1"/>
  <c r="CG53" i="11"/>
  <c r="CF226" i="5"/>
  <c r="CF196" i="10" s="1"/>
  <c r="BX116" i="5" l="1"/>
  <c r="CF86" i="5"/>
  <c r="CL86" i="5" s="1"/>
  <c r="CE86" i="5"/>
  <c r="CK86" i="5" s="1"/>
  <c r="CD86" i="5"/>
  <c r="CJ86" i="5" s="1"/>
  <c r="CF88" i="5"/>
  <c r="CL88" i="5" s="1"/>
  <c r="CE88" i="5"/>
  <c r="CK88" i="5" s="1"/>
  <c r="CD88" i="5"/>
  <c r="CJ88" i="5" s="1"/>
  <c r="BU23" i="5"/>
  <c r="BY116" i="5" l="1"/>
  <c r="CC88" i="5"/>
  <c r="CI88" i="5" s="1"/>
  <c r="CC86" i="5"/>
  <c r="CI86" i="5" s="1"/>
  <c r="BZ116" i="5" l="1"/>
  <c r="BR22" i="11" l="1"/>
  <c r="BS22" i="11" l="1"/>
  <c r="BT22" i="11" s="1"/>
  <c r="BJ44" i="13" l="1"/>
  <c r="BJ41" i="13"/>
  <c r="BJ35" i="13"/>
  <c r="BJ34" i="13"/>
  <c r="BJ33" i="13"/>
  <c r="BJ32" i="13"/>
  <c r="BJ31" i="13"/>
  <c r="BJ27" i="13"/>
  <c r="BI34" i="13"/>
  <c r="BH34" i="13"/>
  <c r="BG34" i="13"/>
  <c r="BD34" i="13"/>
  <c r="BC34" i="13"/>
  <c r="BB34" i="13"/>
  <c r="BA34" i="13"/>
  <c r="AX34" i="13"/>
  <c r="AW34" i="13"/>
  <c r="AV34" i="13"/>
  <c r="AU34" i="13"/>
  <c r="AR34" i="13"/>
  <c r="AQ34" i="13"/>
  <c r="AP34" i="13"/>
  <c r="AO34" i="13"/>
  <c r="AL34" i="13"/>
  <c r="AK34" i="13"/>
  <c r="AJ34" i="13"/>
  <c r="AF34" i="13"/>
  <c r="AE34" i="13"/>
  <c r="AD34" i="13"/>
  <c r="Z34" i="13"/>
  <c r="Y34" i="13"/>
  <c r="X34" i="13"/>
  <c r="T34" i="13"/>
  <c r="S34" i="13"/>
  <c r="R34" i="13"/>
  <c r="A34" i="13"/>
  <c r="BJ21" i="13"/>
  <c r="BK18" i="13"/>
  <c r="BQ18" i="13" s="1"/>
  <c r="BE18" i="13"/>
  <c r="AY18" i="13"/>
  <c r="AS18" i="13"/>
  <c r="AM18" i="13"/>
  <c r="AG18" i="13"/>
  <c r="AI34" i="13" s="1"/>
  <c r="AA18" i="13"/>
  <c r="AC34" i="13" s="1"/>
  <c r="U18" i="13"/>
  <c r="W34" i="13" s="1"/>
  <c r="BH166" i="10"/>
  <c r="BH165" i="10"/>
  <c r="BH164" i="10"/>
  <c r="BH161" i="10"/>
  <c r="BH160" i="10"/>
  <c r="BH159" i="10"/>
  <c r="BH158" i="10"/>
  <c r="BH157" i="10"/>
  <c r="BH156" i="10"/>
  <c r="BH145" i="10"/>
  <c r="BH142" i="10"/>
  <c r="BK144" i="10" s="1"/>
  <c r="BO144" i="10" s="1"/>
  <c r="BH139" i="10"/>
  <c r="BH136" i="10"/>
  <c r="BH125" i="10"/>
  <c r="BH119" i="10"/>
  <c r="BH107" i="10"/>
  <c r="BC100" i="11"/>
  <c r="BC99" i="11"/>
  <c r="BI101" i="11"/>
  <c r="BK34" i="13" l="1"/>
  <c r="AS34" i="13"/>
  <c r="BH167" i="10"/>
  <c r="BH143" i="10"/>
  <c r="U34" i="13"/>
  <c r="BH162" i="10"/>
  <c r="AA34" i="13"/>
  <c r="AM34" i="13"/>
  <c r="AY34" i="13"/>
  <c r="AG34" i="13"/>
  <c r="BE34" i="13"/>
  <c r="BQ34" i="13"/>
  <c r="BI136" i="10"/>
  <c r="BH169" i="10" l="1"/>
  <c r="BX22" i="11" l="1"/>
  <c r="BY22" i="11" s="1"/>
  <c r="BF32" i="11"/>
  <c r="BZ22" i="11" l="1"/>
  <c r="CA22" i="11" s="1"/>
  <c r="BU22" i="11"/>
  <c r="BG32" i="11"/>
  <c r="BH32" i="11" s="1"/>
  <c r="BE18" i="6"/>
  <c r="BK59" i="6" s="1"/>
  <c r="BK55" i="6" s="1"/>
  <c r="AS14" i="6"/>
  <c r="AY51" i="6"/>
  <c r="BE51" i="6"/>
  <c r="AS15" i="6"/>
  <c r="CC84" i="5"/>
  <c r="CI84" i="5" s="1"/>
  <c r="BE101" i="5"/>
  <c r="BE103" i="5"/>
  <c r="BE105" i="5"/>
  <c r="G74" i="11"/>
  <c r="C11" i="6"/>
  <c r="C75" i="5"/>
  <c r="C79" i="5"/>
  <c r="C58" i="5"/>
  <c r="C42" i="5" s="1"/>
  <c r="C62" i="5"/>
  <c r="C96" i="5"/>
  <c r="C147" i="5"/>
  <c r="D11" i="6"/>
  <c r="D75" i="5"/>
  <c r="D79" i="5"/>
  <c r="D58" i="5"/>
  <c r="D42" i="5" s="1"/>
  <c r="D62" i="5"/>
  <c r="D96" i="5"/>
  <c r="D147" i="5"/>
  <c r="D23" i="5"/>
  <c r="E11" i="6"/>
  <c r="E75" i="5"/>
  <c r="E79" i="5"/>
  <c r="E58" i="5"/>
  <c r="E42" i="5" s="1"/>
  <c r="E62" i="5"/>
  <c r="E96" i="5"/>
  <c r="E147" i="5"/>
  <c r="E23" i="5"/>
  <c r="F11" i="6"/>
  <c r="F75" i="5"/>
  <c r="F79" i="5"/>
  <c r="F58" i="5"/>
  <c r="F62" i="5"/>
  <c r="F46" i="5" s="1"/>
  <c r="F96" i="5"/>
  <c r="F147" i="5"/>
  <c r="F23" i="5"/>
  <c r="G9" i="11"/>
  <c r="C10" i="11"/>
  <c r="D10" i="11"/>
  <c r="E10" i="11"/>
  <c r="F10" i="11"/>
  <c r="C18" i="5"/>
  <c r="C13" i="11" s="1"/>
  <c r="D14" i="11"/>
  <c r="E14" i="11" s="1"/>
  <c r="F14" i="11" s="1"/>
  <c r="G14" i="11" s="1"/>
  <c r="D15" i="11"/>
  <c r="E15" i="11" s="1"/>
  <c r="F15" i="11" s="1"/>
  <c r="G15" i="11" s="1"/>
  <c r="D16" i="11"/>
  <c r="E16" i="11" s="1"/>
  <c r="F16" i="11" s="1"/>
  <c r="G16" i="11" s="1"/>
  <c r="G17" i="11"/>
  <c r="D18" i="11"/>
  <c r="E18" i="11" s="1"/>
  <c r="F18" i="11" s="1"/>
  <c r="D19" i="11"/>
  <c r="E19" i="11" s="1"/>
  <c r="D20" i="11"/>
  <c r="E20" i="11" s="1"/>
  <c r="F20" i="11" s="1"/>
  <c r="G20" i="11" s="1"/>
  <c r="D21" i="11"/>
  <c r="E21" i="11" s="1"/>
  <c r="F21" i="11" s="1"/>
  <c r="AJ18" i="6"/>
  <c r="AJ66" i="5"/>
  <c r="AJ50" i="5" s="1"/>
  <c r="AJ51" i="5" s="1"/>
  <c r="AJ70" i="5"/>
  <c r="AJ68" i="5"/>
  <c r="AJ75" i="5"/>
  <c r="AJ79" i="5"/>
  <c r="AJ77" i="5"/>
  <c r="AJ147" i="5"/>
  <c r="D28" i="11"/>
  <c r="E28" i="11"/>
  <c r="F28" i="11"/>
  <c r="G29" i="11"/>
  <c r="D32" i="11"/>
  <c r="E32" i="11" s="1"/>
  <c r="C36" i="11"/>
  <c r="D36" i="11" s="1"/>
  <c r="E36" i="11" s="1"/>
  <c r="D37" i="11"/>
  <c r="E37" i="11" s="1"/>
  <c r="F37" i="11" s="1"/>
  <c r="G37" i="11" s="1"/>
  <c r="D38" i="11"/>
  <c r="E38" i="11" s="1"/>
  <c r="D39" i="11"/>
  <c r="E39" i="11" s="1"/>
  <c r="F39" i="11" s="1"/>
  <c r="D40" i="11"/>
  <c r="E40" i="11" s="1"/>
  <c r="F40" i="11" s="1"/>
  <c r="D41" i="11"/>
  <c r="E41" i="11" s="1"/>
  <c r="F41" i="11" s="1"/>
  <c r="G41" i="11" s="1"/>
  <c r="D42" i="11"/>
  <c r="E42" i="11" s="1"/>
  <c r="D44" i="11"/>
  <c r="E44" i="11" s="1"/>
  <c r="D45" i="11"/>
  <c r="E45" i="11" s="1"/>
  <c r="F45" i="11" s="1"/>
  <c r="G45" i="11" s="1"/>
  <c r="D125" i="10"/>
  <c r="C125" i="10"/>
  <c r="D122" i="10" s="1"/>
  <c r="E125" i="10"/>
  <c r="F125" i="10"/>
  <c r="D48" i="11"/>
  <c r="E48" i="11" s="1"/>
  <c r="F48" i="11" s="1"/>
  <c r="G48" i="11" s="1"/>
  <c r="D52" i="11"/>
  <c r="E52" i="11"/>
  <c r="F52" i="11"/>
  <c r="D53" i="11"/>
  <c r="E53" i="11"/>
  <c r="F53" i="11"/>
  <c r="D54" i="11"/>
  <c r="E54" i="11" s="1"/>
  <c r="F54" i="11" s="1"/>
  <c r="D55" i="11"/>
  <c r="E55" i="11" s="1"/>
  <c r="D56" i="11"/>
  <c r="E56" i="11" s="1"/>
  <c r="F56" i="11" s="1"/>
  <c r="C23" i="11"/>
  <c r="D58" i="11"/>
  <c r="D59" i="11"/>
  <c r="E59" i="11" s="1"/>
  <c r="F59" i="11" s="1"/>
  <c r="D60" i="11"/>
  <c r="E60" i="11" s="1"/>
  <c r="D61" i="11"/>
  <c r="E61" i="11" s="1"/>
  <c r="F61" i="11" s="1"/>
  <c r="G61" i="11" s="1"/>
  <c r="D62" i="11"/>
  <c r="D63" i="11"/>
  <c r="E63" i="11" s="1"/>
  <c r="F63" i="11" s="1"/>
  <c r="G63" i="11" s="1"/>
  <c r="D65" i="11"/>
  <c r="E65" i="11" s="1"/>
  <c r="F65" i="11" s="1"/>
  <c r="G65" i="11" s="1"/>
  <c r="E62" i="11"/>
  <c r="E69" i="11"/>
  <c r="F62" i="11"/>
  <c r="G70" i="11"/>
  <c r="I11" i="6"/>
  <c r="O89" i="7" s="1"/>
  <c r="I75" i="5"/>
  <c r="I79" i="5"/>
  <c r="I58" i="5"/>
  <c r="I62" i="5"/>
  <c r="I96" i="5"/>
  <c r="I147" i="5"/>
  <c r="I23" i="5"/>
  <c r="J11" i="6"/>
  <c r="J18" i="6" s="1"/>
  <c r="J65" i="6" s="1"/>
  <c r="J75" i="5"/>
  <c r="J79" i="5"/>
  <c r="J58" i="5"/>
  <c r="J42" i="5" s="1"/>
  <c r="J62" i="5"/>
  <c r="J96" i="5"/>
  <c r="J147" i="5"/>
  <c r="J23" i="5"/>
  <c r="K11" i="6"/>
  <c r="K75" i="5"/>
  <c r="K79" i="5"/>
  <c r="K58" i="5"/>
  <c r="K42" i="5" s="1"/>
  <c r="K62" i="5"/>
  <c r="K46" i="5" s="1"/>
  <c r="K96" i="5"/>
  <c r="K147" i="5"/>
  <c r="K23" i="5"/>
  <c r="L11" i="6"/>
  <c r="R89" i="7" s="1"/>
  <c r="L75" i="5"/>
  <c r="L79" i="5"/>
  <c r="L58" i="5"/>
  <c r="L42" i="5" s="1"/>
  <c r="L62" i="5"/>
  <c r="L46" i="5" s="1"/>
  <c r="L96" i="5"/>
  <c r="L147" i="5"/>
  <c r="L22" i="5"/>
  <c r="M22" i="5" s="1"/>
  <c r="L23" i="5"/>
  <c r="M9" i="11"/>
  <c r="I10" i="11"/>
  <c r="J10" i="11"/>
  <c r="K10" i="11"/>
  <c r="L10" i="11"/>
  <c r="I18" i="5"/>
  <c r="I123" i="5" s="1"/>
  <c r="J14" i="11"/>
  <c r="K14" i="11" s="1"/>
  <c r="L14" i="11" s="1"/>
  <c r="M14" i="11" s="1"/>
  <c r="J15" i="11"/>
  <c r="K15" i="11" s="1"/>
  <c r="L15" i="11" s="1"/>
  <c r="M15" i="11" s="1"/>
  <c r="J16" i="11"/>
  <c r="K16" i="11" s="1"/>
  <c r="L16" i="11" s="1"/>
  <c r="M16" i="11" s="1"/>
  <c r="M17" i="11"/>
  <c r="J18" i="11"/>
  <c r="K18" i="11" s="1"/>
  <c r="L18" i="11" s="1"/>
  <c r="M18" i="11" s="1"/>
  <c r="J19" i="11"/>
  <c r="K19" i="11" s="1"/>
  <c r="J20" i="11"/>
  <c r="K20" i="11" s="1"/>
  <c r="L20" i="11" s="1"/>
  <c r="M20" i="11" s="1"/>
  <c r="J21" i="11"/>
  <c r="K21" i="11" s="1"/>
  <c r="L21" i="11" s="1"/>
  <c r="M21" i="11" s="1"/>
  <c r="I28" i="11"/>
  <c r="J28" i="11"/>
  <c r="K28" i="11"/>
  <c r="L28" i="11"/>
  <c r="M29" i="11"/>
  <c r="J32" i="11"/>
  <c r="K32" i="11" s="1"/>
  <c r="L32" i="11" s="1"/>
  <c r="M32" i="11" s="1"/>
  <c r="I36" i="11"/>
  <c r="J36" i="11" s="1"/>
  <c r="K36" i="11" s="1"/>
  <c r="M37" i="11"/>
  <c r="M38" i="11"/>
  <c r="M39" i="11"/>
  <c r="M40" i="11"/>
  <c r="M41" i="11"/>
  <c r="M42" i="11"/>
  <c r="I10" i="10"/>
  <c r="J10" i="10"/>
  <c r="K10" i="10"/>
  <c r="M44" i="11"/>
  <c r="M45" i="11"/>
  <c r="I125" i="10"/>
  <c r="J122" i="10" s="1"/>
  <c r="G122" i="10"/>
  <c r="J125" i="10"/>
  <c r="K122" i="10" s="1"/>
  <c r="K125" i="10"/>
  <c r="L122" i="10" s="1"/>
  <c r="L17" i="10"/>
  <c r="L214" i="10" s="1"/>
  <c r="J48" i="11"/>
  <c r="K48" i="11" s="1"/>
  <c r="L48" i="11" s="1"/>
  <c r="I52" i="11"/>
  <c r="J52" i="11"/>
  <c r="K52" i="11"/>
  <c r="L52" i="11"/>
  <c r="I53" i="11"/>
  <c r="J53" i="11"/>
  <c r="K53" i="11"/>
  <c r="L53" i="11"/>
  <c r="J54" i="11"/>
  <c r="J94" i="10" s="1"/>
  <c r="J55" i="11"/>
  <c r="K55" i="11" s="1"/>
  <c r="L55" i="11" s="1"/>
  <c r="M55" i="11" s="1"/>
  <c r="J56" i="11"/>
  <c r="K56" i="11" s="1"/>
  <c r="L56" i="11" s="1"/>
  <c r="M56" i="11" s="1"/>
  <c r="I62" i="11"/>
  <c r="J58" i="11"/>
  <c r="J59" i="11"/>
  <c r="J60" i="11"/>
  <c r="J61" i="11"/>
  <c r="K61" i="11" s="1"/>
  <c r="L61" i="11" s="1"/>
  <c r="J62" i="11"/>
  <c r="J63" i="11"/>
  <c r="K63" i="11" s="1"/>
  <c r="L63" i="11" s="1"/>
  <c r="J65" i="11"/>
  <c r="K65" i="11" s="1"/>
  <c r="L65" i="11" s="1"/>
  <c r="M65" i="11" s="1"/>
  <c r="K58" i="11"/>
  <c r="L58" i="11" s="1"/>
  <c r="M58" i="11" s="1"/>
  <c r="K59" i="11"/>
  <c r="L59" i="11" s="1"/>
  <c r="M59" i="11" s="1"/>
  <c r="K62" i="11"/>
  <c r="L62" i="11"/>
  <c r="M42" i="10"/>
  <c r="M70" i="11"/>
  <c r="O11" i="6"/>
  <c r="O18" i="6" s="1"/>
  <c r="O89" i="5"/>
  <c r="O13" i="5" s="1"/>
  <c r="O106" i="5"/>
  <c r="O14" i="5" s="1"/>
  <c r="O58" i="5"/>
  <c r="O42" i="5" s="1"/>
  <c r="O62" i="5"/>
  <c r="O46" i="5" s="1"/>
  <c r="O60" i="5"/>
  <c r="P11" i="6"/>
  <c r="P89" i="5"/>
  <c r="P13" i="5" s="1"/>
  <c r="P106" i="5"/>
  <c r="P14" i="5" s="1"/>
  <c r="P58" i="5"/>
  <c r="P62" i="5"/>
  <c r="P60" i="5"/>
  <c r="P44" i="5" s="1"/>
  <c r="Q11" i="6"/>
  <c r="Q18" i="6" s="1"/>
  <c r="Q89" i="5"/>
  <c r="Q13" i="5" s="1"/>
  <c r="Q106" i="5"/>
  <c r="Q14" i="5" s="1"/>
  <c r="Q58" i="5"/>
  <c r="Q62" i="5"/>
  <c r="Q46" i="5" s="1"/>
  <c r="Q60" i="5"/>
  <c r="R11" i="6"/>
  <c r="R18" i="6" s="1"/>
  <c r="R68" i="6" s="1"/>
  <c r="R79" i="5"/>
  <c r="R92" i="5"/>
  <c r="S92" i="5" s="1"/>
  <c r="R96" i="5"/>
  <c r="S96" i="5" s="1"/>
  <c r="R58" i="5"/>
  <c r="R42" i="5" s="1"/>
  <c r="R62" i="5"/>
  <c r="R60" i="5"/>
  <c r="S9" i="11"/>
  <c r="O10" i="11"/>
  <c r="P10" i="11"/>
  <c r="Q10" i="11"/>
  <c r="R10" i="11"/>
  <c r="O13" i="11"/>
  <c r="P13" i="11"/>
  <c r="Q13" i="11"/>
  <c r="R13" i="11"/>
  <c r="P14" i="11"/>
  <c r="Q14" i="11" s="1"/>
  <c r="R14" i="11" s="1"/>
  <c r="P15" i="11"/>
  <c r="Q15" i="11" s="1"/>
  <c r="R15" i="11" s="1"/>
  <c r="P16" i="11"/>
  <c r="Q16" i="11" s="1"/>
  <c r="R16" i="11" s="1"/>
  <c r="S17" i="11"/>
  <c r="P18" i="11"/>
  <c r="Q18" i="11" s="1"/>
  <c r="R18" i="11" s="1"/>
  <c r="S18" i="11" s="1"/>
  <c r="P19" i="11"/>
  <c r="Q19" i="11" s="1"/>
  <c r="P20" i="11"/>
  <c r="Q20" i="11" s="1"/>
  <c r="R20" i="11" s="1"/>
  <c r="S20" i="11" s="1"/>
  <c r="P21" i="11"/>
  <c r="Q21" i="11" s="1"/>
  <c r="R21" i="11" s="1"/>
  <c r="S21" i="11" s="1"/>
  <c r="O28" i="11"/>
  <c r="P28" i="11"/>
  <c r="Q28" i="11"/>
  <c r="R28" i="11"/>
  <c r="S29" i="11"/>
  <c r="P32" i="11"/>
  <c r="Q32" i="11" s="1"/>
  <c r="R32" i="11" s="1"/>
  <c r="O36" i="11"/>
  <c r="P36" i="11" s="1"/>
  <c r="S37" i="11"/>
  <c r="S38" i="11"/>
  <c r="S39" i="11"/>
  <c r="S40" i="11"/>
  <c r="S41" i="11"/>
  <c r="S42" i="11"/>
  <c r="S44" i="11"/>
  <c r="S45" i="11"/>
  <c r="O125" i="10"/>
  <c r="P122" i="10" s="1"/>
  <c r="M123" i="10"/>
  <c r="M115" i="10"/>
  <c r="P125" i="10"/>
  <c r="Q125" i="10"/>
  <c r="R122" i="10" s="1"/>
  <c r="R17" i="10"/>
  <c r="P48" i="11"/>
  <c r="Q48" i="11" s="1"/>
  <c r="O52" i="11"/>
  <c r="P52" i="11"/>
  <c r="Q52" i="11"/>
  <c r="R52" i="11"/>
  <c r="O53" i="11"/>
  <c r="O107" i="11" s="1"/>
  <c r="O106" i="11" s="1"/>
  <c r="P53" i="11"/>
  <c r="P107" i="11" s="1"/>
  <c r="P106" i="11" s="1"/>
  <c r="Q53" i="11"/>
  <c r="R53" i="11"/>
  <c r="R107" i="11" s="1"/>
  <c r="R106" i="11" s="1"/>
  <c r="P54" i="11"/>
  <c r="P94" i="10" s="1"/>
  <c r="P55" i="11"/>
  <c r="Q55" i="11" s="1"/>
  <c r="R55" i="11" s="1"/>
  <c r="S55" i="11" s="1"/>
  <c r="P56" i="11"/>
  <c r="Q56" i="11" s="1"/>
  <c r="R56" i="11" s="1"/>
  <c r="O62" i="11"/>
  <c r="P58" i="11"/>
  <c r="Q58" i="11" s="1"/>
  <c r="R58" i="11" s="1"/>
  <c r="S58" i="11" s="1"/>
  <c r="P59" i="11"/>
  <c r="P60" i="11"/>
  <c r="P61" i="11"/>
  <c r="Q61" i="11" s="1"/>
  <c r="R61" i="11" s="1"/>
  <c r="S61" i="11" s="1"/>
  <c r="P62" i="11"/>
  <c r="P63" i="11"/>
  <c r="Q63" i="11" s="1"/>
  <c r="P65" i="11"/>
  <c r="Q65" i="11" s="1"/>
  <c r="R65" i="11" s="1"/>
  <c r="P69" i="11"/>
  <c r="Q62" i="11"/>
  <c r="R62" i="11"/>
  <c r="S42" i="10"/>
  <c r="S70" i="11"/>
  <c r="U11" i="6"/>
  <c r="U83" i="6" s="1"/>
  <c r="U95" i="6" s="1"/>
  <c r="U89" i="5"/>
  <c r="U106" i="5"/>
  <c r="U14" i="5" s="1"/>
  <c r="U58" i="5"/>
  <c r="U42" i="5" s="1"/>
  <c r="U62" i="5"/>
  <c r="U60" i="5"/>
  <c r="V11" i="6"/>
  <c r="V18" i="6" s="1"/>
  <c r="V68" i="6" s="1"/>
  <c r="V89" i="5"/>
  <c r="V13" i="5" s="1"/>
  <c r="V106" i="5"/>
  <c r="V14" i="5" s="1"/>
  <c r="V58" i="5"/>
  <c r="V62" i="5"/>
  <c r="V46" i="5" s="1"/>
  <c r="V60" i="5"/>
  <c r="W11" i="6"/>
  <c r="W89" i="5"/>
  <c r="W13" i="5" s="1"/>
  <c r="W106" i="5"/>
  <c r="W14" i="5" s="1"/>
  <c r="W58" i="5"/>
  <c r="W42" i="5" s="1"/>
  <c r="W62" i="5"/>
  <c r="W60" i="5"/>
  <c r="X11" i="6"/>
  <c r="X83" i="6" s="1"/>
  <c r="X95" i="6" s="1"/>
  <c r="X79" i="5"/>
  <c r="X89" i="5" s="1"/>
  <c r="X92" i="5"/>
  <c r="X96" i="5"/>
  <c r="X58" i="5"/>
  <c r="X62" i="5"/>
  <c r="X46" i="5" s="1"/>
  <c r="X60" i="5"/>
  <c r="Y9" i="11"/>
  <c r="U10" i="11"/>
  <c r="V10" i="11"/>
  <c r="W10" i="11"/>
  <c r="X10" i="11"/>
  <c r="U13" i="11"/>
  <c r="V13" i="11"/>
  <c r="W13" i="11"/>
  <c r="X13" i="11"/>
  <c r="V14" i="11"/>
  <c r="W14" i="11" s="1"/>
  <c r="V15" i="11"/>
  <c r="W15" i="11" s="1"/>
  <c r="X15" i="11" s="1"/>
  <c r="V16" i="11"/>
  <c r="W16" i="11" s="1"/>
  <c r="X16" i="11" s="1"/>
  <c r="Y17" i="11"/>
  <c r="V18" i="11"/>
  <c r="W18" i="11" s="1"/>
  <c r="X18" i="11" s="1"/>
  <c r="Y18" i="11" s="1"/>
  <c r="V19" i="11"/>
  <c r="W19" i="11" s="1"/>
  <c r="X19" i="11" s="1"/>
  <c r="V20" i="11"/>
  <c r="W20" i="11" s="1"/>
  <c r="X20" i="11" s="1"/>
  <c r="Y20" i="11" s="1"/>
  <c r="V21" i="11"/>
  <c r="W21" i="11" s="1"/>
  <c r="X21" i="11" s="1"/>
  <c r="Y21" i="11" s="1"/>
  <c r="U28" i="11"/>
  <c r="V28" i="11"/>
  <c r="W28" i="11"/>
  <c r="X28" i="11"/>
  <c r="Y29" i="11"/>
  <c r="V32" i="11"/>
  <c r="W32" i="11" s="1"/>
  <c r="X32" i="11" s="1"/>
  <c r="U36" i="11"/>
  <c r="V36" i="11" s="1"/>
  <c r="W36" i="11" s="1"/>
  <c r="W101" i="10" s="1"/>
  <c r="Y37" i="11"/>
  <c r="Y38" i="11"/>
  <c r="Y39" i="11"/>
  <c r="Y40" i="11"/>
  <c r="Y41" i="11"/>
  <c r="Y42" i="11"/>
  <c r="U10" i="10"/>
  <c r="X43" i="13" s="1"/>
  <c r="V10" i="10"/>
  <c r="Y44" i="11"/>
  <c r="Y45" i="11"/>
  <c r="U17" i="10"/>
  <c r="U214" i="10" s="1"/>
  <c r="S123" i="10"/>
  <c r="S115" i="10"/>
  <c r="V17" i="10"/>
  <c r="V214" i="10" s="1"/>
  <c r="W17" i="10"/>
  <c r="X17" i="10"/>
  <c r="V48" i="11"/>
  <c r="W48" i="11" s="1"/>
  <c r="X48" i="11" s="1"/>
  <c r="U52" i="11"/>
  <c r="V52" i="11"/>
  <c r="W52" i="11"/>
  <c r="X52" i="11"/>
  <c r="U53" i="11"/>
  <c r="V53" i="11"/>
  <c r="W53" i="11"/>
  <c r="X53" i="11"/>
  <c r="V54" i="11"/>
  <c r="V55" i="11"/>
  <c r="W55" i="11" s="1"/>
  <c r="V56" i="11"/>
  <c r="W56" i="11" s="1"/>
  <c r="U62" i="11"/>
  <c r="V58" i="11"/>
  <c r="W58" i="11" s="1"/>
  <c r="X58" i="11" s="1"/>
  <c r="Y58" i="11" s="1"/>
  <c r="V59" i="11"/>
  <c r="W59" i="11" s="1"/>
  <c r="V60" i="11"/>
  <c r="V61" i="11"/>
  <c r="W61" i="11" s="1"/>
  <c r="X61" i="11" s="1"/>
  <c r="V62" i="11"/>
  <c r="V63" i="11"/>
  <c r="W63" i="11" s="1"/>
  <c r="X63" i="11" s="1"/>
  <c r="V65" i="11"/>
  <c r="W65" i="11" s="1"/>
  <c r="X65" i="11" s="1"/>
  <c r="Y65" i="11" s="1"/>
  <c r="W62" i="11"/>
  <c r="X62" i="11"/>
  <c r="Y42" i="10"/>
  <c r="Y70" i="11"/>
  <c r="AA11" i="6"/>
  <c r="AA84" i="6" s="1"/>
  <c r="AA96" i="6" s="1"/>
  <c r="AA89" i="5"/>
  <c r="AA106" i="5"/>
  <c r="AA14" i="5" s="1"/>
  <c r="AA58" i="5"/>
  <c r="AA62" i="5"/>
  <c r="AA60" i="5"/>
  <c r="AB11" i="6"/>
  <c r="AB83" i="6" s="1"/>
  <c r="AB95" i="6" s="1"/>
  <c r="AB89" i="5"/>
  <c r="AB13" i="5" s="1"/>
  <c r="AB106" i="5"/>
  <c r="AB14" i="5" s="1"/>
  <c r="AB58" i="5"/>
  <c r="AB62" i="5"/>
  <c r="AB60" i="5"/>
  <c r="AC11" i="6"/>
  <c r="AC83" i="6" s="1"/>
  <c r="AC89" i="5"/>
  <c r="AC13" i="5" s="1"/>
  <c r="AC106" i="5"/>
  <c r="AC14" i="5" s="1"/>
  <c r="AC58" i="5"/>
  <c r="AC62" i="5"/>
  <c r="AC60" i="5"/>
  <c r="AD11" i="6"/>
  <c r="AJ40" i="6" s="1"/>
  <c r="AD89" i="5"/>
  <c r="AD13" i="5" s="1"/>
  <c r="AD106" i="5"/>
  <c r="AD14" i="5" s="1"/>
  <c r="AD58" i="5"/>
  <c r="AD42" i="5" s="1"/>
  <c r="AD62" i="5"/>
  <c r="AD60" i="5"/>
  <c r="AE9" i="11"/>
  <c r="AA10" i="11"/>
  <c r="AB10" i="11"/>
  <c r="AC10" i="11"/>
  <c r="AD10" i="11"/>
  <c r="AA13" i="11"/>
  <c r="AB13" i="11"/>
  <c r="AC13" i="11"/>
  <c r="AD13" i="11"/>
  <c r="AB14" i="11"/>
  <c r="AC14" i="11" s="1"/>
  <c r="AD14" i="11" s="1"/>
  <c r="AE14" i="11" s="1"/>
  <c r="AB15" i="11"/>
  <c r="AC15" i="11" s="1"/>
  <c r="AB16" i="11"/>
  <c r="AC16" i="11" s="1"/>
  <c r="AD16" i="11" s="1"/>
  <c r="AE16" i="11" s="1"/>
  <c r="AE17" i="11"/>
  <c r="AB18" i="11"/>
  <c r="AC18" i="11" s="1"/>
  <c r="AB19" i="11"/>
  <c r="AC19" i="11" s="1"/>
  <c r="AD19" i="11" s="1"/>
  <c r="AB20" i="11"/>
  <c r="AC20" i="11" s="1"/>
  <c r="AB21" i="11"/>
  <c r="AC21" i="11" s="1"/>
  <c r="AA28" i="11"/>
  <c r="AB28" i="11"/>
  <c r="AC28" i="11"/>
  <c r="AD28" i="11"/>
  <c r="AE29" i="11"/>
  <c r="AB32" i="11"/>
  <c r="AC32" i="11" s="1"/>
  <c r="AA36" i="11"/>
  <c r="AE37" i="11"/>
  <c r="AE38" i="11"/>
  <c r="AE39" i="11"/>
  <c r="AE40" i="11"/>
  <c r="AE41" i="11"/>
  <c r="AE42" i="11"/>
  <c r="AE44" i="11"/>
  <c r="AE45" i="11"/>
  <c r="AA17" i="10"/>
  <c r="Y123" i="10"/>
  <c r="Y115" i="10"/>
  <c r="AB17" i="10"/>
  <c r="AC17" i="10"/>
  <c r="AC214" i="10" s="1"/>
  <c r="AD17" i="10"/>
  <c r="AB48" i="11"/>
  <c r="AC48" i="11" s="1"/>
  <c r="AA52" i="11"/>
  <c r="AB52" i="11"/>
  <c r="AC52" i="11"/>
  <c r="AD52" i="11"/>
  <c r="AA53" i="11"/>
  <c r="AB53" i="11"/>
  <c r="AC53" i="11"/>
  <c r="AD53" i="11"/>
  <c r="AB54" i="11"/>
  <c r="AB94" i="10" s="1"/>
  <c r="AB55" i="11"/>
  <c r="AB56" i="11"/>
  <c r="AA62" i="11"/>
  <c r="AB58" i="11"/>
  <c r="AC58" i="11" s="1"/>
  <c r="AB59" i="11"/>
  <c r="AC59" i="11" s="1"/>
  <c r="AB60" i="11"/>
  <c r="AC60" i="11" s="1"/>
  <c r="AD60" i="11" s="1"/>
  <c r="AE60" i="11" s="1"/>
  <c r="AB61" i="11"/>
  <c r="AC61" i="11" s="1"/>
  <c r="AD61" i="11" s="1"/>
  <c r="AB62" i="11"/>
  <c r="AB63" i="11"/>
  <c r="AC63" i="11" s="1"/>
  <c r="AD63" i="11" s="1"/>
  <c r="AE63" i="11" s="1"/>
  <c r="AB65" i="11"/>
  <c r="AC65" i="11" s="1"/>
  <c r="AD65" i="11" s="1"/>
  <c r="AC62" i="11"/>
  <c r="AD62" i="11"/>
  <c r="AE42" i="10"/>
  <c r="AE70" i="11"/>
  <c r="AG18" i="6"/>
  <c r="AG89" i="5"/>
  <c r="AG66" i="5"/>
  <c r="AG68" i="5"/>
  <c r="AG70" i="5"/>
  <c r="AG54" i="5" s="1"/>
  <c r="AG55" i="5" s="1"/>
  <c r="AG147" i="5"/>
  <c r="AH18" i="6"/>
  <c r="AH72" i="6" s="1"/>
  <c r="AH89" i="5"/>
  <c r="AH13" i="5" s="1"/>
  <c r="AH66" i="5"/>
  <c r="AH50" i="5" s="1"/>
  <c r="AH68" i="5"/>
  <c r="AH52" i="5" s="1"/>
  <c r="AH53" i="5" s="1"/>
  <c r="AH70" i="5"/>
  <c r="AH54" i="5" s="1"/>
  <c r="AH55" i="5" s="1"/>
  <c r="AH147" i="5"/>
  <c r="AI18" i="6"/>
  <c r="AI71" i="6" s="1"/>
  <c r="AI75" i="5"/>
  <c r="AI79" i="5"/>
  <c r="AI77" i="5"/>
  <c r="AI66" i="5"/>
  <c r="AI68" i="5"/>
  <c r="AI52" i="5" s="1"/>
  <c r="AI53" i="5" s="1"/>
  <c r="AI70" i="5"/>
  <c r="AI54" i="5" s="1"/>
  <c r="AI55" i="5" s="1"/>
  <c r="AI147" i="5"/>
  <c r="AK9" i="11"/>
  <c r="AG10" i="11"/>
  <c r="AH10" i="11"/>
  <c r="AI10" i="11"/>
  <c r="AJ10" i="11"/>
  <c r="AG13" i="11"/>
  <c r="AH13" i="11"/>
  <c r="AI13" i="11"/>
  <c r="AJ13" i="11"/>
  <c r="AH14" i="11"/>
  <c r="AI14" i="11" s="1"/>
  <c r="AJ14" i="11" s="1"/>
  <c r="AK14" i="11" s="1"/>
  <c r="AH15" i="11"/>
  <c r="AI15" i="11" s="1"/>
  <c r="AH16" i="11"/>
  <c r="AI16" i="11" s="1"/>
  <c r="AJ16" i="11" s="1"/>
  <c r="AK16" i="11" s="1"/>
  <c r="AK17" i="11"/>
  <c r="AH18" i="11"/>
  <c r="AI18" i="11" s="1"/>
  <c r="AJ18" i="11" s="1"/>
  <c r="AH19" i="11"/>
  <c r="AI19" i="11" s="1"/>
  <c r="AJ19" i="11" s="1"/>
  <c r="AK19" i="11" s="1"/>
  <c r="AH20" i="11"/>
  <c r="AI20" i="11" s="1"/>
  <c r="AJ20" i="11" s="1"/>
  <c r="AK20" i="11" s="1"/>
  <c r="AH21" i="11"/>
  <c r="AI21" i="11" s="1"/>
  <c r="AJ21" i="11" s="1"/>
  <c r="AK21" i="11" s="1"/>
  <c r="AG28" i="11"/>
  <c r="AH28" i="11"/>
  <c r="AI28" i="11"/>
  <c r="AJ28" i="11"/>
  <c r="AK29" i="11"/>
  <c r="AH32" i="11"/>
  <c r="AI32" i="11" s="1"/>
  <c r="AJ32" i="11" s="1"/>
  <c r="AG36" i="11"/>
  <c r="AH36" i="11" s="1"/>
  <c r="AK37" i="11"/>
  <c r="AK38" i="11"/>
  <c r="AK39" i="11"/>
  <c r="AK40" i="11"/>
  <c r="AK41" i="11"/>
  <c r="AK42" i="11"/>
  <c r="AK44" i="11"/>
  <c r="AK45" i="11"/>
  <c r="AG17" i="10"/>
  <c r="AE123" i="10"/>
  <c r="AE115" i="10"/>
  <c r="AH17" i="10"/>
  <c r="AH214" i="10" s="1"/>
  <c r="AI17" i="10"/>
  <c r="AJ17" i="10"/>
  <c r="AK17" i="10" s="1"/>
  <c r="AK214" i="10" s="1"/>
  <c r="AJ107" i="10"/>
  <c r="AJ119" i="10"/>
  <c r="AH48" i="11"/>
  <c r="AI48" i="11" s="1"/>
  <c r="AG52" i="11"/>
  <c r="AH52" i="11"/>
  <c r="AI52" i="11"/>
  <c r="AJ52" i="11"/>
  <c r="AG53" i="11"/>
  <c r="AH53" i="11"/>
  <c r="AH107" i="11" s="1"/>
  <c r="AH106" i="11" s="1"/>
  <c r="AI53" i="11"/>
  <c r="AJ53" i="11"/>
  <c r="AJ107" i="11" s="1"/>
  <c r="AJ106" i="11" s="1"/>
  <c r="AH54" i="11"/>
  <c r="AH94" i="10" s="1"/>
  <c r="AH55" i="11"/>
  <c r="AI55" i="11" s="1"/>
  <c r="AJ55" i="11" s="1"/>
  <c r="AH56" i="11"/>
  <c r="AI56" i="11" s="1"/>
  <c r="AJ56" i="11" s="1"/>
  <c r="AG62" i="11"/>
  <c r="AH58" i="11"/>
  <c r="AI58" i="11" s="1"/>
  <c r="AJ58" i="11" s="1"/>
  <c r="AK58" i="11" s="1"/>
  <c r="AH59" i="11"/>
  <c r="AI59" i="11" s="1"/>
  <c r="AH60" i="11"/>
  <c r="AI60" i="11" s="1"/>
  <c r="AH61" i="11"/>
  <c r="AI61" i="11" s="1"/>
  <c r="AJ61" i="11" s="1"/>
  <c r="AK61" i="11" s="1"/>
  <c r="AH62" i="11"/>
  <c r="AH63" i="11"/>
  <c r="AI63" i="11" s="1"/>
  <c r="AJ63" i="11" s="1"/>
  <c r="AK63" i="11" s="1"/>
  <c r="AH65" i="11"/>
  <c r="AI65" i="11" s="1"/>
  <c r="AJ65" i="11" s="1"/>
  <c r="AK65" i="11" s="1"/>
  <c r="AI62" i="11"/>
  <c r="AJ62" i="11"/>
  <c r="AK70" i="11"/>
  <c r="AM18" i="6"/>
  <c r="AM75" i="5"/>
  <c r="AM79" i="5"/>
  <c r="AM77" i="5"/>
  <c r="AM66" i="5"/>
  <c r="AM50" i="5" s="1"/>
  <c r="AM51" i="5" s="1"/>
  <c r="AM68" i="5"/>
  <c r="AM52" i="5" s="1"/>
  <c r="AM70" i="5"/>
  <c r="AM147" i="5"/>
  <c r="AN18" i="6"/>
  <c r="AN75" i="5"/>
  <c r="AN79" i="5"/>
  <c r="AN77" i="5"/>
  <c r="AN66" i="5"/>
  <c r="AN68" i="5"/>
  <c r="AN70" i="5"/>
  <c r="AN147" i="5"/>
  <c r="AO18" i="6"/>
  <c r="AO75" i="5"/>
  <c r="AO79" i="5"/>
  <c r="AO77" i="5"/>
  <c r="AO66" i="5"/>
  <c r="AO50" i="5" s="1"/>
  <c r="AO51" i="5" s="1"/>
  <c r="AO68" i="5"/>
  <c r="AO70" i="5"/>
  <c r="AO54" i="5" s="1"/>
  <c r="AO55" i="5" s="1"/>
  <c r="AO147" i="5"/>
  <c r="AP18" i="6"/>
  <c r="AP81" i="5"/>
  <c r="AP79" i="5"/>
  <c r="AP66" i="5"/>
  <c r="AP68" i="5"/>
  <c r="AP52" i="5" s="1"/>
  <c r="AP53" i="5" s="1"/>
  <c r="AP70" i="5"/>
  <c r="AP147" i="5"/>
  <c r="AQ9" i="11"/>
  <c r="AM10" i="11"/>
  <c r="AN10" i="11"/>
  <c r="AO10" i="11"/>
  <c r="AP10" i="11"/>
  <c r="AM13" i="11"/>
  <c r="AN13" i="11"/>
  <c r="AO13" i="11"/>
  <c r="AP13" i="11"/>
  <c r="AN14" i="11"/>
  <c r="AO14" i="11" s="1"/>
  <c r="AP14" i="11" s="1"/>
  <c r="AQ14" i="11" s="1"/>
  <c r="AN15" i="11"/>
  <c r="AO15" i="11" s="1"/>
  <c r="AP15" i="11" s="1"/>
  <c r="AQ15" i="11" s="1"/>
  <c r="AN16" i="11"/>
  <c r="AO16" i="11" s="1"/>
  <c r="AP16" i="11" s="1"/>
  <c r="AQ16" i="11" s="1"/>
  <c r="AQ17" i="11"/>
  <c r="AN18" i="11"/>
  <c r="AO18" i="11" s="1"/>
  <c r="AN19" i="11"/>
  <c r="AO19" i="11" s="1"/>
  <c r="AP19" i="11" s="1"/>
  <c r="AQ19" i="11" s="1"/>
  <c r="AN20" i="11"/>
  <c r="AO20" i="11" s="1"/>
  <c r="AP20" i="11" s="1"/>
  <c r="AQ20" i="11" s="1"/>
  <c r="AN21" i="11"/>
  <c r="AO21" i="11" s="1"/>
  <c r="AP21" i="11" s="1"/>
  <c r="AQ21" i="11" s="1"/>
  <c r="AM28" i="11"/>
  <c r="AN28" i="11"/>
  <c r="AO28" i="11"/>
  <c r="AP28" i="11"/>
  <c r="AQ29" i="11"/>
  <c r="AN32" i="11"/>
  <c r="AO32" i="11" s="1"/>
  <c r="AM36" i="11"/>
  <c r="AM101" i="10" s="1"/>
  <c r="AQ37" i="11"/>
  <c r="AQ38" i="11"/>
  <c r="AQ39" i="11"/>
  <c r="AQ40" i="11"/>
  <c r="AQ41" i="11"/>
  <c r="AQ42" i="11"/>
  <c r="AQ44" i="11"/>
  <c r="AQ45" i="11"/>
  <c r="AM17" i="10"/>
  <c r="AM214" i="10" s="1"/>
  <c r="AK16" i="10"/>
  <c r="AK115" i="10"/>
  <c r="AN17" i="10"/>
  <c r="AO17" i="10"/>
  <c r="AP17" i="10"/>
  <c r="AP107" i="10"/>
  <c r="AP119" i="10"/>
  <c r="AN48" i="11"/>
  <c r="AO48" i="11" s="1"/>
  <c r="AP48" i="11" s="1"/>
  <c r="AQ48" i="11" s="1"/>
  <c r="AM52" i="11"/>
  <c r="AN52" i="11"/>
  <c r="AO52" i="11"/>
  <c r="AP52" i="11"/>
  <c r="AM53" i="11"/>
  <c r="AN53" i="11"/>
  <c r="AN107" i="11" s="1"/>
  <c r="AN106" i="11" s="1"/>
  <c r="AO53" i="11"/>
  <c r="AO107" i="11" s="1"/>
  <c r="AO106" i="11" s="1"/>
  <c r="AP53" i="11"/>
  <c r="AP107" i="11" s="1"/>
  <c r="AP106" i="11" s="1"/>
  <c r="AN54" i="11"/>
  <c r="AO54" i="11" s="1"/>
  <c r="AO94" i="10" s="1"/>
  <c r="AN55" i="11"/>
  <c r="AO55" i="11" s="1"/>
  <c r="AP55" i="11" s="1"/>
  <c r="AN56" i="11"/>
  <c r="AO56" i="11" s="1"/>
  <c r="AP56" i="11" s="1"/>
  <c r="AM62" i="11"/>
  <c r="AN58" i="11"/>
  <c r="AN59" i="11"/>
  <c r="AN60" i="11"/>
  <c r="AO60" i="11" s="1"/>
  <c r="AP60" i="11" s="1"/>
  <c r="AQ60" i="11" s="1"/>
  <c r="AN61" i="11"/>
  <c r="AO61" i="11" s="1"/>
  <c r="AP61" i="11" s="1"/>
  <c r="AQ61" i="11" s="1"/>
  <c r="AN62" i="11"/>
  <c r="AN63" i="11"/>
  <c r="AO63" i="11" s="1"/>
  <c r="AP63" i="11" s="1"/>
  <c r="AN65" i="11"/>
  <c r="AO65" i="11" s="1"/>
  <c r="AP65" i="11" s="1"/>
  <c r="AO58" i="11"/>
  <c r="AP58" i="11" s="1"/>
  <c r="AO62" i="11"/>
  <c r="AP62" i="11"/>
  <c r="AQ70" i="11"/>
  <c r="AU18" i="6"/>
  <c r="AU81" i="5"/>
  <c r="AU79" i="5"/>
  <c r="AU66" i="5"/>
  <c r="AU68" i="5"/>
  <c r="AU52" i="5" s="1"/>
  <c r="AU70" i="5"/>
  <c r="AU54" i="5" s="1"/>
  <c r="AU55" i="5" s="1"/>
  <c r="AU147" i="5"/>
  <c r="AU23" i="5"/>
  <c r="AW23" i="5" s="1"/>
  <c r="AU132" i="5"/>
  <c r="AU133" i="5"/>
  <c r="AV18" i="6"/>
  <c r="AV81" i="5"/>
  <c r="AV79" i="5"/>
  <c r="AV66" i="5"/>
  <c r="AV68" i="5"/>
  <c r="AV70" i="5"/>
  <c r="AV54" i="5" s="1"/>
  <c r="AV55" i="5" s="1"/>
  <c r="AV147" i="5"/>
  <c r="AV131" i="5"/>
  <c r="AV133" i="5"/>
  <c r="AT9" i="11"/>
  <c r="AW9" i="11" s="1"/>
  <c r="AS10" i="11"/>
  <c r="AT10" i="11" s="1"/>
  <c r="AU10" i="11"/>
  <c r="AV10" i="11"/>
  <c r="AT12" i="11"/>
  <c r="AT17" i="5" s="1"/>
  <c r="AS13" i="11"/>
  <c r="AT13" i="11" s="1"/>
  <c r="AU113" i="5"/>
  <c r="AU124" i="5" s="1"/>
  <c r="AT14" i="11"/>
  <c r="AU14" i="11" s="1"/>
  <c r="AT15" i="11"/>
  <c r="AU15" i="11" s="1"/>
  <c r="AW15" i="11" s="1"/>
  <c r="AT16" i="11"/>
  <c r="AT17" i="11"/>
  <c r="AW17" i="11" s="1"/>
  <c r="AT18" i="11"/>
  <c r="AU18" i="11" s="1"/>
  <c r="AW18" i="11" s="1"/>
  <c r="AT19" i="11"/>
  <c r="AU19" i="11" s="1"/>
  <c r="AT20" i="11"/>
  <c r="AU20" i="11" s="1"/>
  <c r="AT21" i="11"/>
  <c r="AU21" i="11" s="1"/>
  <c r="AW21" i="11" s="1"/>
  <c r="AS22" i="11"/>
  <c r="AT22" i="11" s="1"/>
  <c r="AT24" i="11"/>
  <c r="AV24" i="11"/>
  <c r="AT25" i="11"/>
  <c r="AT157" i="10"/>
  <c r="AT26" i="11"/>
  <c r="AU164" i="10"/>
  <c r="AT164" i="10"/>
  <c r="AT27" i="11"/>
  <c r="AV27" i="11"/>
  <c r="AT28" i="11"/>
  <c r="AU28" i="11"/>
  <c r="AV28" i="11"/>
  <c r="AT29" i="11"/>
  <c r="AW29" i="11" s="1"/>
  <c r="AT30" i="11"/>
  <c r="AV13" i="10"/>
  <c r="AW13" i="10" s="1"/>
  <c r="AT32" i="11"/>
  <c r="AU32" i="11" s="1"/>
  <c r="AW32" i="11" s="1"/>
  <c r="AT36" i="11"/>
  <c r="AT101" i="10" s="1"/>
  <c r="AU36" i="11"/>
  <c r="AT37" i="11"/>
  <c r="AW37" i="11" s="1"/>
  <c r="AT38" i="11"/>
  <c r="AT39" i="11"/>
  <c r="AW39" i="11" s="1"/>
  <c r="AT40" i="11"/>
  <c r="AW40" i="11" s="1"/>
  <c r="AT41" i="11"/>
  <c r="AW41" i="11" s="1"/>
  <c r="AT42" i="11"/>
  <c r="AW42" i="11" s="1"/>
  <c r="AT43" i="11"/>
  <c r="AT44" i="11"/>
  <c r="AW44" i="11" s="1"/>
  <c r="AT45" i="11"/>
  <c r="AW45" i="11" s="1"/>
  <c r="AT46" i="11"/>
  <c r="AT214" i="10"/>
  <c r="AT107" i="10"/>
  <c r="AU100" i="10" s="1"/>
  <c r="AT48" i="11"/>
  <c r="AU48" i="11" s="1"/>
  <c r="AW48" i="11" s="1"/>
  <c r="AT52" i="11"/>
  <c r="AT53" i="11"/>
  <c r="AV53" i="11"/>
  <c r="AT54" i="11"/>
  <c r="AT94" i="10" s="1"/>
  <c r="AV54" i="11"/>
  <c r="AV94" i="10" s="1"/>
  <c r="AT55" i="11"/>
  <c r="AU55" i="11" s="1"/>
  <c r="AW55" i="11" s="1"/>
  <c r="AT56" i="11"/>
  <c r="AU56" i="11" s="1"/>
  <c r="AW56" i="11" s="1"/>
  <c r="AT57" i="11"/>
  <c r="AU212" i="10"/>
  <c r="AS23" i="11"/>
  <c r="AS47" i="11"/>
  <c r="AS49" i="11" s="1"/>
  <c r="AS64" i="11"/>
  <c r="AS67" i="11" s="1"/>
  <c r="AT58" i="11"/>
  <c r="AT59" i="11"/>
  <c r="AU59" i="11" s="1"/>
  <c r="AW59" i="11" s="1"/>
  <c r="AT60" i="11"/>
  <c r="AT61" i="11"/>
  <c r="AU61" i="11" s="1"/>
  <c r="AW61" i="11" s="1"/>
  <c r="AT62" i="11"/>
  <c r="AT63" i="11"/>
  <c r="AU63" i="11" s="1"/>
  <c r="AW63" i="11" s="1"/>
  <c r="AT65" i="11"/>
  <c r="AT69" i="11"/>
  <c r="AW69" i="11" s="1"/>
  <c r="AX21" i="13"/>
  <c r="AX20" i="13" s="1"/>
  <c r="AX22" i="13" s="1"/>
  <c r="AX23" i="13" s="1"/>
  <c r="AW70" i="11"/>
  <c r="AZ8" i="11"/>
  <c r="BA8" i="11" s="1"/>
  <c r="AZ9" i="11"/>
  <c r="BA9" i="11" s="1"/>
  <c r="BB9" i="11" s="1"/>
  <c r="BC9" i="11" s="1"/>
  <c r="AY10" i="11"/>
  <c r="AZ10" i="11" s="1"/>
  <c r="AZ12" i="11"/>
  <c r="BA12" i="11" s="1"/>
  <c r="AY13" i="11"/>
  <c r="AZ14" i="11"/>
  <c r="BA14" i="11" s="1"/>
  <c r="BB14" i="11" s="1"/>
  <c r="BC14" i="11" s="1"/>
  <c r="AZ15" i="11"/>
  <c r="BA15" i="11" s="1"/>
  <c r="BB15" i="11" s="1"/>
  <c r="BC15" i="11" s="1"/>
  <c r="AZ16" i="11"/>
  <c r="BA16" i="11" s="1"/>
  <c r="BB16" i="11" s="1"/>
  <c r="BC16" i="11" s="1"/>
  <c r="AZ17" i="11"/>
  <c r="BA17" i="11" s="1"/>
  <c r="AZ18" i="11"/>
  <c r="BA18" i="11" s="1"/>
  <c r="BB18" i="11" s="1"/>
  <c r="AZ19" i="11"/>
  <c r="BA19" i="11" s="1"/>
  <c r="AZ20" i="11"/>
  <c r="BA20" i="11" s="1"/>
  <c r="BB20" i="11" s="1"/>
  <c r="BC20" i="11" s="1"/>
  <c r="AZ21" i="11"/>
  <c r="BA21" i="11" s="1"/>
  <c r="BB21" i="11" s="1"/>
  <c r="BC21" i="11" s="1"/>
  <c r="AZ22" i="11"/>
  <c r="BA22" i="11" s="1"/>
  <c r="BB22" i="11" s="1"/>
  <c r="BC22" i="11" s="1"/>
  <c r="AZ24" i="11"/>
  <c r="BA24" i="11" s="1"/>
  <c r="BB24" i="11" s="1"/>
  <c r="BC24" i="11" s="1"/>
  <c r="AZ25" i="11"/>
  <c r="BA25" i="11" s="1"/>
  <c r="AZ26" i="11"/>
  <c r="AZ27" i="11"/>
  <c r="BA27" i="11" s="1"/>
  <c r="AZ28" i="11"/>
  <c r="BA28" i="11" s="1"/>
  <c r="BB28" i="11" s="1"/>
  <c r="BC28" i="11" s="1"/>
  <c r="AZ29" i="11"/>
  <c r="BA29" i="11" s="1"/>
  <c r="BB29" i="11" s="1"/>
  <c r="AZ30" i="11"/>
  <c r="BA30" i="11" s="1"/>
  <c r="BB30" i="11" s="1"/>
  <c r="BC30" i="11" s="1"/>
  <c r="AZ32" i="11"/>
  <c r="BA32" i="11" s="1"/>
  <c r="BB32" i="11" s="1"/>
  <c r="AZ36" i="11"/>
  <c r="BA36" i="11" s="1"/>
  <c r="AZ37" i="11"/>
  <c r="BA37" i="11" s="1"/>
  <c r="AZ38" i="11"/>
  <c r="BA38" i="11" s="1"/>
  <c r="AZ39" i="11"/>
  <c r="BA39" i="11" s="1"/>
  <c r="AZ40" i="11"/>
  <c r="AZ41" i="11"/>
  <c r="BA41" i="11" s="1"/>
  <c r="BB41" i="11" s="1"/>
  <c r="AZ42" i="11"/>
  <c r="BA42" i="11" s="1"/>
  <c r="BB42" i="11" s="1"/>
  <c r="AZ43" i="11"/>
  <c r="BA43" i="11" s="1"/>
  <c r="BB43" i="11" s="1"/>
  <c r="AZ44" i="11"/>
  <c r="BA44" i="11" s="1"/>
  <c r="BB44" i="11" s="1"/>
  <c r="BC44" i="11" s="1"/>
  <c r="AZ45" i="11"/>
  <c r="BA45" i="11" s="1"/>
  <c r="BB45" i="11" s="1"/>
  <c r="AZ46" i="11"/>
  <c r="BA46" i="11" s="1"/>
  <c r="BA115" i="10" s="1"/>
  <c r="AZ48" i="11"/>
  <c r="BA48" i="11" s="1"/>
  <c r="AZ52" i="11"/>
  <c r="AZ53" i="11"/>
  <c r="AZ107" i="11" s="1"/>
  <c r="AZ106" i="11" s="1"/>
  <c r="AZ54" i="11"/>
  <c r="AZ94" i="10" s="1"/>
  <c r="AZ55" i="11"/>
  <c r="AZ56" i="11"/>
  <c r="AZ57" i="11"/>
  <c r="AZ58" i="11"/>
  <c r="AZ59" i="11"/>
  <c r="AZ60" i="11"/>
  <c r="AZ61" i="11"/>
  <c r="BA61" i="11" s="1"/>
  <c r="AZ62" i="11"/>
  <c r="BA62" i="11" s="1"/>
  <c r="AZ63" i="11"/>
  <c r="BA63" i="11" s="1"/>
  <c r="AZ65" i="11"/>
  <c r="AZ69" i="11"/>
  <c r="BA69" i="11" s="1"/>
  <c r="AZ70" i="11"/>
  <c r="BA70" i="11" s="1"/>
  <c r="BB70" i="11" s="1"/>
  <c r="BC70" i="11" s="1"/>
  <c r="BE11" i="11"/>
  <c r="BE22" i="11"/>
  <c r="BF22" i="11" s="1"/>
  <c r="BE23" i="11"/>
  <c r="BE47" i="11"/>
  <c r="BE49" i="11" s="1"/>
  <c r="BE64" i="11"/>
  <c r="BE67" i="11" s="1"/>
  <c r="BF8" i="11"/>
  <c r="BF9" i="11"/>
  <c r="BG9" i="11" s="1"/>
  <c r="BF10" i="11"/>
  <c r="BF12" i="11"/>
  <c r="BF13" i="11"/>
  <c r="BF14" i="11"/>
  <c r="BG14" i="11" s="1"/>
  <c r="BF15" i="11"/>
  <c r="BF16" i="11"/>
  <c r="BF17" i="11"/>
  <c r="BF18" i="11"/>
  <c r="BG18" i="11" s="1"/>
  <c r="BF19" i="11"/>
  <c r="BF20" i="11"/>
  <c r="BF21" i="11"/>
  <c r="BF24" i="11"/>
  <c r="BF25" i="11"/>
  <c r="BF26" i="11"/>
  <c r="BG26" i="11" s="1"/>
  <c r="BF27" i="11"/>
  <c r="BG27" i="11" s="1"/>
  <c r="BF28" i="11"/>
  <c r="BF29" i="11"/>
  <c r="BF30" i="11"/>
  <c r="BG30" i="11" s="1"/>
  <c r="BF36" i="11"/>
  <c r="BG36" i="11" s="1"/>
  <c r="BF37" i="11"/>
  <c r="BF38" i="11"/>
  <c r="BG38" i="11" s="1"/>
  <c r="BF39" i="11"/>
  <c r="BG39" i="11" s="1"/>
  <c r="BF40" i="11"/>
  <c r="BF41" i="11"/>
  <c r="BF42" i="11"/>
  <c r="BG42" i="11" s="1"/>
  <c r="BF43" i="11"/>
  <c r="BF44" i="11"/>
  <c r="BF45" i="11"/>
  <c r="BF46" i="11"/>
  <c r="BF48" i="11"/>
  <c r="BF52" i="11"/>
  <c r="BG52" i="11" s="1"/>
  <c r="BF53" i="11"/>
  <c r="BF54" i="11"/>
  <c r="BF94" i="10" s="1"/>
  <c r="BF55" i="11"/>
  <c r="BF56" i="11"/>
  <c r="BG56" i="11" s="1"/>
  <c r="BF57" i="11"/>
  <c r="BG57" i="11" s="1"/>
  <c r="BF58" i="11"/>
  <c r="BG58" i="11" s="1"/>
  <c r="BF59" i="11"/>
  <c r="BF60" i="11"/>
  <c r="BG60" i="11" s="1"/>
  <c r="BF61" i="11"/>
  <c r="BG61" i="11" s="1"/>
  <c r="BF62" i="11"/>
  <c r="BG62" i="11" s="1"/>
  <c r="BF63" i="11"/>
  <c r="BF65" i="11"/>
  <c r="BG65" i="11" s="1"/>
  <c r="BF69" i="11"/>
  <c r="BF70" i="11"/>
  <c r="BG70" i="11" s="1"/>
  <c r="BH18" i="6"/>
  <c r="BH83" i="5"/>
  <c r="BH85" i="5"/>
  <c r="BH87" i="5"/>
  <c r="BH101" i="5"/>
  <c r="BH103" i="5"/>
  <c r="BH105" i="5"/>
  <c r="BH66" i="5"/>
  <c r="BH68" i="5"/>
  <c r="BH70" i="5"/>
  <c r="BH54" i="5" s="1"/>
  <c r="BH131" i="5"/>
  <c r="BT131" i="5" s="1"/>
  <c r="BZ131" i="5" s="1"/>
  <c r="CF131" i="5" s="1"/>
  <c r="CL131" i="5" s="1"/>
  <c r="BH133" i="5"/>
  <c r="S95" i="11"/>
  <c r="Y91" i="11" s="1"/>
  <c r="AE92" i="11"/>
  <c r="AK92" i="11" s="1"/>
  <c r="AQ92" i="11" s="1"/>
  <c r="BK11" i="13"/>
  <c r="BK16" i="13"/>
  <c r="BK19" i="13"/>
  <c r="BI21" i="13"/>
  <c r="BJ37" i="13" s="1"/>
  <c r="BW131" i="5"/>
  <c r="CC131" i="5" s="1"/>
  <c r="CI131" i="5" s="1"/>
  <c r="BE133" i="5"/>
  <c r="BE66" i="5"/>
  <c r="BE70" i="5"/>
  <c r="BE68" i="5"/>
  <c r="BE52" i="5" s="1"/>
  <c r="BE53" i="5" s="1"/>
  <c r="AY18" i="6"/>
  <c r="BE58" i="6" s="1"/>
  <c r="BE24" i="7" s="1"/>
  <c r="BF18" i="6"/>
  <c r="AT14" i="6"/>
  <c r="AZ51" i="6"/>
  <c r="BF51" i="6"/>
  <c r="AT15" i="6"/>
  <c r="CD84" i="5"/>
  <c r="CJ84" i="5" s="1"/>
  <c r="BF101" i="5"/>
  <c r="BF103" i="5"/>
  <c r="BF105" i="5"/>
  <c r="BF131" i="5"/>
  <c r="BR131" i="5" s="1"/>
  <c r="BR132" i="5"/>
  <c r="BX132" i="5" s="1"/>
  <c r="CD132" i="5" s="1"/>
  <c r="CJ132" i="5" s="1"/>
  <c r="BR133" i="5"/>
  <c r="BX133" i="5" s="1"/>
  <c r="CD133" i="5" s="1"/>
  <c r="CJ133" i="5" s="1"/>
  <c r="BF66" i="5"/>
  <c r="BF70" i="5"/>
  <c r="BF54" i="5" s="1"/>
  <c r="BF55" i="5" s="1"/>
  <c r="BF68" i="5"/>
  <c r="BF52" i="5" s="1"/>
  <c r="BF53" i="5" s="1"/>
  <c r="BF83" i="5"/>
  <c r="BF85" i="5"/>
  <c r="BF87" i="5"/>
  <c r="BL106" i="10"/>
  <c r="AO14" i="6"/>
  <c r="AU92" i="7" s="1"/>
  <c r="AU105" i="7" s="1"/>
  <c r="BA51" i="6"/>
  <c r="BG50" i="6"/>
  <c r="BG51" i="6"/>
  <c r="AO15" i="6"/>
  <c r="AU93" i="7" s="1"/>
  <c r="AU106" i="7" s="1"/>
  <c r="CE84" i="5"/>
  <c r="CK84" i="5" s="1"/>
  <c r="BG101" i="5"/>
  <c r="BG103" i="5"/>
  <c r="BG105" i="5"/>
  <c r="BG131" i="5"/>
  <c r="BS133" i="5"/>
  <c r="BY133" i="5" s="1"/>
  <c r="CE133" i="5" s="1"/>
  <c r="CK133" i="5" s="1"/>
  <c r="BG18" i="6"/>
  <c r="BG66" i="5"/>
  <c r="BG50" i="5" s="1"/>
  <c r="BG70" i="5"/>
  <c r="BG54" i="5" s="1"/>
  <c r="BG55" i="5" s="1"/>
  <c r="BG68" i="5"/>
  <c r="BG83" i="5"/>
  <c r="BG85" i="5"/>
  <c r="BG87" i="5"/>
  <c r="AP14" i="6"/>
  <c r="AV92" i="7" s="1"/>
  <c r="AV105" i="7" s="1"/>
  <c r="BB51" i="6"/>
  <c r="BH51" i="6"/>
  <c r="AP15" i="6"/>
  <c r="AV93" i="7" s="1"/>
  <c r="AV106" i="7" s="1"/>
  <c r="CF84" i="5"/>
  <c r="CL84" i="5" s="1"/>
  <c r="BT132" i="5"/>
  <c r="BZ132" i="5" s="1"/>
  <c r="CF132" i="5" s="1"/>
  <c r="CL132" i="5" s="1"/>
  <c r="BO29" i="11"/>
  <c r="BO37" i="11"/>
  <c r="BO38" i="11"/>
  <c r="BO39" i="11"/>
  <c r="BO40" i="11"/>
  <c r="BO41" i="11"/>
  <c r="BO42" i="11"/>
  <c r="BO43" i="11"/>
  <c r="BO44" i="11"/>
  <c r="BO45" i="11"/>
  <c r="BO46" i="11"/>
  <c r="BO48" i="11"/>
  <c r="AQ115" i="10"/>
  <c r="AW115" i="10"/>
  <c r="AS119" i="10"/>
  <c r="AT114" i="10" s="1"/>
  <c r="AV119" i="10"/>
  <c r="AY115" i="10"/>
  <c r="AZ18" i="6"/>
  <c r="BA18" i="6"/>
  <c r="BA102" i="6" s="1"/>
  <c r="BB18" i="6"/>
  <c r="BB73" i="6" s="1"/>
  <c r="AY119" i="10"/>
  <c r="AZ114" i="10" s="1"/>
  <c r="AZ119" i="10"/>
  <c r="BA114" i="10" s="1"/>
  <c r="BA119" i="10"/>
  <c r="BB114" i="10" s="1"/>
  <c r="BB119" i="10"/>
  <c r="BE115" i="10"/>
  <c r="BG119" i="10"/>
  <c r="BH114" i="10" s="1"/>
  <c r="BE119" i="10"/>
  <c r="BF114" i="10" s="1"/>
  <c r="BF119" i="10"/>
  <c r="BG114" i="10" s="1"/>
  <c r="BS102" i="10"/>
  <c r="BT102" i="10" s="1"/>
  <c r="BR115" i="10"/>
  <c r="BS115" i="10"/>
  <c r="BT115" i="10"/>
  <c r="BX102" i="10"/>
  <c r="BY102" i="10" s="1"/>
  <c r="BZ102" i="10" s="1"/>
  <c r="BC12" i="6"/>
  <c r="BC13" i="6"/>
  <c r="BC17" i="6"/>
  <c r="BC54" i="6" s="1"/>
  <c r="BE44" i="6"/>
  <c r="BI12" i="6"/>
  <c r="BF44" i="6"/>
  <c r="BG44" i="6"/>
  <c r="BH44" i="6"/>
  <c r="BI13" i="6"/>
  <c r="BE55" i="6"/>
  <c r="BI17" i="6"/>
  <c r="BF55" i="6"/>
  <c r="BG55" i="6"/>
  <c r="BH55" i="6"/>
  <c r="AS18" i="6"/>
  <c r="AT18" i="6"/>
  <c r="AV66" i="7"/>
  <c r="AW66" i="7" s="1"/>
  <c r="AN71" i="7"/>
  <c r="AO28" i="6"/>
  <c r="AO31" i="6" s="1"/>
  <c r="AO32" i="6" s="1"/>
  <c r="AW12" i="6"/>
  <c r="AW13" i="6"/>
  <c r="AW17" i="6"/>
  <c r="AY44" i="6"/>
  <c r="AZ44" i="6"/>
  <c r="BA44" i="6"/>
  <c r="BB44" i="6"/>
  <c r="AY55" i="6"/>
  <c r="AZ55" i="6"/>
  <c r="BA55" i="6"/>
  <c r="BB55" i="6"/>
  <c r="BB70" i="7"/>
  <c r="AZ23" i="7"/>
  <c r="BB75" i="7"/>
  <c r="BB74" i="7"/>
  <c r="BB71" i="7"/>
  <c r="BB73" i="7"/>
  <c r="DE47" i="7" s="1"/>
  <c r="BB72" i="7"/>
  <c r="AW67" i="7"/>
  <c r="AW65" i="7"/>
  <c r="AW64" i="7"/>
  <c r="AW63" i="7"/>
  <c r="AW62" i="7"/>
  <c r="AQ67" i="7"/>
  <c r="AQ66" i="7"/>
  <c r="AQ65" i="7"/>
  <c r="AQ64" i="7"/>
  <c r="AQ63" i="7"/>
  <c r="AQ62" i="7"/>
  <c r="BO235" i="5"/>
  <c r="BI234" i="5"/>
  <c r="BZ91" i="11"/>
  <c r="CF91" i="11" s="1"/>
  <c r="CL91" i="11" s="1"/>
  <c r="BY91" i="11"/>
  <c r="CE91" i="11" s="1"/>
  <c r="CK91" i="11" s="1"/>
  <c r="BX91" i="11"/>
  <c r="CD91" i="11" s="1"/>
  <c r="CJ91" i="11" s="1"/>
  <c r="BW91" i="11"/>
  <c r="CC91" i="11" s="1"/>
  <c r="CI91" i="11" s="1"/>
  <c r="BW132" i="5"/>
  <c r="CC132" i="5" s="1"/>
  <c r="CI132" i="5" s="1"/>
  <c r="DN25" i="7"/>
  <c r="DN43" i="7" s="1"/>
  <c r="DN59" i="7" s="1"/>
  <c r="DM25" i="7"/>
  <c r="DM43" i="7" s="1"/>
  <c r="DM59" i="7" s="1"/>
  <c r="DL25" i="7"/>
  <c r="DL43" i="7" s="1"/>
  <c r="DL59" i="7" s="1"/>
  <c r="DK25" i="7"/>
  <c r="DJ25" i="7"/>
  <c r="DI25" i="7"/>
  <c r="DH25" i="7"/>
  <c r="DG25" i="7"/>
  <c r="DF25" i="7"/>
  <c r="DE25" i="7"/>
  <c r="DD25" i="7"/>
  <c r="DC25" i="7"/>
  <c r="DB25" i="7"/>
  <c r="DA25" i="7"/>
  <c r="CZ25" i="7"/>
  <c r="CY25" i="7"/>
  <c r="CX25" i="7"/>
  <c r="CW25" i="7"/>
  <c r="CV25" i="7"/>
  <c r="CU25" i="7"/>
  <c r="CT25" i="7"/>
  <c r="CS25" i="7"/>
  <c r="CR25" i="7"/>
  <c r="CQ25" i="7"/>
  <c r="CP25" i="7"/>
  <c r="BE58" i="7"/>
  <c r="AS56" i="7"/>
  <c r="BE75" i="7"/>
  <c r="DF49" i="7" s="1"/>
  <c r="BE74" i="7"/>
  <c r="DF48" i="7" s="1"/>
  <c r="BE73" i="7"/>
  <c r="BE72" i="7"/>
  <c r="BE71" i="7"/>
  <c r="BE70" i="7"/>
  <c r="DF44" i="7" s="1"/>
  <c r="BI100" i="6"/>
  <c r="BI99" i="6"/>
  <c r="BO23" i="5"/>
  <c r="BH43" i="6"/>
  <c r="BV60" i="6"/>
  <c r="BP60" i="6"/>
  <c r="BD60" i="6"/>
  <c r="BH45" i="6"/>
  <c r="BH147" i="6"/>
  <c r="BH146" i="6"/>
  <c r="BH145" i="6"/>
  <c r="BI67" i="7"/>
  <c r="BI66" i="7"/>
  <c r="BI65" i="7"/>
  <c r="BI64" i="7"/>
  <c r="BI63" i="7"/>
  <c r="BI62" i="7"/>
  <c r="BC63" i="7"/>
  <c r="BC64" i="7"/>
  <c r="BC65" i="7"/>
  <c r="BC66" i="7"/>
  <c r="BC67" i="7"/>
  <c r="BC62" i="7"/>
  <c r="BI44" i="13"/>
  <c r="BI41" i="13"/>
  <c r="BI35" i="13"/>
  <c r="BI33" i="13"/>
  <c r="BI32" i="13"/>
  <c r="BI31" i="13"/>
  <c r="BI30" i="13"/>
  <c r="BI29" i="13"/>
  <c r="BI28" i="13"/>
  <c r="BI27" i="13"/>
  <c r="BI26" i="13"/>
  <c r="BG188" i="10"/>
  <c r="BG187" i="10"/>
  <c r="BG166" i="10"/>
  <c r="BG165" i="10"/>
  <c r="BG164" i="10"/>
  <c r="BG161" i="10"/>
  <c r="BG160" i="10"/>
  <c r="BG159" i="10"/>
  <c r="BG158" i="10"/>
  <c r="BG157" i="10"/>
  <c r="BG156" i="10"/>
  <c r="BG145" i="10"/>
  <c r="BG142" i="10"/>
  <c r="BH144" i="10" s="1"/>
  <c r="BG139" i="10"/>
  <c r="BG136" i="10"/>
  <c r="BH135" i="10" s="1"/>
  <c r="BH137" i="10" s="1"/>
  <c r="BH138" i="10" s="1"/>
  <c r="BG125" i="10"/>
  <c r="BH122" i="10" s="1"/>
  <c r="BH124" i="10" s="1"/>
  <c r="BG107" i="10"/>
  <c r="BH100" i="10" s="1"/>
  <c r="BG95" i="10"/>
  <c r="BG92" i="10"/>
  <c r="BG52" i="10"/>
  <c r="BG50" i="10"/>
  <c r="BG15" i="10"/>
  <c r="BE135" i="5"/>
  <c r="BI135" i="5" s="1"/>
  <c r="BG41" i="6"/>
  <c r="BG52" i="6"/>
  <c r="BG101" i="6"/>
  <c r="BF52" i="6"/>
  <c r="BG123" i="5"/>
  <c r="BH123" i="5" s="1"/>
  <c r="BS36" i="5"/>
  <c r="BT36" i="5" s="1"/>
  <c r="BW36" i="5" s="1"/>
  <c r="BX36" i="5" s="1"/>
  <c r="BY36" i="5" s="1"/>
  <c r="BZ36" i="5" s="1"/>
  <c r="CC36" i="5" s="1"/>
  <c r="CD36" i="5" s="1"/>
  <c r="CE36" i="5" s="1"/>
  <c r="CF36" i="5" s="1"/>
  <c r="CI36" i="5" s="1"/>
  <c r="CJ36" i="5" s="1"/>
  <c r="CK36" i="5" s="1"/>
  <c r="CL36" i="5" s="1"/>
  <c r="BF188" i="10"/>
  <c r="BE188" i="10"/>
  <c r="BE187" i="10"/>
  <c r="BB187" i="10"/>
  <c r="BC187" i="10" s="1"/>
  <c r="BB188" i="10"/>
  <c r="BC188" i="10" s="1"/>
  <c r="BF187" i="10"/>
  <c r="BF166" i="10"/>
  <c r="BE166" i="10"/>
  <c r="BF165" i="10"/>
  <c r="BE165" i="10"/>
  <c r="BF164" i="10"/>
  <c r="BE164" i="10"/>
  <c r="BF161" i="10"/>
  <c r="BE161" i="10"/>
  <c r="BF160" i="10"/>
  <c r="BE160" i="10"/>
  <c r="BF159" i="10"/>
  <c r="BE159" i="10"/>
  <c r="BF158" i="10"/>
  <c r="BE158" i="10"/>
  <c r="BE156" i="10"/>
  <c r="BE157" i="10"/>
  <c r="BF157" i="10"/>
  <c r="BF156" i="10"/>
  <c r="BF145" i="10"/>
  <c r="BE145" i="10"/>
  <c r="BF142" i="10"/>
  <c r="BE142" i="10"/>
  <c r="BF139" i="10"/>
  <c r="BE139" i="10"/>
  <c r="BF136" i="10"/>
  <c r="BG135" i="10" s="1"/>
  <c r="BE136" i="10"/>
  <c r="BF135" i="10" s="1"/>
  <c r="BF125" i="10"/>
  <c r="BG122" i="10" s="1"/>
  <c r="BE125" i="10"/>
  <c r="BF122" i="10" s="1"/>
  <c r="BF107" i="10"/>
  <c r="BG100" i="10" s="1"/>
  <c r="BF95" i="10"/>
  <c r="BF92" i="10"/>
  <c r="BF52" i="10"/>
  <c r="BE52" i="10"/>
  <c r="BF50" i="10"/>
  <c r="BE50" i="10"/>
  <c r="BH44" i="13"/>
  <c r="BH43" i="13"/>
  <c r="BH41" i="13"/>
  <c r="BH35" i="13"/>
  <c r="BH33" i="13"/>
  <c r="BH32" i="13"/>
  <c r="BH31" i="13"/>
  <c r="BH30" i="13"/>
  <c r="BH29" i="13"/>
  <c r="BH28" i="13"/>
  <c r="BH27" i="13"/>
  <c r="BH26" i="13"/>
  <c r="BF36" i="5"/>
  <c r="BF42" i="6"/>
  <c r="BF11" i="7" s="1"/>
  <c r="BF90" i="7" s="1"/>
  <c r="BF50" i="6"/>
  <c r="BF123" i="5"/>
  <c r="BF41" i="6"/>
  <c r="BE15" i="10"/>
  <c r="BG44" i="13"/>
  <c r="BG43" i="13"/>
  <c r="BG41" i="13"/>
  <c r="BG35" i="13"/>
  <c r="BG33" i="13"/>
  <c r="BG32" i="13"/>
  <c r="BG31" i="13"/>
  <c r="BG30" i="13"/>
  <c r="BG29" i="13"/>
  <c r="BG28" i="13"/>
  <c r="BG27" i="13"/>
  <c r="BG26" i="13"/>
  <c r="BG21" i="13"/>
  <c r="BK15" i="13"/>
  <c r="BE15" i="13"/>
  <c r="BK17" i="13"/>
  <c r="BE101" i="10"/>
  <c r="BE107" i="10"/>
  <c r="BF100" i="10" s="1"/>
  <c r="BE94" i="10"/>
  <c r="BE43" i="10"/>
  <c r="BE31" i="10"/>
  <c r="BE69" i="10" s="1"/>
  <c r="BE107" i="11"/>
  <c r="BE106" i="11" s="1"/>
  <c r="BX107" i="11"/>
  <c r="BY107" i="11" s="1"/>
  <c r="BZ107" i="11" s="1"/>
  <c r="BZ53" i="11" s="1"/>
  <c r="CA70" i="11"/>
  <c r="CA69" i="11"/>
  <c r="CA65" i="11"/>
  <c r="CA63" i="11"/>
  <c r="CA61" i="11"/>
  <c r="CA60" i="11"/>
  <c r="CA59" i="11"/>
  <c r="CA58" i="11"/>
  <c r="CA57" i="11"/>
  <c r="CA56" i="11"/>
  <c r="CA55" i="11"/>
  <c r="BW53" i="11"/>
  <c r="CA48" i="11"/>
  <c r="CA46" i="11"/>
  <c r="CA45" i="11"/>
  <c r="CA44" i="11"/>
  <c r="CA43" i="11"/>
  <c r="CA42" i="11"/>
  <c r="CA41" i="11"/>
  <c r="CA40" i="11"/>
  <c r="CA39" i="11"/>
  <c r="CA38" i="11"/>
  <c r="CA37" i="11"/>
  <c r="CA32" i="11"/>
  <c r="CA29" i="11"/>
  <c r="CA21" i="11"/>
  <c r="CA20" i="11"/>
  <c r="CA19" i="11"/>
  <c r="CA18" i="11"/>
  <c r="CA17" i="11"/>
  <c r="CA16" i="11"/>
  <c r="CA15" i="11"/>
  <c r="CA14" i="11"/>
  <c r="BZ10" i="11"/>
  <c r="BY10" i="11"/>
  <c r="BX10" i="11"/>
  <c r="BW10" i="11"/>
  <c r="CA9" i="11"/>
  <c r="CA6" i="11"/>
  <c r="CA124" i="10"/>
  <c r="BZ123" i="10"/>
  <c r="BY123" i="10"/>
  <c r="BX123" i="10"/>
  <c r="BW123" i="10"/>
  <c r="CA118" i="10"/>
  <c r="BZ115" i="10"/>
  <c r="BY115" i="10"/>
  <c r="BX115" i="10"/>
  <c r="BW115" i="10"/>
  <c r="BZ104" i="10"/>
  <c r="BY104" i="10"/>
  <c r="BX104" i="10"/>
  <c r="BW104" i="10"/>
  <c r="BZ103" i="10"/>
  <c r="BY103" i="10"/>
  <c r="BX103" i="10"/>
  <c r="BW103" i="10"/>
  <c r="CA33" i="10"/>
  <c r="BZ16" i="7"/>
  <c r="BY16" i="7"/>
  <c r="BX16" i="7"/>
  <c r="BW16" i="7"/>
  <c r="BZ15" i="7"/>
  <c r="BY15" i="7"/>
  <c r="BX15" i="7"/>
  <c r="BW15" i="7"/>
  <c r="BZ14" i="7"/>
  <c r="BY14" i="7"/>
  <c r="BX14" i="7"/>
  <c r="BW14" i="7"/>
  <c r="BZ13" i="7"/>
  <c r="BY13" i="7"/>
  <c r="BX13" i="7"/>
  <c r="BW13" i="7"/>
  <c r="BZ11" i="7"/>
  <c r="BY11" i="7"/>
  <c r="BX11" i="7"/>
  <c r="BW11" i="7"/>
  <c r="CB36" i="13"/>
  <c r="CA36" i="13"/>
  <c r="BZ36" i="13"/>
  <c r="BY7" i="13"/>
  <c r="CC7" i="13" s="1"/>
  <c r="BW5" i="6"/>
  <c r="BW5" i="7" s="1"/>
  <c r="BW6" i="10" s="1"/>
  <c r="CA6" i="10" s="1"/>
  <c r="CA236" i="5"/>
  <c r="CA235" i="5"/>
  <c r="CA234" i="5"/>
  <c r="CA233" i="5"/>
  <c r="CA232" i="5"/>
  <c r="CA135" i="5"/>
  <c r="CA128" i="5"/>
  <c r="CA115" i="5"/>
  <c r="BZ115" i="5"/>
  <c r="BY115" i="5"/>
  <c r="BX115" i="5"/>
  <c r="BW115" i="5"/>
  <c r="CA114" i="5"/>
  <c r="BZ114" i="5"/>
  <c r="BY114" i="5"/>
  <c r="BX114" i="5"/>
  <c r="BW114" i="5"/>
  <c r="CA27" i="5"/>
  <c r="CA22" i="5"/>
  <c r="CA7" i="5"/>
  <c r="CA8" i="5" s="1"/>
  <c r="CA139" i="5" s="1"/>
  <c r="CH189" i="6"/>
  <c r="BE52" i="6"/>
  <c r="BE45" i="6"/>
  <c r="BE41" i="6"/>
  <c r="BE123" i="5"/>
  <c r="BE87" i="5"/>
  <c r="BE85" i="5"/>
  <c r="BE83" i="5"/>
  <c r="BE36" i="5"/>
  <c r="AZ235" i="5"/>
  <c r="BB235" i="5"/>
  <c r="BD29" i="13"/>
  <c r="BD44" i="13"/>
  <c r="BD43" i="13"/>
  <c r="BD41" i="13"/>
  <c r="BD35" i="13"/>
  <c r="BD33" i="13"/>
  <c r="BD32" i="13"/>
  <c r="BD31" i="13"/>
  <c r="BD30" i="13"/>
  <c r="BD28" i="13"/>
  <c r="BD27" i="13"/>
  <c r="BD26" i="13"/>
  <c r="BD21" i="13"/>
  <c r="BE19" i="13"/>
  <c r="BE17" i="13"/>
  <c r="BE16" i="13"/>
  <c r="BE14" i="13"/>
  <c r="BE13" i="13"/>
  <c r="BE12" i="13"/>
  <c r="BE11" i="13"/>
  <c r="BE10" i="13"/>
  <c r="BB145" i="10"/>
  <c r="BB142" i="10"/>
  <c r="BC142" i="10" s="1"/>
  <c r="BB139" i="10"/>
  <c r="BB136" i="10"/>
  <c r="BC136" i="10" s="1"/>
  <c r="BB125" i="10"/>
  <c r="BB107" i="10"/>
  <c r="BB95" i="10"/>
  <c r="BB92" i="10"/>
  <c r="BB52" i="10"/>
  <c r="BB50" i="10"/>
  <c r="DC44" i="7"/>
  <c r="BC232" i="5"/>
  <c r="BC233" i="5"/>
  <c r="BC234" i="5"/>
  <c r="BI232" i="5"/>
  <c r="BI233" i="5"/>
  <c r="AW232" i="5"/>
  <c r="BO232" i="5"/>
  <c r="AW233" i="5"/>
  <c r="BO233" i="5"/>
  <c r="AS234" i="5"/>
  <c r="AT234" i="5"/>
  <c r="AU234" i="5"/>
  <c r="AV234" i="5"/>
  <c r="BO234" i="5"/>
  <c r="AW235" i="5"/>
  <c r="BI235" i="5"/>
  <c r="BT15" i="7"/>
  <c r="BS15" i="7"/>
  <c r="BR15" i="7"/>
  <c r="BQ15" i="7"/>
  <c r="BT14" i="7"/>
  <c r="BS14" i="7"/>
  <c r="BR14" i="7"/>
  <c r="BQ14" i="7"/>
  <c r="BN15" i="7"/>
  <c r="BM15" i="7"/>
  <c r="BL15" i="7"/>
  <c r="BK15" i="7"/>
  <c r="BN14" i="7"/>
  <c r="BM14" i="7"/>
  <c r="BL14" i="7"/>
  <c r="BK14" i="7"/>
  <c r="BN13" i="7"/>
  <c r="BM13" i="7"/>
  <c r="BL13" i="7"/>
  <c r="BK13" i="7"/>
  <c r="BH15" i="7"/>
  <c r="BH14" i="7"/>
  <c r="BG14" i="7"/>
  <c r="BF14" i="7"/>
  <c r="BE14" i="7"/>
  <c r="BH13" i="7"/>
  <c r="BG13" i="7"/>
  <c r="BF13" i="7"/>
  <c r="BE13" i="7"/>
  <c r="BB14" i="7"/>
  <c r="DE14" i="7" s="1"/>
  <c r="BA14" i="7"/>
  <c r="DD14" i="7" s="1"/>
  <c r="AZ14" i="7"/>
  <c r="AY14" i="7"/>
  <c r="BB13" i="7"/>
  <c r="DE13" i="7" s="1"/>
  <c r="BA13" i="7"/>
  <c r="DD13" i="7" s="1"/>
  <c r="AZ13" i="7"/>
  <c r="AY13" i="7"/>
  <c r="CO26" i="7"/>
  <c r="CO27" i="7"/>
  <c r="BI236" i="5"/>
  <c r="BU236" i="5"/>
  <c r="BU235" i="5"/>
  <c r="BU234" i="5"/>
  <c r="BU233" i="5"/>
  <c r="BU232" i="5"/>
  <c r="BO236" i="5"/>
  <c r="BB52" i="6"/>
  <c r="BB45" i="6"/>
  <c r="BB41" i="6"/>
  <c r="BB133" i="5"/>
  <c r="BB126" i="5" s="1"/>
  <c r="BB101" i="5"/>
  <c r="BB100" i="5" s="1"/>
  <c r="BB103" i="5"/>
  <c r="BB102" i="5" s="1"/>
  <c r="BB105" i="5"/>
  <c r="BB104" i="5" s="1"/>
  <c r="BB135" i="5"/>
  <c r="BB123" i="5"/>
  <c r="BB36" i="5"/>
  <c r="AP16" i="6"/>
  <c r="AV94" i="7" s="1"/>
  <c r="AV107" i="7" s="1"/>
  <c r="AO16" i="6"/>
  <c r="AU94" i="7" s="1"/>
  <c r="AU107" i="7" s="1"/>
  <c r="AT16" i="6"/>
  <c r="AS16" i="6"/>
  <c r="M40" i="5"/>
  <c r="L40" i="5"/>
  <c r="K40" i="5"/>
  <c r="J40" i="5"/>
  <c r="I40" i="5"/>
  <c r="G40" i="5"/>
  <c r="F40" i="5"/>
  <c r="E40" i="5"/>
  <c r="D40" i="5"/>
  <c r="C40" i="5"/>
  <c r="BC44" i="13"/>
  <c r="BC43" i="13"/>
  <c r="BC41" i="13"/>
  <c r="BC35" i="13"/>
  <c r="BC33" i="13"/>
  <c r="BC32" i="13"/>
  <c r="BC31" i="13"/>
  <c r="BC30" i="13"/>
  <c r="BC29" i="13"/>
  <c r="BC28" i="13"/>
  <c r="BC27" i="13"/>
  <c r="BC26" i="13"/>
  <c r="BC21" i="13"/>
  <c r="BC20" i="13" s="1"/>
  <c r="BC22" i="13" s="1"/>
  <c r="BA95" i="10"/>
  <c r="BA92" i="10"/>
  <c r="BA145" i="10"/>
  <c r="BA142" i="10"/>
  <c r="BA139" i="10"/>
  <c r="BA136" i="10"/>
  <c r="BA125" i="10"/>
  <c r="BB122" i="10" s="1"/>
  <c r="BA107" i="10"/>
  <c r="BB100" i="10" s="1"/>
  <c r="BA52" i="10"/>
  <c r="BA50" i="10"/>
  <c r="BA202" i="10" s="1"/>
  <c r="BA15" i="10"/>
  <c r="AY173" i="6"/>
  <c r="AZ173" i="6"/>
  <c r="BA173" i="6"/>
  <c r="BA178" i="6"/>
  <c r="BA179" i="6"/>
  <c r="BA180" i="6"/>
  <c r="BA133" i="5"/>
  <c r="BA126" i="5" s="1"/>
  <c r="BA123" i="5"/>
  <c r="BA135" i="5"/>
  <c r="BA105" i="5"/>
  <c r="BA104" i="5" s="1"/>
  <c r="BA103" i="5"/>
  <c r="BA102" i="5" s="1"/>
  <c r="BA101" i="5"/>
  <c r="BA100" i="5" s="1"/>
  <c r="BA36" i="5"/>
  <c r="BA41" i="6"/>
  <c r="BA45" i="6"/>
  <c r="BA52" i="6"/>
  <c r="BA165" i="6"/>
  <c r="BA166" i="6"/>
  <c r="BA167" i="6"/>
  <c r="BA158" i="6"/>
  <c r="AT108" i="11"/>
  <c r="BB44" i="13"/>
  <c r="BB43" i="13"/>
  <c r="BB41" i="13"/>
  <c r="BB35" i="13"/>
  <c r="BB33" i="13"/>
  <c r="BB32" i="13"/>
  <c r="BB31" i="13"/>
  <c r="BB30" i="13"/>
  <c r="BB29" i="13"/>
  <c r="BB28" i="13"/>
  <c r="BB27" i="13"/>
  <c r="BB26" i="13"/>
  <c r="BB21" i="13"/>
  <c r="BB20" i="13" s="1"/>
  <c r="BB22" i="13" s="1"/>
  <c r="BB23" i="13" s="1"/>
  <c r="AZ145" i="10"/>
  <c r="AZ142" i="10"/>
  <c r="AZ139" i="10"/>
  <c r="AZ136" i="10"/>
  <c r="BA135" i="10" s="1"/>
  <c r="AZ125" i="10"/>
  <c r="BA122" i="10" s="1"/>
  <c r="AZ107" i="10"/>
  <c r="BA100" i="10" s="1"/>
  <c r="AZ95" i="10"/>
  <c r="AZ92" i="10"/>
  <c r="AZ52" i="10"/>
  <c r="AZ50" i="10"/>
  <c r="AZ257" i="5"/>
  <c r="AZ52" i="6"/>
  <c r="AZ45" i="6"/>
  <c r="AZ41" i="6"/>
  <c r="AZ121" i="6"/>
  <c r="AZ180" i="6"/>
  <c r="AZ179" i="6"/>
  <c r="AZ178" i="6"/>
  <c r="AZ167" i="6"/>
  <c r="AZ166" i="6"/>
  <c r="AZ165" i="6"/>
  <c r="AZ158" i="6"/>
  <c r="AZ135" i="5"/>
  <c r="AZ105" i="5"/>
  <c r="AZ104" i="5" s="1"/>
  <c r="AZ103" i="5"/>
  <c r="AZ102" i="5" s="1"/>
  <c r="AZ36" i="5"/>
  <c r="AZ133" i="5"/>
  <c r="AZ126" i="5" s="1"/>
  <c r="AZ25" i="5"/>
  <c r="AZ123" i="5"/>
  <c r="BC236" i="5"/>
  <c r="AW236" i="5"/>
  <c r="M23" i="7"/>
  <c r="CO33" i="7"/>
  <c r="CO32" i="7"/>
  <c r="CO31" i="7"/>
  <c r="AV35" i="10"/>
  <c r="AV21" i="10"/>
  <c r="BS7" i="13"/>
  <c r="BW7" i="13" s="1"/>
  <c r="BT16" i="7"/>
  <c r="BS16" i="7"/>
  <c r="BS95" i="7" s="1"/>
  <c r="BT11" i="7"/>
  <c r="BS11" i="7"/>
  <c r="BS90" i="7" s="1"/>
  <c r="BQ5" i="6"/>
  <c r="BU7" i="5"/>
  <c r="BU8" i="5" s="1"/>
  <c r="BU193" i="5" s="1"/>
  <c r="BT123" i="10"/>
  <c r="BS123" i="10"/>
  <c r="BR123" i="10"/>
  <c r="BT104" i="10"/>
  <c r="BS104" i="10"/>
  <c r="BR104" i="10"/>
  <c r="BT103" i="10"/>
  <c r="BS103" i="10"/>
  <c r="BR103" i="10"/>
  <c r="BU33" i="10"/>
  <c r="BV36" i="13"/>
  <c r="BU36" i="13"/>
  <c r="BT36" i="13"/>
  <c r="BR53" i="11"/>
  <c r="BU70" i="11"/>
  <c r="BU69" i="11"/>
  <c r="BU65" i="11"/>
  <c r="BU63" i="11"/>
  <c r="BU61" i="11"/>
  <c r="BU60" i="11"/>
  <c r="BU59" i="11"/>
  <c r="BU58" i="11"/>
  <c r="BU57" i="11"/>
  <c r="BU56" i="11"/>
  <c r="BU55" i="11"/>
  <c r="BU48" i="11"/>
  <c r="BU46" i="11"/>
  <c r="BU45" i="11"/>
  <c r="BU44" i="11"/>
  <c r="BU43" i="11"/>
  <c r="BU42" i="11"/>
  <c r="BU41" i="11"/>
  <c r="BU40" i="11"/>
  <c r="BU39" i="11"/>
  <c r="BU38" i="11"/>
  <c r="BU37" i="11"/>
  <c r="BU32" i="11"/>
  <c r="BU29" i="11"/>
  <c r="BU21" i="11"/>
  <c r="BU20" i="11"/>
  <c r="BU19" i="11"/>
  <c r="BU18" i="11"/>
  <c r="BU17" i="11"/>
  <c r="BU16" i="11"/>
  <c r="BU15" i="11"/>
  <c r="BU14" i="11"/>
  <c r="BT10" i="11"/>
  <c r="BS10" i="11"/>
  <c r="BR10" i="11"/>
  <c r="BU9" i="11"/>
  <c r="BU6" i="11"/>
  <c r="BU135" i="5"/>
  <c r="BU128" i="5"/>
  <c r="BU115" i="5"/>
  <c r="BT115" i="5"/>
  <c r="BS115" i="5"/>
  <c r="BR115" i="5"/>
  <c r="BU114" i="5"/>
  <c r="BT114" i="5"/>
  <c r="BS114" i="5"/>
  <c r="BR114" i="5"/>
  <c r="BU27" i="5"/>
  <c r="BU22" i="5"/>
  <c r="AT133" i="5"/>
  <c r="G188" i="10"/>
  <c r="M188" i="10"/>
  <c r="AK188" i="10"/>
  <c r="AQ188" i="10"/>
  <c r="AW127" i="5"/>
  <c r="AW130" i="5"/>
  <c r="I7" i="13"/>
  <c r="O7" i="13"/>
  <c r="U7" i="13"/>
  <c r="AA7" i="13"/>
  <c r="AG7" i="13"/>
  <c r="AM7" i="13"/>
  <c r="AS7" i="13"/>
  <c r="AY7" i="13"/>
  <c r="BE7" i="13"/>
  <c r="BK7" i="13"/>
  <c r="BQ7" i="13"/>
  <c r="E8" i="13"/>
  <c r="Q8" i="13"/>
  <c r="B10" i="13"/>
  <c r="U10" i="13"/>
  <c r="W26" i="13" s="1"/>
  <c r="AA10" i="13"/>
  <c r="AG10" i="13"/>
  <c r="AI26" i="13" s="1"/>
  <c r="AM10" i="13"/>
  <c r="AS10" i="13"/>
  <c r="AY10" i="13"/>
  <c r="U11" i="13"/>
  <c r="W27" i="13" s="1"/>
  <c r="AA11" i="13"/>
  <c r="AC27" i="13" s="1"/>
  <c r="AG11" i="13"/>
  <c r="AI27" i="13" s="1"/>
  <c r="AM11" i="13"/>
  <c r="AS11" i="13"/>
  <c r="AY11" i="13"/>
  <c r="U12" i="13"/>
  <c r="W28" i="13" s="1"/>
  <c r="AA12" i="13"/>
  <c r="AC28" i="13" s="1"/>
  <c r="AG12" i="13"/>
  <c r="AI28" i="13" s="1"/>
  <c r="AM12" i="13"/>
  <c r="AS12" i="13"/>
  <c r="AY12" i="13"/>
  <c r="U13" i="13"/>
  <c r="W29" i="13" s="1"/>
  <c r="AA13" i="13"/>
  <c r="AG13" i="13"/>
  <c r="AI29" i="13" s="1"/>
  <c r="AM13" i="13"/>
  <c r="AS13" i="13"/>
  <c r="AY13" i="13"/>
  <c r="U14" i="13"/>
  <c r="W30" i="13" s="1"/>
  <c r="AA14" i="13"/>
  <c r="AC30" i="13" s="1"/>
  <c r="AG14" i="13"/>
  <c r="AM14" i="13"/>
  <c r="AS14" i="13"/>
  <c r="AY14" i="13"/>
  <c r="U15" i="13"/>
  <c r="W31" i="13" s="1"/>
  <c r="AA15" i="13"/>
  <c r="AG15" i="13"/>
  <c r="AI31" i="13" s="1"/>
  <c r="AM15" i="13"/>
  <c r="AS15" i="13"/>
  <c r="AY15" i="13"/>
  <c r="U16" i="13"/>
  <c r="W32" i="13" s="1"/>
  <c r="AA16" i="13"/>
  <c r="AG16" i="13"/>
  <c r="AI32" i="13" s="1"/>
  <c r="AM16" i="13"/>
  <c r="AS16" i="13"/>
  <c r="AY16" i="13"/>
  <c r="U17" i="13"/>
  <c r="W33" i="13" s="1"/>
  <c r="AA17" i="13"/>
  <c r="AC33" i="13" s="1"/>
  <c r="AG17" i="13"/>
  <c r="AI33" i="13" s="1"/>
  <c r="AM17" i="13"/>
  <c r="AS17" i="13"/>
  <c r="AY17" i="13"/>
  <c r="U19" i="13"/>
  <c r="W35" i="13" s="1"/>
  <c r="AA19" i="13"/>
  <c r="AC35" i="13" s="1"/>
  <c r="AG19" i="13"/>
  <c r="AI35" i="13" s="1"/>
  <c r="AM19" i="13"/>
  <c r="AS19" i="13"/>
  <c r="AY19" i="13"/>
  <c r="Q21" i="13"/>
  <c r="Q20" i="13" s="1"/>
  <c r="Q22" i="13" s="1"/>
  <c r="Q23" i="13" s="1"/>
  <c r="R21" i="13"/>
  <c r="R20" i="13" s="1"/>
  <c r="R22" i="13" s="1"/>
  <c r="S21" i="13"/>
  <c r="S20" i="13" s="1"/>
  <c r="S22" i="13" s="1"/>
  <c r="S23" i="13" s="1"/>
  <c r="T21" i="13"/>
  <c r="W21" i="13"/>
  <c r="W20" i="13" s="1"/>
  <c r="W22" i="13" s="1"/>
  <c r="X21" i="13"/>
  <c r="X20" i="13" s="1"/>
  <c r="X22" i="13" s="1"/>
  <c r="Y21" i="13"/>
  <c r="Y20" i="13" s="1"/>
  <c r="Y22" i="13" s="1"/>
  <c r="Y23" i="13" s="1"/>
  <c r="Z21" i="13"/>
  <c r="AC21" i="13"/>
  <c r="AC20" i="13" s="1"/>
  <c r="AC22" i="13" s="1"/>
  <c r="AC23" i="13" s="1"/>
  <c r="AD21" i="13"/>
  <c r="AE21" i="13"/>
  <c r="AE20" i="13" s="1"/>
  <c r="AE22" i="13" s="1"/>
  <c r="AE23" i="13" s="1"/>
  <c r="AF21" i="13"/>
  <c r="AI21" i="13"/>
  <c r="AI20" i="13" s="1"/>
  <c r="AI22" i="13" s="1"/>
  <c r="AJ21" i="13"/>
  <c r="AJ20" i="13" s="1"/>
  <c r="AJ22" i="13" s="1"/>
  <c r="AJ23" i="13" s="1"/>
  <c r="AK21" i="13"/>
  <c r="AL21" i="13"/>
  <c r="AO21" i="13"/>
  <c r="AO20" i="13" s="1"/>
  <c r="AO22" i="13" s="1"/>
  <c r="AO23" i="13" s="1"/>
  <c r="AP21" i="13"/>
  <c r="AP20" i="13" s="1"/>
  <c r="AP22" i="13" s="1"/>
  <c r="AP23" i="13" s="1"/>
  <c r="AQ21" i="13"/>
  <c r="AQ20" i="13" s="1"/>
  <c r="AQ22" i="13" s="1"/>
  <c r="AQ23" i="13" s="1"/>
  <c r="AR21" i="13"/>
  <c r="AU21" i="13"/>
  <c r="AU20" i="13" s="1"/>
  <c r="AU22" i="13" s="1"/>
  <c r="AU23" i="13" s="1"/>
  <c r="BA21" i="13"/>
  <c r="BA20" i="13" s="1"/>
  <c r="BA22" i="13" s="1"/>
  <c r="BA23" i="13" s="1"/>
  <c r="A26" i="13"/>
  <c r="R26" i="13"/>
  <c r="S26" i="13"/>
  <c r="T26" i="13"/>
  <c r="X26" i="13"/>
  <c r="Y26" i="13"/>
  <c r="Z26" i="13"/>
  <c r="Z27" i="13"/>
  <c r="Z28" i="13"/>
  <c r="Z29" i="13"/>
  <c r="Z30" i="13"/>
  <c r="Z31" i="13"/>
  <c r="Z32" i="13"/>
  <c r="Z33" i="13"/>
  <c r="Z35" i="13"/>
  <c r="AD26" i="13"/>
  <c r="AE26" i="13"/>
  <c r="AF26" i="13"/>
  <c r="AJ26" i="13"/>
  <c r="AK26" i="13"/>
  <c r="AL26" i="13"/>
  <c r="AO26" i="13"/>
  <c r="AP26" i="13"/>
  <c r="AQ26" i="13"/>
  <c r="AR26" i="13"/>
  <c r="AU26" i="13"/>
  <c r="AV26" i="13"/>
  <c r="AW26" i="13"/>
  <c r="AX26" i="13"/>
  <c r="BA26" i="13"/>
  <c r="A27" i="13"/>
  <c r="R27" i="13"/>
  <c r="S27" i="13"/>
  <c r="T27" i="13"/>
  <c r="X27" i="13"/>
  <c r="Y27" i="13"/>
  <c r="AD27" i="13"/>
  <c r="AE27" i="13"/>
  <c r="AF27" i="13"/>
  <c r="AJ27" i="13"/>
  <c r="AK27" i="13"/>
  <c r="AL27" i="13"/>
  <c r="AO27" i="13"/>
  <c r="AP27" i="13"/>
  <c r="AQ27" i="13"/>
  <c r="AR27" i="13"/>
  <c r="AU27" i="13"/>
  <c r="AV27" i="13"/>
  <c r="AW27" i="13"/>
  <c r="AX27" i="13"/>
  <c r="BA27" i="13"/>
  <c r="A28" i="13"/>
  <c r="R28" i="13"/>
  <c r="S28" i="13"/>
  <c r="T28" i="13"/>
  <c r="X28" i="13"/>
  <c r="Y28" i="13"/>
  <c r="AD28" i="13"/>
  <c r="AE28" i="13"/>
  <c r="AF28" i="13"/>
  <c r="AJ28" i="13"/>
  <c r="AK28" i="13"/>
  <c r="AL28" i="13"/>
  <c r="AO28" i="13"/>
  <c r="AP28" i="13"/>
  <c r="AQ28" i="13"/>
  <c r="AR28" i="13"/>
  <c r="AU28" i="13"/>
  <c r="AV28" i="13"/>
  <c r="AW28" i="13"/>
  <c r="AX28" i="13"/>
  <c r="BA28" i="13"/>
  <c r="A29" i="13"/>
  <c r="R29" i="13"/>
  <c r="S29" i="13"/>
  <c r="T29" i="13"/>
  <c r="X29" i="13"/>
  <c r="Y29" i="13"/>
  <c r="AD29" i="13"/>
  <c r="AE29" i="13"/>
  <c r="AF29" i="13"/>
  <c r="AJ29" i="13"/>
  <c r="AK29" i="13"/>
  <c r="AL29" i="13"/>
  <c r="AO29" i="13"/>
  <c r="AP29" i="13"/>
  <c r="AQ29" i="13"/>
  <c r="AR29" i="13"/>
  <c r="AU29" i="13"/>
  <c r="AV29" i="13"/>
  <c r="AW29" i="13"/>
  <c r="AX29" i="13"/>
  <c r="BA29" i="13"/>
  <c r="A30" i="13"/>
  <c r="R30" i="13"/>
  <c r="S30" i="13"/>
  <c r="T30" i="13"/>
  <c r="X30" i="13"/>
  <c r="Y30" i="13"/>
  <c r="AD30" i="13"/>
  <c r="AE30" i="13"/>
  <c r="AF30" i="13"/>
  <c r="AJ30" i="13"/>
  <c r="AK30" i="13"/>
  <c r="AL30" i="13"/>
  <c r="AO30" i="13"/>
  <c r="AP30" i="13"/>
  <c r="AQ30" i="13"/>
  <c r="AR30" i="13"/>
  <c r="AU30" i="13"/>
  <c r="AV30" i="13"/>
  <c r="AW30" i="13"/>
  <c r="AX30" i="13"/>
  <c r="BA30" i="13"/>
  <c r="A31" i="13"/>
  <c r="R31" i="13"/>
  <c r="S31" i="13"/>
  <c r="T31" i="13"/>
  <c r="X31" i="13"/>
  <c r="Y31" i="13"/>
  <c r="AD31" i="13"/>
  <c r="AE31" i="13"/>
  <c r="AF31" i="13"/>
  <c r="AJ31" i="13"/>
  <c r="AK31" i="13"/>
  <c r="AL31" i="13"/>
  <c r="AO31" i="13"/>
  <c r="AP31" i="13"/>
  <c r="AQ31" i="13"/>
  <c r="AR31" i="13"/>
  <c r="AU31" i="13"/>
  <c r="AV31" i="13"/>
  <c r="AW31" i="13"/>
  <c r="AX31" i="13"/>
  <c r="BA31" i="13"/>
  <c r="A32" i="13"/>
  <c r="R32" i="13"/>
  <c r="S32" i="13"/>
  <c r="T32" i="13"/>
  <c r="X32" i="13"/>
  <c r="Y32" i="13"/>
  <c r="AD32" i="13"/>
  <c r="AE32" i="13"/>
  <c r="AF32" i="13"/>
  <c r="AJ32" i="13"/>
  <c r="AK32" i="13"/>
  <c r="AL32" i="13"/>
  <c r="AO32" i="13"/>
  <c r="AP32" i="13"/>
  <c r="AQ32" i="13"/>
  <c r="AR32" i="13"/>
  <c r="AU32" i="13"/>
  <c r="AV32" i="13"/>
  <c r="AW32" i="13"/>
  <c r="AX32" i="13"/>
  <c r="BA32" i="13"/>
  <c r="A33" i="13"/>
  <c r="R33" i="13"/>
  <c r="S33" i="13"/>
  <c r="T33" i="13"/>
  <c r="X33" i="13"/>
  <c r="Y33" i="13"/>
  <c r="AD33" i="13"/>
  <c r="AE33" i="13"/>
  <c r="AF33" i="13"/>
  <c r="AJ33" i="13"/>
  <c r="AK33" i="13"/>
  <c r="AL33" i="13"/>
  <c r="AO33" i="13"/>
  <c r="AP33" i="13"/>
  <c r="AQ33" i="13"/>
  <c r="AR33" i="13"/>
  <c r="AU33" i="13"/>
  <c r="AV33" i="13"/>
  <c r="AW33" i="13"/>
  <c r="AX33" i="13"/>
  <c r="BA33" i="13"/>
  <c r="R35" i="13"/>
  <c r="S35" i="13"/>
  <c r="T35" i="13"/>
  <c r="X35" i="13"/>
  <c r="Y35" i="13"/>
  <c r="AD35" i="13"/>
  <c r="AE35" i="13"/>
  <c r="AF35" i="13"/>
  <c r="AJ35" i="13"/>
  <c r="AK35" i="13"/>
  <c r="AL35" i="13"/>
  <c r="AO35" i="13"/>
  <c r="AP35" i="13"/>
  <c r="AQ35" i="13"/>
  <c r="AR35" i="13"/>
  <c r="AU35" i="13"/>
  <c r="AV35" i="13"/>
  <c r="AW35" i="13"/>
  <c r="AX35" i="13"/>
  <c r="BA35" i="13"/>
  <c r="Q41" i="13"/>
  <c r="R41" i="13"/>
  <c r="S41" i="13"/>
  <c r="T41" i="13"/>
  <c r="W41" i="13"/>
  <c r="X41" i="13"/>
  <c r="Y41" i="13"/>
  <c r="Z41" i="13"/>
  <c r="AC41" i="13"/>
  <c r="AD41" i="13"/>
  <c r="AE41" i="13"/>
  <c r="AF41" i="13"/>
  <c r="AI41" i="13"/>
  <c r="AJ41" i="13"/>
  <c r="AK41" i="13"/>
  <c r="AL41" i="13"/>
  <c r="AO41" i="13"/>
  <c r="AP41" i="13"/>
  <c r="AQ41" i="13"/>
  <c r="AR41" i="13"/>
  <c r="AU41" i="13"/>
  <c r="AV41" i="13"/>
  <c r="AW41" i="13"/>
  <c r="AX41" i="13"/>
  <c r="BA41" i="13"/>
  <c r="R43" i="13"/>
  <c r="S43" i="13"/>
  <c r="T43" i="13"/>
  <c r="U43" i="13"/>
  <c r="W43" i="13"/>
  <c r="Z43" i="13"/>
  <c r="AC43" i="13"/>
  <c r="AD43" i="13"/>
  <c r="AE43" i="13"/>
  <c r="AF43" i="13"/>
  <c r="AI43" i="13"/>
  <c r="AJ43" i="13"/>
  <c r="AK43" i="13"/>
  <c r="AL43" i="13"/>
  <c r="AO43" i="13"/>
  <c r="AP43" i="13"/>
  <c r="AQ43" i="13"/>
  <c r="AR43" i="13"/>
  <c r="AU43" i="13"/>
  <c r="AV43" i="13"/>
  <c r="BA43" i="13"/>
  <c r="Q44" i="13"/>
  <c r="Q45" i="13" s="1"/>
  <c r="R44" i="13"/>
  <c r="S44" i="13"/>
  <c r="T44" i="13"/>
  <c r="W44" i="13"/>
  <c r="X44" i="13"/>
  <c r="Y44" i="13"/>
  <c r="Z44" i="13"/>
  <c r="AC44" i="13"/>
  <c r="AD44" i="13"/>
  <c r="AE44" i="13"/>
  <c r="AF44" i="13"/>
  <c r="AI44" i="13"/>
  <c r="AJ44" i="13"/>
  <c r="AK44" i="13"/>
  <c r="AL44" i="13"/>
  <c r="AO44" i="13"/>
  <c r="AP44" i="13"/>
  <c r="AQ44" i="13"/>
  <c r="AR44" i="13"/>
  <c r="AU44" i="13"/>
  <c r="AV44" i="13"/>
  <c r="AW44" i="13"/>
  <c r="AX44" i="13"/>
  <c r="BA44" i="13"/>
  <c r="G6" i="11"/>
  <c r="M6" i="11"/>
  <c r="S6" i="11"/>
  <c r="Y6" i="11"/>
  <c r="AE6" i="11"/>
  <c r="AK6" i="11"/>
  <c r="AQ6" i="11"/>
  <c r="AW6" i="11"/>
  <c r="BC6" i="11"/>
  <c r="BI6" i="11"/>
  <c r="BO6" i="11"/>
  <c r="C7" i="11"/>
  <c r="O7" i="11"/>
  <c r="BO9" i="11"/>
  <c r="BN10" i="11"/>
  <c r="BO14" i="11"/>
  <c r="BO15" i="11"/>
  <c r="BO16" i="11"/>
  <c r="BO17" i="11"/>
  <c r="BO18" i="11"/>
  <c r="BO19" i="11"/>
  <c r="BO20" i="11"/>
  <c r="BO21" i="11"/>
  <c r="AY23" i="11"/>
  <c r="BO32" i="11"/>
  <c r="AY47" i="11"/>
  <c r="AY49" i="11" s="1"/>
  <c r="BO55" i="11"/>
  <c r="BO56" i="11"/>
  <c r="BO57" i="11"/>
  <c r="BO58" i="11"/>
  <c r="BO59" i="11"/>
  <c r="BO60" i="11"/>
  <c r="BO61" i="11"/>
  <c r="BO63" i="11"/>
  <c r="AY64" i="11"/>
  <c r="AY67" i="11" s="1"/>
  <c r="BO65" i="11"/>
  <c r="BO69" i="11"/>
  <c r="BO70" i="11"/>
  <c r="Y97" i="11"/>
  <c r="S99" i="11"/>
  <c r="S100" i="11"/>
  <c r="Y101" i="11"/>
  <c r="S103" i="11"/>
  <c r="Y103" i="11"/>
  <c r="AS107" i="11"/>
  <c r="AY107" i="11"/>
  <c r="AY106" i="11" s="1"/>
  <c r="O108" i="11"/>
  <c r="P108" i="11"/>
  <c r="Q108" i="11"/>
  <c r="R108" i="11"/>
  <c r="S108" i="11"/>
  <c r="U108" i="11"/>
  <c r="V108" i="11"/>
  <c r="W108" i="11"/>
  <c r="X108" i="11"/>
  <c r="Y108" i="11"/>
  <c r="AA108" i="11"/>
  <c r="AB108" i="11"/>
  <c r="AC108" i="11"/>
  <c r="AD108" i="11"/>
  <c r="AE108" i="11"/>
  <c r="AG108" i="11"/>
  <c r="AH108" i="11"/>
  <c r="AI108" i="11"/>
  <c r="AJ108" i="11"/>
  <c r="AK108" i="11"/>
  <c r="AM108" i="11"/>
  <c r="AN108" i="11"/>
  <c r="AO108" i="11"/>
  <c r="AP108" i="11"/>
  <c r="AQ108" i="11"/>
  <c r="AS108" i="11"/>
  <c r="G6" i="10"/>
  <c r="M6" i="10"/>
  <c r="S6" i="10"/>
  <c r="Y6" i="10"/>
  <c r="AE6" i="10"/>
  <c r="AK6" i="10"/>
  <c r="AQ6" i="10"/>
  <c r="AW6" i="10"/>
  <c r="BC6" i="10"/>
  <c r="BI6" i="10"/>
  <c r="BO6" i="10"/>
  <c r="C7" i="10"/>
  <c r="O7" i="10"/>
  <c r="G9" i="10"/>
  <c r="M9" i="10"/>
  <c r="M212" i="10" s="1"/>
  <c r="S9" i="10"/>
  <c r="S212" i="10" s="1"/>
  <c r="Y9" i="10"/>
  <c r="AE9" i="10"/>
  <c r="AE212" i="10" s="1"/>
  <c r="AK9" i="10"/>
  <c r="AK212" i="10" s="1"/>
  <c r="AQ9" i="10"/>
  <c r="AW9" i="10"/>
  <c r="AW212" i="10" s="1"/>
  <c r="G10" i="10"/>
  <c r="M10" i="10"/>
  <c r="S10" i="10"/>
  <c r="Y10" i="10"/>
  <c r="AE10" i="10"/>
  <c r="AK10" i="10"/>
  <c r="AQ10" i="10"/>
  <c r="AW10" i="10"/>
  <c r="AK11" i="10"/>
  <c r="AQ11" i="10"/>
  <c r="AQ156" i="10" s="1"/>
  <c r="AW11" i="10"/>
  <c r="AW156" i="10" s="1"/>
  <c r="AK12" i="10"/>
  <c r="AK157" i="10" s="1"/>
  <c r="AQ12" i="10"/>
  <c r="AW12" i="10"/>
  <c r="AK13" i="10"/>
  <c r="AK158" i="10" s="1"/>
  <c r="AQ13" i="10"/>
  <c r="AQ158" i="10" s="1"/>
  <c r="AJ15" i="10"/>
  <c r="AP15" i="10"/>
  <c r="AS15" i="10"/>
  <c r="AY15" i="10"/>
  <c r="AQ16" i="10"/>
  <c r="AQ159" i="10" s="1"/>
  <c r="AW16" i="10"/>
  <c r="AW159" i="10" s="1"/>
  <c r="G17" i="10"/>
  <c r="G214" i="10" s="1"/>
  <c r="AS17" i="10"/>
  <c r="AW17" i="10"/>
  <c r="AW214" i="10" s="1"/>
  <c r="AK18" i="10"/>
  <c r="AQ18" i="10"/>
  <c r="AW18" i="10"/>
  <c r="G19" i="10"/>
  <c r="M19" i="10"/>
  <c r="S19" i="10"/>
  <c r="Y19" i="10"/>
  <c r="AE19" i="10"/>
  <c r="AK19" i="10"/>
  <c r="AQ19" i="10"/>
  <c r="AW19" i="10"/>
  <c r="AK20" i="10"/>
  <c r="AQ20" i="10"/>
  <c r="AW20" i="10"/>
  <c r="AK21" i="10"/>
  <c r="AK160" i="10" s="1"/>
  <c r="AQ21" i="10"/>
  <c r="AQ160" i="10" s="1"/>
  <c r="AK25" i="10"/>
  <c r="AK164" i="10" s="1"/>
  <c r="AQ25" i="10"/>
  <c r="AW25" i="10"/>
  <c r="AK26" i="10"/>
  <c r="AQ26" i="10"/>
  <c r="AW26" i="10"/>
  <c r="AK27" i="10"/>
  <c r="AQ27" i="10"/>
  <c r="AW27" i="10"/>
  <c r="G28" i="10"/>
  <c r="M28" i="10"/>
  <c r="S28" i="10"/>
  <c r="Y28" i="10"/>
  <c r="AE28" i="10"/>
  <c r="AK28" i="10"/>
  <c r="AQ28" i="10"/>
  <c r="AW28" i="10"/>
  <c r="G29" i="10"/>
  <c r="M29" i="10"/>
  <c r="S29" i="10"/>
  <c r="Y29" i="10"/>
  <c r="AE29" i="10"/>
  <c r="AK29" i="10"/>
  <c r="AQ29" i="10"/>
  <c r="AW29" i="10"/>
  <c r="AK30" i="10"/>
  <c r="AQ30" i="10"/>
  <c r="AW30" i="10"/>
  <c r="AJ31" i="10"/>
  <c r="AP31" i="10"/>
  <c r="AP68" i="10" s="1"/>
  <c r="AS31" i="10"/>
  <c r="AV31" i="10"/>
  <c r="AY31" i="10"/>
  <c r="AY36" i="10" s="1"/>
  <c r="G32" i="10"/>
  <c r="M32" i="10"/>
  <c r="S32" i="10"/>
  <c r="Y32" i="10"/>
  <c r="AE32" i="10"/>
  <c r="AK32" i="10"/>
  <c r="AQ32" i="10"/>
  <c r="AW32" i="10"/>
  <c r="G33" i="10"/>
  <c r="M33" i="10"/>
  <c r="S33" i="10"/>
  <c r="Y33" i="10"/>
  <c r="AE33" i="10"/>
  <c r="AK33" i="10"/>
  <c r="AQ33" i="10"/>
  <c r="AW33" i="10"/>
  <c r="BC33" i="10"/>
  <c r="BC32" i="10"/>
  <c r="BC29" i="10"/>
  <c r="BI33" i="10"/>
  <c r="BO33" i="10"/>
  <c r="G34" i="10"/>
  <c r="M34" i="10"/>
  <c r="S34" i="10"/>
  <c r="Y34" i="10"/>
  <c r="AE34" i="10"/>
  <c r="AK34" i="10"/>
  <c r="AQ34" i="10"/>
  <c r="AW34" i="10"/>
  <c r="AK35" i="10"/>
  <c r="AK204" i="10" s="1"/>
  <c r="AQ35" i="10"/>
  <c r="AQ204" i="10" s="1"/>
  <c r="G37" i="10"/>
  <c r="G208" i="10" s="1"/>
  <c r="M37" i="10"/>
  <c r="M208" i="10" s="1"/>
  <c r="S37" i="10"/>
  <c r="S208" i="10" s="1"/>
  <c r="Y37" i="10"/>
  <c r="Y208" i="10" s="1"/>
  <c r="AE37" i="10"/>
  <c r="AE208" i="10" s="1"/>
  <c r="AK37" i="10"/>
  <c r="AK208" i="10" s="1"/>
  <c r="AQ37" i="10"/>
  <c r="AQ208" i="10" s="1"/>
  <c r="AT208" i="10"/>
  <c r="AU208" i="10"/>
  <c r="AW37" i="10"/>
  <c r="AW208" i="10" s="1"/>
  <c r="G38" i="10"/>
  <c r="G39" i="10"/>
  <c r="G40" i="10"/>
  <c r="M38" i="10"/>
  <c r="S38" i="10"/>
  <c r="Y38" i="10"/>
  <c r="AE38" i="10"/>
  <c r="AE39" i="10"/>
  <c r="AE40" i="10"/>
  <c r="AK38" i="10"/>
  <c r="AQ38" i="10"/>
  <c r="AW38" i="10"/>
  <c r="BC38" i="10"/>
  <c r="M39" i="10"/>
  <c r="M40" i="10"/>
  <c r="S39" i="10"/>
  <c r="Y39" i="10"/>
  <c r="AK39" i="10"/>
  <c r="AQ39" i="10"/>
  <c r="AW39" i="10"/>
  <c r="AW40" i="10"/>
  <c r="S40" i="10"/>
  <c r="Y40" i="10"/>
  <c r="AK40" i="10"/>
  <c r="AQ40" i="10"/>
  <c r="AK41" i="10"/>
  <c r="AQ41" i="10"/>
  <c r="AW41" i="10"/>
  <c r="AK42" i="10"/>
  <c r="AQ42" i="10"/>
  <c r="AS95" i="10" s="1"/>
  <c r="AV95" i="10"/>
  <c r="AW42" i="10"/>
  <c r="AY95" i="10" s="1"/>
  <c r="AJ43" i="10"/>
  <c r="AJ45" i="10" s="1"/>
  <c r="AJ209" i="10" s="1"/>
  <c r="AP43" i="10"/>
  <c r="AP45" i="10" s="1"/>
  <c r="AP209" i="10" s="1"/>
  <c r="AS43" i="10"/>
  <c r="AV43" i="10"/>
  <c r="AY43" i="10"/>
  <c r="G44" i="10"/>
  <c r="G207" i="10" s="1"/>
  <c r="M44" i="10"/>
  <c r="M207" i="10" s="1"/>
  <c r="S44" i="10"/>
  <c r="S207" i="10" s="1"/>
  <c r="Y44" i="10"/>
  <c r="Y207" i="10" s="1"/>
  <c r="AE44" i="10"/>
  <c r="AE207" i="10" s="1"/>
  <c r="AK44" i="10"/>
  <c r="AK207" i="10" s="1"/>
  <c r="AQ44" i="10"/>
  <c r="AQ207" i="10" s="1"/>
  <c r="AT207" i="10"/>
  <c r="AU207" i="10"/>
  <c r="AW44" i="10"/>
  <c r="AW207" i="10" s="1"/>
  <c r="BC44" i="10"/>
  <c r="BC207" i="10" s="1"/>
  <c r="T47" i="10"/>
  <c r="Z47" i="10"/>
  <c r="AF47" i="10"/>
  <c r="AL47" i="10"/>
  <c r="C50" i="10"/>
  <c r="C202" i="10" s="1"/>
  <c r="D50" i="10"/>
  <c r="D202" i="10" s="1"/>
  <c r="E50" i="10"/>
  <c r="E202" i="10" s="1"/>
  <c r="F50" i="10"/>
  <c r="F202" i="10" s="1"/>
  <c r="I50" i="10"/>
  <c r="I202" i="10" s="1"/>
  <c r="J50" i="10"/>
  <c r="J202" i="10" s="1"/>
  <c r="K50" i="10"/>
  <c r="K202" i="10" s="1"/>
  <c r="L50" i="10"/>
  <c r="L202" i="10" s="1"/>
  <c r="O50" i="10"/>
  <c r="O202" i="10" s="1"/>
  <c r="P50" i="10"/>
  <c r="P202" i="10" s="1"/>
  <c r="Q50" i="10"/>
  <c r="Q202" i="10" s="1"/>
  <c r="R50" i="10"/>
  <c r="R202" i="10" s="1"/>
  <c r="U50" i="10"/>
  <c r="U202" i="10" s="1"/>
  <c r="V50" i="10"/>
  <c r="V202" i="10" s="1"/>
  <c r="W50" i="10"/>
  <c r="W202" i="10" s="1"/>
  <c r="X50" i="10"/>
  <c r="X202" i="10" s="1"/>
  <c r="AA50" i="10"/>
  <c r="AA202" i="10" s="1"/>
  <c r="AB50" i="10"/>
  <c r="AB202" i="10" s="1"/>
  <c r="AC50" i="10"/>
  <c r="AC202" i="10" s="1"/>
  <c r="AD50" i="10"/>
  <c r="AG50" i="10"/>
  <c r="AG202" i="10" s="1"/>
  <c r="AH50" i="10"/>
  <c r="AH202" i="10" s="1"/>
  <c r="AI50" i="10"/>
  <c r="AI202" i="10" s="1"/>
  <c r="AJ50" i="10"/>
  <c r="AM50" i="10"/>
  <c r="AN50" i="10"/>
  <c r="AO50" i="10"/>
  <c r="AP50" i="10"/>
  <c r="AS50" i="10"/>
  <c r="AV50" i="10"/>
  <c r="AY50" i="10"/>
  <c r="AD52" i="10"/>
  <c r="AJ52" i="10"/>
  <c r="AM52" i="10"/>
  <c r="AN52" i="10"/>
  <c r="AP52" i="10"/>
  <c r="AS52" i="10"/>
  <c r="AV52" i="10"/>
  <c r="AY52" i="10"/>
  <c r="D92" i="10"/>
  <c r="E92" i="10"/>
  <c r="F92" i="10"/>
  <c r="J92" i="10"/>
  <c r="K92" i="10"/>
  <c r="L92" i="10"/>
  <c r="P92" i="10"/>
  <c r="Q92" i="10"/>
  <c r="R92" i="10"/>
  <c r="V92" i="10"/>
  <c r="W92" i="10"/>
  <c r="X92" i="10"/>
  <c r="AB92" i="10"/>
  <c r="AC92" i="10"/>
  <c r="AD92" i="10"/>
  <c r="AH92" i="10"/>
  <c r="AI92" i="10"/>
  <c r="AJ92" i="10"/>
  <c r="AN92" i="10"/>
  <c r="AO92" i="10"/>
  <c r="AP92" i="10"/>
  <c r="C94" i="10"/>
  <c r="I94" i="10"/>
  <c r="O94" i="10"/>
  <c r="U94" i="10"/>
  <c r="AA94" i="10"/>
  <c r="AG94" i="10"/>
  <c r="AM94" i="10"/>
  <c r="AS94" i="10"/>
  <c r="AY94" i="10"/>
  <c r="AS101" i="10"/>
  <c r="AY101" i="10"/>
  <c r="G103" i="10"/>
  <c r="M103" i="10"/>
  <c r="S103" i="10"/>
  <c r="Y103" i="10"/>
  <c r="AE103" i="10"/>
  <c r="AK103" i="10"/>
  <c r="AQ103" i="10"/>
  <c r="AW103" i="10"/>
  <c r="BC103" i="10"/>
  <c r="AS107" i="10"/>
  <c r="AT100" i="10" s="1"/>
  <c r="AV107" i="10"/>
  <c r="AY107" i="10"/>
  <c r="AZ100" i="10" s="1"/>
  <c r="AQ123" i="10"/>
  <c r="AW123" i="10"/>
  <c r="BC123" i="10"/>
  <c r="AV125" i="10"/>
  <c r="AY125" i="10"/>
  <c r="AZ122" i="10" s="1"/>
  <c r="C136" i="10"/>
  <c r="C137" i="10" s="1"/>
  <c r="L136" i="10"/>
  <c r="M136" i="10" s="1"/>
  <c r="O136" i="10"/>
  <c r="P135" i="10" s="1"/>
  <c r="P136" i="10"/>
  <c r="Q135" i="10" s="1"/>
  <c r="Q136" i="10"/>
  <c r="R136" i="10"/>
  <c r="S136" i="10" s="1"/>
  <c r="W136" i="10"/>
  <c r="X135" i="10" s="1"/>
  <c r="X136" i="10"/>
  <c r="Y136" i="10" s="1"/>
  <c r="AA136" i="10"/>
  <c r="AB135" i="10" s="1"/>
  <c r="AB136" i="10"/>
  <c r="AC136" i="10"/>
  <c r="AD135" i="10" s="1"/>
  <c r="AD136" i="10"/>
  <c r="AG136" i="10"/>
  <c r="AH135" i="10" s="1"/>
  <c r="AH136" i="10"/>
  <c r="AI135" i="10" s="1"/>
  <c r="AI136" i="10"/>
  <c r="AJ135" i="10" s="1"/>
  <c r="AI139" i="10"/>
  <c r="AJ136" i="10"/>
  <c r="AK136" i="10" s="1"/>
  <c r="AM136" i="10"/>
  <c r="AN136" i="10"/>
  <c r="AO135" i="10" s="1"/>
  <c r="AO136" i="10"/>
  <c r="AP135" i="10" s="1"/>
  <c r="AP136" i="10"/>
  <c r="AQ136" i="10" s="1"/>
  <c r="AS136" i="10"/>
  <c r="AT135" i="10" s="1"/>
  <c r="AV136" i="10"/>
  <c r="AW136" i="10" s="1"/>
  <c r="AY136" i="10"/>
  <c r="AZ135" i="10" s="1"/>
  <c r="C139" i="10"/>
  <c r="D139" i="10"/>
  <c r="E139" i="10"/>
  <c r="F139" i="10"/>
  <c r="I139" i="10"/>
  <c r="J139" i="10"/>
  <c r="K139" i="10"/>
  <c r="L139" i="10"/>
  <c r="O139" i="10"/>
  <c r="P139" i="10"/>
  <c r="Q139" i="10"/>
  <c r="R139" i="10"/>
  <c r="U139" i="10"/>
  <c r="V139" i="10"/>
  <c r="W139" i="10"/>
  <c r="X139" i="10"/>
  <c r="AA139" i="10"/>
  <c r="AB139" i="10"/>
  <c r="AC139" i="10"/>
  <c r="AD139" i="10"/>
  <c r="AG139" i="10"/>
  <c r="AH139" i="10"/>
  <c r="AJ139" i="10"/>
  <c r="AM139" i="10"/>
  <c r="AN139" i="10"/>
  <c r="AO139" i="10"/>
  <c r="AP139" i="10"/>
  <c r="AS139" i="10"/>
  <c r="AT139" i="10"/>
  <c r="AU139" i="10"/>
  <c r="AV139" i="10"/>
  <c r="AY139" i="10"/>
  <c r="C142" i="10"/>
  <c r="D142" i="10"/>
  <c r="E142" i="10"/>
  <c r="F142" i="10"/>
  <c r="I142" i="10"/>
  <c r="J142" i="10"/>
  <c r="K142" i="10"/>
  <c r="L142" i="10"/>
  <c r="O142" i="10"/>
  <c r="P142" i="10"/>
  <c r="Q142" i="10"/>
  <c r="R142" i="10"/>
  <c r="U142" i="10"/>
  <c r="V142" i="10"/>
  <c r="W142" i="10"/>
  <c r="X142" i="10"/>
  <c r="AA142" i="10"/>
  <c r="AB142" i="10"/>
  <c r="AC142" i="10"/>
  <c r="AD142" i="10"/>
  <c r="AG142" i="10"/>
  <c r="AH142" i="10"/>
  <c r="AI142" i="10"/>
  <c r="AJ142" i="10"/>
  <c r="AK142" i="10" s="1"/>
  <c r="AM142" i="10"/>
  <c r="AN142" i="10"/>
  <c r="AO142" i="10"/>
  <c r="AP142" i="10"/>
  <c r="AQ142" i="10" s="1"/>
  <c r="AS142" i="10"/>
  <c r="AV142" i="10"/>
  <c r="AY142" i="10"/>
  <c r="G144" i="10"/>
  <c r="C145" i="10"/>
  <c r="C143" i="10" s="1"/>
  <c r="C114" i="5" s="1"/>
  <c r="D145" i="10"/>
  <c r="D143" i="10" s="1"/>
  <c r="D114" i="5" s="1"/>
  <c r="E145" i="10"/>
  <c r="F145" i="10"/>
  <c r="F143" i="10" s="1"/>
  <c r="F114" i="5" s="1"/>
  <c r="I145" i="10"/>
  <c r="I143" i="10" s="1"/>
  <c r="I114" i="5" s="1"/>
  <c r="J145" i="10"/>
  <c r="J143" i="10" s="1"/>
  <c r="J114" i="5" s="1"/>
  <c r="K145" i="10"/>
  <c r="L145" i="10"/>
  <c r="L143" i="10" s="1"/>
  <c r="L114" i="5" s="1"/>
  <c r="O145" i="10"/>
  <c r="O143" i="10" s="1"/>
  <c r="O114" i="5" s="1"/>
  <c r="P145" i="10"/>
  <c r="P143" i="10" s="1"/>
  <c r="P114" i="5" s="1"/>
  <c r="Q145" i="10"/>
  <c r="R145" i="10"/>
  <c r="R143" i="10" s="1"/>
  <c r="R114" i="5" s="1"/>
  <c r="U145" i="10"/>
  <c r="U143" i="10" s="1"/>
  <c r="U114" i="5" s="1"/>
  <c r="V145" i="10"/>
  <c r="V143" i="10" s="1"/>
  <c r="V114" i="5" s="1"/>
  <c r="W145" i="10"/>
  <c r="X145" i="10"/>
  <c r="X143" i="10" s="1"/>
  <c r="X114" i="5" s="1"/>
  <c r="AA145" i="10"/>
  <c r="AA143" i="10" s="1"/>
  <c r="AA114" i="5" s="1"/>
  <c r="AB145" i="10"/>
  <c r="AC145" i="10"/>
  <c r="AC143" i="10" s="1"/>
  <c r="AC114" i="5" s="1"/>
  <c r="AD145" i="10"/>
  <c r="AD143" i="10" s="1"/>
  <c r="AD114" i="5" s="1"/>
  <c r="AG145" i="10"/>
  <c r="AG143" i="10" s="1"/>
  <c r="AG114" i="5" s="1"/>
  <c r="AH145" i="10"/>
  <c r="AI145" i="10"/>
  <c r="AI143" i="10" s="1"/>
  <c r="AI114" i="5" s="1"/>
  <c r="AJ145" i="10"/>
  <c r="AJ143" i="10" s="1"/>
  <c r="AJ114" i="5" s="1"/>
  <c r="AM145" i="10"/>
  <c r="AN145" i="10"/>
  <c r="AN143" i="10" s="1"/>
  <c r="AN114" i="5" s="1"/>
  <c r="AO145" i="10"/>
  <c r="AO143" i="10" s="1"/>
  <c r="AO114" i="5" s="1"/>
  <c r="AP145" i="10"/>
  <c r="AP143" i="10" s="1"/>
  <c r="AP114" i="5" s="1"/>
  <c r="AS145" i="10"/>
  <c r="AT145" i="10"/>
  <c r="AU145" i="10"/>
  <c r="AV145" i="10"/>
  <c r="AY145" i="10"/>
  <c r="AJ156" i="10"/>
  <c r="AP156" i="10"/>
  <c r="AS156" i="10"/>
  <c r="AV156" i="10"/>
  <c r="AY156" i="10"/>
  <c r="AJ157" i="10"/>
  <c r="AP157" i="10"/>
  <c r="AS157" i="10"/>
  <c r="AV157" i="10"/>
  <c r="AY157" i="10"/>
  <c r="AJ158" i="10"/>
  <c r="AP158" i="10"/>
  <c r="AS158" i="10"/>
  <c r="AY158" i="10"/>
  <c r="AJ159" i="10"/>
  <c r="AP159" i="10"/>
  <c r="AS159" i="10"/>
  <c r="AV159" i="10"/>
  <c r="AY159" i="10"/>
  <c r="AJ160" i="10"/>
  <c r="AP160" i="10"/>
  <c r="AS160" i="10"/>
  <c r="AY160" i="10"/>
  <c r="AV161" i="10"/>
  <c r="AY161" i="10"/>
  <c r="AJ164" i="10"/>
  <c r="AP164" i="10"/>
  <c r="AS164" i="10"/>
  <c r="AV164" i="10"/>
  <c r="AY164" i="10"/>
  <c r="AY165" i="10"/>
  <c r="AY166" i="10"/>
  <c r="AJ165" i="10"/>
  <c r="AP165" i="10"/>
  <c r="AS165" i="10"/>
  <c r="AV165" i="10"/>
  <c r="AJ166" i="10"/>
  <c r="AP166" i="10"/>
  <c r="AS166" i="10"/>
  <c r="G172" i="10"/>
  <c r="M172" i="10"/>
  <c r="S172" i="10"/>
  <c r="Y172" i="10"/>
  <c r="AE172" i="10"/>
  <c r="AK172" i="10"/>
  <c r="AQ172" i="10"/>
  <c r="S173" i="10"/>
  <c r="Y173" i="10"/>
  <c r="AE173" i="10"/>
  <c r="AK173" i="10"/>
  <c r="AQ173" i="10"/>
  <c r="S174" i="10"/>
  <c r="Y174" i="10"/>
  <c r="AE174" i="10"/>
  <c r="AK174" i="10"/>
  <c r="AQ174" i="10"/>
  <c r="AQ175" i="10"/>
  <c r="C183" i="10"/>
  <c r="D183" i="10"/>
  <c r="E183" i="10"/>
  <c r="F183" i="10"/>
  <c r="I183" i="10"/>
  <c r="J183" i="10"/>
  <c r="K183" i="10"/>
  <c r="L183" i="10"/>
  <c r="O183" i="10"/>
  <c r="P183" i="10"/>
  <c r="Q183" i="10"/>
  <c r="R183" i="10"/>
  <c r="U183" i="10"/>
  <c r="V183" i="10"/>
  <c r="W183" i="10"/>
  <c r="X183" i="10"/>
  <c r="AA183" i="10"/>
  <c r="AB183" i="10"/>
  <c r="AC183" i="10"/>
  <c r="AD183" i="10"/>
  <c r="AG183" i="10"/>
  <c r="AH183" i="10"/>
  <c r="AJ183" i="10"/>
  <c r="AM183" i="10"/>
  <c r="AN183" i="10"/>
  <c r="AP183" i="10"/>
  <c r="AS183" i="10"/>
  <c r="AT183" i="10"/>
  <c r="AV187" i="10"/>
  <c r="AW187" i="10" s="1"/>
  <c r="AY187" i="10"/>
  <c r="AV188" i="10"/>
  <c r="AW188" i="10" s="1"/>
  <c r="AY188" i="10"/>
  <c r="G5" i="7"/>
  <c r="M5" i="7"/>
  <c r="S5" i="7"/>
  <c r="Y5" i="7"/>
  <c r="AE5" i="7"/>
  <c r="AK5" i="7"/>
  <c r="AQ5" i="7"/>
  <c r="AW5" i="7"/>
  <c r="BC5" i="7"/>
  <c r="BI5" i="7"/>
  <c r="BO5" i="7"/>
  <c r="AG11" i="7"/>
  <c r="AH11" i="7"/>
  <c r="AI11" i="7"/>
  <c r="AJ11" i="7"/>
  <c r="AK11" i="7"/>
  <c r="BK11" i="7"/>
  <c r="BL11" i="7"/>
  <c r="BM11" i="7"/>
  <c r="BM90" i="7" s="1"/>
  <c r="AG12" i="7"/>
  <c r="AH12" i="7"/>
  <c r="AI12" i="7"/>
  <c r="AJ12" i="7"/>
  <c r="AK12" i="7"/>
  <c r="AG16" i="7"/>
  <c r="AH16" i="7"/>
  <c r="AI16" i="7"/>
  <c r="AJ16" i="7"/>
  <c r="AK16" i="7"/>
  <c r="BK16" i="7"/>
  <c r="BL16" i="7"/>
  <c r="BL95" i="7" s="1"/>
  <c r="BM16" i="7"/>
  <c r="BM95" i="7" s="1"/>
  <c r="BN16" i="7"/>
  <c r="I86" i="7"/>
  <c r="I99" i="7" s="1"/>
  <c r="J86" i="7"/>
  <c r="J99" i="7" s="1"/>
  <c r="K86" i="7"/>
  <c r="L86" i="7"/>
  <c r="O86" i="7"/>
  <c r="P86" i="7"/>
  <c r="Q86" i="7"/>
  <c r="R86" i="7"/>
  <c r="AP86" i="7"/>
  <c r="I87" i="7"/>
  <c r="I100" i="7" s="1"/>
  <c r="J87" i="7"/>
  <c r="K87" i="7"/>
  <c r="L87" i="7"/>
  <c r="O87" i="7"/>
  <c r="P87" i="7"/>
  <c r="Q87" i="7"/>
  <c r="R87" i="7"/>
  <c r="S87" i="7"/>
  <c r="AP87" i="7"/>
  <c r="AV100" i="7" s="1"/>
  <c r="I88" i="7"/>
  <c r="J88" i="7"/>
  <c r="J101" i="7" s="1"/>
  <c r="K88" i="7"/>
  <c r="L88" i="7"/>
  <c r="O88" i="7"/>
  <c r="P88" i="7"/>
  <c r="Q88" i="7"/>
  <c r="R88" i="7"/>
  <c r="AY99" i="7"/>
  <c r="AZ99" i="7"/>
  <c r="BA99" i="7"/>
  <c r="BB99" i="7"/>
  <c r="BC99" i="7"/>
  <c r="AY100" i="7"/>
  <c r="AZ100" i="7"/>
  <c r="BA100" i="7"/>
  <c r="BB100" i="7"/>
  <c r="BC100" i="7"/>
  <c r="G5" i="6"/>
  <c r="G70" i="6" s="1"/>
  <c r="M5" i="6"/>
  <c r="M70" i="6" s="1"/>
  <c r="S5" i="6"/>
  <c r="S70" i="6" s="1"/>
  <c r="Y5" i="6"/>
  <c r="Y70" i="6" s="1"/>
  <c r="AE5" i="6"/>
  <c r="AE70" i="6" s="1"/>
  <c r="AK5" i="6"/>
  <c r="AK70" i="6" s="1"/>
  <c r="AQ5" i="6"/>
  <c r="AQ70" i="6" s="1"/>
  <c r="AW5" i="6"/>
  <c r="BC5" i="6"/>
  <c r="BI5" i="6"/>
  <c r="BO5" i="6"/>
  <c r="C6" i="6"/>
  <c r="C6" i="7" s="1"/>
  <c r="O6" i="6"/>
  <c r="G8" i="6"/>
  <c r="M8" i="6"/>
  <c r="S86" i="7" s="1"/>
  <c r="S8" i="6"/>
  <c r="Y8" i="6"/>
  <c r="AD25" i="6" s="1"/>
  <c r="AE8" i="6"/>
  <c r="AK8" i="6"/>
  <c r="AQ8" i="6"/>
  <c r="AQ107" i="6" s="1"/>
  <c r="G9" i="6"/>
  <c r="M87" i="7" s="1"/>
  <c r="M100" i="7" s="1"/>
  <c r="S9" i="6"/>
  <c r="X29" i="6" s="1"/>
  <c r="Y9" i="6"/>
  <c r="AE9" i="6"/>
  <c r="AE175" i="6" s="1"/>
  <c r="AK9" i="6"/>
  <c r="AQ9" i="6"/>
  <c r="AQ110" i="6" s="1"/>
  <c r="G10" i="6"/>
  <c r="M10" i="6"/>
  <c r="S88" i="7" s="1"/>
  <c r="S10" i="6"/>
  <c r="Y10" i="6"/>
  <c r="AE10" i="6"/>
  <c r="AK10" i="6"/>
  <c r="AQ10" i="6"/>
  <c r="AW10" i="6"/>
  <c r="AW35" i="6" s="1"/>
  <c r="AG11" i="6"/>
  <c r="AH11" i="6"/>
  <c r="AN40" i="6" s="1"/>
  <c r="AI11" i="6"/>
  <c r="AJ11" i="6"/>
  <c r="AM11" i="6"/>
  <c r="AM153" i="5" s="1"/>
  <c r="AN11" i="6"/>
  <c r="AT37" i="6" s="1"/>
  <c r="AO11" i="6"/>
  <c r="AW11" i="6"/>
  <c r="AK12" i="6"/>
  <c r="AQ12" i="6"/>
  <c r="AK13" i="6"/>
  <c r="AQ13" i="6"/>
  <c r="AK17" i="6"/>
  <c r="AQ17" i="6"/>
  <c r="AQ146" i="5"/>
  <c r="U22" i="6"/>
  <c r="U23" i="6" s="1"/>
  <c r="V22" i="6"/>
  <c r="V23" i="6" s="1"/>
  <c r="V7" i="7" s="1"/>
  <c r="V86" i="7" s="1"/>
  <c r="W22" i="6"/>
  <c r="W23" i="6" s="1"/>
  <c r="W7" i="7" s="1"/>
  <c r="X22" i="6"/>
  <c r="AA22" i="6"/>
  <c r="AB22" i="6"/>
  <c r="AC22" i="6"/>
  <c r="AD22" i="6"/>
  <c r="AG22" i="6"/>
  <c r="AG23" i="6" s="1"/>
  <c r="AG7" i="7" s="1"/>
  <c r="AH22" i="6"/>
  <c r="AH23" i="6" s="1"/>
  <c r="AH7" i="7" s="1"/>
  <c r="AI22" i="6"/>
  <c r="AJ22" i="6"/>
  <c r="AM22" i="6"/>
  <c r="AN22" i="6"/>
  <c r="AO22" i="6"/>
  <c r="Y23" i="6"/>
  <c r="Y7" i="7" s="1"/>
  <c r="AA23" i="6"/>
  <c r="AA7" i="7" s="1"/>
  <c r="AB23" i="6"/>
  <c r="AB24" i="6" s="1"/>
  <c r="AC23" i="6"/>
  <c r="AC7" i="7" s="1"/>
  <c r="AE23" i="6"/>
  <c r="AE7" i="7" s="1"/>
  <c r="AN24" i="6"/>
  <c r="AI25" i="6"/>
  <c r="AJ25" i="6"/>
  <c r="AM25" i="6"/>
  <c r="AN25" i="6"/>
  <c r="AO25" i="6"/>
  <c r="A26" i="6"/>
  <c r="U26" i="6"/>
  <c r="U27" i="6" s="1"/>
  <c r="U8" i="7" s="1"/>
  <c r="V26" i="6"/>
  <c r="V27" i="6" s="1"/>
  <c r="V8" i="7" s="1"/>
  <c r="W26" i="6"/>
  <c r="W27" i="6" s="1"/>
  <c r="X26" i="6"/>
  <c r="AA26" i="6"/>
  <c r="AA27" i="6" s="1"/>
  <c r="AA8" i="7" s="1"/>
  <c r="AB26" i="6"/>
  <c r="AB27" i="6" s="1"/>
  <c r="AC26" i="6"/>
  <c r="AC27" i="6" s="1"/>
  <c r="AD26" i="6"/>
  <c r="AG26" i="6"/>
  <c r="AG27" i="6" s="1"/>
  <c r="AG8" i="7" s="1"/>
  <c r="AH26" i="6"/>
  <c r="AH27" i="6" s="1"/>
  <c r="AH8" i="7" s="1"/>
  <c r="AI26" i="6"/>
  <c r="AJ26" i="6"/>
  <c r="AM26" i="6"/>
  <c r="AN26" i="6"/>
  <c r="AO26" i="6"/>
  <c r="AI28" i="6"/>
  <c r="AJ28" i="6"/>
  <c r="AM28" i="6"/>
  <c r="AN28" i="6"/>
  <c r="AN31" i="6" s="1"/>
  <c r="AN30" i="6" s="1"/>
  <c r="AI29" i="6"/>
  <c r="AJ29" i="6"/>
  <c r="AM29" i="6"/>
  <c r="AN29" i="6"/>
  <c r="AO29" i="6"/>
  <c r="AG30" i="6"/>
  <c r="AH30" i="6"/>
  <c r="AI30" i="6"/>
  <c r="AJ30" i="6"/>
  <c r="AP31" i="6"/>
  <c r="AP30" i="6" s="1"/>
  <c r="I33" i="6"/>
  <c r="J33" i="6"/>
  <c r="K33" i="6"/>
  <c r="L33" i="6"/>
  <c r="O33" i="6"/>
  <c r="P33" i="6"/>
  <c r="Q33" i="6"/>
  <c r="R33" i="6"/>
  <c r="U33" i="6"/>
  <c r="U34" i="6" s="1"/>
  <c r="U9" i="7" s="1"/>
  <c r="V33" i="6"/>
  <c r="V34" i="6" s="1"/>
  <c r="V9" i="7" s="1"/>
  <c r="W33" i="6"/>
  <c r="W34" i="6" s="1"/>
  <c r="W9" i="7" s="1"/>
  <c r="X33" i="6"/>
  <c r="AA33" i="6"/>
  <c r="AB33" i="6"/>
  <c r="AC33" i="6"/>
  <c r="AD33" i="6"/>
  <c r="AG33" i="6"/>
  <c r="AG34" i="6" s="1"/>
  <c r="AG9" i="7" s="1"/>
  <c r="CP9" i="7" s="1"/>
  <c r="AH33" i="6"/>
  <c r="AH34" i="6" s="1"/>
  <c r="AI33" i="6"/>
  <c r="AJ33" i="6"/>
  <c r="AM33" i="6"/>
  <c r="AN33" i="6"/>
  <c r="AO33" i="6"/>
  <c r="AP33" i="6"/>
  <c r="AS33" i="6"/>
  <c r="AT33" i="6"/>
  <c r="AU33" i="6"/>
  <c r="AV33" i="6"/>
  <c r="Y34" i="6"/>
  <c r="Y9" i="7" s="1"/>
  <c r="AA34" i="6"/>
  <c r="AA9" i="7" s="1"/>
  <c r="AB34" i="6"/>
  <c r="AC34" i="6"/>
  <c r="AC9" i="7" s="1"/>
  <c r="AE34" i="6"/>
  <c r="AE9" i="7" s="1"/>
  <c r="AI36" i="6"/>
  <c r="AJ36" i="6"/>
  <c r="AM36" i="6"/>
  <c r="AN36" i="6"/>
  <c r="AO36" i="6"/>
  <c r="AP36" i="6"/>
  <c r="AS36" i="6"/>
  <c r="AT36" i="6"/>
  <c r="AU36" i="6"/>
  <c r="AV36" i="6"/>
  <c r="AV37" i="6"/>
  <c r="AV40" i="6"/>
  <c r="AM41" i="6"/>
  <c r="AN41" i="6"/>
  <c r="AO41" i="6"/>
  <c r="AP41" i="6"/>
  <c r="AS41" i="6"/>
  <c r="AT41" i="6"/>
  <c r="AU41" i="6"/>
  <c r="AV41" i="6"/>
  <c r="AY41" i="6"/>
  <c r="AM45" i="6"/>
  <c r="AN45" i="6"/>
  <c r="AO45" i="6"/>
  <c r="AP45" i="6"/>
  <c r="AS45" i="6"/>
  <c r="AT45" i="6"/>
  <c r="AU45" i="6"/>
  <c r="AV45" i="6"/>
  <c r="AY45" i="6"/>
  <c r="AM50" i="6"/>
  <c r="AN50" i="6"/>
  <c r="AO50" i="6"/>
  <c r="AM52" i="6"/>
  <c r="AN52" i="6"/>
  <c r="AO52" i="6"/>
  <c r="AP52" i="6"/>
  <c r="AS52" i="6"/>
  <c r="AT52" i="6"/>
  <c r="AU52" i="6"/>
  <c r="AV52" i="6"/>
  <c r="AY52" i="6"/>
  <c r="AG58" i="6"/>
  <c r="AH58" i="6"/>
  <c r="AP58" i="6"/>
  <c r="G151" i="6"/>
  <c r="M151" i="6"/>
  <c r="S151" i="6"/>
  <c r="Y151" i="6"/>
  <c r="Y154" i="6" s="1"/>
  <c r="AE151" i="6"/>
  <c r="AK151" i="6"/>
  <c r="S152" i="6"/>
  <c r="AK152" i="6"/>
  <c r="AP152" i="6"/>
  <c r="AP175" i="6" s="1"/>
  <c r="G153" i="6"/>
  <c r="M153" i="6"/>
  <c r="S153" i="6"/>
  <c r="Y153" i="6"/>
  <c r="AE153" i="6"/>
  <c r="AK153" i="6"/>
  <c r="AP153" i="6"/>
  <c r="AP176" i="6" s="1"/>
  <c r="AW153" i="6"/>
  <c r="O154" i="6"/>
  <c r="P154" i="6"/>
  <c r="Q154" i="6"/>
  <c r="R154" i="6"/>
  <c r="U154" i="6"/>
  <c r="V154" i="6"/>
  <c r="W154" i="6"/>
  <c r="X154" i="6"/>
  <c r="AA154" i="6"/>
  <c r="AB154" i="6"/>
  <c r="AC154" i="6"/>
  <c r="AD154" i="6"/>
  <c r="AG154" i="6"/>
  <c r="AG164" i="6" s="1"/>
  <c r="AH154" i="6"/>
  <c r="AH164" i="6" s="1"/>
  <c r="AI154" i="6"/>
  <c r="AJ154" i="6"/>
  <c r="AM154" i="6"/>
  <c r="AN154" i="6"/>
  <c r="AT164" i="6" s="1"/>
  <c r="AO154" i="6"/>
  <c r="AU164" i="6" s="1"/>
  <c r="AW154" i="6"/>
  <c r="AK155" i="6"/>
  <c r="AQ155" i="6"/>
  <c r="AW155" i="6"/>
  <c r="AK156" i="6"/>
  <c r="AQ156" i="6"/>
  <c r="AW156" i="6"/>
  <c r="AK157" i="6"/>
  <c r="AQ157" i="6"/>
  <c r="AQ180" i="6" s="1"/>
  <c r="AW157" i="6"/>
  <c r="C158" i="6"/>
  <c r="D158" i="6"/>
  <c r="E158" i="6"/>
  <c r="F158" i="6"/>
  <c r="I158" i="6"/>
  <c r="J158" i="6"/>
  <c r="J168" i="6" s="1"/>
  <c r="K158" i="6"/>
  <c r="K168" i="6" s="1"/>
  <c r="L158" i="6"/>
  <c r="L168" i="6" s="1"/>
  <c r="O158" i="6"/>
  <c r="P158" i="6"/>
  <c r="P168" i="6" s="1"/>
  <c r="Q158" i="6"/>
  <c r="R158" i="6"/>
  <c r="U158" i="6"/>
  <c r="V158" i="6"/>
  <c r="W158" i="6"/>
  <c r="W168" i="6" s="1"/>
  <c r="X158" i="6"/>
  <c r="AD168" i="6" s="1"/>
  <c r="AA158" i="6"/>
  <c r="AB158" i="6"/>
  <c r="AC158" i="6"/>
  <c r="AG158" i="6"/>
  <c r="AH158" i="6"/>
  <c r="AI158" i="6"/>
  <c r="AJ158" i="6"/>
  <c r="AM158" i="6"/>
  <c r="AN158" i="6"/>
  <c r="AO158" i="6"/>
  <c r="AP158" i="6"/>
  <c r="AS158" i="6"/>
  <c r="AT158" i="6"/>
  <c r="AU158" i="6"/>
  <c r="AV158" i="6"/>
  <c r="AY158" i="6"/>
  <c r="AY168" i="6" s="1"/>
  <c r="I161" i="6"/>
  <c r="J161" i="6"/>
  <c r="K161" i="6"/>
  <c r="L161" i="6"/>
  <c r="O161" i="6"/>
  <c r="P161" i="6"/>
  <c r="Q161" i="6"/>
  <c r="R161" i="6"/>
  <c r="U161" i="6"/>
  <c r="V161" i="6"/>
  <c r="W161" i="6"/>
  <c r="X161" i="6"/>
  <c r="AA161" i="6"/>
  <c r="AB161" i="6"/>
  <c r="AC161" i="6"/>
  <c r="AD161" i="6"/>
  <c r="AG161" i="6"/>
  <c r="AH161" i="6"/>
  <c r="AI161" i="6"/>
  <c r="AJ161" i="6"/>
  <c r="AM161" i="6"/>
  <c r="AN161" i="6"/>
  <c r="AO161" i="6"/>
  <c r="A162" i="6"/>
  <c r="A175" i="6" s="1"/>
  <c r="U162" i="6"/>
  <c r="V162" i="6"/>
  <c r="W162" i="6"/>
  <c r="X162" i="6"/>
  <c r="AA162" i="6"/>
  <c r="AB162" i="6"/>
  <c r="AC162" i="6"/>
  <c r="AD162" i="6"/>
  <c r="AE162" i="6"/>
  <c r="AG162" i="6"/>
  <c r="AH162" i="6"/>
  <c r="AI162" i="6"/>
  <c r="AJ162" i="6"/>
  <c r="AM162" i="6"/>
  <c r="AN162" i="6"/>
  <c r="AO162" i="6"/>
  <c r="I163" i="6"/>
  <c r="J163" i="6"/>
  <c r="K163" i="6"/>
  <c r="L163" i="6"/>
  <c r="O163" i="6"/>
  <c r="P163" i="6"/>
  <c r="Q163" i="6"/>
  <c r="R163" i="6"/>
  <c r="U163" i="6"/>
  <c r="V163" i="6"/>
  <c r="W163" i="6"/>
  <c r="X163" i="6"/>
  <c r="AA163" i="6"/>
  <c r="AB163" i="6"/>
  <c r="AC163" i="6"/>
  <c r="AD163" i="6"/>
  <c r="AG163" i="6"/>
  <c r="AH163" i="6"/>
  <c r="AI163" i="6"/>
  <c r="AJ163" i="6"/>
  <c r="AM163" i="6"/>
  <c r="AN163" i="6"/>
  <c r="AO163" i="6"/>
  <c r="AS163" i="6"/>
  <c r="AT163" i="6"/>
  <c r="AU163" i="6"/>
  <c r="AM165" i="6"/>
  <c r="AN165" i="6"/>
  <c r="AO165" i="6"/>
  <c r="AP165" i="6"/>
  <c r="AS165" i="6"/>
  <c r="AT165" i="6"/>
  <c r="AU165" i="6"/>
  <c r="AV165" i="6"/>
  <c r="AY165" i="6"/>
  <c r="AM166" i="6"/>
  <c r="AN166" i="6"/>
  <c r="AO166" i="6"/>
  <c r="AP166" i="6"/>
  <c r="AS166" i="6"/>
  <c r="AT166" i="6"/>
  <c r="AU166" i="6"/>
  <c r="AV166" i="6"/>
  <c r="AY166" i="6"/>
  <c r="AM167" i="6"/>
  <c r="AN167" i="6"/>
  <c r="AO167" i="6"/>
  <c r="AP167" i="6"/>
  <c r="AS167" i="6"/>
  <c r="AT167" i="6"/>
  <c r="AU167" i="6"/>
  <c r="AV167" i="6"/>
  <c r="AY167" i="6"/>
  <c r="C174" i="6"/>
  <c r="D174" i="6"/>
  <c r="E174" i="6"/>
  <c r="F174" i="6"/>
  <c r="I174" i="6"/>
  <c r="J174" i="6"/>
  <c r="K174" i="6"/>
  <c r="L174" i="6"/>
  <c r="O174" i="6"/>
  <c r="P174" i="6"/>
  <c r="Q174" i="6"/>
  <c r="R174" i="6"/>
  <c r="U174" i="6"/>
  <c r="V174" i="6"/>
  <c r="W174" i="6"/>
  <c r="X174" i="6"/>
  <c r="AA174" i="6"/>
  <c r="AB174" i="6"/>
  <c r="AC174" i="6"/>
  <c r="AD174" i="6"/>
  <c r="AG174" i="6"/>
  <c r="AH174" i="6"/>
  <c r="AI174" i="6"/>
  <c r="AJ174" i="6"/>
  <c r="AM174" i="6"/>
  <c r="AN174" i="6"/>
  <c r="AO174" i="6"/>
  <c r="O175" i="6"/>
  <c r="P175" i="6"/>
  <c r="Q175" i="6"/>
  <c r="R175" i="6"/>
  <c r="U175" i="6"/>
  <c r="V175" i="6"/>
  <c r="W175" i="6"/>
  <c r="X175" i="6"/>
  <c r="AA175" i="6"/>
  <c r="AB175" i="6"/>
  <c r="AC175" i="6"/>
  <c r="AD175" i="6"/>
  <c r="AG175" i="6"/>
  <c r="AH175" i="6"/>
  <c r="AI175" i="6"/>
  <c r="AJ175" i="6"/>
  <c r="AM175" i="6"/>
  <c r="AN175" i="6"/>
  <c r="AO175" i="6"/>
  <c r="C176" i="6"/>
  <c r="D176" i="6"/>
  <c r="E176" i="6"/>
  <c r="F176" i="6"/>
  <c r="I176" i="6"/>
  <c r="J176" i="6"/>
  <c r="K176" i="6"/>
  <c r="L176" i="6"/>
  <c r="O176" i="6"/>
  <c r="P176" i="6"/>
  <c r="Q176" i="6"/>
  <c r="R176" i="6"/>
  <c r="U176" i="6"/>
  <c r="V176" i="6"/>
  <c r="W176" i="6"/>
  <c r="X176" i="6"/>
  <c r="AA176" i="6"/>
  <c r="AB176" i="6"/>
  <c r="AC176" i="6"/>
  <c r="AD176" i="6"/>
  <c r="AG176" i="6"/>
  <c r="AH176" i="6"/>
  <c r="AI176" i="6"/>
  <c r="AJ176" i="6"/>
  <c r="AM176" i="6"/>
  <c r="AN176" i="6"/>
  <c r="AO176" i="6"/>
  <c r="AS176" i="6"/>
  <c r="AT176" i="6"/>
  <c r="AU176" i="6"/>
  <c r="AV176" i="6"/>
  <c r="AS177" i="6"/>
  <c r="AT177" i="6"/>
  <c r="AU177" i="6"/>
  <c r="AV177" i="6"/>
  <c r="AG178" i="6"/>
  <c r="AH178" i="6"/>
  <c r="AI178" i="6"/>
  <c r="AJ178" i="6"/>
  <c r="AM178" i="6"/>
  <c r="AN178" i="6"/>
  <c r="AO178" i="6"/>
  <c r="AP178" i="6"/>
  <c r="AS178" i="6"/>
  <c r="AT178" i="6"/>
  <c r="AU178" i="6"/>
  <c r="AV178" i="6"/>
  <c r="AY178" i="6"/>
  <c r="AG179" i="6"/>
  <c r="AH179" i="6"/>
  <c r="AI179" i="6"/>
  <c r="AJ179" i="6"/>
  <c r="AM179" i="6"/>
  <c r="AN179" i="6"/>
  <c r="AO179" i="6"/>
  <c r="AP179" i="6"/>
  <c r="AS179" i="6"/>
  <c r="AT179" i="6"/>
  <c r="AU179" i="6"/>
  <c r="AV179" i="6"/>
  <c r="AY179" i="6"/>
  <c r="AG180" i="6"/>
  <c r="AH180" i="6"/>
  <c r="AI180" i="6"/>
  <c r="AJ180" i="6"/>
  <c r="AM180" i="6"/>
  <c r="AN180" i="6"/>
  <c r="AO180" i="6"/>
  <c r="AP180" i="6"/>
  <c r="AS180" i="6"/>
  <c r="AT180" i="6"/>
  <c r="AU180" i="6"/>
  <c r="AV180" i="6"/>
  <c r="AY180" i="6"/>
  <c r="G71" i="6"/>
  <c r="M71" i="6"/>
  <c r="S71" i="6"/>
  <c r="G73" i="6"/>
  <c r="M73" i="6"/>
  <c r="S73" i="6"/>
  <c r="G74" i="6"/>
  <c r="M74" i="6"/>
  <c r="S74" i="6"/>
  <c r="G75" i="6"/>
  <c r="M75" i="6"/>
  <c r="S75" i="6"/>
  <c r="Z78" i="6"/>
  <c r="AI83" i="6"/>
  <c r="AJ83" i="6"/>
  <c r="AJ84" i="6"/>
  <c r="AJ85" i="6"/>
  <c r="AM83" i="6"/>
  <c r="AN83" i="6"/>
  <c r="AI84" i="6"/>
  <c r="AM84" i="6"/>
  <c r="AN84" i="6"/>
  <c r="AI85" i="6"/>
  <c r="AM85" i="6"/>
  <c r="AN85" i="6"/>
  <c r="AI87" i="6"/>
  <c r="AI95" i="6" s="1"/>
  <c r="AJ87" i="6"/>
  <c r="AM87" i="6"/>
  <c r="AN87" i="6"/>
  <c r="AI88" i="6"/>
  <c r="AJ88" i="6"/>
  <c r="AM88" i="6"/>
  <c r="AN88" i="6"/>
  <c r="AI89" i="6"/>
  <c r="AJ89" i="6"/>
  <c r="AM89" i="6"/>
  <c r="AM97" i="6" s="1"/>
  <c r="AN89" i="6"/>
  <c r="U91" i="6"/>
  <c r="V91" i="6"/>
  <c r="W91" i="6"/>
  <c r="X91" i="6"/>
  <c r="AA91" i="6"/>
  <c r="AA137" i="6" s="1"/>
  <c r="AB91" i="6"/>
  <c r="AC91" i="6"/>
  <c r="AD91" i="6"/>
  <c r="AG91" i="6"/>
  <c r="AH91" i="6"/>
  <c r="AH137" i="6" s="1"/>
  <c r="AI91" i="6"/>
  <c r="AJ91" i="6"/>
  <c r="AM91" i="6"/>
  <c r="AN91" i="6"/>
  <c r="AN137" i="6" s="1"/>
  <c r="AO91" i="6"/>
  <c r="AO137" i="6" s="1"/>
  <c r="AP91" i="6"/>
  <c r="AP137" i="6" s="1"/>
  <c r="AS91" i="6"/>
  <c r="AS137" i="6" s="1"/>
  <c r="AT91" i="6"/>
  <c r="AU91" i="6"/>
  <c r="AU137" i="6" s="1"/>
  <c r="U92" i="6"/>
  <c r="V92" i="6"/>
  <c r="W92" i="6"/>
  <c r="X92" i="6"/>
  <c r="AA92" i="6"/>
  <c r="AB92" i="6"/>
  <c r="AC92" i="6"/>
  <c r="AD92" i="6"/>
  <c r="AG92" i="6"/>
  <c r="AG138" i="6" s="1"/>
  <c r="AH92" i="6"/>
  <c r="AI92" i="6"/>
  <c r="AJ92" i="6"/>
  <c r="AM92" i="6"/>
  <c r="AN92" i="6"/>
  <c r="AN138" i="6" s="1"/>
  <c r="AO92" i="6"/>
  <c r="AO138" i="6" s="1"/>
  <c r="AP92" i="6"/>
  <c r="AP138" i="6" s="1"/>
  <c r="AS92" i="6"/>
  <c r="AS138" i="6" s="1"/>
  <c r="AT92" i="6"/>
  <c r="AT138" i="6" s="1"/>
  <c r="AU92" i="6"/>
  <c r="U93" i="6"/>
  <c r="V93" i="6"/>
  <c r="W93" i="6"/>
  <c r="X93" i="6"/>
  <c r="AA93" i="6"/>
  <c r="AB93" i="6"/>
  <c r="AC93" i="6"/>
  <c r="AD93" i="6"/>
  <c r="AD139" i="6" s="1"/>
  <c r="AG93" i="6"/>
  <c r="AH93" i="6"/>
  <c r="AI93" i="6"/>
  <c r="AI139" i="6" s="1"/>
  <c r="AJ139" i="6" s="1"/>
  <c r="AJ93" i="6"/>
  <c r="AM93" i="6"/>
  <c r="AN93" i="6"/>
  <c r="AO93" i="6"/>
  <c r="AO139" i="6" s="1"/>
  <c r="AP93" i="6"/>
  <c r="AS93" i="6"/>
  <c r="AT93" i="6"/>
  <c r="AU93" i="6"/>
  <c r="AP95" i="6"/>
  <c r="AS95" i="6"/>
  <c r="AT95" i="6"/>
  <c r="AU95" i="6"/>
  <c r="AP96" i="6"/>
  <c r="AS96" i="6"/>
  <c r="AT96" i="6"/>
  <c r="AU96" i="6"/>
  <c r="AP97" i="6"/>
  <c r="AS97" i="6"/>
  <c r="AS101" i="6" s="1"/>
  <c r="AT97" i="6"/>
  <c r="AU97" i="6"/>
  <c r="AU94" i="6" s="1"/>
  <c r="AV118" i="6"/>
  <c r="AV114" i="6" s="1"/>
  <c r="AV91" i="6" s="1"/>
  <c r="AV119" i="6"/>
  <c r="AV120" i="6"/>
  <c r="AV116" i="6" s="1"/>
  <c r="AV93" i="6" s="1"/>
  <c r="AY121" i="6"/>
  <c r="G7" i="5"/>
  <c r="M7" i="5"/>
  <c r="S7" i="5"/>
  <c r="Y7" i="5"/>
  <c r="AE7" i="5"/>
  <c r="AK7" i="5"/>
  <c r="AQ7" i="5"/>
  <c r="AW7" i="5"/>
  <c r="BC7" i="5"/>
  <c r="BI7" i="5"/>
  <c r="BO7" i="5"/>
  <c r="D8" i="5"/>
  <c r="E8" i="5" s="1"/>
  <c r="E7" i="11" s="1"/>
  <c r="I8" i="5"/>
  <c r="I7" i="11" s="1"/>
  <c r="P8" i="5"/>
  <c r="Q8" i="5" s="1"/>
  <c r="U8" i="5"/>
  <c r="U6" i="6" s="1"/>
  <c r="U70" i="6" s="1"/>
  <c r="S17" i="5"/>
  <c r="Y17" i="5"/>
  <c r="AE17" i="5"/>
  <c r="AK17" i="5"/>
  <c r="AQ17" i="5"/>
  <c r="AS17" i="5"/>
  <c r="S18" i="5"/>
  <c r="Y18" i="5"/>
  <c r="AE18" i="5"/>
  <c r="AK18" i="5"/>
  <c r="AQ18" i="5"/>
  <c r="G20" i="5"/>
  <c r="M20" i="5"/>
  <c r="M139" i="10" s="1"/>
  <c r="S20" i="5"/>
  <c r="Y20" i="5"/>
  <c r="AE20" i="5"/>
  <c r="AG44" i="13" s="1"/>
  <c r="AK20" i="5"/>
  <c r="AQ20" i="5"/>
  <c r="AS44" i="13" s="1"/>
  <c r="AQ21" i="5"/>
  <c r="AW20" i="5"/>
  <c r="G21" i="5"/>
  <c r="M21" i="5"/>
  <c r="M145" i="10" s="1"/>
  <c r="S21" i="5"/>
  <c r="U41" i="13" s="1"/>
  <c r="Y21" i="5"/>
  <c r="AE21" i="5"/>
  <c r="AG41" i="13" s="1"/>
  <c r="AK21" i="5"/>
  <c r="AM41" i="13" s="1"/>
  <c r="AW21" i="5"/>
  <c r="BC21" i="5"/>
  <c r="BE41" i="13" s="1"/>
  <c r="BC20" i="5"/>
  <c r="BE44" i="13" s="1"/>
  <c r="G22" i="5"/>
  <c r="S22" i="5"/>
  <c r="Y22" i="5"/>
  <c r="AE22" i="5"/>
  <c r="AK22" i="5"/>
  <c r="AQ22" i="5"/>
  <c r="AW22" i="5"/>
  <c r="BC22" i="5"/>
  <c r="BI22" i="5"/>
  <c r="BO22" i="5"/>
  <c r="S23" i="5"/>
  <c r="Y23" i="5"/>
  <c r="AE23" i="5"/>
  <c r="AK23" i="5"/>
  <c r="AQ23" i="5"/>
  <c r="BC23" i="5"/>
  <c r="BI23" i="5"/>
  <c r="AY25" i="5"/>
  <c r="G27" i="5"/>
  <c r="M27" i="5"/>
  <c r="S27" i="5"/>
  <c r="Y27" i="5"/>
  <c r="AE27" i="5"/>
  <c r="AK27" i="5"/>
  <c r="AQ27" i="5"/>
  <c r="AW27" i="5"/>
  <c r="BC27" i="5"/>
  <c r="BI27" i="5"/>
  <c r="BO27" i="5"/>
  <c r="AG31" i="5"/>
  <c r="G34" i="5"/>
  <c r="M34" i="5"/>
  <c r="S34" i="5"/>
  <c r="Y34" i="5"/>
  <c r="AE34" i="5"/>
  <c r="AK34" i="5"/>
  <c r="AW34" i="5"/>
  <c r="G35" i="5"/>
  <c r="M35" i="5"/>
  <c r="S35" i="5"/>
  <c r="Y35" i="5"/>
  <c r="AE35" i="5"/>
  <c r="AK35" i="5"/>
  <c r="AW35" i="5"/>
  <c r="C36" i="5"/>
  <c r="D36" i="5"/>
  <c r="E36" i="5"/>
  <c r="F36" i="5"/>
  <c r="I36" i="5"/>
  <c r="J36" i="5"/>
  <c r="K36" i="5"/>
  <c r="L36" i="5"/>
  <c r="O36" i="5"/>
  <c r="P36" i="5"/>
  <c r="Q36" i="5"/>
  <c r="R36" i="5"/>
  <c r="U36" i="5"/>
  <c r="V36" i="5"/>
  <c r="W36" i="5"/>
  <c r="X36" i="5"/>
  <c r="AA36" i="5"/>
  <c r="AB36" i="5"/>
  <c r="AC36" i="5"/>
  <c r="AD36" i="5"/>
  <c r="AG36" i="5"/>
  <c r="AH36" i="5"/>
  <c r="AI36" i="5"/>
  <c r="AJ36" i="5"/>
  <c r="AM36" i="5"/>
  <c r="AN36" i="5"/>
  <c r="AO36" i="5"/>
  <c r="AP36" i="5"/>
  <c r="AQ36" i="5"/>
  <c r="AS36" i="5"/>
  <c r="AT36" i="5" s="1"/>
  <c r="AU36" i="5" s="1"/>
  <c r="AV36" i="5" s="1"/>
  <c r="AY36" i="5"/>
  <c r="AE38" i="5"/>
  <c r="AK38" i="5"/>
  <c r="AQ38" i="5"/>
  <c r="AW38" i="5"/>
  <c r="BC38" i="5"/>
  <c r="BI38" i="5"/>
  <c r="BO38" i="5"/>
  <c r="C43" i="5"/>
  <c r="D43" i="5"/>
  <c r="E43" i="5"/>
  <c r="F43" i="5"/>
  <c r="I43" i="5"/>
  <c r="J43" i="5"/>
  <c r="K43" i="5"/>
  <c r="L43" i="5"/>
  <c r="O43" i="5"/>
  <c r="P43" i="5"/>
  <c r="Q43" i="5"/>
  <c r="R43" i="5"/>
  <c r="U43" i="5"/>
  <c r="V43" i="5"/>
  <c r="W43" i="5"/>
  <c r="X43" i="5"/>
  <c r="AA43" i="5"/>
  <c r="AB43" i="5"/>
  <c r="AC43" i="5"/>
  <c r="AD43" i="5"/>
  <c r="AG43" i="5"/>
  <c r="AH43" i="5"/>
  <c r="AI43" i="5"/>
  <c r="AG58" i="5"/>
  <c r="AG42" i="5" s="1"/>
  <c r="AH58" i="5"/>
  <c r="AI58" i="5"/>
  <c r="AJ58" i="5"/>
  <c r="AM58" i="5"/>
  <c r="AN58" i="5"/>
  <c r="AO58" i="5"/>
  <c r="AG60" i="5"/>
  <c r="AG44" i="5" s="1"/>
  <c r="AG45" i="5" s="1"/>
  <c r="AH60" i="5"/>
  <c r="AH44" i="5" s="1"/>
  <c r="AI60" i="5"/>
  <c r="AJ60" i="5"/>
  <c r="AP165" i="5" s="1"/>
  <c r="AM60" i="5"/>
  <c r="AM44" i="5" s="1"/>
  <c r="AN60" i="5"/>
  <c r="AN44" i="5" s="1"/>
  <c r="AN45" i="5" s="1"/>
  <c r="AO60" i="5"/>
  <c r="AG62" i="5"/>
  <c r="AH62" i="5"/>
  <c r="AH46" i="5" s="1"/>
  <c r="AH47" i="5" s="1"/>
  <c r="AI62" i="5"/>
  <c r="AI46" i="5" s="1"/>
  <c r="AI47" i="5" s="1"/>
  <c r="AJ62" i="5"/>
  <c r="AM62" i="5"/>
  <c r="AM46" i="5" s="1"/>
  <c r="AM47" i="5" s="1"/>
  <c r="AN62" i="5"/>
  <c r="AO62" i="5"/>
  <c r="AP62" i="5"/>
  <c r="AS62" i="5"/>
  <c r="AT62" i="5"/>
  <c r="AT169" i="5" s="1"/>
  <c r="AU62" i="5"/>
  <c r="AV62" i="5"/>
  <c r="AP64" i="5"/>
  <c r="AP48" i="5" s="1"/>
  <c r="AP49" i="5" s="1"/>
  <c r="AS64" i="5"/>
  <c r="AS48" i="5" s="1"/>
  <c r="AS49" i="5" s="1"/>
  <c r="AT64" i="5"/>
  <c r="AT48" i="5" s="1"/>
  <c r="AT49" i="5" s="1"/>
  <c r="AU64" i="5"/>
  <c r="AU48" i="5" s="1"/>
  <c r="AU49" i="5" s="1"/>
  <c r="AV64" i="5"/>
  <c r="AV173" i="5" s="1"/>
  <c r="AS66" i="5"/>
  <c r="AS50" i="5" s="1"/>
  <c r="AT66" i="5"/>
  <c r="AT50" i="5" s="1"/>
  <c r="AT51" i="5" s="1"/>
  <c r="AY66" i="5"/>
  <c r="AS68" i="5"/>
  <c r="AS52" i="5" s="1"/>
  <c r="AS53" i="5" s="1"/>
  <c r="AT68" i="5"/>
  <c r="AY68" i="5"/>
  <c r="AS70" i="5"/>
  <c r="AS54" i="5" s="1"/>
  <c r="AS55" i="5" s="1"/>
  <c r="AT70" i="5"/>
  <c r="AY70" i="5"/>
  <c r="AY54" i="5" s="1"/>
  <c r="AY55" i="5" s="1"/>
  <c r="S75" i="5"/>
  <c r="Y75" i="5"/>
  <c r="AE75" i="5"/>
  <c r="O76" i="5"/>
  <c r="P76" i="5"/>
  <c r="Q76" i="5"/>
  <c r="R76" i="5"/>
  <c r="U76" i="5"/>
  <c r="V76" i="5"/>
  <c r="W76" i="5"/>
  <c r="X76" i="5"/>
  <c r="AA76" i="5"/>
  <c r="AB76" i="5"/>
  <c r="AC76" i="5"/>
  <c r="AD76" i="5"/>
  <c r="AG76" i="5"/>
  <c r="AH76" i="5"/>
  <c r="A77" i="5"/>
  <c r="A94" i="5" s="1"/>
  <c r="A78" i="5"/>
  <c r="AE79" i="5"/>
  <c r="O80" i="5"/>
  <c r="P80" i="5"/>
  <c r="Q80" i="5"/>
  <c r="U80" i="5"/>
  <c r="V80" i="5"/>
  <c r="W80" i="5"/>
  <c r="AA80" i="5"/>
  <c r="AB80" i="5"/>
  <c r="AC80" i="5"/>
  <c r="AD80" i="5"/>
  <c r="AG80" i="5"/>
  <c r="AH80" i="5"/>
  <c r="AS80" i="5"/>
  <c r="AS79" i="5" s="1"/>
  <c r="AT79" i="5"/>
  <c r="AG81" i="5"/>
  <c r="AH81" i="5"/>
  <c r="AS81" i="5"/>
  <c r="AT81" i="5"/>
  <c r="AS83" i="5"/>
  <c r="AY83" i="5"/>
  <c r="AS85" i="5"/>
  <c r="AY85" i="5"/>
  <c r="AS87" i="5"/>
  <c r="AY87" i="5"/>
  <c r="AE92" i="5"/>
  <c r="AI92" i="5"/>
  <c r="AJ92" i="5"/>
  <c r="O93" i="5"/>
  <c r="P93" i="5"/>
  <c r="Q93" i="5"/>
  <c r="U93" i="5"/>
  <c r="V93" i="5"/>
  <c r="W93" i="5"/>
  <c r="AA93" i="5"/>
  <c r="AB93" i="5"/>
  <c r="AC93" i="5"/>
  <c r="AD93" i="5"/>
  <c r="AG93" i="5"/>
  <c r="AH93" i="5"/>
  <c r="AM93" i="5"/>
  <c r="AM92" i="5" s="1"/>
  <c r="AN93" i="5"/>
  <c r="AN92" i="5" s="1"/>
  <c r="AO93" i="5"/>
  <c r="AO92" i="5" s="1"/>
  <c r="AI94" i="5"/>
  <c r="AJ94" i="5"/>
  <c r="A95" i="5"/>
  <c r="AM95" i="5"/>
  <c r="AM94" i="5" s="1"/>
  <c r="AN95" i="5"/>
  <c r="AN94" i="5" s="1"/>
  <c r="AO95" i="5"/>
  <c r="AO94" i="5" s="1"/>
  <c r="AE96" i="5"/>
  <c r="AI96" i="5"/>
  <c r="AJ96" i="5"/>
  <c r="O97" i="5"/>
  <c r="P97" i="5"/>
  <c r="Q97" i="5"/>
  <c r="U97" i="5"/>
  <c r="V97" i="5"/>
  <c r="W97" i="5"/>
  <c r="AA97" i="5"/>
  <c r="AB97" i="5"/>
  <c r="AC97" i="5"/>
  <c r="AD97" i="5"/>
  <c r="AG97" i="5"/>
  <c r="AH97" i="5"/>
  <c r="AM97" i="5"/>
  <c r="AM96" i="5" s="1"/>
  <c r="AN97" i="5"/>
  <c r="AN96" i="5" s="1"/>
  <c r="AO97" i="5"/>
  <c r="AO96" i="5" s="1"/>
  <c r="AP97" i="5"/>
  <c r="AP96" i="5" s="1"/>
  <c r="AT97" i="5"/>
  <c r="AT96" i="5" s="1"/>
  <c r="AU97" i="5"/>
  <c r="AU96" i="5" s="1"/>
  <c r="AV97" i="5"/>
  <c r="AV96" i="5" s="1"/>
  <c r="AG98" i="5"/>
  <c r="AH98" i="5"/>
  <c r="AP99" i="5"/>
  <c r="AP98" i="5" s="1"/>
  <c r="AS99" i="5"/>
  <c r="AS98" i="5" s="1"/>
  <c r="AT99" i="5"/>
  <c r="AT98" i="5" s="1"/>
  <c r="AU99" i="5"/>
  <c r="AU98" i="5" s="1"/>
  <c r="AV99" i="5"/>
  <c r="AV98" i="5" s="1"/>
  <c r="AY101" i="5"/>
  <c r="AY100" i="5" s="1"/>
  <c r="AY103" i="5"/>
  <c r="AY102" i="5" s="1"/>
  <c r="AY105" i="5"/>
  <c r="AY104" i="5" s="1"/>
  <c r="H109" i="5"/>
  <c r="N109" i="5"/>
  <c r="T109" i="5"/>
  <c r="Z109" i="5"/>
  <c r="BF114" i="5"/>
  <c r="BG114" i="5"/>
  <c r="BH114" i="5"/>
  <c r="BI114" i="5"/>
  <c r="BK114" i="5"/>
  <c r="BL114" i="5"/>
  <c r="BN114" i="5"/>
  <c r="BO114" i="5"/>
  <c r="BF115" i="5"/>
  <c r="BG115" i="5"/>
  <c r="BH115" i="5"/>
  <c r="BI115" i="5"/>
  <c r="BK115" i="5"/>
  <c r="BL115" i="5"/>
  <c r="BN115" i="5"/>
  <c r="BO115" i="5"/>
  <c r="O123" i="5"/>
  <c r="P123" i="5"/>
  <c r="Q123" i="5"/>
  <c r="R123" i="5"/>
  <c r="U123" i="5"/>
  <c r="V123" i="5"/>
  <c r="W123" i="5"/>
  <c r="X123" i="5"/>
  <c r="AA123" i="5"/>
  <c r="AB123" i="5"/>
  <c r="AC123" i="5"/>
  <c r="AD123" i="5"/>
  <c r="AG123" i="5"/>
  <c r="AH123" i="5"/>
  <c r="AI123" i="5"/>
  <c r="AJ123" i="5"/>
  <c r="AM123" i="5"/>
  <c r="AN123" i="5"/>
  <c r="AO123" i="5"/>
  <c r="AP123" i="5"/>
  <c r="AS123" i="5"/>
  <c r="AY123" i="5"/>
  <c r="G127" i="5"/>
  <c r="M127" i="5"/>
  <c r="S127" i="5"/>
  <c r="Y127" i="5"/>
  <c r="G128" i="5"/>
  <c r="M128" i="5"/>
  <c r="S128" i="5"/>
  <c r="Y128" i="5"/>
  <c r="BC128" i="5"/>
  <c r="BI128" i="5"/>
  <c r="BO128" i="5"/>
  <c r="G130" i="5"/>
  <c r="M130" i="5"/>
  <c r="S130" i="5"/>
  <c r="Y130" i="5"/>
  <c r="G131" i="5"/>
  <c r="M131" i="5"/>
  <c r="S131" i="5"/>
  <c r="Y131" i="5"/>
  <c r="BC131" i="5"/>
  <c r="G132" i="5"/>
  <c r="M132" i="5"/>
  <c r="S132" i="5"/>
  <c r="Y132" i="5"/>
  <c r="G133" i="5"/>
  <c r="M133" i="5"/>
  <c r="S133" i="5"/>
  <c r="Y133" i="5"/>
  <c r="AS133" i="5"/>
  <c r="AY133" i="5"/>
  <c r="G135" i="5"/>
  <c r="M135" i="5"/>
  <c r="S135" i="5"/>
  <c r="Y135" i="5"/>
  <c r="AE135" i="5"/>
  <c r="AK135" i="5"/>
  <c r="AQ135" i="5"/>
  <c r="AW135" i="5"/>
  <c r="AY135" i="5"/>
  <c r="BO135" i="5"/>
  <c r="O139" i="5"/>
  <c r="S139" i="5"/>
  <c r="S159" i="5" s="1"/>
  <c r="Y139" i="5"/>
  <c r="Y159" i="5" s="1"/>
  <c r="AE139" i="5"/>
  <c r="AK139" i="5"/>
  <c r="AQ139" i="5"/>
  <c r="AW139" i="5"/>
  <c r="BC139" i="5"/>
  <c r="BI139" i="5"/>
  <c r="BO139" i="5"/>
  <c r="G140" i="5"/>
  <c r="M140" i="5"/>
  <c r="S140" i="5"/>
  <c r="Y140" i="5"/>
  <c r="Y141" i="5"/>
  <c r="AE140" i="5"/>
  <c r="AK140" i="5"/>
  <c r="AQ140" i="5"/>
  <c r="S141" i="5"/>
  <c r="AE141" i="5"/>
  <c r="AE143" i="5" s="1"/>
  <c r="AK141" i="5"/>
  <c r="AK143" i="5" s="1"/>
  <c r="AQ141" i="5"/>
  <c r="G142" i="5"/>
  <c r="G147" i="5" s="1"/>
  <c r="M142" i="5"/>
  <c r="R142" i="5"/>
  <c r="R152" i="5" s="1"/>
  <c r="U142" i="5"/>
  <c r="AA142" i="5"/>
  <c r="AA147" i="5" s="1"/>
  <c r="AK142" i="5"/>
  <c r="AQ142" i="5"/>
  <c r="AW142" i="5"/>
  <c r="O143" i="5"/>
  <c r="P143" i="5"/>
  <c r="Q143" i="5"/>
  <c r="R143" i="5"/>
  <c r="U143" i="5"/>
  <c r="V143" i="5"/>
  <c r="W143" i="5"/>
  <c r="X143" i="5"/>
  <c r="AA143" i="5"/>
  <c r="AB143" i="5"/>
  <c r="AC143" i="5"/>
  <c r="AD143" i="5"/>
  <c r="AG143" i="5"/>
  <c r="AH143" i="5"/>
  <c r="AI143" i="5"/>
  <c r="AJ143" i="5"/>
  <c r="AN143" i="5"/>
  <c r="AO143" i="5"/>
  <c r="AW143" i="5"/>
  <c r="AK144" i="5"/>
  <c r="AQ144" i="5"/>
  <c r="AW144" i="5"/>
  <c r="AK145" i="5"/>
  <c r="AQ145" i="5"/>
  <c r="AW145" i="5"/>
  <c r="AK146" i="5"/>
  <c r="AW146" i="5"/>
  <c r="O147" i="5"/>
  <c r="P147" i="5"/>
  <c r="Q147" i="5"/>
  <c r="V147" i="5"/>
  <c r="W147" i="5"/>
  <c r="X147" i="5"/>
  <c r="AB147" i="5"/>
  <c r="AC147" i="5"/>
  <c r="AD147" i="5"/>
  <c r="AS147" i="5"/>
  <c r="AT147" i="5"/>
  <c r="C150" i="5"/>
  <c r="D150" i="5"/>
  <c r="E150" i="5"/>
  <c r="F150" i="5"/>
  <c r="I150" i="5"/>
  <c r="J150" i="5"/>
  <c r="K150" i="5"/>
  <c r="L150" i="5"/>
  <c r="O150" i="5"/>
  <c r="P150" i="5"/>
  <c r="Q150" i="5"/>
  <c r="R150" i="5"/>
  <c r="U150" i="5"/>
  <c r="V150" i="5"/>
  <c r="W150" i="5"/>
  <c r="X150" i="5"/>
  <c r="AA150" i="5"/>
  <c r="AB150" i="5"/>
  <c r="AC150" i="5"/>
  <c r="AD150" i="5"/>
  <c r="AG150" i="5"/>
  <c r="AH150" i="5"/>
  <c r="AI150" i="5"/>
  <c r="AJ150" i="5"/>
  <c r="AM150" i="5"/>
  <c r="AN150" i="5"/>
  <c r="AO150" i="5"/>
  <c r="AP150" i="5"/>
  <c r="O151" i="5"/>
  <c r="P151" i="5"/>
  <c r="Q151" i="5"/>
  <c r="R151" i="5"/>
  <c r="U151" i="5"/>
  <c r="V151" i="5"/>
  <c r="W151" i="5"/>
  <c r="X151" i="5"/>
  <c r="AA151" i="5"/>
  <c r="AB151" i="5"/>
  <c r="AC151" i="5"/>
  <c r="AD151" i="5"/>
  <c r="AG151" i="5"/>
  <c r="AH151" i="5"/>
  <c r="AI151" i="5"/>
  <c r="AJ151" i="5"/>
  <c r="AM151" i="5"/>
  <c r="AN151" i="5"/>
  <c r="AO151" i="5"/>
  <c r="AP151" i="5"/>
  <c r="O152" i="5"/>
  <c r="P152" i="5"/>
  <c r="Q152" i="5"/>
  <c r="V152" i="5"/>
  <c r="W152" i="5"/>
  <c r="X152" i="5"/>
  <c r="AB152" i="5"/>
  <c r="AC152" i="5"/>
  <c r="AD152" i="5"/>
  <c r="AG152" i="5"/>
  <c r="AH152" i="5"/>
  <c r="AI152" i="5"/>
  <c r="AJ152" i="5"/>
  <c r="AM152" i="5"/>
  <c r="AN152" i="5"/>
  <c r="AO152" i="5"/>
  <c r="AP152" i="5"/>
  <c r="AS152" i="5"/>
  <c r="AT152" i="5"/>
  <c r="AU152" i="5"/>
  <c r="AV152" i="5"/>
  <c r="AP153" i="5"/>
  <c r="AS153" i="5"/>
  <c r="AT153" i="5"/>
  <c r="AU153" i="5"/>
  <c r="AV153" i="5"/>
  <c r="AG154" i="5"/>
  <c r="AH154" i="5"/>
  <c r="AI154" i="5"/>
  <c r="AJ154" i="5"/>
  <c r="AM154" i="5"/>
  <c r="AN154" i="5"/>
  <c r="AO154" i="5"/>
  <c r="AP154" i="5"/>
  <c r="AS154" i="5"/>
  <c r="AT154" i="5"/>
  <c r="AU154" i="5"/>
  <c r="AV154" i="5"/>
  <c r="AG155" i="5"/>
  <c r="AH155" i="5"/>
  <c r="AI155" i="5"/>
  <c r="AJ155" i="5"/>
  <c r="AM155" i="5"/>
  <c r="AN155" i="5"/>
  <c r="AO155" i="5"/>
  <c r="AP155" i="5"/>
  <c r="AS155" i="5"/>
  <c r="AT155" i="5"/>
  <c r="AU155" i="5"/>
  <c r="AV155" i="5"/>
  <c r="AG156" i="5"/>
  <c r="AH156" i="5"/>
  <c r="AI156" i="5"/>
  <c r="AJ156" i="5"/>
  <c r="AM156" i="5"/>
  <c r="AN156" i="5"/>
  <c r="AO156" i="5"/>
  <c r="AP156" i="5"/>
  <c r="AS156" i="5"/>
  <c r="AT156" i="5"/>
  <c r="AU156" i="5"/>
  <c r="AV156" i="5"/>
  <c r="AE159" i="5"/>
  <c r="AK159" i="5"/>
  <c r="AQ159" i="5"/>
  <c r="AW159" i="5"/>
  <c r="BC159" i="5"/>
  <c r="BI159" i="5"/>
  <c r="BO159" i="5"/>
  <c r="T191" i="5"/>
  <c r="O193" i="5"/>
  <c r="S193" i="5"/>
  <c r="Y193" i="5"/>
  <c r="AE193" i="5"/>
  <c r="AK193" i="5"/>
  <c r="AQ193" i="5"/>
  <c r="AW193" i="5"/>
  <c r="BC193" i="5"/>
  <c r="BI193" i="5"/>
  <c r="BO193" i="5"/>
  <c r="C194" i="5"/>
  <c r="C195" i="5" s="1"/>
  <c r="D194" i="5"/>
  <c r="E194" i="5"/>
  <c r="E203" i="5" s="1"/>
  <c r="F194" i="5"/>
  <c r="F163" i="5" s="1"/>
  <c r="I194" i="5"/>
  <c r="I203" i="5" s="1"/>
  <c r="J194" i="5"/>
  <c r="K194" i="5"/>
  <c r="K195" i="5" s="1"/>
  <c r="L194" i="5"/>
  <c r="L195" i="5" s="1"/>
  <c r="O194" i="5"/>
  <c r="O195" i="5" s="1"/>
  <c r="P194" i="5"/>
  <c r="Q194" i="5"/>
  <c r="Q163" i="5" s="1"/>
  <c r="R194" i="5"/>
  <c r="R163" i="5" s="1"/>
  <c r="U194" i="5"/>
  <c r="V194" i="5"/>
  <c r="V195" i="5" s="1"/>
  <c r="W194" i="5"/>
  <c r="W163" i="5" s="1"/>
  <c r="X194" i="5"/>
  <c r="X163" i="5" s="1"/>
  <c r="AA194" i="5"/>
  <c r="AA195" i="5" s="1"/>
  <c r="AB194" i="5"/>
  <c r="AB163" i="5" s="1"/>
  <c r="AC194" i="5"/>
  <c r="AC163" i="5" s="1"/>
  <c r="AD194" i="5"/>
  <c r="AD195" i="5" s="1"/>
  <c r="AG194" i="5"/>
  <c r="AH194" i="5"/>
  <c r="AH163" i="5" s="1"/>
  <c r="AI194" i="5"/>
  <c r="AI162" i="5" s="1"/>
  <c r="AI197" i="5"/>
  <c r="AI167" i="5" s="1"/>
  <c r="AJ194" i="5"/>
  <c r="AP194" i="5"/>
  <c r="O197" i="5"/>
  <c r="P197" i="5"/>
  <c r="P198" i="5" s="1"/>
  <c r="Q197" i="5"/>
  <c r="R197" i="5"/>
  <c r="U197" i="5"/>
  <c r="U166" i="5" s="1"/>
  <c r="V197" i="5"/>
  <c r="W197" i="5"/>
  <c r="W167" i="5" s="1"/>
  <c r="X197" i="5"/>
  <c r="X199" i="5" s="1"/>
  <c r="AA197" i="5"/>
  <c r="AA167" i="5" s="1"/>
  <c r="AB197" i="5"/>
  <c r="AB198" i="5" s="1"/>
  <c r="AC197" i="5"/>
  <c r="AD197" i="5"/>
  <c r="AG197" i="5"/>
  <c r="AG167" i="5" s="1"/>
  <c r="AH197" i="5"/>
  <c r="AH198" i="5" s="1"/>
  <c r="AJ197" i="5"/>
  <c r="AJ198" i="5" s="1"/>
  <c r="AM197" i="5"/>
  <c r="AN197" i="5"/>
  <c r="AO197" i="5"/>
  <c r="AO167" i="5" s="1"/>
  <c r="AP197" i="5"/>
  <c r="AP167" i="5" s="1"/>
  <c r="C200" i="5"/>
  <c r="D200" i="5"/>
  <c r="E200" i="5"/>
  <c r="E171" i="5" s="1"/>
  <c r="F200" i="5"/>
  <c r="F171" i="5" s="1"/>
  <c r="I200" i="5"/>
  <c r="I171" i="5" s="1"/>
  <c r="J200" i="5"/>
  <c r="K200" i="5"/>
  <c r="K171" i="5" s="1"/>
  <c r="L200" i="5"/>
  <c r="L201" i="5" s="1"/>
  <c r="O200" i="5"/>
  <c r="P200" i="5"/>
  <c r="Q200" i="5"/>
  <c r="Q201" i="5" s="1"/>
  <c r="V200" i="5"/>
  <c r="V171" i="5" s="1"/>
  <c r="W200" i="5"/>
  <c r="W201" i="5" s="1"/>
  <c r="X200" i="5"/>
  <c r="AB200" i="5"/>
  <c r="AB171" i="5" s="1"/>
  <c r="AC200" i="5"/>
  <c r="AC171" i="5" s="1"/>
  <c r="AD200" i="5"/>
  <c r="AD171" i="5" s="1"/>
  <c r="AG200" i="5"/>
  <c r="AH200" i="5"/>
  <c r="AI200" i="5"/>
  <c r="AI171" i="5" s="1"/>
  <c r="AJ200" i="5"/>
  <c r="AS203" i="5"/>
  <c r="AS175" i="5" s="1"/>
  <c r="AT203" i="5"/>
  <c r="AT175" i="5" s="1"/>
  <c r="AU203" i="5"/>
  <c r="AU175" i="5" s="1"/>
  <c r="AV203" i="5"/>
  <c r="G219" i="5"/>
  <c r="G152" i="10" s="1"/>
  <c r="AI219" i="5"/>
  <c r="AI152" i="10" s="1"/>
  <c r="AJ219" i="5"/>
  <c r="AJ152" i="10" s="1"/>
  <c r="AM219" i="5"/>
  <c r="AM152" i="10" s="1"/>
  <c r="AN219" i="5"/>
  <c r="AN152" i="10" s="1"/>
  <c r="AO219" i="5"/>
  <c r="AO152" i="10" s="1"/>
  <c r="AP219" i="5"/>
  <c r="AP152" i="10" s="1"/>
  <c r="AS219" i="5"/>
  <c r="AS152" i="10" s="1"/>
  <c r="AT219" i="5"/>
  <c r="AT152" i="10" s="1"/>
  <c r="AU219" i="5"/>
  <c r="AU152" i="10" s="1"/>
  <c r="C220" i="5"/>
  <c r="D220" i="5"/>
  <c r="E220" i="5"/>
  <c r="F220" i="5"/>
  <c r="M220" i="5"/>
  <c r="S220" i="5"/>
  <c r="S219" i="5" s="1"/>
  <c r="S152" i="10" s="1"/>
  <c r="Y220" i="5"/>
  <c r="V220" i="5" s="1"/>
  <c r="AE220" i="5"/>
  <c r="AH220" i="5" s="1"/>
  <c r="C221" i="5"/>
  <c r="D221" i="5"/>
  <c r="E221" i="5"/>
  <c r="F221" i="5"/>
  <c r="M221" i="5"/>
  <c r="I221" i="5" s="1"/>
  <c r="O221" i="5"/>
  <c r="P221" i="5"/>
  <c r="Q221" i="5"/>
  <c r="R221" i="5"/>
  <c r="Y221" i="5"/>
  <c r="AE221" i="5"/>
  <c r="AC221" i="5" s="1"/>
  <c r="C222" i="5"/>
  <c r="D222" i="5"/>
  <c r="E222" i="5"/>
  <c r="F222" i="5"/>
  <c r="M222" i="5"/>
  <c r="O222" i="5"/>
  <c r="P222" i="5"/>
  <c r="Q222" i="5"/>
  <c r="R222" i="5"/>
  <c r="Y222" i="5"/>
  <c r="U222" i="5" s="1"/>
  <c r="AE222" i="5"/>
  <c r="AG222" i="5" s="1"/>
  <c r="C224" i="5"/>
  <c r="D224" i="5"/>
  <c r="E224" i="5"/>
  <c r="F224" i="5"/>
  <c r="G224" i="5" s="1"/>
  <c r="I224" i="5"/>
  <c r="J224" i="5"/>
  <c r="K224" i="5"/>
  <c r="L224" i="5"/>
  <c r="M224" i="5" s="1"/>
  <c r="O224" i="5"/>
  <c r="P224" i="5"/>
  <c r="Q224" i="5"/>
  <c r="R224" i="5"/>
  <c r="S224" i="5" s="1"/>
  <c r="U224" i="5"/>
  <c r="V224" i="5"/>
  <c r="W224" i="5"/>
  <c r="X224" i="5"/>
  <c r="Y224" i="5" s="1"/>
  <c r="AA224" i="5"/>
  <c r="AB224" i="5"/>
  <c r="AC224" i="5"/>
  <c r="AD224" i="5"/>
  <c r="AE224" i="5" s="1"/>
  <c r="AG224" i="5"/>
  <c r="AH224" i="5"/>
  <c r="AI224" i="5"/>
  <c r="AJ224" i="5"/>
  <c r="AK224" i="5" s="1"/>
  <c r="AM224" i="5"/>
  <c r="AN224" i="5"/>
  <c r="AO224" i="5"/>
  <c r="AP224" i="5"/>
  <c r="AQ224" i="5" s="1"/>
  <c r="AS224" i="5"/>
  <c r="AT224" i="5"/>
  <c r="AU224" i="5"/>
  <c r="AV224" i="5"/>
  <c r="AW224" i="5" s="1"/>
  <c r="AY224" i="5"/>
  <c r="G226" i="5"/>
  <c r="G196" i="10" s="1"/>
  <c r="AI226" i="5"/>
  <c r="AI196" i="10" s="1"/>
  <c r="AJ226" i="5"/>
  <c r="AJ196" i="10" s="1"/>
  <c r="AM226" i="5"/>
  <c r="AM196" i="10" s="1"/>
  <c r="AN226" i="5"/>
  <c r="AN196" i="10" s="1"/>
  <c r="AO226" i="5"/>
  <c r="AO196" i="10" s="1"/>
  <c r="AP226" i="5"/>
  <c r="AP196" i="10" s="1"/>
  <c r="AS226" i="5"/>
  <c r="AS196" i="10" s="1"/>
  <c r="AT226" i="5"/>
  <c r="AT196" i="10" s="1"/>
  <c r="AU226" i="5"/>
  <c r="AU196" i="10" s="1"/>
  <c r="AW129" i="5"/>
  <c r="AU108" i="11"/>
  <c r="AU106" i="11"/>
  <c r="AW87" i="11"/>
  <c r="AW108" i="11" s="1"/>
  <c r="AV108" i="11"/>
  <c r="AV106" i="11"/>
  <c r="AW134" i="5"/>
  <c r="AV226" i="5"/>
  <c r="AV196" i="10" s="1"/>
  <c r="AV219" i="5"/>
  <c r="AV152" i="10" s="1"/>
  <c r="AV75" i="10"/>
  <c r="AV74" i="10"/>
  <c r="AY108" i="11"/>
  <c r="AZ108" i="11"/>
  <c r="I34" i="7"/>
  <c r="K34" i="7"/>
  <c r="L34" i="7"/>
  <c r="J34" i="7"/>
  <c r="M34" i="7"/>
  <c r="AZ224" i="5"/>
  <c r="BC132" i="5"/>
  <c r="AZ70" i="5"/>
  <c r="AZ87" i="5"/>
  <c r="AZ85" i="5"/>
  <c r="AZ68" i="5"/>
  <c r="AZ66" i="5"/>
  <c r="AZ50" i="5" s="1"/>
  <c r="AZ51" i="5" s="1"/>
  <c r="AZ101" i="5"/>
  <c r="AZ100" i="5" s="1"/>
  <c r="AZ83" i="5"/>
  <c r="AZ166" i="10"/>
  <c r="AZ160" i="10"/>
  <c r="AZ164" i="10"/>
  <c r="AZ161" i="10"/>
  <c r="AZ157" i="10"/>
  <c r="AZ158" i="10"/>
  <c r="AZ156" i="10"/>
  <c r="AZ188" i="10"/>
  <c r="AZ31" i="10"/>
  <c r="AZ165" i="10"/>
  <c r="AZ159" i="10"/>
  <c r="AZ187" i="10"/>
  <c r="AZ189" i="10" s="1"/>
  <c r="AZ43" i="10"/>
  <c r="AZ15" i="10"/>
  <c r="BC127" i="5"/>
  <c r="BA160" i="10"/>
  <c r="BA224" i="5"/>
  <c r="BA83" i="5"/>
  <c r="BA66" i="5"/>
  <c r="BA68" i="5"/>
  <c r="BA85" i="5"/>
  <c r="BA70" i="5"/>
  <c r="BA87" i="5"/>
  <c r="BA156" i="10"/>
  <c r="BA158" i="10"/>
  <c r="BC37" i="10"/>
  <c r="BC208" i="10" s="1"/>
  <c r="BA108" i="11"/>
  <c r="BC42" i="10"/>
  <c r="BE95" i="10" s="1"/>
  <c r="BA161" i="10"/>
  <c r="BC19" i="10"/>
  <c r="BA166" i="10"/>
  <c r="BA164" i="10"/>
  <c r="BA165" i="10"/>
  <c r="BC10" i="10"/>
  <c r="BA157" i="10"/>
  <c r="BA159" i="10"/>
  <c r="BA187" i="10"/>
  <c r="BA31" i="10"/>
  <c r="BA69" i="10" s="1"/>
  <c r="BA188" i="10"/>
  <c r="BA43" i="10"/>
  <c r="BC130" i="5"/>
  <c r="AB220" i="5"/>
  <c r="BG146" i="6"/>
  <c r="BG145" i="6"/>
  <c r="BC28" i="10"/>
  <c r="V136" i="10"/>
  <c r="W135" i="10" s="1"/>
  <c r="K136" i="10"/>
  <c r="L135" i="10" s="1"/>
  <c r="BC20" i="10"/>
  <c r="BC39" i="10"/>
  <c r="BB224" i="5"/>
  <c r="BC224" i="5" s="1"/>
  <c r="BB66" i="5"/>
  <c r="BB50" i="5" s="1"/>
  <c r="BB87" i="5"/>
  <c r="BB70" i="5"/>
  <c r="BB68" i="5"/>
  <c r="BB85" i="5"/>
  <c r="BB83" i="5"/>
  <c r="BC129" i="5"/>
  <c r="BC17" i="5"/>
  <c r="BC134" i="5"/>
  <c r="BC18" i="5"/>
  <c r="BC36" i="5"/>
  <c r="BI21" i="5"/>
  <c r="BK41" i="13" s="1"/>
  <c r="BB166" i="10"/>
  <c r="BC11" i="10"/>
  <c r="BB156" i="10"/>
  <c r="BB158" i="10"/>
  <c r="BC13" i="10"/>
  <c r="BC158" i="10" s="1"/>
  <c r="BC40" i="10"/>
  <c r="BI127" i="5"/>
  <c r="BB108" i="11"/>
  <c r="BC87" i="11"/>
  <c r="BC108" i="11" s="1"/>
  <c r="BC35" i="10"/>
  <c r="BC204" i="10" s="1"/>
  <c r="BC17" i="10"/>
  <c r="BC214" i="10" s="1"/>
  <c r="BC21" i="10"/>
  <c r="BC160" i="10" s="1"/>
  <c r="BB160" i="10"/>
  <c r="BC34" i="10"/>
  <c r="BB159" i="10"/>
  <c r="BC16" i="10"/>
  <c r="BE224" i="5"/>
  <c r="BC25" i="10"/>
  <c r="BB164" i="10"/>
  <c r="BC18" i="10"/>
  <c r="BB161" i="10"/>
  <c r="BC30" i="10"/>
  <c r="BB165" i="10"/>
  <c r="BB31" i="10"/>
  <c r="BC26" i="10"/>
  <c r="BC27" i="10"/>
  <c r="BB157" i="10"/>
  <c r="BC12" i="10"/>
  <c r="BC157" i="10" s="1"/>
  <c r="BC41" i="10"/>
  <c r="BB43" i="10"/>
  <c r="BC9" i="10"/>
  <c r="BB15" i="10"/>
  <c r="AC220" i="5"/>
  <c r="BE108" i="11"/>
  <c r="BF45" i="6"/>
  <c r="BF224" i="5"/>
  <c r="BG108" i="11"/>
  <c r="BG224" i="5"/>
  <c r="BH108" i="11"/>
  <c r="BI34" i="5"/>
  <c r="S17" i="10"/>
  <c r="S214" i="10" s="1"/>
  <c r="BH21" i="13"/>
  <c r="BH20" i="13" s="1"/>
  <c r="BH22" i="13" s="1"/>
  <c r="BH23" i="13" s="1"/>
  <c r="BF31" i="10"/>
  <c r="BF43" i="10"/>
  <c r="BI43" i="13"/>
  <c r="BF15" i="10"/>
  <c r="BG45" i="6"/>
  <c r="BG126" i="5"/>
  <c r="BG29" i="5" s="1"/>
  <c r="BF69" i="10"/>
  <c r="BI87" i="11"/>
  <c r="BI108" i="11" s="1"/>
  <c r="BF108" i="11"/>
  <c r="BH224" i="5"/>
  <c r="BI224" i="5" s="1"/>
  <c r="BG31" i="10"/>
  <c r="BG43" i="10"/>
  <c r="BJ43" i="13"/>
  <c r="BJ45" i="13" s="1"/>
  <c r="BQ17" i="13"/>
  <c r="BH23" i="7"/>
  <c r="BI35" i="5"/>
  <c r="BI20" i="5"/>
  <c r="BK44" i="13" s="1"/>
  <c r="BI17" i="5"/>
  <c r="BI18" i="5"/>
  <c r="AW35" i="10"/>
  <c r="AW204" i="10" s="1"/>
  <c r="BI38" i="10"/>
  <c r="BI129" i="5"/>
  <c r="BI134" i="5"/>
  <c r="BI25" i="5"/>
  <c r="BH16" i="7"/>
  <c r="BI132" i="5"/>
  <c r="AE17" i="10"/>
  <c r="AE214" i="10" s="1"/>
  <c r="BI28" i="10"/>
  <c r="BI11" i="10"/>
  <c r="BI156" i="10" s="1"/>
  <c r="BI13" i="10"/>
  <c r="BI158" i="10" s="1"/>
  <c r="BX219" i="5"/>
  <c r="BX152" i="10" s="1"/>
  <c r="BW226" i="5"/>
  <c r="BW196" i="10" s="1"/>
  <c r="BW219" i="5"/>
  <c r="BW152" i="10" s="1"/>
  <c r="BO22" i="11"/>
  <c r="AA125" i="10" l="1"/>
  <c r="AB122" i="10" s="1"/>
  <c r="AA214" i="10"/>
  <c r="X125" i="10"/>
  <c r="X214" i="10"/>
  <c r="AO125" i="10"/>
  <c r="AP122" i="10" s="1"/>
  <c r="AO214" i="10"/>
  <c r="AG125" i="10"/>
  <c r="AH122" i="10" s="1"/>
  <c r="AG214" i="10"/>
  <c r="AD125" i="10"/>
  <c r="AD214" i="10"/>
  <c r="W125" i="10"/>
  <c r="X122" i="10" s="1"/>
  <c r="W214" i="10"/>
  <c r="AN125" i="10"/>
  <c r="AO122" i="10" s="1"/>
  <c r="AO124" i="10" s="1"/>
  <c r="AN214" i="10"/>
  <c r="AI125" i="10"/>
  <c r="AJ122" i="10" s="1"/>
  <c r="AI214" i="10"/>
  <c r="AB214" i="10"/>
  <c r="R125" i="10"/>
  <c r="R214" i="10"/>
  <c r="AD137" i="6"/>
  <c r="BO40" i="13"/>
  <c r="BS40" i="13"/>
  <c r="BB58" i="7"/>
  <c r="AV58" i="7"/>
  <c r="BA56" i="7"/>
  <c r="AU56" i="7"/>
  <c r="AV56" i="7"/>
  <c r="BB56" i="7"/>
  <c r="BE56" i="7"/>
  <c r="AY56" i="7"/>
  <c r="AZ56" i="7"/>
  <c r="AT56" i="7"/>
  <c r="AS139" i="6"/>
  <c r="AT168" i="6"/>
  <c r="AW49" i="7"/>
  <c r="AW56" i="7" s="1"/>
  <c r="AW51" i="7"/>
  <c r="AW58" i="7" s="1"/>
  <c r="BC51" i="7"/>
  <c r="BC49" i="7"/>
  <c r="BK95" i="7"/>
  <c r="BK90" i="7"/>
  <c r="AT52" i="10"/>
  <c r="AT212" i="10"/>
  <c r="AT204" i="10"/>
  <c r="AU214" i="10"/>
  <c r="AN97" i="6"/>
  <c r="AT143" i="6" s="1"/>
  <c r="AN169" i="5"/>
  <c r="AW166" i="10"/>
  <c r="BC166" i="10"/>
  <c r="AV51" i="10"/>
  <c r="AV202" i="10"/>
  <c r="AP51" i="10"/>
  <c r="AP202" i="10"/>
  <c r="AN51" i="10"/>
  <c r="AN202" i="10"/>
  <c r="AJ51" i="10"/>
  <c r="AJ202" i="10"/>
  <c r="AD51" i="10"/>
  <c r="AD202" i="10"/>
  <c r="AK166" i="10"/>
  <c r="AQ212" i="10"/>
  <c r="G212" i="10"/>
  <c r="AZ51" i="10"/>
  <c r="AZ202" i="10"/>
  <c r="BB51" i="10"/>
  <c r="BB202" i="10"/>
  <c r="BE51" i="10"/>
  <c r="BE202" i="10"/>
  <c r="BG51" i="10"/>
  <c r="BG202" i="10"/>
  <c r="BC52" i="10"/>
  <c r="BC212" i="10"/>
  <c r="AY51" i="10"/>
  <c r="AY202" i="10"/>
  <c r="AS51" i="10"/>
  <c r="AS202" i="10"/>
  <c r="AO51" i="10"/>
  <c r="AO52" i="10" s="1"/>
  <c r="AO202" i="10"/>
  <c r="AM51" i="10"/>
  <c r="AM202" i="10"/>
  <c r="AQ166" i="10"/>
  <c r="Y212" i="10"/>
  <c r="BF51" i="10"/>
  <c r="BF202" i="10"/>
  <c r="BH95" i="7"/>
  <c r="BS103" i="7"/>
  <c r="BS108" i="7"/>
  <c r="DB13" i="7"/>
  <c r="AY92" i="7"/>
  <c r="AY105" i="7" s="1"/>
  <c r="DB14" i="7"/>
  <c r="AY93" i="7"/>
  <c r="AY106" i="7" s="1"/>
  <c r="BN95" i="7"/>
  <c r="BL28" i="7"/>
  <c r="BL90" i="7"/>
  <c r="BL103" i="7" s="1"/>
  <c r="DC13" i="7"/>
  <c r="AZ92" i="7"/>
  <c r="AZ105" i="7" s="1"/>
  <c r="DC14" i="7"/>
  <c r="AZ93" i="7"/>
  <c r="AZ106" i="7" s="1"/>
  <c r="DG14" i="7"/>
  <c r="BF31" i="7"/>
  <c r="DJ14" i="7"/>
  <c r="BK31" i="7"/>
  <c r="DN15" i="7"/>
  <c r="BQ32" i="7"/>
  <c r="CC30" i="7"/>
  <c r="BW32" i="7"/>
  <c r="CC32" i="7"/>
  <c r="DF13" i="7"/>
  <c r="BE30" i="7"/>
  <c r="DF14" i="7"/>
  <c r="BE31" i="7"/>
  <c r="DI15" i="7"/>
  <c r="DM13" i="7"/>
  <c r="BN30" i="7"/>
  <c r="DM14" i="7"/>
  <c r="BN31" i="7"/>
  <c r="DM15" i="7"/>
  <c r="BN32" i="7"/>
  <c r="DQ14" i="7"/>
  <c r="BT31" i="7"/>
  <c r="DQ15" i="7"/>
  <c r="BT32" i="7"/>
  <c r="BZ28" i="7"/>
  <c r="CF28" i="7"/>
  <c r="CF30" i="7"/>
  <c r="BZ31" i="7"/>
  <c r="CF31" i="7"/>
  <c r="BZ32" i="7"/>
  <c r="CF32" i="7"/>
  <c r="BZ33" i="7"/>
  <c r="CF33" i="7"/>
  <c r="DJ15" i="7"/>
  <c r="CC28" i="7"/>
  <c r="BW31" i="7"/>
  <c r="CC31" i="7"/>
  <c r="BS28" i="7"/>
  <c r="DP16" i="7"/>
  <c r="BS33" i="7"/>
  <c r="DH13" i="7"/>
  <c r="BG30" i="7"/>
  <c r="DH14" i="7"/>
  <c r="DH29" i="7" s="1"/>
  <c r="BG31" i="7"/>
  <c r="DK13" i="7"/>
  <c r="BL30" i="7"/>
  <c r="DK14" i="7"/>
  <c r="BL31" i="7"/>
  <c r="DK15" i="7"/>
  <c r="DO14" i="7"/>
  <c r="BR31" i="7"/>
  <c r="DO15" i="7"/>
  <c r="BR32" i="7"/>
  <c r="CD28" i="7"/>
  <c r="CD30" i="7"/>
  <c r="BX31" i="7"/>
  <c r="CD31" i="7"/>
  <c r="BX32" i="7"/>
  <c r="CD32" i="7"/>
  <c r="CD33" i="7"/>
  <c r="BN33" i="7"/>
  <c r="DG13" i="7"/>
  <c r="BF30" i="7"/>
  <c r="DJ13" i="7"/>
  <c r="BK30" i="7"/>
  <c r="DN14" i="7"/>
  <c r="BQ31" i="7"/>
  <c r="CC33" i="7"/>
  <c r="DQ11" i="7"/>
  <c r="DQ16" i="7"/>
  <c r="BT33" i="7"/>
  <c r="DI13" i="7"/>
  <c r="DI28" i="7" s="1"/>
  <c r="BH30" i="7"/>
  <c r="DI14" i="7"/>
  <c r="BH31" i="7"/>
  <c r="DL13" i="7"/>
  <c r="BM30" i="7"/>
  <c r="DL14" i="7"/>
  <c r="BM31" i="7"/>
  <c r="DL15" i="7"/>
  <c r="DP14" i="7"/>
  <c r="BS31" i="7"/>
  <c r="DP15" i="7"/>
  <c r="BS32" i="7"/>
  <c r="BY28" i="7"/>
  <c r="CE28" i="7"/>
  <c r="CE30" i="7"/>
  <c r="BY31" i="7"/>
  <c r="CE31" i="7"/>
  <c r="BY32" i="7"/>
  <c r="CE32" i="7"/>
  <c r="BY33" i="7"/>
  <c r="CE33" i="7"/>
  <c r="DP11" i="7"/>
  <c r="X85" i="6"/>
  <c r="X97" i="6" s="1"/>
  <c r="X101" i="6" s="1"/>
  <c r="AQ65" i="11"/>
  <c r="BG40" i="13"/>
  <c r="BN40" i="13"/>
  <c r="AZ75" i="7"/>
  <c r="AZ71" i="7"/>
  <c r="AZ74" i="7"/>
  <c r="AZ73" i="7"/>
  <c r="AZ72" i="7"/>
  <c r="AC161" i="10"/>
  <c r="BM147" i="6"/>
  <c r="AG84" i="5"/>
  <c r="AE187" i="10"/>
  <c r="AG86" i="5"/>
  <c r="AY68" i="10"/>
  <c r="AW131" i="5"/>
  <c r="BF107" i="11"/>
  <c r="BF106" i="11" s="1"/>
  <c r="AA138" i="6"/>
  <c r="AT89" i="5"/>
  <c r="AT86" i="5" s="1"/>
  <c r="I21" i="13"/>
  <c r="I20" i="13" s="1"/>
  <c r="I22" i="13" s="1"/>
  <c r="I23" i="13" s="1"/>
  <c r="AY69" i="10"/>
  <c r="BA124" i="10"/>
  <c r="BG137" i="10"/>
  <c r="BG138" i="10" s="1"/>
  <c r="AS59" i="6"/>
  <c r="AS55" i="6" s="1"/>
  <c r="AS53" i="6" s="1"/>
  <c r="AS16" i="7" s="1"/>
  <c r="BI52" i="6"/>
  <c r="AP74" i="6"/>
  <c r="AV58" i="6"/>
  <c r="AH119" i="10"/>
  <c r="AI114" i="10" s="1"/>
  <c r="DK16" i="7"/>
  <c r="X220" i="5"/>
  <c r="BM108" i="11"/>
  <c r="AN94" i="10"/>
  <c r="AH222" i="5"/>
  <c r="AM71" i="6"/>
  <c r="AW43" i="13"/>
  <c r="AW45" i="13" s="1"/>
  <c r="AM157" i="5"/>
  <c r="AM191" i="5" s="1"/>
  <c r="AM72" i="6"/>
  <c r="BE46" i="6"/>
  <c r="BE12" i="7" s="1"/>
  <c r="BR138" i="10"/>
  <c r="AM74" i="6"/>
  <c r="DE48" i="7"/>
  <c r="I136" i="10"/>
  <c r="J135" i="10" s="1"/>
  <c r="AT159" i="10"/>
  <c r="AZ101" i="10"/>
  <c r="C47" i="11"/>
  <c r="C49" i="11" s="1"/>
  <c r="AK165" i="10"/>
  <c r="BE122" i="6"/>
  <c r="BK23" i="7"/>
  <c r="Q177" i="6"/>
  <c r="M135" i="10"/>
  <c r="M137" i="10" s="1"/>
  <c r="M138" i="10" s="1"/>
  <c r="M115" i="5" s="1"/>
  <c r="Y187" i="10"/>
  <c r="S187" i="10"/>
  <c r="AW157" i="10"/>
  <c r="F189" i="10"/>
  <c r="AP167" i="10"/>
  <c r="AQ17" i="10"/>
  <c r="BB71" i="6"/>
  <c r="AA220" i="5"/>
  <c r="AU24" i="11"/>
  <c r="AW24" i="11" s="1"/>
  <c r="BB74" i="6"/>
  <c r="AS45" i="10"/>
  <c r="AY11" i="11"/>
  <c r="AY31" i="11" s="1"/>
  <c r="AG220" i="5"/>
  <c r="J136" i="10"/>
  <c r="K135" i="10" s="1"/>
  <c r="K137" i="10" s="1"/>
  <c r="K138" i="10" s="1"/>
  <c r="K115" i="5" s="1"/>
  <c r="BG67" i="10"/>
  <c r="M23" i="5"/>
  <c r="AV166" i="10"/>
  <c r="AV167" i="10" s="1"/>
  <c r="AY76" i="6"/>
  <c r="AK159" i="10"/>
  <c r="BG124" i="10"/>
  <c r="AD220" i="5"/>
  <c r="AU156" i="10"/>
  <c r="AY189" i="10"/>
  <c r="AZ190" i="10" s="1"/>
  <c r="AZ137" i="10"/>
  <c r="AZ138" i="10" s="1"/>
  <c r="AZ115" i="5" s="1"/>
  <c r="AZ124" i="10"/>
  <c r="AV36" i="10"/>
  <c r="AG43" i="13"/>
  <c r="AG45" i="13" s="1"/>
  <c r="AO119" i="10"/>
  <c r="AP114" i="10" s="1"/>
  <c r="AD222" i="5"/>
  <c r="BA124" i="6"/>
  <c r="BF67" i="10"/>
  <c r="AB222" i="5"/>
  <c r="Y43" i="13"/>
  <c r="Y45" i="13" s="1"/>
  <c r="AY42" i="6"/>
  <c r="AY11" i="7" s="1"/>
  <c r="AU15" i="10"/>
  <c r="W113" i="7"/>
  <c r="DE45" i="7"/>
  <c r="BF126" i="5"/>
  <c r="AA222" i="5"/>
  <c r="Y17" i="10"/>
  <c r="Y214" i="10" s="1"/>
  <c r="AC153" i="5"/>
  <c r="AK183" i="10"/>
  <c r="Y183" i="10"/>
  <c r="M183" i="10"/>
  <c r="AO181" i="5"/>
  <c r="AG88" i="5"/>
  <c r="K54" i="11"/>
  <c r="K94" i="10" s="1"/>
  <c r="BC45" i="11"/>
  <c r="AC222" i="5"/>
  <c r="AC219" i="5" s="1"/>
  <c r="AC152" i="10" s="1"/>
  <c r="DE44" i="7"/>
  <c r="AT107" i="11"/>
  <c r="AT106" i="11" s="1"/>
  <c r="AY75" i="6"/>
  <c r="AI181" i="6"/>
  <c r="BE59" i="6"/>
  <c r="BA46" i="6"/>
  <c r="BA12" i="7" s="1"/>
  <c r="BS107" i="11"/>
  <c r="BT107" i="11" s="1"/>
  <c r="BT53" i="11" s="1"/>
  <c r="BF68" i="10"/>
  <c r="D135" i="10"/>
  <c r="D136" i="10" s="1"/>
  <c r="E135" i="10" s="1"/>
  <c r="AJ70" i="10"/>
  <c r="AS167" i="10"/>
  <c r="O144" i="10"/>
  <c r="P124" i="10"/>
  <c r="BF36" i="10"/>
  <c r="BA68" i="10"/>
  <c r="AW19" i="11"/>
  <c r="P139" i="5"/>
  <c r="M142" i="10"/>
  <c r="M143" i="10" s="1"/>
  <c r="M114" i="5" s="1"/>
  <c r="X107" i="11"/>
  <c r="X106" i="11" s="1"/>
  <c r="AS36" i="10"/>
  <c r="AS68" i="10"/>
  <c r="AQ107" i="10"/>
  <c r="AW100" i="10" s="1"/>
  <c r="AS70" i="10"/>
  <c r="AM92" i="10"/>
  <c r="AQ92" i="10" s="1"/>
  <c r="BE167" i="10"/>
  <c r="BG70" i="10"/>
  <c r="AS67" i="10"/>
  <c r="AS69" i="10"/>
  <c r="BE189" i="10"/>
  <c r="AY67" i="10"/>
  <c r="BC43" i="11"/>
  <c r="C163" i="5"/>
  <c r="BA72" i="6"/>
  <c r="AG135" i="10"/>
  <c r="AG137" i="10" s="1"/>
  <c r="AG138" i="10" s="1"/>
  <c r="AG115" i="5" s="1"/>
  <c r="AY23" i="10"/>
  <c r="BK43" i="13"/>
  <c r="BK45" i="13" s="1"/>
  <c r="BA23" i="10"/>
  <c r="BC161" i="10"/>
  <c r="L137" i="10"/>
  <c r="L138" i="10" s="1"/>
  <c r="L115" i="5" s="1"/>
  <c r="AV45" i="10"/>
  <c r="AS144" i="10"/>
  <c r="AM144" i="10"/>
  <c r="AJ144" i="10"/>
  <c r="AG144" i="10"/>
  <c r="AD144" i="10"/>
  <c r="AA144" i="10"/>
  <c r="X144" i="10"/>
  <c r="U144" i="10"/>
  <c r="J144" i="10"/>
  <c r="AO137" i="10"/>
  <c r="AO138" i="10" s="1"/>
  <c r="AO115" i="5" s="1"/>
  <c r="AH137" i="10"/>
  <c r="AH138" i="10" s="1"/>
  <c r="AH115" i="5" s="1"/>
  <c r="U92" i="10"/>
  <c r="Y92" i="10" s="1"/>
  <c r="I135" i="10"/>
  <c r="BC189" i="10"/>
  <c r="BA40" i="13"/>
  <c r="BM40" i="13"/>
  <c r="AM35" i="13"/>
  <c r="AA35" i="13"/>
  <c r="AS31" i="13"/>
  <c r="AR40" i="13"/>
  <c r="U28" i="13"/>
  <c r="AS56" i="6"/>
  <c r="BF72" i="6"/>
  <c r="D7" i="10"/>
  <c r="D6" i="6"/>
  <c r="D6" i="7" s="1"/>
  <c r="R93" i="5"/>
  <c r="I163" i="5"/>
  <c r="G23" i="5"/>
  <c r="L221" i="5"/>
  <c r="BK83" i="7"/>
  <c r="DJ65" i="7" s="1"/>
  <c r="BI75" i="7"/>
  <c r="BI70" i="7"/>
  <c r="BK78" i="7"/>
  <c r="DJ60" i="7" s="1"/>
  <c r="BK81" i="7"/>
  <c r="DJ63" i="7" s="1"/>
  <c r="BI73" i="7"/>
  <c r="BK79" i="7"/>
  <c r="DJ61" i="7" s="1"/>
  <c r="BI71" i="7"/>
  <c r="BK80" i="7"/>
  <c r="DJ62" i="7" s="1"/>
  <c r="BI72" i="7"/>
  <c r="BI74" i="7"/>
  <c r="BK82" i="7"/>
  <c r="DJ64" i="7" s="1"/>
  <c r="AH139" i="6"/>
  <c r="AZ99" i="6"/>
  <c r="AW165" i="6"/>
  <c r="BA123" i="6"/>
  <c r="AP76" i="6"/>
  <c r="AQ179" i="6"/>
  <c r="AM76" i="6"/>
  <c r="AM73" i="6"/>
  <c r="AQ18" i="6"/>
  <c r="AB201" i="5"/>
  <c r="P193" i="5"/>
  <c r="AH166" i="5"/>
  <c r="R8" i="13"/>
  <c r="AB138" i="6"/>
  <c r="AZ76" i="6"/>
  <c r="AZ75" i="6"/>
  <c r="AZ100" i="6"/>
  <c r="AZ42" i="6"/>
  <c r="AZ11" i="7" s="1"/>
  <c r="AW178" i="6"/>
  <c r="AZ72" i="6"/>
  <c r="U99" i="6"/>
  <c r="AU74" i="6"/>
  <c r="AU71" i="6"/>
  <c r="V85" i="6"/>
  <c r="V97" i="6" s="1"/>
  <c r="AQ165" i="6"/>
  <c r="BH73" i="6"/>
  <c r="AU76" i="6"/>
  <c r="AU73" i="6"/>
  <c r="AH84" i="6"/>
  <c r="AN130" i="6" s="1"/>
  <c r="AH85" i="6"/>
  <c r="AH97" i="6" s="1"/>
  <c r="AU72" i="6"/>
  <c r="AH99" i="5"/>
  <c r="AT100" i="6"/>
  <c r="AN96" i="6"/>
  <c r="AN100" i="6" s="1"/>
  <c r="AU181" i="6"/>
  <c r="AQ167" i="6"/>
  <c r="AI23" i="6"/>
  <c r="AI7" i="7" s="1"/>
  <c r="BA58" i="6"/>
  <c r="BA24" i="7" s="1"/>
  <c r="M176" i="6"/>
  <c r="AI99" i="6"/>
  <c r="AU157" i="5"/>
  <c r="AU191" i="5" s="1"/>
  <c r="BH104" i="5"/>
  <c r="BH146" i="5" s="1"/>
  <c r="BH156" i="5" s="1"/>
  <c r="BH102" i="5"/>
  <c r="BH209" i="5" s="1"/>
  <c r="BH183" i="5" s="1"/>
  <c r="P6" i="6"/>
  <c r="P6" i="7" s="1"/>
  <c r="R195" i="5"/>
  <c r="S145" i="10"/>
  <c r="P7" i="11"/>
  <c r="AD163" i="5"/>
  <c r="P7" i="10"/>
  <c r="AO166" i="5"/>
  <c r="AB167" i="5"/>
  <c r="V65" i="6"/>
  <c r="J101" i="6"/>
  <c r="BH71" i="6"/>
  <c r="AP73" i="6"/>
  <c r="BN58" i="6"/>
  <c r="BN24" i="7" s="1"/>
  <c r="AP75" i="6"/>
  <c r="BH74" i="6"/>
  <c r="BK51" i="6"/>
  <c r="W164" i="6"/>
  <c r="AP163" i="6"/>
  <c r="AP71" i="6"/>
  <c r="BE75" i="6"/>
  <c r="AW154" i="5"/>
  <c r="BG46" i="6"/>
  <c r="BG12" i="7" s="1"/>
  <c r="BG91" i="7" s="1"/>
  <c r="BK44" i="6"/>
  <c r="BH76" i="6"/>
  <c r="AP72" i="6"/>
  <c r="AP157" i="5"/>
  <c r="AP191" i="5" s="1"/>
  <c r="AZ168" i="6"/>
  <c r="BE74" i="6"/>
  <c r="AZ15" i="6"/>
  <c r="AA152" i="5"/>
  <c r="CA159" i="5"/>
  <c r="W196" i="5"/>
  <c r="AW132" i="5"/>
  <c r="Q195" i="5"/>
  <c r="AE142" i="5"/>
  <c r="AE152" i="5" s="1"/>
  <c r="BF102" i="5"/>
  <c r="BF209" i="5" s="1"/>
  <c r="AC162" i="5"/>
  <c r="AA200" i="5"/>
  <c r="AA201" i="5" s="1"/>
  <c r="AI163" i="5"/>
  <c r="F8" i="13"/>
  <c r="AG153" i="5"/>
  <c r="D7" i="11"/>
  <c r="R147" i="5"/>
  <c r="S147" i="5" s="1"/>
  <c r="I195" i="5"/>
  <c r="O163" i="5"/>
  <c r="R200" i="5"/>
  <c r="S200" i="5" s="1"/>
  <c r="S201" i="5" s="1"/>
  <c r="S143" i="5"/>
  <c r="G8" i="13"/>
  <c r="C203" i="5"/>
  <c r="C204" i="5" s="1"/>
  <c r="Q181" i="6"/>
  <c r="W39" i="6"/>
  <c r="R99" i="6"/>
  <c r="Q76" i="6"/>
  <c r="R76" i="6"/>
  <c r="R69" i="6" s="1"/>
  <c r="Q101" i="6"/>
  <c r="AG85" i="6"/>
  <c r="AM131" i="6" s="1"/>
  <c r="O153" i="5"/>
  <c r="AQ112" i="6"/>
  <c r="L101" i="7"/>
  <c r="AW153" i="5"/>
  <c r="AT94" i="6"/>
  <c r="AN86" i="6"/>
  <c r="AM82" i="6"/>
  <c r="AQ22" i="6"/>
  <c r="K99" i="7"/>
  <c r="P100" i="7"/>
  <c r="AP100" i="6"/>
  <c r="O177" i="6"/>
  <c r="U39" i="6"/>
  <c r="U40" i="6"/>
  <c r="AT46" i="5"/>
  <c r="AT47" i="5" s="1"/>
  <c r="AE93" i="5"/>
  <c r="R65" i="6"/>
  <c r="R100" i="6"/>
  <c r="Q99" i="6"/>
  <c r="Q100" i="6"/>
  <c r="X99" i="6"/>
  <c r="W40" i="6"/>
  <c r="R64" i="6"/>
  <c r="R101" i="6"/>
  <c r="R66" i="6"/>
  <c r="Q67" i="6"/>
  <c r="Q66" i="6"/>
  <c r="Q65" i="6"/>
  <c r="R177" i="6"/>
  <c r="R181" i="6"/>
  <c r="R67" i="6"/>
  <c r="Q64" i="6"/>
  <c r="Q68" i="6"/>
  <c r="W57" i="6"/>
  <c r="Q153" i="5"/>
  <c r="R153" i="5"/>
  <c r="BB75" i="6"/>
  <c r="AH37" i="6"/>
  <c r="AH38" i="6" s="1"/>
  <c r="AH10" i="7" s="1"/>
  <c r="CQ10" i="7" s="1"/>
  <c r="AZ181" i="6"/>
  <c r="BB72" i="6"/>
  <c r="BB122" i="6"/>
  <c r="BB102" i="6"/>
  <c r="V181" i="6"/>
  <c r="AT34" i="6"/>
  <c r="AT9" i="7" s="1"/>
  <c r="AY53" i="6"/>
  <c r="AY16" i="7" s="1"/>
  <c r="V67" i="6"/>
  <c r="BH58" i="6"/>
  <c r="BH24" i="7" s="1"/>
  <c r="BB123" i="6"/>
  <c r="BB124" i="6"/>
  <c r="BF76" i="6"/>
  <c r="V153" i="5"/>
  <c r="J67" i="6"/>
  <c r="BB76" i="6"/>
  <c r="AW40" i="13"/>
  <c r="BH40" i="13"/>
  <c r="BE27" i="13"/>
  <c r="AO40" i="13"/>
  <c r="Y16" i="11"/>
  <c r="AI107" i="11"/>
  <c r="AI106" i="11" s="1"/>
  <c r="AQ63" i="11"/>
  <c r="Q107" i="11"/>
  <c r="Q106" i="11" s="1"/>
  <c r="AZ115" i="10"/>
  <c r="E94" i="10"/>
  <c r="BC41" i="11"/>
  <c r="BG53" i="11"/>
  <c r="BF64" i="11"/>
  <c r="BF67" i="11" s="1"/>
  <c r="BC18" i="11"/>
  <c r="I101" i="10"/>
  <c r="AQ55" i="11"/>
  <c r="C101" i="10"/>
  <c r="AL40" i="13"/>
  <c r="Q40" i="13"/>
  <c r="X40" i="13"/>
  <c r="AF40" i="13"/>
  <c r="BB40" i="13"/>
  <c r="BC36" i="13"/>
  <c r="AJ40" i="13"/>
  <c r="S40" i="13"/>
  <c r="BD40" i="13"/>
  <c r="AI40" i="13"/>
  <c r="R40" i="13"/>
  <c r="BE32" i="13"/>
  <c r="BE31" i="13"/>
  <c r="AS33" i="13"/>
  <c r="AT142" i="10"/>
  <c r="AT143" i="10" s="1"/>
  <c r="AT114" i="5" s="1"/>
  <c r="AU165" i="10"/>
  <c r="F95" i="10"/>
  <c r="AI189" i="10"/>
  <c r="U95" i="10"/>
  <c r="G187" i="10"/>
  <c r="G189" i="10" s="1"/>
  <c r="AT156" i="10"/>
  <c r="AD95" i="10"/>
  <c r="V107" i="11"/>
  <c r="V106" i="11" s="1"/>
  <c r="AD107" i="11"/>
  <c r="AD106" i="11" s="1"/>
  <c r="AT136" i="10"/>
  <c r="AU135" i="10" s="1"/>
  <c r="I144" i="10"/>
  <c r="E95" i="10"/>
  <c r="D95" i="10"/>
  <c r="AM107" i="11"/>
  <c r="AM106" i="11" s="1"/>
  <c r="AT75" i="10"/>
  <c r="AT74" i="10"/>
  <c r="AT50" i="10"/>
  <c r="AT166" i="10"/>
  <c r="BC37" i="13"/>
  <c r="AY21" i="13"/>
  <c r="Y37" i="13"/>
  <c r="AV21" i="13"/>
  <c r="I189" i="10"/>
  <c r="AD69" i="11"/>
  <c r="AC95" i="10"/>
  <c r="AT92" i="10"/>
  <c r="J100" i="7"/>
  <c r="Q99" i="7"/>
  <c r="S100" i="7"/>
  <c r="AG198" i="5"/>
  <c r="P99" i="7"/>
  <c r="AA166" i="5"/>
  <c r="K101" i="7"/>
  <c r="W170" i="5"/>
  <c r="DG11" i="7"/>
  <c r="BE100" i="5"/>
  <c r="BE206" i="5" s="1"/>
  <c r="BE179" i="5" s="1"/>
  <c r="X80" i="5"/>
  <c r="Y79" i="5"/>
  <c r="Y80" i="5" s="1"/>
  <c r="AK75" i="5"/>
  <c r="AK76" i="5" s="1"/>
  <c r="BC145" i="10"/>
  <c r="BC143" i="10" s="1"/>
  <c r="BC114" i="5" s="1"/>
  <c r="C70" i="6"/>
  <c r="AN46" i="5"/>
  <c r="AN47" i="5" s="1"/>
  <c r="AJ44" i="5"/>
  <c r="AJ45" i="5" s="1"/>
  <c r="AV48" i="5"/>
  <c r="AV49" i="5" s="1"/>
  <c r="V88" i="7"/>
  <c r="BF102" i="6"/>
  <c r="BF122" i="6"/>
  <c r="BA56" i="6"/>
  <c r="Y158" i="6"/>
  <c r="V83" i="6"/>
  <c r="BA168" i="6"/>
  <c r="AP56" i="6"/>
  <c r="BA71" i="6"/>
  <c r="V66" i="6"/>
  <c r="V76" i="6"/>
  <c r="V69" i="6" s="1"/>
  <c r="AB7" i="7"/>
  <c r="AB86" i="7" s="1"/>
  <c r="AB99" i="7" s="1"/>
  <c r="AK180" i="6"/>
  <c r="AA88" i="7"/>
  <c r="AM37" i="6"/>
  <c r="AV97" i="6"/>
  <c r="AV101" i="6" s="1"/>
  <c r="AE161" i="6"/>
  <c r="BA122" i="6"/>
  <c r="BA74" i="6"/>
  <c r="BA73" i="6"/>
  <c r="V64" i="6"/>
  <c r="Y174" i="6"/>
  <c r="AB40" i="6"/>
  <c r="BH46" i="6"/>
  <c r="BH12" i="7" s="1"/>
  <c r="F195" i="5"/>
  <c r="AB199" i="5"/>
  <c r="X162" i="5"/>
  <c r="L163" i="5"/>
  <c r="AI198" i="5"/>
  <c r="Q171" i="5"/>
  <c r="AD196" i="5"/>
  <c r="Y36" i="5"/>
  <c r="AE151" i="5"/>
  <c r="F203" i="5"/>
  <c r="F204" i="5" s="1"/>
  <c r="X195" i="5"/>
  <c r="L203" i="5"/>
  <c r="L204" i="5" s="1"/>
  <c r="K201" i="5"/>
  <c r="X196" i="5"/>
  <c r="AO199" i="5"/>
  <c r="AT204" i="5"/>
  <c r="U139" i="5"/>
  <c r="AD203" i="5"/>
  <c r="AD204" i="5" s="1"/>
  <c r="R203" i="5"/>
  <c r="R204" i="5" s="1"/>
  <c r="U193" i="5"/>
  <c r="AD162" i="5"/>
  <c r="AG64" i="5"/>
  <c r="AG65" i="5" s="1"/>
  <c r="Q215" i="5"/>
  <c r="AH167" i="5"/>
  <c r="AO198" i="5"/>
  <c r="AJ162" i="5"/>
  <c r="AP177" i="5"/>
  <c r="CA38" i="5"/>
  <c r="AB114" i="7"/>
  <c r="R97" i="5"/>
  <c r="C123" i="5"/>
  <c r="BE181" i="5"/>
  <c r="CA193" i="5"/>
  <c r="CA5" i="7"/>
  <c r="AH195" i="5"/>
  <c r="AD201" i="5"/>
  <c r="BE102" i="5"/>
  <c r="BE145" i="5" s="1"/>
  <c r="BE155" i="5" s="1"/>
  <c r="BF185" i="5"/>
  <c r="AZ167" i="10"/>
  <c r="AS43" i="13"/>
  <c r="AS45" i="13" s="1"/>
  <c r="BB162" i="10"/>
  <c r="L36" i="11"/>
  <c r="M36" i="11" s="1"/>
  <c r="G21" i="11"/>
  <c r="AK32" i="11"/>
  <c r="Y63" i="11"/>
  <c r="Q54" i="11"/>
  <c r="R54" i="11" s="1"/>
  <c r="R94" i="10" s="1"/>
  <c r="AI54" i="11"/>
  <c r="AQ56" i="11"/>
  <c r="AW20" i="11"/>
  <c r="D94" i="10"/>
  <c r="S56" i="11"/>
  <c r="Y15" i="11"/>
  <c r="O203" i="5"/>
  <c r="O204" i="5" s="1"/>
  <c r="AJ64" i="5"/>
  <c r="AP173" i="5" s="1"/>
  <c r="K215" i="5"/>
  <c r="BY219" i="5"/>
  <c r="BY152" i="10" s="1"/>
  <c r="BF181" i="5"/>
  <c r="AN181" i="5"/>
  <c r="AM177" i="5"/>
  <c r="BG101" i="10"/>
  <c r="BA26" i="11"/>
  <c r="BB26" i="11" s="1"/>
  <c r="BC26" i="11" s="1"/>
  <c r="AP54" i="11"/>
  <c r="AQ54" i="11" s="1"/>
  <c r="CA107" i="11"/>
  <c r="BX53" i="11"/>
  <c r="BG46" i="11"/>
  <c r="BH46" i="11" s="1"/>
  <c r="BH115" i="10" s="1"/>
  <c r="AT23" i="11"/>
  <c r="BF47" i="11"/>
  <c r="BF49" i="11" s="1"/>
  <c r="BY53" i="11"/>
  <c r="BF115" i="10"/>
  <c r="AC107" i="11"/>
  <c r="AC106" i="11" s="1"/>
  <c r="AP36" i="10"/>
  <c r="AP46" i="10" s="1"/>
  <c r="BC165" i="10"/>
  <c r="AI144" i="10"/>
  <c r="W144" i="10"/>
  <c r="BE68" i="10"/>
  <c r="G142" i="10"/>
  <c r="AJ64" i="10"/>
  <c r="AQ164" i="10"/>
  <c r="AQ62" i="11"/>
  <c r="BB68" i="10"/>
  <c r="AW189" i="10"/>
  <c r="BG162" i="10"/>
  <c r="BG167" i="10"/>
  <c r="AK161" i="10"/>
  <c r="DI48" i="7"/>
  <c r="DI44" i="7"/>
  <c r="BH80" i="7"/>
  <c r="DI62" i="7" s="1"/>
  <c r="AM34" i="6"/>
  <c r="AM9" i="7" s="1"/>
  <c r="CT9" i="7" s="1"/>
  <c r="AC201" i="5"/>
  <c r="W195" i="5"/>
  <c r="W162" i="5"/>
  <c r="AI195" i="5"/>
  <c r="O198" i="5"/>
  <c r="BO132" i="5"/>
  <c r="AY212" i="5"/>
  <c r="AY187" i="5" s="1"/>
  <c r="AJ157" i="5"/>
  <c r="AJ191" i="5" s="1"/>
  <c r="AP94" i="6"/>
  <c r="Y91" i="6"/>
  <c r="Y114" i="6" s="1"/>
  <c r="BG102" i="5"/>
  <c r="BG209" i="5" s="1"/>
  <c r="AU126" i="5"/>
  <c r="W114" i="7"/>
  <c r="AQ152" i="5"/>
  <c r="CA104" i="10"/>
  <c r="BX226" i="5"/>
  <c r="BX196" i="10" s="1"/>
  <c r="J66" i="6"/>
  <c r="J68" i="6"/>
  <c r="AU31" i="10"/>
  <c r="AU69" i="10" s="1"/>
  <c r="V114" i="7"/>
  <c r="U161" i="5"/>
  <c r="O100" i="7"/>
  <c r="Q101" i="7"/>
  <c r="S106" i="5"/>
  <c r="AW135" i="10"/>
  <c r="AW137" i="10" s="1"/>
  <c r="AQ52" i="10"/>
  <c r="BE36" i="10"/>
  <c r="AT119" i="10"/>
  <c r="AU114" i="10" s="1"/>
  <c r="AT125" i="10"/>
  <c r="AU122" i="10" s="1"/>
  <c r="AT161" i="10"/>
  <c r="AG107" i="11"/>
  <c r="AG106" i="11" s="1"/>
  <c r="AG13" i="5"/>
  <c r="AB36" i="11"/>
  <c r="AC36" i="11" s="1"/>
  <c r="AC101" i="10" s="1"/>
  <c r="AA101" i="10"/>
  <c r="U125" i="10"/>
  <c r="V122" i="10" s="1"/>
  <c r="U136" i="10"/>
  <c r="V135" i="10" s="1"/>
  <c r="V137" i="10" s="1"/>
  <c r="V138" i="10" s="1"/>
  <c r="V115" i="5" s="1"/>
  <c r="AT158" i="10"/>
  <c r="AB69" i="11"/>
  <c r="AB95" i="10"/>
  <c r="AA107" i="11"/>
  <c r="AA106" i="11" s="1"/>
  <c r="X95" i="10"/>
  <c r="W95" i="10"/>
  <c r="K60" i="11"/>
  <c r="J76" i="6"/>
  <c r="J100" i="6"/>
  <c r="J99" i="6"/>
  <c r="J181" i="6"/>
  <c r="U64" i="5"/>
  <c r="U65" i="5" s="1"/>
  <c r="U113" i="7"/>
  <c r="BG143" i="10"/>
  <c r="AZ68" i="10"/>
  <c r="AZ67" i="10"/>
  <c r="AD221" i="5"/>
  <c r="AA221" i="5"/>
  <c r="AH221" i="5"/>
  <c r="AE226" i="5"/>
  <c r="AE196" i="10" s="1"/>
  <c r="AB221" i="5"/>
  <c r="AE219" i="5"/>
  <c r="AE152" i="10" s="1"/>
  <c r="AG221" i="5"/>
  <c r="U220" i="5"/>
  <c r="W220" i="5"/>
  <c r="AG201" i="5"/>
  <c r="AG171" i="5"/>
  <c r="U198" i="5"/>
  <c r="U199" i="5"/>
  <c r="U167" i="5"/>
  <c r="AC196" i="5"/>
  <c r="AC195" i="5"/>
  <c r="K203" i="5"/>
  <c r="K204" i="5" s="1"/>
  <c r="K163" i="5"/>
  <c r="E195" i="5"/>
  <c r="E215" i="5"/>
  <c r="E163" i="5"/>
  <c r="BC25" i="5"/>
  <c r="AW161" i="10"/>
  <c r="AS161" i="10"/>
  <c r="AS162" i="10" s="1"/>
  <c r="BA76" i="6"/>
  <c r="CC133" i="5"/>
  <c r="CI133" i="5" s="1"/>
  <c r="BI133" i="5"/>
  <c r="BA59" i="11"/>
  <c r="BB59" i="11" s="1"/>
  <c r="AW21" i="13"/>
  <c r="AW20" i="13" s="1"/>
  <c r="AW22" i="13" s="1"/>
  <c r="AV62" i="11" s="1"/>
  <c r="AM43" i="11"/>
  <c r="AC69" i="11"/>
  <c r="U69" i="11"/>
  <c r="V95" i="10"/>
  <c r="U107" i="11"/>
  <c r="U106" i="11" s="1"/>
  <c r="U44" i="13"/>
  <c r="U45" i="13" s="1"/>
  <c r="S139" i="10"/>
  <c r="O6" i="7"/>
  <c r="O70" i="6"/>
  <c r="AT95" i="10"/>
  <c r="AU95" i="10"/>
  <c r="AU160" i="10"/>
  <c r="AV113" i="5"/>
  <c r="X97" i="5"/>
  <c r="Y96" i="5"/>
  <c r="Y97" i="5" s="1"/>
  <c r="G56" i="11"/>
  <c r="S15" i="11"/>
  <c r="K101" i="10"/>
  <c r="S32" i="11"/>
  <c r="J64" i="6"/>
  <c r="AY146" i="5"/>
  <c r="AY156" i="5" s="1"/>
  <c r="P89" i="7"/>
  <c r="BA45" i="10"/>
  <c r="BB23" i="10"/>
  <c r="BB70" i="10"/>
  <c r="BC43" i="10"/>
  <c r="BC164" i="10"/>
  <c r="AZ36" i="10"/>
  <c r="AJ36" i="10"/>
  <c r="AJ69" i="10"/>
  <c r="AJ68" i="10"/>
  <c r="DE46" i="7"/>
  <c r="DE49" i="7"/>
  <c r="AK107" i="10"/>
  <c r="AM100" i="10" s="1"/>
  <c r="AQ100" i="10" s="1"/>
  <c r="AM125" i="10"/>
  <c r="AN122" i="10" s="1"/>
  <c r="AN124" i="10" s="1"/>
  <c r="W60" i="11"/>
  <c r="X60" i="11" s="1"/>
  <c r="Y60" i="11" s="1"/>
  <c r="D215" i="5"/>
  <c r="Y150" i="5"/>
  <c r="AE123" i="5"/>
  <c r="S123" i="5"/>
  <c r="AW165" i="10"/>
  <c r="AA43" i="13"/>
  <c r="AV45" i="13"/>
  <c r="AP45" i="13"/>
  <c r="AJ45" i="13"/>
  <c r="AD45" i="13"/>
  <c r="BB45" i="13"/>
  <c r="BG144" i="10"/>
  <c r="BH83" i="7"/>
  <c r="DI65" i="7" s="1"/>
  <c r="AK62" i="5"/>
  <c r="AK63" i="5" s="1"/>
  <c r="AH64" i="5"/>
  <c r="AH65" i="5" s="1"/>
  <c r="V99" i="7"/>
  <c r="AY143" i="10"/>
  <c r="AY114" i="5" s="1"/>
  <c r="AY70" i="10"/>
  <c r="BA181" i="6"/>
  <c r="X69" i="11"/>
  <c r="AY167" i="10"/>
  <c r="P144" i="10"/>
  <c r="G92" i="10"/>
  <c r="AK45" i="13"/>
  <c r="AN189" i="10"/>
  <c r="AM189" i="10"/>
  <c r="BB124" i="10"/>
  <c r="AU43" i="11"/>
  <c r="AW43" i="11" s="1"/>
  <c r="AM161" i="10"/>
  <c r="V69" i="11"/>
  <c r="AM167" i="5"/>
  <c r="AM199" i="5"/>
  <c r="AP163" i="5"/>
  <c r="AP195" i="5"/>
  <c r="AQ135" i="10"/>
  <c r="AQ137" i="10" s="1"/>
  <c r="BY226" i="5"/>
  <c r="BY196" i="10" s="1"/>
  <c r="W171" i="5"/>
  <c r="AM198" i="5"/>
  <c r="R198" i="5"/>
  <c r="U6" i="7"/>
  <c r="Y135" i="10"/>
  <c r="Y137" i="10" s="1"/>
  <c r="U135" i="10"/>
  <c r="BG20" i="13"/>
  <c r="BG22" i="13" s="1"/>
  <c r="BG23" i="13" s="1"/>
  <c r="BH37" i="13"/>
  <c r="AB160" i="10"/>
  <c r="AJ201" i="5"/>
  <c r="AJ171" i="5"/>
  <c r="O201" i="5"/>
  <c r="O171" i="5"/>
  <c r="O215" i="5"/>
  <c r="X36" i="11"/>
  <c r="S93" i="5"/>
  <c r="W202" i="5"/>
  <c r="AB215" i="5"/>
  <c r="AZ162" i="10"/>
  <c r="W222" i="5"/>
  <c r="V222" i="5"/>
  <c r="X222" i="5"/>
  <c r="J221" i="5"/>
  <c r="K221" i="5"/>
  <c r="AY44" i="13"/>
  <c r="G139" i="10"/>
  <c r="AA8" i="5"/>
  <c r="AC8" i="13" s="1"/>
  <c r="V8" i="5"/>
  <c r="V7" i="11" s="1"/>
  <c r="U7" i="10"/>
  <c r="U159" i="5"/>
  <c r="U38" i="5"/>
  <c r="U7" i="11"/>
  <c r="W8" i="13"/>
  <c r="AK31" i="10"/>
  <c r="AK36" i="10" s="1"/>
  <c r="BC23" i="13"/>
  <c r="BC38" i="13"/>
  <c r="J101" i="10"/>
  <c r="P220" i="5"/>
  <c r="P219" i="5" s="1"/>
  <c r="P152" i="10" s="1"/>
  <c r="R220" i="5"/>
  <c r="R219" i="5" s="1"/>
  <c r="R152" i="10" s="1"/>
  <c r="O220" i="5"/>
  <c r="O226" i="5" s="1"/>
  <c r="O196" i="10" s="1"/>
  <c r="S226" i="5"/>
  <c r="S196" i="10" s="1"/>
  <c r="Q220" i="5"/>
  <c r="Q219" i="5" s="1"/>
  <c r="Q152" i="10" s="1"/>
  <c r="AV204" i="5"/>
  <c r="AV175" i="5"/>
  <c r="C201" i="5"/>
  <c r="C215" i="5"/>
  <c r="C171" i="5"/>
  <c r="AD215" i="5"/>
  <c r="X166" i="5"/>
  <c r="X203" i="5"/>
  <c r="X204" i="5" s="1"/>
  <c r="BC135" i="10"/>
  <c r="BC137" i="10" s="1"/>
  <c r="AY135" i="10"/>
  <c r="AY137" i="10" s="1"/>
  <c r="AY138" i="10" s="1"/>
  <c r="AY115" i="5" s="1"/>
  <c r="AW52" i="10"/>
  <c r="AH203" i="5"/>
  <c r="AH204" i="5" s="1"/>
  <c r="BE43" i="13"/>
  <c r="BE45" i="13" s="1"/>
  <c r="AM166" i="5"/>
  <c r="AJ170" i="5"/>
  <c r="BG45" i="10"/>
  <c r="BI135" i="10"/>
  <c r="BI137" i="10" s="1"/>
  <c r="BE135" i="10"/>
  <c r="BE137" i="10" s="1"/>
  <c r="BE138" i="10" s="1"/>
  <c r="BE115" i="5" s="1"/>
  <c r="Y50" i="10"/>
  <c r="Y202" i="10" s="1"/>
  <c r="Y142" i="10"/>
  <c r="G50" i="10"/>
  <c r="G202" i="10" s="1"/>
  <c r="AP69" i="10"/>
  <c r="BA29" i="5"/>
  <c r="BB29" i="5"/>
  <c r="BE35" i="13"/>
  <c r="BA101" i="10"/>
  <c r="BC31" i="10"/>
  <c r="BC36" i="10" s="1"/>
  <c r="AW50" i="10"/>
  <c r="AM135" i="10"/>
  <c r="AM137" i="10" s="1"/>
  <c r="AM138" i="10" s="1"/>
  <c r="AM115" i="5" s="1"/>
  <c r="BA45" i="13"/>
  <c r="BC135" i="5"/>
  <c r="BC95" i="10"/>
  <c r="BC45" i="13"/>
  <c r="BB144" i="10"/>
  <c r="BE28" i="13"/>
  <c r="BE33" i="13"/>
  <c r="AP95" i="10"/>
  <c r="AO177" i="5"/>
  <c r="AJ43" i="11"/>
  <c r="W69" i="11"/>
  <c r="R124" i="10"/>
  <c r="M62" i="11"/>
  <c r="C124" i="10"/>
  <c r="BB167" i="10"/>
  <c r="AJ166" i="5"/>
  <c r="AK96" i="5"/>
  <c r="AK97" i="5" s="1"/>
  <c r="AS100" i="6"/>
  <c r="AM95" i="6"/>
  <c r="AH177" i="6"/>
  <c r="AK176" i="6"/>
  <c r="AN23" i="6"/>
  <c r="AN7" i="7" s="1"/>
  <c r="AN86" i="7" s="1"/>
  <c r="AM43" i="13"/>
  <c r="S135" i="10"/>
  <c r="S137" i="10" s="1"/>
  <c r="AC189" i="10"/>
  <c r="Q189" i="10"/>
  <c r="V189" i="10"/>
  <c r="BA75" i="6"/>
  <c r="BE126" i="5"/>
  <c r="DF45" i="7"/>
  <c r="BG58" i="6"/>
  <c r="BG24" i="7" s="1"/>
  <c r="BS132" i="5"/>
  <c r="AU62" i="11"/>
  <c r="AC51" i="10"/>
  <c r="AG99" i="5"/>
  <c r="AG82" i="5"/>
  <c r="AV137" i="6"/>
  <c r="AP99" i="6"/>
  <c r="AV139" i="6"/>
  <c r="AJ90" i="6"/>
  <c r="AU100" i="6"/>
  <c r="Y92" i="6"/>
  <c r="Y115" i="6" s="1"/>
  <c r="V90" i="6"/>
  <c r="AJ97" i="6"/>
  <c r="AJ101" i="6" s="1"/>
  <c r="AW167" i="6"/>
  <c r="AK178" i="6"/>
  <c r="AM177" i="6"/>
  <c r="AV34" i="6"/>
  <c r="AV9" i="7" s="1"/>
  <c r="AV88" i="7" s="1"/>
  <c r="BB101" i="7" s="1"/>
  <c r="AJ34" i="6"/>
  <c r="AJ9" i="7" s="1"/>
  <c r="AK50" i="10"/>
  <c r="M50" i="10"/>
  <c r="M202" i="10" s="1"/>
  <c r="AQ31" i="10"/>
  <c r="R45" i="13"/>
  <c r="U35" i="13"/>
  <c r="S36" i="13"/>
  <c r="U26" i="13"/>
  <c r="AA33" i="13"/>
  <c r="AM30" i="13"/>
  <c r="BE29" i="13"/>
  <c r="AG27" i="13"/>
  <c r="AO189" i="10"/>
  <c r="W189" i="10"/>
  <c r="DF47" i="7"/>
  <c r="BF124" i="10"/>
  <c r="BI145" i="10"/>
  <c r="AQ28" i="11"/>
  <c r="D69" i="11"/>
  <c r="C189" i="10"/>
  <c r="C190" i="10" s="1"/>
  <c r="AT189" i="10"/>
  <c r="AT126" i="5"/>
  <c r="M187" i="10"/>
  <c r="M189" i="10" s="1"/>
  <c r="L189" i="10"/>
  <c r="AA189" i="10"/>
  <c r="AW97" i="11"/>
  <c r="AE97" i="11"/>
  <c r="F36" i="11"/>
  <c r="F101" i="10" s="1"/>
  <c r="E101" i="10"/>
  <c r="BC66" i="5"/>
  <c r="BC67" i="5" s="1"/>
  <c r="AA135" i="10"/>
  <c r="AA137" i="10" s="1"/>
  <c r="AA138" i="10" s="1"/>
  <c r="AA115" i="5" s="1"/>
  <c r="AE145" i="10"/>
  <c r="AQ91" i="6"/>
  <c r="AQ114" i="6" s="1"/>
  <c r="AD166" i="5"/>
  <c r="AW31" i="10"/>
  <c r="AP203" i="5"/>
  <c r="J8" i="5"/>
  <c r="K8" i="5" s="1"/>
  <c r="M8" i="13" s="1"/>
  <c r="V201" i="5"/>
  <c r="AB170" i="5"/>
  <c r="AD199" i="5"/>
  <c r="X167" i="5"/>
  <c r="AQ37" i="13"/>
  <c r="AV189" i="10"/>
  <c r="BA67" i="10"/>
  <c r="BC15" i="10"/>
  <c r="AB202" i="5"/>
  <c r="V215" i="5"/>
  <c r="AP70" i="10"/>
  <c r="AE135" i="10"/>
  <c r="BC159" i="10"/>
  <c r="G145" i="10"/>
  <c r="V84" i="6"/>
  <c r="V96" i="6" s="1"/>
  <c r="V100" i="6" s="1"/>
  <c r="AE183" i="10"/>
  <c r="AK145" i="10"/>
  <c r="AK143" i="10" s="1"/>
  <c r="AK114" i="5" s="1"/>
  <c r="BC139" i="10"/>
  <c r="AQ139" i="10"/>
  <c r="AS23" i="10"/>
  <c r="AK37" i="13"/>
  <c r="S37" i="13"/>
  <c r="AG33" i="13"/>
  <c r="AS32" i="13"/>
  <c r="BA143" i="10"/>
  <c r="BA114" i="5" s="1"/>
  <c r="AW234" i="5"/>
  <c r="BE42" i="6"/>
  <c r="BE11" i="7" s="1"/>
  <c r="BF137" i="10"/>
  <c r="BF138" i="10" s="1"/>
  <c r="BF53" i="6"/>
  <c r="BF16" i="7" s="1"/>
  <c r="BG59" i="6"/>
  <c r="BI50" i="6"/>
  <c r="BC41" i="6"/>
  <c r="BH126" i="5"/>
  <c r="AQ75" i="5"/>
  <c r="AQ76" i="5" s="1"/>
  <c r="AG101" i="10"/>
  <c r="AH165" i="5"/>
  <c r="U101" i="10"/>
  <c r="V165" i="5"/>
  <c r="Q122" i="10"/>
  <c r="Q124" i="10" s="1"/>
  <c r="O101" i="10"/>
  <c r="R72" i="5"/>
  <c r="G28" i="11"/>
  <c r="AU189" i="10"/>
  <c r="E189" i="10"/>
  <c r="AB189" i="10"/>
  <c r="BI45" i="13"/>
  <c r="S50" i="10"/>
  <c r="S202" i="10" s="1"/>
  <c r="AC202" i="5"/>
  <c r="O135" i="10"/>
  <c r="O137" i="10" s="1"/>
  <c r="O138" i="10" s="1"/>
  <c r="O115" i="5" s="1"/>
  <c r="AZ177" i="5"/>
  <c r="F215" i="5"/>
  <c r="AI201" i="5"/>
  <c r="AK197" i="5"/>
  <c r="AK167" i="5" s="1"/>
  <c r="AE36" i="5"/>
  <c r="AD167" i="5"/>
  <c r="AI170" i="5"/>
  <c r="X198" i="5"/>
  <c r="AZ70" i="10"/>
  <c r="AJ37" i="13"/>
  <c r="G36" i="5"/>
  <c r="AV68" i="10"/>
  <c r="AP67" i="10"/>
  <c r="AQ50" i="10"/>
  <c r="AW164" i="10"/>
  <c r="AS125" i="10"/>
  <c r="AT122" i="10" s="1"/>
  <c r="S142" i="10"/>
  <c r="BB36" i="10"/>
  <c r="BA70" i="10"/>
  <c r="AY29" i="13"/>
  <c r="AQ38" i="13"/>
  <c r="AP181" i="6"/>
  <c r="AQ183" i="10"/>
  <c r="G183" i="10"/>
  <c r="AY33" i="13"/>
  <c r="AM32" i="13"/>
  <c r="AY31" i="13"/>
  <c r="J189" i="10"/>
  <c r="AG189" i="10"/>
  <c r="BB143" i="10"/>
  <c r="BB114" i="5" s="1"/>
  <c r="AU27" i="11"/>
  <c r="AW27" i="11" s="1"/>
  <c r="S52" i="11"/>
  <c r="M52" i="11"/>
  <c r="AD198" i="5"/>
  <c r="R168" i="6"/>
  <c r="R169" i="6" s="1"/>
  <c r="AV95" i="6"/>
  <c r="AW95" i="6" s="1"/>
  <c r="X168" i="6"/>
  <c r="AD169" i="6" s="1"/>
  <c r="AU204" i="5"/>
  <c r="AJ167" i="5"/>
  <c r="AK52" i="10"/>
  <c r="AZ23" i="10"/>
  <c r="X37" i="13"/>
  <c r="AA28" i="13"/>
  <c r="BK33" i="13"/>
  <c r="BB69" i="10"/>
  <c r="BB67" i="10"/>
  <c r="BA36" i="10"/>
  <c r="BB37" i="13"/>
  <c r="AQ143" i="5"/>
  <c r="AM98" i="5"/>
  <c r="AM99" i="5" s="1"/>
  <c r="AB39" i="6"/>
  <c r="S183" i="10"/>
  <c r="T45" i="13"/>
  <c r="D189" i="10"/>
  <c r="P189" i="10"/>
  <c r="AU52" i="11"/>
  <c r="AW52" i="11" s="1"/>
  <c r="AW133" i="5"/>
  <c r="AZ54" i="5"/>
  <c r="AZ146" i="5" s="1"/>
  <c r="AZ156" i="5" s="1"/>
  <c r="AM44" i="13"/>
  <c r="AO200" i="5"/>
  <c r="AO202" i="5" s="1"/>
  <c r="BO10" i="11"/>
  <c r="AF45" i="13"/>
  <c r="Z45" i="13"/>
  <c r="AE45" i="13"/>
  <c r="W45" i="13"/>
  <c r="BI139" i="10"/>
  <c r="AN52" i="5"/>
  <c r="AN53" i="5" s="1"/>
  <c r="AU185" i="5"/>
  <c r="AY52" i="5"/>
  <c r="AY145" i="5" s="1"/>
  <c r="AY155" i="5" s="1"/>
  <c r="BO103" i="10"/>
  <c r="AN81" i="5"/>
  <c r="AN82" i="5" s="1"/>
  <c r="AM81" i="5"/>
  <c r="AM82" i="5" s="1"/>
  <c r="AC169" i="5"/>
  <c r="AH42" i="5"/>
  <c r="AH48" i="5" s="1"/>
  <c r="AH49" i="5" s="1"/>
  <c r="CA5" i="6"/>
  <c r="AO185" i="5"/>
  <c r="AV185" i="5"/>
  <c r="AN200" i="5"/>
  <c r="AN171" i="5" s="1"/>
  <c r="AI81" i="5"/>
  <c r="AI82" i="5" s="1"/>
  <c r="W198" i="5"/>
  <c r="W203" i="5"/>
  <c r="W204" i="5" s="1"/>
  <c r="AJ195" i="5"/>
  <c r="AJ163" i="5"/>
  <c r="AP196" i="5"/>
  <c r="AJ203" i="5"/>
  <c r="AP162" i="5"/>
  <c r="AA163" i="5"/>
  <c r="AA203" i="5"/>
  <c r="AA175" i="5" s="1"/>
  <c r="S36" i="5"/>
  <c r="AK36" i="5"/>
  <c r="AY41" i="13"/>
  <c r="AA41" i="13"/>
  <c r="Y145" i="10"/>
  <c r="AN54" i="5"/>
  <c r="AN55" i="5" s="1"/>
  <c r="AN185" i="5"/>
  <c r="AC42" i="5"/>
  <c r="AC161" i="5"/>
  <c r="AC64" i="5"/>
  <c r="AC65" i="5" s="1"/>
  <c r="AB113" i="7"/>
  <c r="F219" i="5"/>
  <c r="F152" i="10" s="1"/>
  <c r="F226" i="5"/>
  <c r="F196" i="10" s="1"/>
  <c r="E226" i="5"/>
  <c r="E196" i="10" s="1"/>
  <c r="E219" i="5"/>
  <c r="E152" i="10" s="1"/>
  <c r="AS204" i="5"/>
  <c r="AW203" i="5"/>
  <c r="AW175" i="5" s="1"/>
  <c r="X201" i="5"/>
  <c r="X215" i="5"/>
  <c r="X171" i="5"/>
  <c r="AD202" i="5"/>
  <c r="AD170" i="5"/>
  <c r="P171" i="5"/>
  <c r="P201" i="5"/>
  <c r="V170" i="5"/>
  <c r="V202" i="5"/>
  <c r="J171" i="5"/>
  <c r="J201" i="5"/>
  <c r="J215" i="5"/>
  <c r="D171" i="5"/>
  <c r="D201" i="5"/>
  <c r="AN199" i="5"/>
  <c r="AQ197" i="5"/>
  <c r="BC100" i="5"/>
  <c r="BC101" i="5" s="1"/>
  <c r="AY50" i="5"/>
  <c r="AY144" i="5" s="1"/>
  <c r="AY177" i="5"/>
  <c r="AQ58" i="5"/>
  <c r="AQ59" i="5" s="1"/>
  <c r="AN42" i="5"/>
  <c r="AN43" i="5" s="1"/>
  <c r="BG104" i="5"/>
  <c r="BG212" i="5" s="1"/>
  <c r="R89" i="5"/>
  <c r="R13" i="5" s="1"/>
  <c r="S79" i="5"/>
  <c r="S80" i="5" s="1"/>
  <c r="R80" i="5"/>
  <c r="Q44" i="5"/>
  <c r="Q45" i="5" s="1"/>
  <c r="Q64" i="5"/>
  <c r="Q65" i="5" s="1"/>
  <c r="J46" i="5"/>
  <c r="J56" i="5" s="1"/>
  <c r="J11" i="5" s="1"/>
  <c r="J72" i="5"/>
  <c r="M147" i="5"/>
  <c r="G79" i="5"/>
  <c r="G80" i="5" s="1"/>
  <c r="BE104" i="5"/>
  <c r="BG177" i="5"/>
  <c r="BA50" i="5"/>
  <c r="BA51" i="5" s="1"/>
  <c r="I7" i="10"/>
  <c r="K8" i="13"/>
  <c r="I6" i="6"/>
  <c r="Y12" i="11"/>
  <c r="E6" i="6"/>
  <c r="E7" i="10"/>
  <c r="F8" i="5"/>
  <c r="AB162" i="5"/>
  <c r="V196" i="5"/>
  <c r="V163" i="5"/>
  <c r="AB196" i="5"/>
  <c r="J195" i="5"/>
  <c r="J203" i="5"/>
  <c r="J204" i="5" s="1"/>
  <c r="M194" i="5"/>
  <c r="J163" i="5"/>
  <c r="AQ147" i="5"/>
  <c r="BU38" i="5"/>
  <c r="BU159" i="5"/>
  <c r="BU139" i="5"/>
  <c r="AZ29" i="5"/>
  <c r="AE147" i="5"/>
  <c r="AQ155" i="5"/>
  <c r="AJ153" i="5"/>
  <c r="AK150" i="5"/>
  <c r="AK66" i="5"/>
  <c r="AK67" i="5" s="1"/>
  <c r="AG161" i="5"/>
  <c r="U153" i="5"/>
  <c r="AK77" i="5"/>
  <c r="BC123" i="5"/>
  <c r="AK123" i="5"/>
  <c r="AY106" i="5"/>
  <c r="AY14" i="5" s="1"/>
  <c r="AJ98" i="5"/>
  <c r="AJ99" i="5" s="1"/>
  <c r="Y13" i="11"/>
  <c r="AK156" i="5"/>
  <c r="CA10" i="11"/>
  <c r="M79" i="5"/>
  <c r="M80" i="5" s="1"/>
  <c r="AO30" i="6"/>
  <c r="AH31" i="6"/>
  <c r="AN32" i="6" s="1"/>
  <c r="AB57" i="6"/>
  <c r="AS72" i="6"/>
  <c r="AS76" i="6"/>
  <c r="AS71" i="6"/>
  <c r="AS157" i="5"/>
  <c r="AS191" i="5" s="1"/>
  <c r="AY58" i="6"/>
  <c r="AY24" i="7" s="1"/>
  <c r="AY59" i="6"/>
  <c r="AY23" i="7" s="1"/>
  <c r="AY71" i="7" s="1"/>
  <c r="BE54" i="5"/>
  <c r="BE55" i="5" s="1"/>
  <c r="BE185" i="5"/>
  <c r="BI70" i="5"/>
  <c r="BI71" i="5" s="1"/>
  <c r="AV73" i="6"/>
  <c r="AV181" i="6"/>
  <c r="BB56" i="6"/>
  <c r="BB58" i="6"/>
  <c r="BB24" i="7" s="1"/>
  <c r="AV157" i="5"/>
  <c r="AV72" i="6"/>
  <c r="AV74" i="6"/>
  <c r="AM181" i="5"/>
  <c r="AQ68" i="5"/>
  <c r="AQ69" i="5" s="1"/>
  <c r="AG52" i="5"/>
  <c r="AG53" i="5" s="1"/>
  <c r="AK68" i="5"/>
  <c r="AK69" i="5" s="1"/>
  <c r="W46" i="5"/>
  <c r="W169" i="5"/>
  <c r="U46" i="5"/>
  <c r="U169" i="5"/>
  <c r="Y62" i="5"/>
  <c r="Y63" i="5" s="1"/>
  <c r="R44" i="5"/>
  <c r="R64" i="5"/>
  <c r="R65" i="5" s="1"/>
  <c r="P18" i="6"/>
  <c r="V17" i="7" s="1"/>
  <c r="V37" i="6"/>
  <c r="V39" i="6"/>
  <c r="P22" i="6"/>
  <c r="P37" i="6" s="1"/>
  <c r="S11" i="6"/>
  <c r="C46" i="5"/>
  <c r="C56" i="5" s="1"/>
  <c r="C11" i="5" s="1"/>
  <c r="C72" i="5"/>
  <c r="W88" i="7"/>
  <c r="K72" i="5"/>
  <c r="V40" i="6"/>
  <c r="BH52" i="5"/>
  <c r="BH53" i="5" s="1"/>
  <c r="BH55" i="5"/>
  <c r="AV71" i="6"/>
  <c r="AJ81" i="5"/>
  <c r="AJ82" i="5" s="1"/>
  <c r="AV181" i="5"/>
  <c r="AV52" i="5"/>
  <c r="AV53" i="5" s="1"/>
  <c r="AU59" i="6"/>
  <c r="AU55" i="6" s="1"/>
  <c r="AU53" i="6" s="1"/>
  <c r="AU16" i="7" s="1"/>
  <c r="AU95" i="7" s="1"/>
  <c r="AO190" i="5"/>
  <c r="AU56" i="6"/>
  <c r="AD46" i="5"/>
  <c r="AD47" i="5" s="1"/>
  <c r="AD169" i="5"/>
  <c r="W18" i="6"/>
  <c r="W37" i="6"/>
  <c r="W85" i="6"/>
  <c r="W97" i="6" s="1"/>
  <c r="W101" i="6" s="1"/>
  <c r="W84" i="6"/>
  <c r="W96" i="6" s="1"/>
  <c r="W100" i="6" s="1"/>
  <c r="W83" i="6"/>
  <c r="W95" i="6" s="1"/>
  <c r="W99" i="6" s="1"/>
  <c r="W153" i="5"/>
  <c r="O44" i="5"/>
  <c r="O45" i="5" s="1"/>
  <c r="S60" i="5"/>
  <c r="S61" i="5" s="1"/>
  <c r="O64" i="5"/>
  <c r="O65" i="5" s="1"/>
  <c r="O72" i="5"/>
  <c r="I42" i="5"/>
  <c r="M42" i="5" s="1"/>
  <c r="M43" i="5" s="1"/>
  <c r="M58" i="5"/>
  <c r="M59" i="5" s="1"/>
  <c r="I72" i="5"/>
  <c r="AC40" i="6"/>
  <c r="P153" i="5"/>
  <c r="AS75" i="6"/>
  <c r="AS74" i="6"/>
  <c r="AD29" i="6"/>
  <c r="AD27" i="6" s="1"/>
  <c r="AE26" i="6"/>
  <c r="AE27" i="6" s="1"/>
  <c r="AE8" i="7" s="1"/>
  <c r="AE87" i="7" s="1"/>
  <c r="Y175" i="6"/>
  <c r="Y151" i="5"/>
  <c r="R100" i="7"/>
  <c r="L100" i="7"/>
  <c r="AV99" i="7"/>
  <c r="O99" i="7"/>
  <c r="AS73" i="6"/>
  <c r="BA177" i="5"/>
  <c r="AW66" i="5"/>
  <c r="AW67" i="5" s="1"/>
  <c r="AI75" i="6"/>
  <c r="AI157" i="5"/>
  <c r="AI191" i="5" s="1"/>
  <c r="AI72" i="6"/>
  <c r="AI73" i="6"/>
  <c r="AI76" i="6"/>
  <c r="AI74" i="6"/>
  <c r="AD153" i="5"/>
  <c r="AD84" i="6"/>
  <c r="AD96" i="6" s="1"/>
  <c r="AD85" i="6"/>
  <c r="AD97" i="6" s="1"/>
  <c r="AC18" i="6"/>
  <c r="AC10" i="5" s="1"/>
  <c r="AC91" i="5" s="1"/>
  <c r="AC37" i="6"/>
  <c r="AI39" i="6"/>
  <c r="AC84" i="6"/>
  <c r="AI130" i="6" s="1"/>
  <c r="AJ130" i="6" s="1"/>
  <c r="AC85" i="6"/>
  <c r="AC97" i="6" s="1"/>
  <c r="AI40" i="6"/>
  <c r="V44" i="5"/>
  <c r="V45" i="5" s="1"/>
  <c r="V72" i="5"/>
  <c r="V64" i="5"/>
  <c r="V65" i="5" s="1"/>
  <c r="AA40" i="6"/>
  <c r="U84" i="6"/>
  <c r="AA130" i="6" s="1"/>
  <c r="U85" i="6"/>
  <c r="U37" i="6"/>
  <c r="P42" i="5"/>
  <c r="P48" i="5" s="1"/>
  <c r="P49" i="5" s="1"/>
  <c r="P64" i="5"/>
  <c r="P65" i="5" s="1"/>
  <c r="V161" i="5"/>
  <c r="Q22" i="6"/>
  <c r="Q37" i="6" s="1"/>
  <c r="Q89" i="7"/>
  <c r="AV56" i="6"/>
  <c r="AJ39" i="6"/>
  <c r="AJ37" i="6"/>
  <c r="AV75" i="6"/>
  <c r="AY89" i="5"/>
  <c r="AY13" i="5" s="1"/>
  <c r="AY209" i="5"/>
  <c r="AY183" i="5" s="1"/>
  <c r="AT200" i="5"/>
  <c r="AZ185" i="5"/>
  <c r="AT185" i="5"/>
  <c r="AW70" i="5"/>
  <c r="AW71" i="5" s="1"/>
  <c r="AT54" i="5"/>
  <c r="AT55" i="5" s="1"/>
  <c r="AU50" i="5"/>
  <c r="AU51" i="5" s="1"/>
  <c r="AJ46" i="5"/>
  <c r="AJ47" i="5" s="1"/>
  <c r="AJ169" i="5"/>
  <c r="AT99" i="6"/>
  <c r="AT137" i="6"/>
  <c r="AW91" i="6"/>
  <c r="AB137" i="6"/>
  <c r="AB99" i="6"/>
  <c r="AB90" i="6"/>
  <c r="AJ86" i="6"/>
  <c r="AS181" i="6"/>
  <c r="AM168" i="6"/>
  <c r="AM181" i="6"/>
  <c r="U164" i="6"/>
  <c r="U177" i="6"/>
  <c r="AE176" i="6"/>
  <c r="G176" i="6"/>
  <c r="AK174" i="6"/>
  <c r="M174" i="6"/>
  <c r="AA87" i="7"/>
  <c r="AK155" i="5"/>
  <c r="AQ50" i="6"/>
  <c r="AQ45" i="6"/>
  <c r="AO96" i="6"/>
  <c r="AO95" i="6"/>
  <c r="AO141" i="6" s="1"/>
  <c r="AI177" i="6"/>
  <c r="AE93" i="6"/>
  <c r="AE116" i="6" s="1"/>
  <c r="P177" i="6"/>
  <c r="M158" i="6"/>
  <c r="M150" i="5"/>
  <c r="AK89" i="6"/>
  <c r="BA212" i="5"/>
  <c r="AS190" i="5"/>
  <c r="AN95" i="6"/>
  <c r="AI90" i="6"/>
  <c r="AJ96" i="6"/>
  <c r="AP142" i="6" s="1"/>
  <c r="BF59" i="6"/>
  <c r="BH52" i="6"/>
  <c r="AE86" i="7"/>
  <c r="BB53" i="6"/>
  <c r="BB16" i="7" s="1"/>
  <c r="BB42" i="6"/>
  <c r="BB11" i="7" s="1"/>
  <c r="BF46" i="6"/>
  <c r="BF12" i="7" s="1"/>
  <c r="BF91" i="7" s="1"/>
  <c r="BH177" i="5"/>
  <c r="AU177" i="5"/>
  <c r="AQ79" i="5"/>
  <c r="AQ80" i="5" s="1"/>
  <c r="BC87" i="5"/>
  <c r="BC88" i="5" s="1"/>
  <c r="AN82" i="6"/>
  <c r="AQ41" i="6"/>
  <c r="AZ212" i="5"/>
  <c r="AZ213" i="5" s="1"/>
  <c r="AZ53" i="6"/>
  <c r="AZ16" i="7" s="1"/>
  <c r="AZ95" i="7" s="1"/>
  <c r="AV89" i="5"/>
  <c r="AV13" i="5" s="1"/>
  <c r="AU72" i="5"/>
  <c r="AY46" i="6"/>
  <c r="BA10" i="5"/>
  <c r="BB46" i="6"/>
  <c r="BB12" i="7" s="1"/>
  <c r="AE60" i="5"/>
  <c r="AE61" i="5" s="1"/>
  <c r="AA100" i="6"/>
  <c r="W72" i="5"/>
  <c r="U72" i="5"/>
  <c r="M96" i="5"/>
  <c r="M97" i="5" s="1"/>
  <c r="D72" i="5"/>
  <c r="AV46" i="5"/>
  <c r="AV47" i="5" s="1"/>
  <c r="AV200" i="5"/>
  <c r="AV201" i="5" s="1"/>
  <c r="AI165" i="5"/>
  <c r="AK60" i="5"/>
  <c r="AK61" i="5" s="1"/>
  <c r="BG52" i="5"/>
  <c r="BG53" i="5" s="1"/>
  <c r="BG72" i="5"/>
  <c r="AB46" i="5"/>
  <c r="AB47" i="5" s="1"/>
  <c r="AH169" i="5"/>
  <c r="AB169" i="5"/>
  <c r="AA46" i="5"/>
  <c r="AA47" i="5" s="1"/>
  <c r="AA72" i="5"/>
  <c r="AA169" i="5"/>
  <c r="X18" i="6"/>
  <c r="X84" i="6"/>
  <c r="X96" i="6" s="1"/>
  <c r="X100" i="6" s="1"/>
  <c r="AD37" i="6"/>
  <c r="Y11" i="6"/>
  <c r="X37" i="6"/>
  <c r="Q72" i="5"/>
  <c r="S58" i="5"/>
  <c r="L18" i="6"/>
  <c r="L99" i="6" s="1"/>
  <c r="L22" i="6"/>
  <c r="L37" i="6" s="1"/>
  <c r="R22" i="6"/>
  <c r="R37" i="6" s="1"/>
  <c r="E46" i="5"/>
  <c r="E56" i="5" s="1"/>
  <c r="E11" i="5" s="1"/>
  <c r="E72" i="5"/>
  <c r="E18" i="6"/>
  <c r="K89" i="7"/>
  <c r="K22" i="6"/>
  <c r="K37" i="6" s="1"/>
  <c r="E204" i="5"/>
  <c r="D18" i="6"/>
  <c r="J89" i="7"/>
  <c r="J22" i="6"/>
  <c r="J37" i="6" s="1"/>
  <c r="AD39" i="6"/>
  <c r="BI68" i="5"/>
  <c r="BI69" i="5" s="1"/>
  <c r="L72" i="5"/>
  <c r="BA52" i="5"/>
  <c r="BA53" i="5" s="1"/>
  <c r="BA72" i="5"/>
  <c r="AW98" i="5"/>
  <c r="AW99" i="5" s="1"/>
  <c r="AY206" i="5"/>
  <c r="AY207" i="5" s="1"/>
  <c r="AW152" i="5"/>
  <c r="AW36" i="6"/>
  <c r="AE33" i="6"/>
  <c r="AE35" i="6" s="1"/>
  <c r="Y33" i="6"/>
  <c r="Y35" i="6" s="1"/>
  <c r="X35" i="6" s="1"/>
  <c r="AQ111" i="6"/>
  <c r="AQ151" i="5"/>
  <c r="AE76" i="5"/>
  <c r="AE174" i="6"/>
  <c r="AK22" i="6"/>
  <c r="AK23" i="6" s="1"/>
  <c r="AK7" i="7" s="1"/>
  <c r="AK86" i="7" s="1"/>
  <c r="AE22" i="6"/>
  <c r="AE24" i="6" s="1"/>
  <c r="Q100" i="7"/>
  <c r="K100" i="7"/>
  <c r="R99" i="7"/>
  <c r="DM16" i="7"/>
  <c r="AW52" i="6"/>
  <c r="AW180" i="6"/>
  <c r="AW156" i="5"/>
  <c r="AN23" i="7"/>
  <c r="AN70" i="7" s="1"/>
  <c r="AH75" i="6"/>
  <c r="AH74" i="6"/>
  <c r="AY15" i="6"/>
  <c r="BF50" i="5"/>
  <c r="BF51" i="5" s="1"/>
  <c r="BF177" i="5"/>
  <c r="BF72" i="5"/>
  <c r="AC44" i="5"/>
  <c r="AC45" i="5" s="1"/>
  <c r="AC165" i="5"/>
  <c r="AC72" i="5"/>
  <c r="AB18" i="6"/>
  <c r="AB84" i="6"/>
  <c r="AB85" i="6"/>
  <c r="AB97" i="6" s="1"/>
  <c r="AB101" i="6" s="1"/>
  <c r="AB37" i="6"/>
  <c r="AB153" i="5"/>
  <c r="AA18" i="6"/>
  <c r="AG56" i="6" s="1"/>
  <c r="AG37" i="6"/>
  <c r="AG38" i="6" s="1"/>
  <c r="AG10" i="7" s="1"/>
  <c r="AG89" i="7" s="1"/>
  <c r="AA83" i="6"/>
  <c r="AA95" i="6" s="1"/>
  <c r="AA141" i="6" s="1"/>
  <c r="AE11" i="6"/>
  <c r="AE18" i="6" s="1"/>
  <c r="AA85" i="6"/>
  <c r="AA97" i="6" s="1"/>
  <c r="AA101" i="6" s="1"/>
  <c r="W44" i="5"/>
  <c r="W45" i="5" s="1"/>
  <c r="W165" i="5"/>
  <c r="P72" i="5"/>
  <c r="S62" i="5"/>
  <c r="S63" i="5" s="1"/>
  <c r="I46" i="5"/>
  <c r="M62" i="5"/>
  <c r="AJ52" i="5"/>
  <c r="AJ53" i="5" s="1"/>
  <c r="AP181" i="5"/>
  <c r="F18" i="6"/>
  <c r="L89" i="7"/>
  <c r="R102" i="7" s="1"/>
  <c r="D46" i="5"/>
  <c r="D56" i="5" s="1"/>
  <c r="D11" i="5" s="1"/>
  <c r="G62" i="5"/>
  <c r="AA37" i="6"/>
  <c r="AA153" i="5"/>
  <c r="AE62" i="5"/>
  <c r="AE63" i="5" s="1"/>
  <c r="AY72" i="5"/>
  <c r="BC68" i="5"/>
  <c r="BC69" i="5" s="1"/>
  <c r="BF73" i="6"/>
  <c r="BF123" i="6"/>
  <c r="BF74" i="6"/>
  <c r="BF56" i="6"/>
  <c r="BF71" i="6"/>
  <c r="BF75" i="6"/>
  <c r="BF10" i="5"/>
  <c r="BF124" i="6"/>
  <c r="AY71" i="6"/>
  <c r="AY72" i="6"/>
  <c r="AY101" i="6"/>
  <c r="AY74" i="6"/>
  <c r="AY181" i="6"/>
  <c r="AY56" i="6"/>
  <c r="AY100" i="6"/>
  <c r="AY99" i="6"/>
  <c r="BI66" i="5"/>
  <c r="BE72" i="5"/>
  <c r="BH10" i="5"/>
  <c r="BH102" i="6"/>
  <c r="BH75" i="6"/>
  <c r="BH56" i="6"/>
  <c r="BH72" i="6"/>
  <c r="BH124" i="6"/>
  <c r="BH122" i="6"/>
  <c r="BH123" i="6"/>
  <c r="AV177" i="5"/>
  <c r="AV50" i="5"/>
  <c r="AV51" i="5" s="1"/>
  <c r="AO181" i="6"/>
  <c r="AO73" i="6"/>
  <c r="AO74" i="6"/>
  <c r="AO56" i="6"/>
  <c r="AO157" i="5"/>
  <c r="AO191" i="5" s="1"/>
  <c r="AO76" i="6"/>
  <c r="AO71" i="6"/>
  <c r="AO72" i="6"/>
  <c r="AQ66" i="5"/>
  <c r="AN56" i="6"/>
  <c r="AM54" i="5"/>
  <c r="AM55" i="5" s="1"/>
  <c r="AQ70" i="5"/>
  <c r="AQ71" i="5" s="1"/>
  <c r="AM185" i="5"/>
  <c r="AP46" i="5"/>
  <c r="AP47" i="5" s="1"/>
  <c r="AP200" i="5"/>
  <c r="AP201" i="5" s="1"/>
  <c r="AQ62" i="5"/>
  <c r="AP169" i="5"/>
  <c r="AO44" i="5"/>
  <c r="AO45" i="5" s="1"/>
  <c r="AO165" i="5"/>
  <c r="AT73" i="6"/>
  <c r="AD64" i="5"/>
  <c r="AD165" i="5"/>
  <c r="AD72" i="5"/>
  <c r="X42" i="5"/>
  <c r="AD161" i="5"/>
  <c r="X64" i="5"/>
  <c r="X48" i="5" s="1"/>
  <c r="X49" i="5" s="1"/>
  <c r="X161" i="5"/>
  <c r="BF43" i="6"/>
  <c r="BF58" i="6" s="1"/>
  <c r="BF24" i="7" s="1"/>
  <c r="W64" i="5"/>
  <c r="W65" i="5" s="1"/>
  <c r="AG181" i="6"/>
  <c r="X72" i="5"/>
  <c r="AV169" i="5"/>
  <c r="X153" i="5"/>
  <c r="AI161" i="5"/>
  <c r="AI42" i="5"/>
  <c r="AS99" i="6"/>
  <c r="AS94" i="6"/>
  <c r="AC137" i="6"/>
  <c r="AE91" i="6"/>
  <c r="AE114" i="6" s="1"/>
  <c r="AW166" i="6"/>
  <c r="AW158" i="6"/>
  <c r="AN164" i="6"/>
  <c r="AN177" i="6"/>
  <c r="V177" i="6"/>
  <c r="V164" i="6"/>
  <c r="S154" i="6"/>
  <c r="Y164" i="6" s="1"/>
  <c r="Y162" i="6"/>
  <c r="Y161" i="6"/>
  <c r="S161" i="6"/>
  <c r="AN34" i="6"/>
  <c r="AN9" i="7" s="1"/>
  <c r="AQ36" i="6"/>
  <c r="AE88" i="7"/>
  <c r="AM31" i="6"/>
  <c r="AM32" i="6" s="1"/>
  <c r="AQ28" i="6"/>
  <c r="AT177" i="5"/>
  <c r="BE53" i="6"/>
  <c r="BE16" i="7" s="1"/>
  <c r="AS10" i="5"/>
  <c r="BI51" i="6"/>
  <c r="AZ14" i="6"/>
  <c r="AV23" i="7"/>
  <c r="AO81" i="5"/>
  <c r="AO82" i="5" s="1"/>
  <c r="AW177" i="6"/>
  <c r="AJ177" i="6"/>
  <c r="AP34" i="6"/>
  <c r="AP9" i="7" s="1"/>
  <c r="V10" i="5"/>
  <c r="J10" i="5"/>
  <c r="BB106" i="5"/>
  <c r="AE150" i="5"/>
  <c r="BB10" i="5"/>
  <c r="AP89" i="5"/>
  <c r="R10" i="5"/>
  <c r="G96" i="5"/>
  <c r="G97" i="5" s="1"/>
  <c r="G75" i="5"/>
  <c r="G76" i="5" s="1"/>
  <c r="V87" i="7"/>
  <c r="V38" i="6"/>
  <c r="V10" i="7" s="1"/>
  <c r="V89" i="7" s="1"/>
  <c r="AA24" i="6"/>
  <c r="AA39" i="6" s="1"/>
  <c r="AA86" i="7"/>
  <c r="U87" i="7"/>
  <c r="AG87" i="7"/>
  <c r="AD23" i="6"/>
  <c r="AD7" i="7" s="1"/>
  <c r="AA38" i="6"/>
  <c r="AA10" i="7" s="1"/>
  <c r="BS138" i="10"/>
  <c r="AS30" i="13"/>
  <c r="BG36" i="13"/>
  <c r="AM29" i="13"/>
  <c r="BI36" i="13"/>
  <c r="X45" i="13"/>
  <c r="AS26" i="13"/>
  <c r="AM26" i="13"/>
  <c r="AK36" i="13"/>
  <c r="AP36" i="13"/>
  <c r="AG30" i="13"/>
  <c r="BQ33" i="13"/>
  <c r="BK35" i="13"/>
  <c r="BQ16" i="13"/>
  <c r="BK32" i="13"/>
  <c r="AG26" i="13"/>
  <c r="AK20" i="13"/>
  <c r="AK22" i="13" s="1"/>
  <c r="AK23" i="13" s="1"/>
  <c r="R37" i="13"/>
  <c r="BB38" i="13"/>
  <c r="AP38" i="13"/>
  <c r="AM28" i="13"/>
  <c r="AA27" i="13"/>
  <c r="AM31" i="13"/>
  <c r="T37" i="13"/>
  <c r="AG35" i="13"/>
  <c r="AI30" i="13"/>
  <c r="AI36" i="13" s="1"/>
  <c r="AU45" i="13"/>
  <c r="AQ45" i="13"/>
  <c r="AO45" i="13"/>
  <c r="AI45" i="13"/>
  <c r="AC45" i="13"/>
  <c r="U33" i="13"/>
  <c r="AY35" i="13"/>
  <c r="AM33" i="13"/>
  <c r="AY26" i="13"/>
  <c r="BG189" i="10"/>
  <c r="BA189" i="10"/>
  <c r="BA190" i="10" s="1"/>
  <c r="AZ69" i="10"/>
  <c r="AJ167" i="10"/>
  <c r="AJ137" i="10"/>
  <c r="AJ138" i="10" s="1"/>
  <c r="AJ115" i="5" s="1"/>
  <c r="BF143" i="10"/>
  <c r="BF167" i="10"/>
  <c r="BF189" i="10"/>
  <c r="BE92" i="10"/>
  <c r="AY162" i="10"/>
  <c r="AP137" i="10"/>
  <c r="AP138" i="10" s="1"/>
  <c r="AP115" i="5" s="1"/>
  <c r="X137" i="10"/>
  <c r="X138" i="10" s="1"/>
  <c r="X115" i="5" s="1"/>
  <c r="P137" i="10"/>
  <c r="P138" i="10" s="1"/>
  <c r="P115" i="5" s="1"/>
  <c r="AG92" i="10"/>
  <c r="AK92" i="10" s="1"/>
  <c r="AE52" i="11"/>
  <c r="Y52" i="11"/>
  <c r="X124" i="10"/>
  <c r="Y28" i="11"/>
  <c r="S28" i="11"/>
  <c r="AJ38" i="13"/>
  <c r="AI23" i="13"/>
  <c r="X23" i="13"/>
  <c r="Y38" i="13"/>
  <c r="U30" i="13"/>
  <c r="AS35" i="13"/>
  <c r="BB36" i="13"/>
  <c r="BD36" i="13"/>
  <c r="AX36" i="13"/>
  <c r="AR36" i="13"/>
  <c r="AL36" i="13"/>
  <c r="AE36" i="13"/>
  <c r="U31" i="13"/>
  <c r="BA36" i="13"/>
  <c r="AU36" i="13"/>
  <c r="AO36" i="13"/>
  <c r="AF36" i="13"/>
  <c r="AV36" i="13"/>
  <c r="AJ36" i="13"/>
  <c r="Y36" i="13"/>
  <c r="AW36" i="13"/>
  <c r="AQ36" i="13"/>
  <c r="AD36" i="13"/>
  <c r="AY30" i="13"/>
  <c r="AA30" i="13"/>
  <c r="AS29" i="13"/>
  <c r="AG28" i="13"/>
  <c r="AY27" i="13"/>
  <c r="AM27" i="13"/>
  <c r="BH36" i="13"/>
  <c r="AD15" i="11"/>
  <c r="AE15" i="11" s="1"/>
  <c r="BA53" i="11"/>
  <c r="Q36" i="11"/>
  <c r="P101" i="10"/>
  <c r="G18" i="11"/>
  <c r="BO107" i="11"/>
  <c r="BB48" i="11"/>
  <c r="BC48" i="11" s="1"/>
  <c r="S14" i="11"/>
  <c r="S16" i="11"/>
  <c r="BG69" i="11"/>
  <c r="BG63" i="11"/>
  <c r="BH61" i="11"/>
  <c r="BG59" i="11"/>
  <c r="BH59" i="11" s="1"/>
  <c r="BI59" i="11" s="1"/>
  <c r="BH57" i="11"/>
  <c r="BI57" i="11" s="1"/>
  <c r="BG55" i="11"/>
  <c r="BH55" i="11" s="1"/>
  <c r="BG48" i="11"/>
  <c r="BH48" i="11" s="1"/>
  <c r="BG45" i="11"/>
  <c r="BH45" i="11" s="1"/>
  <c r="BG43" i="11"/>
  <c r="BH43" i="11" s="1"/>
  <c r="BG41" i="11"/>
  <c r="BH39" i="11"/>
  <c r="BG37" i="11"/>
  <c r="BH30" i="11"/>
  <c r="BG28" i="11"/>
  <c r="BH28" i="11" s="1"/>
  <c r="BI28" i="11" s="1"/>
  <c r="BH26" i="11"/>
  <c r="BG24" i="11"/>
  <c r="BH24" i="11" s="1"/>
  <c r="BI24" i="11" s="1"/>
  <c r="BG21" i="11"/>
  <c r="BH21" i="11" s="1"/>
  <c r="BG19" i="11"/>
  <c r="BG17" i="11"/>
  <c r="BH17" i="11" s="1"/>
  <c r="BG13" i="11"/>
  <c r="BH13" i="11" s="1"/>
  <c r="BG10" i="11"/>
  <c r="BH10" i="11" s="1"/>
  <c r="BI10" i="11" s="1"/>
  <c r="BG8" i="11"/>
  <c r="BA60" i="11"/>
  <c r="AO59" i="11"/>
  <c r="W54" i="11"/>
  <c r="W94" i="10" s="1"/>
  <c r="V94" i="10"/>
  <c r="Q60" i="11"/>
  <c r="R60" i="11" s="1"/>
  <c r="F60" i="11"/>
  <c r="G60" i="11" s="1"/>
  <c r="BO92" i="11"/>
  <c r="BU92" i="11" s="1"/>
  <c r="AW92" i="11"/>
  <c r="BC101" i="11" s="1"/>
  <c r="BH70" i="11"/>
  <c r="BI70" i="11" s="1"/>
  <c r="BH65" i="11"/>
  <c r="BI65" i="11" s="1"/>
  <c r="BH62" i="11"/>
  <c r="BH60" i="11"/>
  <c r="BI60" i="11" s="1"/>
  <c r="BH58" i="11"/>
  <c r="BI58" i="11" s="1"/>
  <c r="BH56" i="11"/>
  <c r="BI56" i="11" s="1"/>
  <c r="BG54" i="11"/>
  <c r="BH54" i="11" s="1"/>
  <c r="BI54" i="11" s="1"/>
  <c r="BH52" i="11"/>
  <c r="BI52" i="11" s="1"/>
  <c r="BH42" i="11"/>
  <c r="BI42" i="11" s="1"/>
  <c r="BG40" i="11"/>
  <c r="BH38" i="11"/>
  <c r="BI38" i="11" s="1"/>
  <c r="BH36" i="11"/>
  <c r="BH101" i="10" s="1"/>
  <c r="BG29" i="11"/>
  <c r="BH29" i="11" s="1"/>
  <c r="BI29" i="11" s="1"/>
  <c r="BH27" i="11"/>
  <c r="BG25" i="11"/>
  <c r="BH25" i="11" s="1"/>
  <c r="BG22" i="11"/>
  <c r="BH22" i="11" s="1"/>
  <c r="BG20" i="11"/>
  <c r="BH20" i="11" s="1"/>
  <c r="BH18" i="11"/>
  <c r="BI18" i="11" s="1"/>
  <c r="BG16" i="11"/>
  <c r="BH14" i="11"/>
  <c r="BI14" i="11" s="1"/>
  <c r="BG12" i="11"/>
  <c r="BH12" i="11" s="1"/>
  <c r="BH9" i="11"/>
  <c r="BI9" i="11" s="1"/>
  <c r="O10" i="5"/>
  <c r="O19" i="6" s="1"/>
  <c r="O67" i="6"/>
  <c r="O181" i="6"/>
  <c r="O66" i="6"/>
  <c r="O101" i="6"/>
  <c r="O76" i="6"/>
  <c r="O64" i="6"/>
  <c r="O99" i="6"/>
  <c r="O65" i="6"/>
  <c r="O68" i="6"/>
  <c r="U17" i="7"/>
  <c r="U57" i="6"/>
  <c r="O100" i="6"/>
  <c r="BB72" i="5"/>
  <c r="AD90" i="6"/>
  <c r="AC35" i="6"/>
  <c r="AA35" i="6"/>
  <c r="BC104" i="5"/>
  <c r="BC105" i="5" s="1"/>
  <c r="AO194" i="5"/>
  <c r="AO203" i="5" s="1"/>
  <c r="AM194" i="5"/>
  <c r="AM163" i="5" s="1"/>
  <c r="AO46" i="5"/>
  <c r="AO47" i="5" s="1"/>
  <c r="AO169" i="5"/>
  <c r="AG46" i="5"/>
  <c r="AG169" i="5"/>
  <c r="AI44" i="5"/>
  <c r="AI45" i="5" s="1"/>
  <c r="AI64" i="5"/>
  <c r="AO42" i="5"/>
  <c r="AO43" i="5" s="1"/>
  <c r="AO64" i="5"/>
  <c r="AO48" i="5" s="1"/>
  <c r="AO49" i="5" s="1"/>
  <c r="AM42" i="5"/>
  <c r="AM43" i="5" s="1"/>
  <c r="AM161" i="5"/>
  <c r="AQ93" i="6"/>
  <c r="AQ116" i="6" s="1"/>
  <c r="AD164" i="6"/>
  <c r="AD177" i="6"/>
  <c r="AB177" i="6"/>
  <c r="AB164" i="6"/>
  <c r="X177" i="6"/>
  <c r="X164" i="6"/>
  <c r="AE154" i="6"/>
  <c r="AK161" i="6"/>
  <c r="AC24" i="6"/>
  <c r="AC39" i="6" s="1"/>
  <c r="AW39" i="6"/>
  <c r="AN153" i="5"/>
  <c r="AT40" i="6"/>
  <c r="AT38" i="6" s="1"/>
  <c r="AP37" i="6"/>
  <c r="AP40" i="6"/>
  <c r="AH83" i="6"/>
  <c r="AH82" i="5"/>
  <c r="AD36" i="6"/>
  <c r="AD34" i="6" s="1"/>
  <c r="AD9" i="7" s="1"/>
  <c r="AQ24" i="6"/>
  <c r="AQ106" i="6"/>
  <c r="L99" i="7"/>
  <c r="DK11" i="7"/>
  <c r="AZ106" i="5"/>
  <c r="AZ14" i="5" s="1"/>
  <c r="AH90" i="6"/>
  <c r="AJ89" i="5"/>
  <c r="AJ86" i="5" s="1"/>
  <c r="M161" i="6"/>
  <c r="AV38" i="6"/>
  <c r="AV10" i="7" s="1"/>
  <c r="AU34" i="6"/>
  <c r="AU9" i="7" s="1"/>
  <c r="CZ9" i="7" s="1"/>
  <c r="AS34" i="6"/>
  <c r="AS9" i="7" s="1"/>
  <c r="AO34" i="6"/>
  <c r="AO9" i="7" s="1"/>
  <c r="AI34" i="6"/>
  <c r="AI9" i="7" s="1"/>
  <c r="AI88" i="7" s="1"/>
  <c r="AO27" i="6"/>
  <c r="AO8" i="7" s="1"/>
  <c r="AM27" i="6"/>
  <c r="AM8" i="7" s="1"/>
  <c r="AN27" i="6"/>
  <c r="AJ27" i="6"/>
  <c r="AJ8" i="7" s="1"/>
  <c r="P169" i="6"/>
  <c r="AH45" i="5"/>
  <c r="AG86" i="7"/>
  <c r="BB177" i="5"/>
  <c r="BB89" i="5"/>
  <c r="BB13" i="5" s="1"/>
  <c r="AK94" i="5"/>
  <c r="AK95" i="5" s="1"/>
  <c r="AW81" i="5"/>
  <c r="AW82" i="5" s="1"/>
  <c r="AW79" i="5"/>
  <c r="AW80" i="5" s="1"/>
  <c r="AI97" i="6"/>
  <c r="AI101" i="6" s="1"/>
  <c r="AJ82" i="6"/>
  <c r="Q168" i="6"/>
  <c r="Q169" i="6" s="1"/>
  <c r="AO23" i="6"/>
  <c r="AM23" i="6"/>
  <c r="AM7" i="7" s="1"/>
  <c r="AJ23" i="6"/>
  <c r="AJ7" i="7" s="1"/>
  <c r="BG89" i="5"/>
  <c r="BG13" i="5" s="1"/>
  <c r="BI55" i="6"/>
  <c r="BI44" i="6"/>
  <c r="AS143" i="6"/>
  <c r="AM101" i="6"/>
  <c r="AH9" i="7"/>
  <c r="AC8" i="7"/>
  <c r="AC38" i="6"/>
  <c r="AC10" i="7" s="1"/>
  <c r="AC89" i="7" s="1"/>
  <c r="Q10" i="5"/>
  <c r="W17" i="7"/>
  <c r="W21" i="7" s="1"/>
  <c r="BC85" i="5"/>
  <c r="BC86" i="5" s="1"/>
  <c r="AU200" i="5"/>
  <c r="AC139" i="6"/>
  <c r="AS90" i="6"/>
  <c r="AK87" i="6"/>
  <c r="AS168" i="6"/>
  <c r="AY169" i="6" s="1"/>
  <c r="AO168" i="6"/>
  <c r="U168" i="6"/>
  <c r="AQ158" i="6"/>
  <c r="AK163" i="6"/>
  <c r="S163" i="6"/>
  <c r="M163" i="6"/>
  <c r="BA53" i="6"/>
  <c r="BA16" i="7" s="1"/>
  <c r="BA42" i="6"/>
  <c r="BA11" i="7" s="1"/>
  <c r="AK79" i="5"/>
  <c r="AK80" i="5" s="1"/>
  <c r="AK70" i="5"/>
  <c r="X90" i="6"/>
  <c r="BG53" i="6"/>
  <c r="BG16" i="7" s="1"/>
  <c r="BG42" i="6"/>
  <c r="BG11" i="7" s="1"/>
  <c r="AN177" i="5"/>
  <c r="DI16" i="7"/>
  <c r="DI49" i="7"/>
  <c r="BB52" i="5"/>
  <c r="BB145" i="5" s="1"/>
  <c r="BB155" i="5" s="1"/>
  <c r="BB181" i="5"/>
  <c r="BA54" i="5"/>
  <c r="BG185" i="5"/>
  <c r="BA185" i="5"/>
  <c r="BG181" i="5"/>
  <c r="BA181" i="5"/>
  <c r="BA89" i="5"/>
  <c r="BA13" i="5" s="1"/>
  <c r="BA206" i="5"/>
  <c r="AZ206" i="5"/>
  <c r="AZ207" i="5" s="1"/>
  <c r="BC83" i="5"/>
  <c r="AZ144" i="5"/>
  <c r="AZ154" i="5" s="1"/>
  <c r="AZ52" i="5"/>
  <c r="AZ209" i="5"/>
  <c r="AZ181" i="5"/>
  <c r="AM200" i="5"/>
  <c r="AQ96" i="5"/>
  <c r="AQ97" i="5" s="1"/>
  <c r="AI98" i="5"/>
  <c r="AI99" i="5" s="1"/>
  <c r="AK92" i="5"/>
  <c r="AS185" i="5"/>
  <c r="AY185" i="5"/>
  <c r="AS72" i="5"/>
  <c r="AT52" i="5"/>
  <c r="AT53" i="5" s="1"/>
  <c r="AW68" i="5"/>
  <c r="AV96" i="6"/>
  <c r="AV115" i="6"/>
  <c r="AV92" i="6" s="1"/>
  <c r="AV138" i="6" s="1"/>
  <c r="AA139" i="6"/>
  <c r="AA90" i="6"/>
  <c r="U90" i="6"/>
  <c r="Y93" i="6"/>
  <c r="Y116" i="6" s="1"/>
  <c r="AQ92" i="6"/>
  <c r="AM138" i="6"/>
  <c r="AM90" i="6"/>
  <c r="AK88" i="6"/>
  <c r="AI86" i="6"/>
  <c r="AJ168" i="6"/>
  <c r="AJ169" i="6" s="1"/>
  <c r="AJ181" i="6"/>
  <c r="AH181" i="6"/>
  <c r="AH168" i="6"/>
  <c r="AC168" i="6"/>
  <c r="AC169" i="6" s="1"/>
  <c r="AI168" i="6"/>
  <c r="AA168" i="6"/>
  <c r="AG168" i="6"/>
  <c r="AK179" i="6"/>
  <c r="AQ166" i="6"/>
  <c r="AS164" i="6"/>
  <c r="AM164" i="6"/>
  <c r="AO164" i="6"/>
  <c r="AI164" i="6"/>
  <c r="AC164" i="6"/>
  <c r="AC177" i="6"/>
  <c r="AA164" i="6"/>
  <c r="AA177" i="6"/>
  <c r="AQ153" i="6"/>
  <c r="AV163" i="6"/>
  <c r="AK162" i="6"/>
  <c r="AK154" i="6"/>
  <c r="AK175" i="6"/>
  <c r="AQ35" i="6"/>
  <c r="AW33" i="6"/>
  <c r="AE97" i="5"/>
  <c r="AE80" i="5"/>
  <c r="S152" i="5"/>
  <c r="S33" i="6"/>
  <c r="Y88" i="7"/>
  <c r="Y101" i="7" s="1"/>
  <c r="M33" i="6"/>
  <c r="M88" i="7"/>
  <c r="M101" i="7" s="1"/>
  <c r="AK26" i="6"/>
  <c r="AK27" i="6" s="1"/>
  <c r="X25" i="6"/>
  <c r="X40" i="6" s="1"/>
  <c r="S76" i="5"/>
  <c r="Y22" i="6"/>
  <c r="Y24" i="6" s="1"/>
  <c r="X24" i="6" s="1"/>
  <c r="Y86" i="7"/>
  <c r="Y99" i="7" s="1"/>
  <c r="S150" i="5"/>
  <c r="M86" i="7"/>
  <c r="S99" i="7" s="1"/>
  <c r="G150" i="5"/>
  <c r="DL16" i="7"/>
  <c r="DJ16" i="7"/>
  <c r="DL11" i="7"/>
  <c r="BI83" i="5"/>
  <c r="BI84" i="5" s="1"/>
  <c r="BI18" i="6"/>
  <c r="BI85" i="5"/>
  <c r="BI86" i="5" s="1"/>
  <c r="BG75" i="6"/>
  <c r="BG76" i="6"/>
  <c r="BG56" i="6"/>
  <c r="BG71" i="6"/>
  <c r="BG124" i="6"/>
  <c r="BG123" i="6"/>
  <c r="BG72" i="6"/>
  <c r="I18" i="6"/>
  <c r="O22" i="6"/>
  <c r="O37" i="6" s="1"/>
  <c r="I204" i="5"/>
  <c r="AJ72" i="6"/>
  <c r="AJ73" i="6"/>
  <c r="AJ71" i="6"/>
  <c r="AP190" i="5"/>
  <c r="F42" i="5"/>
  <c r="G42" i="5" s="1"/>
  <c r="G58" i="5"/>
  <c r="C18" i="6"/>
  <c r="G11" i="6"/>
  <c r="G18" i="6" s="1"/>
  <c r="G66" i="6" s="1"/>
  <c r="I89" i="7"/>
  <c r="I102" i="7" s="1"/>
  <c r="BK52" i="6"/>
  <c r="BE10" i="5"/>
  <c r="BE72" i="6"/>
  <c r="BE76" i="6"/>
  <c r="BE124" i="6"/>
  <c r="BE123" i="6"/>
  <c r="BE73" i="6"/>
  <c r="BE71" i="6"/>
  <c r="BE56" i="6"/>
  <c r="M11" i="6"/>
  <c r="AK158" i="6"/>
  <c r="BC52" i="6"/>
  <c r="AZ89" i="5"/>
  <c r="AZ13" i="5" s="1"/>
  <c r="S97" i="5"/>
  <c r="BH181" i="5"/>
  <c r="AK151" i="5"/>
  <c r="G174" i="6"/>
  <c r="S174" i="6"/>
  <c r="AQ26" i="6"/>
  <c r="X36" i="6"/>
  <c r="S176" i="6"/>
  <c r="AK33" i="6"/>
  <c r="AK34" i="6" s="1"/>
  <c r="AK9" i="7" s="1"/>
  <c r="AK88" i="7" s="1"/>
  <c r="AQ33" i="6"/>
  <c r="I22" i="6"/>
  <c r="I37" i="6" s="1"/>
  <c r="AP154" i="6"/>
  <c r="AV164" i="6" s="1"/>
  <c r="BB209" i="5"/>
  <c r="W177" i="6"/>
  <c r="AG177" i="6"/>
  <c r="AJ95" i="6"/>
  <c r="AK92" i="6"/>
  <c r="AO90" i="6"/>
  <c r="AI96" i="6"/>
  <c r="BI41" i="6"/>
  <c r="G158" i="6"/>
  <c r="AG48" i="5"/>
  <c r="AG49" i="5" s="1"/>
  <c r="W90" i="6"/>
  <c r="AE158" i="6"/>
  <c r="AU168" i="6"/>
  <c r="F72" i="5"/>
  <c r="AW64" i="5"/>
  <c r="AT181" i="5"/>
  <c r="BB206" i="5"/>
  <c r="BB144" i="5"/>
  <c r="BB154" i="5" s="1"/>
  <c r="AZ72" i="5"/>
  <c r="BI54" i="6"/>
  <c r="BM58" i="6"/>
  <c r="BM24" i="7" s="1"/>
  <c r="AZ46" i="6"/>
  <c r="AZ12" i="7" s="1"/>
  <c r="AZ91" i="7" s="1"/>
  <c r="AT72" i="5"/>
  <c r="AJ76" i="6"/>
  <c r="BG74" i="6"/>
  <c r="BE102" i="6"/>
  <c r="AT139" i="6"/>
  <c r="AT90" i="6"/>
  <c r="AP101" i="6"/>
  <c r="AP90" i="6"/>
  <c r="AN139" i="6"/>
  <c r="AN90" i="6"/>
  <c r="AC88" i="7"/>
  <c r="AB9" i="7"/>
  <c r="AB35" i="6"/>
  <c r="U88" i="7"/>
  <c r="AI27" i="6"/>
  <c r="AI8" i="7" s="1"/>
  <c r="W8" i="7"/>
  <c r="W38" i="6"/>
  <c r="W10" i="7" s="1"/>
  <c r="U7" i="7"/>
  <c r="U38" i="6"/>
  <c r="U10" i="7" s="1"/>
  <c r="U89" i="7" s="1"/>
  <c r="AK154" i="5"/>
  <c r="AK18" i="6"/>
  <c r="AU37" i="6"/>
  <c r="AO37" i="6"/>
  <c r="AO153" i="5"/>
  <c r="AU40" i="6"/>
  <c r="AO97" i="6"/>
  <c r="AO177" i="6"/>
  <c r="AS40" i="6"/>
  <c r="AQ11" i="6"/>
  <c r="AS37" i="6"/>
  <c r="AO39" i="6"/>
  <c r="AO40" i="6"/>
  <c r="AI153" i="5"/>
  <c r="AI37" i="6"/>
  <c r="AM40" i="6"/>
  <c r="AK11" i="6"/>
  <c r="AG84" i="6"/>
  <c r="AG83" i="6"/>
  <c r="AM39" i="6"/>
  <c r="AN161" i="5"/>
  <c r="AN64" i="5"/>
  <c r="AT101" i="6"/>
  <c r="AG139" i="6"/>
  <c r="AP162" i="6"/>
  <c r="AQ152" i="6"/>
  <c r="AQ175" i="6" s="1"/>
  <c r="S158" i="6"/>
  <c r="AN39" i="6"/>
  <c r="AH153" i="5"/>
  <c r="AN37" i="6"/>
  <c r="R101" i="7"/>
  <c r="AH10" i="5"/>
  <c r="AH73" i="6"/>
  <c r="AN190" i="5"/>
  <c r="AH76" i="6"/>
  <c r="AH157" i="5"/>
  <c r="AH191" i="5" s="1"/>
  <c r="AH71" i="6"/>
  <c r="AM56" i="6"/>
  <c r="AG75" i="6"/>
  <c r="AD18" i="6"/>
  <c r="AD181" i="6" s="1"/>
  <c r="AD83" i="6"/>
  <c r="AC46" i="5"/>
  <c r="AI169" i="5"/>
  <c r="V42" i="5"/>
  <c r="Y58" i="5"/>
  <c r="Y59" i="5" s="1"/>
  <c r="U18" i="6"/>
  <c r="P46" i="5"/>
  <c r="V169" i="5"/>
  <c r="Y76" i="5"/>
  <c r="AM139" i="6"/>
  <c r="AB139" i="6"/>
  <c r="AU138" i="6"/>
  <c r="AH138" i="6"/>
  <c r="AI82" i="6"/>
  <c r="AN168" i="6"/>
  <c r="AJ164" i="6"/>
  <c r="AW176" i="6"/>
  <c r="AI10" i="5"/>
  <c r="AO23" i="7" s="1"/>
  <c r="BC43" i="6"/>
  <c r="BC44" i="6"/>
  <c r="L89" i="5"/>
  <c r="L13" i="5" s="1"/>
  <c r="F89" i="5"/>
  <c r="F13" i="5" s="1"/>
  <c r="AY14" i="6"/>
  <c r="BE92" i="7" s="1"/>
  <c r="AD58" i="11"/>
  <c r="AE58" i="11" s="1"/>
  <c r="BU123" i="10"/>
  <c r="BB61" i="11"/>
  <c r="BC61" i="11" s="1"/>
  <c r="G39" i="11"/>
  <c r="F201" i="5"/>
  <c r="AI203" i="5"/>
  <c r="AO98" i="5"/>
  <c r="AO99" i="5" s="1"/>
  <c r="BG100" i="5"/>
  <c r="AR45" i="13"/>
  <c r="AL45" i="13"/>
  <c r="BF100" i="5"/>
  <c r="BF206" i="5" s="1"/>
  <c r="BH100" i="5"/>
  <c r="BH206" i="5" s="1"/>
  <c r="AS11" i="11"/>
  <c r="AS31" i="11" s="1"/>
  <c r="AI72" i="5"/>
  <c r="AI50" i="5"/>
  <c r="AI56" i="5" s="1"/>
  <c r="AI11" i="5" s="1"/>
  <c r="R46" i="5"/>
  <c r="X169" i="5"/>
  <c r="Q42" i="5"/>
  <c r="W161" i="5"/>
  <c r="J18" i="5"/>
  <c r="J123" i="5" s="1"/>
  <c r="I13" i="11"/>
  <c r="L56" i="5"/>
  <c r="L11" i="5" s="1"/>
  <c r="D18" i="5"/>
  <c r="D13" i="11" s="1"/>
  <c r="G10" i="11"/>
  <c r="AS177" i="5"/>
  <c r="BG45" i="13"/>
  <c r="BH45" i="13"/>
  <c r="AU89" i="5"/>
  <c r="AU84" i="5" s="1"/>
  <c r="AK10" i="11"/>
  <c r="AH72" i="5"/>
  <c r="AH106" i="5" s="1"/>
  <c r="AH14" i="5" s="1"/>
  <c r="S12" i="11"/>
  <c r="K56" i="5"/>
  <c r="K11" i="5" s="1"/>
  <c r="K89" i="5"/>
  <c r="K13" i="5" s="1"/>
  <c r="D89" i="5"/>
  <c r="C89" i="5"/>
  <c r="C13" i="5" s="1"/>
  <c r="AK152" i="5"/>
  <c r="S45" i="13"/>
  <c r="AK147" i="5"/>
  <c r="AW147" i="5"/>
  <c r="Y143" i="5"/>
  <c r="Y123" i="5"/>
  <c r="AM169" i="5"/>
  <c r="E143" i="10"/>
  <c r="E114" i="5" s="1"/>
  <c r="AE106" i="5"/>
  <c r="AY181" i="5"/>
  <c r="AN165" i="5"/>
  <c r="AO161" i="5"/>
  <c r="AB143" i="10"/>
  <c r="AB114" i="5" s="1"/>
  <c r="AW139" i="10"/>
  <c r="AK139" i="10"/>
  <c r="AE139" i="10"/>
  <c r="C138" i="10"/>
  <c r="C115" i="5" s="1"/>
  <c r="BU10" i="11"/>
  <c r="BI123" i="5"/>
  <c r="AU181" i="5"/>
  <c r="Y10" i="11"/>
  <c r="S10" i="11"/>
  <c r="R106" i="5"/>
  <c r="I89" i="5"/>
  <c r="BD45" i="13"/>
  <c r="BC235" i="5"/>
  <c r="BF89" i="5"/>
  <c r="AP72" i="5"/>
  <c r="AO52" i="5"/>
  <c r="AO53" i="5" s="1"/>
  <c r="AN72" i="5"/>
  <c r="AS181" i="5"/>
  <c r="AI89" i="5"/>
  <c r="AE10" i="11"/>
  <c r="F38" i="11"/>
  <c r="G38" i="11" s="1"/>
  <c r="F42" i="11"/>
  <c r="G42" i="11" s="1"/>
  <c r="G54" i="11"/>
  <c r="F94" i="10"/>
  <c r="BB27" i="11"/>
  <c r="BC27" i="11" s="1"/>
  <c r="AD48" i="11"/>
  <c r="AE48" i="11" s="1"/>
  <c r="AS56" i="5"/>
  <c r="AS11" i="5" s="1"/>
  <c r="AS51" i="5"/>
  <c r="AP64" i="10"/>
  <c r="AH87" i="7"/>
  <c r="AM45" i="5"/>
  <c r="AU53" i="5"/>
  <c r="BB45" i="10"/>
  <c r="BB209" i="10" s="1"/>
  <c r="BB54" i="5"/>
  <c r="BB185" i="5"/>
  <c r="BH185" i="5"/>
  <c r="BB212" i="5"/>
  <c r="BC70" i="5"/>
  <c r="BB51" i="5"/>
  <c r="AM165" i="5"/>
  <c r="AM64" i="5"/>
  <c r="AQ60" i="5"/>
  <c r="AG88" i="7"/>
  <c r="AB8" i="7"/>
  <c r="AB38" i="6"/>
  <c r="AB10" i="7" s="1"/>
  <c r="AB17" i="7"/>
  <c r="AB21" i="7" s="1"/>
  <c r="AC86" i="7"/>
  <c r="AH86" i="7"/>
  <c r="Q143" i="10"/>
  <c r="Q114" i="5" s="1"/>
  <c r="Q144" i="10"/>
  <c r="R144" i="10"/>
  <c r="L144" i="10"/>
  <c r="K144" i="10"/>
  <c r="K143" i="10"/>
  <c r="K114" i="5" s="1"/>
  <c r="BC102" i="5"/>
  <c r="BA51" i="10"/>
  <c r="BB135" i="10"/>
  <c r="BB137" i="10" s="1"/>
  <c r="BB138" i="10" s="1"/>
  <c r="BB115" i="5" s="1"/>
  <c r="BA137" i="10"/>
  <c r="BA138" i="10" s="1"/>
  <c r="BA115" i="5" s="1"/>
  <c r="AW18" i="6"/>
  <c r="AW155" i="5"/>
  <c r="AW45" i="6"/>
  <c r="BT133" i="5"/>
  <c r="BZ133" i="5" s="1"/>
  <c r="CF133" i="5" s="1"/>
  <c r="CL133" i="5" s="1"/>
  <c r="BG15" i="11"/>
  <c r="BA10" i="11"/>
  <c r="BB10" i="11" s="1"/>
  <c r="AZ11" i="11"/>
  <c r="AW10" i="11"/>
  <c r="AT11" i="11"/>
  <c r="AN76" i="6"/>
  <c r="AN71" i="6"/>
  <c r="AN74" i="6"/>
  <c r="AN10" i="5"/>
  <c r="AN19" i="6" s="1"/>
  <c r="AT59" i="6"/>
  <c r="AN73" i="6"/>
  <c r="AT23" i="7"/>
  <c r="AN72" i="6"/>
  <c r="AN181" i="6"/>
  <c r="AN157" i="5"/>
  <c r="AN191" i="5" s="1"/>
  <c r="AN75" i="6"/>
  <c r="AQ77" i="5"/>
  <c r="AQ78" i="5" s="1"/>
  <c r="AH56" i="5"/>
  <c r="AH11" i="5" s="1"/>
  <c r="AH51" i="5"/>
  <c r="K95" i="10"/>
  <c r="K69" i="11"/>
  <c r="L95" i="10"/>
  <c r="J95" i="10"/>
  <c r="J69" i="11"/>
  <c r="AQ94" i="5"/>
  <c r="AQ95" i="5" s="1"/>
  <c r="AS46" i="5"/>
  <c r="AS169" i="5"/>
  <c r="AW62" i="5"/>
  <c r="AG137" i="6"/>
  <c r="AM137" i="6"/>
  <c r="AG90" i="6"/>
  <c r="AK91" i="6"/>
  <c r="AM96" i="6"/>
  <c r="AM86" i="6"/>
  <c r="V168" i="6"/>
  <c r="V169" i="6" s="1"/>
  <c r="AB168" i="6"/>
  <c r="Y176" i="6"/>
  <c r="AE163" i="6"/>
  <c r="Y163" i="6"/>
  <c r="W86" i="7"/>
  <c r="AR20" i="13"/>
  <c r="AR22" i="13" s="1"/>
  <c r="AR37" i="13"/>
  <c r="AS21" i="13"/>
  <c r="AS20" i="13" s="1"/>
  <c r="AS22" i="13" s="1"/>
  <c r="AU38" i="13" s="1"/>
  <c r="AL20" i="13"/>
  <c r="AL22" i="13" s="1"/>
  <c r="AL23" i="13" s="1"/>
  <c r="AL37" i="13"/>
  <c r="AM21" i="13"/>
  <c r="AF20" i="13"/>
  <c r="AF22" i="13" s="1"/>
  <c r="AG21" i="13"/>
  <c r="AF37" i="13"/>
  <c r="Z37" i="13"/>
  <c r="AA21" i="13"/>
  <c r="AA20" i="13" s="1"/>
  <c r="AA22" i="13" s="1"/>
  <c r="Z20" i="13"/>
  <c r="Z22" i="13" s="1"/>
  <c r="U21" i="13"/>
  <c r="T20" i="13"/>
  <c r="T22" i="13" s="1"/>
  <c r="T38" i="13" s="1"/>
  <c r="AC29" i="13"/>
  <c r="AG29" i="13"/>
  <c r="AA29" i="13"/>
  <c r="W36" i="13"/>
  <c r="BE50" i="5"/>
  <c r="BE177" i="5"/>
  <c r="BH89" i="5"/>
  <c r="AU204" i="10"/>
  <c r="AQ13" i="11"/>
  <c r="AM53" i="5"/>
  <c r="AM23" i="7"/>
  <c r="AG10" i="5"/>
  <c r="AG73" i="6"/>
  <c r="AG76" i="6"/>
  <c r="AM190" i="5"/>
  <c r="AG71" i="6"/>
  <c r="AG72" i="6"/>
  <c r="AG74" i="6"/>
  <c r="AE62" i="11"/>
  <c r="M17" i="10"/>
  <c r="M214" i="10" s="1"/>
  <c r="L125" i="10"/>
  <c r="L124" i="10" s="1"/>
  <c r="Y188" i="10"/>
  <c r="BN208" i="10"/>
  <c r="BI37" i="10"/>
  <c r="BI208" i="10" s="1"/>
  <c r="AN98" i="5"/>
  <c r="AN194" i="5"/>
  <c r="AN203" i="5" s="1"/>
  <c r="AQ92" i="5"/>
  <c r="AQ93" i="5" s="1"/>
  <c r="AS89" i="5"/>
  <c r="AT76" i="6"/>
  <c r="AZ58" i="6"/>
  <c r="AZ24" i="7" s="1"/>
  <c r="AT157" i="5"/>
  <c r="AT74" i="6"/>
  <c r="AT71" i="6"/>
  <c r="AT10" i="5"/>
  <c r="AT19" i="6" s="1"/>
  <c r="AT75" i="6"/>
  <c r="AT181" i="6"/>
  <c r="AT190" i="5"/>
  <c r="AT56" i="6"/>
  <c r="AT72" i="6"/>
  <c r="BC18" i="6"/>
  <c r="BC51" i="6"/>
  <c r="BC50" i="6"/>
  <c r="BC45" i="6"/>
  <c r="BI45" i="6"/>
  <c r="AU52" i="10"/>
  <c r="AU136" i="10"/>
  <c r="AU159" i="10"/>
  <c r="AU107" i="10"/>
  <c r="AV100" i="10" s="1"/>
  <c r="AU101" i="10"/>
  <c r="AV25" i="11"/>
  <c r="AU74" i="10"/>
  <c r="AU157" i="10"/>
  <c r="AC113" i="7"/>
  <c r="V101" i="10"/>
  <c r="O69" i="11"/>
  <c r="P95" i="10"/>
  <c r="O95" i="10"/>
  <c r="AX43" i="13"/>
  <c r="AX45" i="13" s="1"/>
  <c r="AC95" i="6"/>
  <c r="AI129" i="6"/>
  <c r="AJ129" i="6" s="1"/>
  <c r="AU92" i="10"/>
  <c r="AS97" i="5"/>
  <c r="AS96" i="5" s="1"/>
  <c r="AW96" i="5" s="1"/>
  <c r="AW97" i="5" s="1"/>
  <c r="Q7" i="11"/>
  <c r="Q139" i="5"/>
  <c r="Q6" i="6"/>
  <c r="Q7" i="10"/>
  <c r="R8" i="5"/>
  <c r="S8" i="13"/>
  <c r="Q193" i="5"/>
  <c r="AW15" i="10"/>
  <c r="AW158" i="10"/>
  <c r="Y226" i="5"/>
  <c r="Y196" i="10" s="1"/>
  <c r="W221" i="5"/>
  <c r="V221" i="5"/>
  <c r="X221" i="5"/>
  <c r="Y219" i="5"/>
  <c r="Y152" i="10" s="1"/>
  <c r="U221" i="5"/>
  <c r="D219" i="5"/>
  <c r="D152" i="10" s="1"/>
  <c r="D226" i="5"/>
  <c r="D196" i="10" s="1"/>
  <c r="L220" i="5"/>
  <c r="K220" i="5"/>
  <c r="J220" i="5"/>
  <c r="M219" i="5"/>
  <c r="M152" i="10" s="1"/>
  <c r="M226" i="5"/>
  <c r="M196" i="10" s="1"/>
  <c r="I220" i="5"/>
  <c r="C219" i="5"/>
  <c r="C152" i="10" s="1"/>
  <c r="C226" i="5"/>
  <c r="C196" i="10" s="1"/>
  <c r="AH170" i="5"/>
  <c r="AH201" i="5"/>
  <c r="AK200" i="5"/>
  <c r="AH171" i="5"/>
  <c r="AN167" i="5"/>
  <c r="AN198" i="5"/>
  <c r="AN166" i="5"/>
  <c r="AC167" i="5"/>
  <c r="AC198" i="5"/>
  <c r="AC199" i="5"/>
  <c r="AC166" i="5"/>
  <c r="AC215" i="5"/>
  <c r="AI166" i="5"/>
  <c r="AC203" i="5"/>
  <c r="W199" i="5"/>
  <c r="Q198" i="5"/>
  <c r="S197" i="5"/>
  <c r="W166" i="5"/>
  <c r="Q203" i="5"/>
  <c r="Q204" i="5" s="1"/>
  <c r="AJ161" i="5"/>
  <c r="AP161" i="5"/>
  <c r="AJ42" i="5"/>
  <c r="AK58" i="5"/>
  <c r="AU139" i="6"/>
  <c r="AW93" i="6"/>
  <c r="AP139" i="6"/>
  <c r="AK93" i="6"/>
  <c r="AC138" i="6"/>
  <c r="AE92" i="6"/>
  <c r="AI138" i="6"/>
  <c r="AJ138" i="6" s="1"/>
  <c r="AC90" i="6"/>
  <c r="AU99" i="6"/>
  <c r="AU90" i="6"/>
  <c r="AQ156" i="5"/>
  <c r="AQ52" i="6"/>
  <c r="AQ154" i="5"/>
  <c r="AW41" i="6"/>
  <c r="S151" i="5"/>
  <c r="X28" i="6"/>
  <c r="X27" i="6" s="1"/>
  <c r="Y26" i="6"/>
  <c r="Y27" i="6" s="1"/>
  <c r="S175" i="6"/>
  <c r="I101" i="7"/>
  <c r="O101" i="7"/>
  <c r="DJ11" i="7"/>
  <c r="AC135" i="10"/>
  <c r="AC137" i="10" s="1"/>
  <c r="AC138" i="10" s="1"/>
  <c r="AC115" i="5" s="1"/>
  <c r="AB137" i="10"/>
  <c r="AB138" i="10" s="1"/>
  <c r="AB115" i="5" s="1"/>
  <c r="R135" i="10"/>
  <c r="R137" i="10" s="1"/>
  <c r="R138" i="10" s="1"/>
  <c r="R115" i="5" s="1"/>
  <c r="Q137" i="10"/>
  <c r="Q138" i="10" s="1"/>
  <c r="Q115" i="5" s="1"/>
  <c r="AQ43" i="10"/>
  <c r="AS92" i="10"/>
  <c r="AY92" i="10"/>
  <c r="BC92" i="10" s="1"/>
  <c r="AW43" i="10"/>
  <c r="AK187" i="10"/>
  <c r="AK189" i="10" s="1"/>
  <c r="AJ189" i="10"/>
  <c r="BE26" i="13"/>
  <c r="BE30" i="13"/>
  <c r="BD20" i="13"/>
  <c r="BD22" i="13" s="1"/>
  <c r="BD38" i="13" s="1"/>
  <c r="BD37" i="13"/>
  <c r="BE21" i="13"/>
  <c r="BI87" i="5"/>
  <c r="BI88" i="5" s="1"/>
  <c r="BE89" i="5"/>
  <c r="BE45" i="10"/>
  <c r="BE209" i="10" s="1"/>
  <c r="BE23" i="10"/>
  <c r="BE70" i="10"/>
  <c r="BE67" i="10"/>
  <c r="BI130" i="5"/>
  <c r="AU65" i="11"/>
  <c r="AW65" i="11" s="1"/>
  <c r="AU60" i="11"/>
  <c r="AW60" i="11" s="1"/>
  <c r="AM69" i="11"/>
  <c r="AN95" i="10"/>
  <c r="AM95" i="10"/>
  <c r="AN69" i="11"/>
  <c r="AI36" i="11"/>
  <c r="AH101" i="10"/>
  <c r="AB161" i="5"/>
  <c r="AB42" i="5"/>
  <c r="AE58" i="5"/>
  <c r="AB64" i="5"/>
  <c r="AH161" i="5"/>
  <c r="AB72" i="5"/>
  <c r="AA113" i="7"/>
  <c r="AE14" i="5"/>
  <c r="X13" i="5"/>
  <c r="U44" i="5"/>
  <c r="AA165" i="5"/>
  <c r="Y60" i="5"/>
  <c r="U165" i="5"/>
  <c r="U13" i="5"/>
  <c r="Y89" i="5"/>
  <c r="P45" i="5"/>
  <c r="J89" i="5"/>
  <c r="M75" i="5"/>
  <c r="M76" i="5" s="1"/>
  <c r="D101" i="10"/>
  <c r="BC156" i="10"/>
  <c r="BA209" i="5"/>
  <c r="AZ45" i="10"/>
  <c r="AZ209" i="10" s="1"/>
  <c r="W215" i="5"/>
  <c r="AC170" i="5"/>
  <c r="G200" i="5"/>
  <c r="E201" i="5"/>
  <c r="AG195" i="5"/>
  <c r="AK194" i="5"/>
  <c r="AG163" i="5"/>
  <c r="AG203" i="5"/>
  <c r="AG162" i="5"/>
  <c r="AB203" i="5"/>
  <c r="AH162" i="5"/>
  <c r="AE194" i="5"/>
  <c r="AB195" i="5"/>
  <c r="AY126" i="5"/>
  <c r="BC133" i="5"/>
  <c r="AQ123" i="5"/>
  <c r="M36" i="5"/>
  <c r="AD138" i="6"/>
  <c r="AQ178" i="6"/>
  <c r="AQ108" i="6"/>
  <c r="AQ150" i="5"/>
  <c r="AW145" i="10"/>
  <c r="AS143" i="10"/>
  <c r="AS114" i="5" s="1"/>
  <c r="AQ145" i="10"/>
  <c r="AQ143" i="10" s="1"/>
  <c r="AQ114" i="5" s="1"/>
  <c r="AM143" i="10"/>
  <c r="AM114" i="5" s="1"/>
  <c r="W143" i="10"/>
  <c r="W114" i="5" s="1"/>
  <c r="AN135" i="10"/>
  <c r="AN137" i="10" s="1"/>
  <c r="AN138" i="10" s="1"/>
  <c r="AN115" i="5" s="1"/>
  <c r="AK43" i="10"/>
  <c r="BC50" i="10"/>
  <c r="BC202" i="10" s="1"/>
  <c r="AV69" i="10"/>
  <c r="AY32" i="13"/>
  <c r="AG32" i="13"/>
  <c r="AA32" i="13"/>
  <c r="AC32" i="13"/>
  <c r="AS28" i="13"/>
  <c r="AY28" i="13"/>
  <c r="AC26" i="13"/>
  <c r="AA26" i="13"/>
  <c r="U189" i="10"/>
  <c r="BU5" i="6"/>
  <c r="BQ5" i="7"/>
  <c r="BK31" i="13"/>
  <c r="BQ15" i="13"/>
  <c r="BG23" i="10"/>
  <c r="DF46" i="7"/>
  <c r="BC55" i="6"/>
  <c r="BO127" i="5"/>
  <c r="BG73" i="6"/>
  <c r="BG122" i="6"/>
  <c r="BG102" i="6"/>
  <c r="BG10" i="5"/>
  <c r="AY73" i="6"/>
  <c r="AY10" i="5"/>
  <c r="BI20" i="13"/>
  <c r="BI22" i="13" s="1"/>
  <c r="BI37" i="13"/>
  <c r="BK27" i="13"/>
  <c r="BA65" i="11"/>
  <c r="BB65" i="11" s="1"/>
  <c r="BC65" i="11" s="1"/>
  <c r="AZ47" i="11"/>
  <c r="AZ49" i="11" s="1"/>
  <c r="BB36" i="11"/>
  <c r="AZ23" i="11"/>
  <c r="AV158" i="10"/>
  <c r="AV15" i="10"/>
  <c r="AV72" i="5"/>
  <c r="BB59" i="6"/>
  <c r="BB23" i="7" s="1"/>
  <c r="AV76" i="6"/>
  <c r="AV190" i="5"/>
  <c r="AV10" i="5"/>
  <c r="AN36" i="11"/>
  <c r="AP54" i="5"/>
  <c r="AP185" i="5"/>
  <c r="AO72" i="5"/>
  <c r="AU23" i="7"/>
  <c r="AO75" i="6"/>
  <c r="AO10" i="5"/>
  <c r="AN89" i="5"/>
  <c r="AM72" i="5"/>
  <c r="AS23" i="7"/>
  <c r="AM75" i="6"/>
  <c r="AM10" i="5"/>
  <c r="AG69" i="11"/>
  <c r="AG95" i="10"/>
  <c r="AH125" i="10"/>
  <c r="AG157" i="5"/>
  <c r="AG191" i="5" s="1"/>
  <c r="AB125" i="10"/>
  <c r="AE13" i="11"/>
  <c r="AA161" i="5"/>
  <c r="AA42" i="5"/>
  <c r="X59" i="11"/>
  <c r="V125" i="10"/>
  <c r="X106" i="5"/>
  <c r="Y92" i="5"/>
  <c r="X93" i="5"/>
  <c r="V113" i="7"/>
  <c r="R69" i="11"/>
  <c r="R95" i="10"/>
  <c r="Q69" i="11"/>
  <c r="Q95" i="10"/>
  <c r="I69" i="11"/>
  <c r="F69" i="11"/>
  <c r="G42" i="10"/>
  <c r="I95" i="10" s="1"/>
  <c r="G62" i="11"/>
  <c r="E58" i="11"/>
  <c r="F58" i="11" s="1"/>
  <c r="AB161" i="10"/>
  <c r="F122" i="10"/>
  <c r="F124" i="10" s="1"/>
  <c r="AC204" i="10"/>
  <c r="AI204" i="10"/>
  <c r="AB204" i="10"/>
  <c r="AH204" i="10"/>
  <c r="BI36" i="5"/>
  <c r="BF45" i="10"/>
  <c r="BF209" i="10" s="1"/>
  <c r="I201" i="5"/>
  <c r="M200" i="5"/>
  <c r="I215" i="5"/>
  <c r="Y197" i="5"/>
  <c r="V203" i="5"/>
  <c r="V167" i="5"/>
  <c r="V198" i="5"/>
  <c r="V166" i="5"/>
  <c r="AB166" i="5"/>
  <c r="V199" i="5"/>
  <c r="U196" i="5"/>
  <c r="U162" i="5"/>
  <c r="Y194" i="5"/>
  <c r="AA162" i="5"/>
  <c r="U195" i="5"/>
  <c r="AA196" i="5"/>
  <c r="U203" i="5"/>
  <c r="U163" i="5"/>
  <c r="P163" i="5"/>
  <c r="P203" i="5"/>
  <c r="P204" i="5" s="1"/>
  <c r="S194" i="5"/>
  <c r="P215" i="5"/>
  <c r="P195" i="5"/>
  <c r="V162" i="5"/>
  <c r="D163" i="5"/>
  <c r="D203" i="5"/>
  <c r="D204" i="5" s="1"/>
  <c r="D195" i="5"/>
  <c r="G194" i="5"/>
  <c r="AW36" i="5"/>
  <c r="AI137" i="6"/>
  <c r="AJ137" i="6" s="1"/>
  <c r="AV168" i="6"/>
  <c r="AP168" i="6"/>
  <c r="AS189" i="10"/>
  <c r="AW142" i="10"/>
  <c r="AV143" i="10"/>
  <c r="AV114" i="5" s="1"/>
  <c r="AY144" i="10"/>
  <c r="AN144" i="10"/>
  <c r="AO144" i="10"/>
  <c r="AH144" i="10"/>
  <c r="AH143" i="10"/>
  <c r="AH114" i="5" s="1"/>
  <c r="AB144" i="10"/>
  <c r="AE142" i="10"/>
  <c r="AC144" i="10"/>
  <c r="AE136" i="10"/>
  <c r="AD137" i="10"/>
  <c r="AD138" i="10" s="1"/>
  <c r="AD115" i="5" s="1"/>
  <c r="AE50" i="10"/>
  <c r="AE202" i="10" s="1"/>
  <c r="AQ165" i="10"/>
  <c r="AJ67" i="10"/>
  <c r="AJ23" i="10"/>
  <c r="AK135" i="10"/>
  <c r="AK137" i="10" s="1"/>
  <c r="AE52" i="10"/>
  <c r="AS106" i="11"/>
  <c r="U32" i="13"/>
  <c r="Z36" i="13"/>
  <c r="X36" i="13"/>
  <c r="AC31" i="13"/>
  <c r="AA31" i="13"/>
  <c r="AG31" i="13"/>
  <c r="AS27" i="13"/>
  <c r="AD40" i="13"/>
  <c r="AQ40" i="13"/>
  <c r="BC40" i="13"/>
  <c r="Z40" i="13"/>
  <c r="AK40" i="13"/>
  <c r="AC40" i="13"/>
  <c r="AP40" i="13"/>
  <c r="AX40" i="13"/>
  <c r="W40" i="13"/>
  <c r="BI40" i="13"/>
  <c r="AU40" i="13"/>
  <c r="AE40" i="13"/>
  <c r="T40" i="13"/>
  <c r="Y40" i="13"/>
  <c r="AV40" i="13"/>
  <c r="AW128" i="5"/>
  <c r="AS126" i="5"/>
  <c r="O189" i="10"/>
  <c r="BA144" i="10"/>
  <c r="AZ144" i="10"/>
  <c r="AZ143" i="10"/>
  <c r="AZ114" i="5" s="1"/>
  <c r="BE143" i="10"/>
  <c r="BE114" i="5" s="1"/>
  <c r="BE144" i="10"/>
  <c r="BF144" i="10"/>
  <c r="BX131" i="5"/>
  <c r="CD131" i="5" s="1"/>
  <c r="CJ131" i="5" s="1"/>
  <c r="BG51" i="5"/>
  <c r="BF104" i="5"/>
  <c r="BF101" i="10"/>
  <c r="BB62" i="11"/>
  <c r="BC62" i="11" s="1"/>
  <c r="BA52" i="11"/>
  <c r="BB52" i="11" s="1"/>
  <c r="BC52" i="11" s="1"/>
  <c r="AZ64" i="11"/>
  <c r="AZ67" i="11" s="1"/>
  <c r="AU53" i="11"/>
  <c r="AW53" i="11" s="1"/>
  <c r="AV92" i="10"/>
  <c r="AU25" i="11"/>
  <c r="AV126" i="5"/>
  <c r="AU190" i="5"/>
  <c r="AU75" i="6"/>
  <c r="AU10" i="5"/>
  <c r="BA59" i="6"/>
  <c r="BA23" i="7" s="1"/>
  <c r="AP161" i="10"/>
  <c r="AP162" i="10" s="1"/>
  <c r="AP125" i="10"/>
  <c r="AM204" i="10"/>
  <c r="AO204" i="10"/>
  <c r="AN204" i="10"/>
  <c r="AV59" i="6"/>
  <c r="AP10" i="5"/>
  <c r="AJ59" i="11"/>
  <c r="AK59" i="11" s="1"/>
  <c r="AJ161" i="10"/>
  <c r="AJ162" i="10" s="1"/>
  <c r="AJ125" i="10"/>
  <c r="AK12" i="11"/>
  <c r="AE53" i="11"/>
  <c r="AB107" i="11"/>
  <c r="AC125" i="10"/>
  <c r="AE12" i="11"/>
  <c r="AC114" i="7"/>
  <c r="AA64" i="5"/>
  <c r="AA44" i="5"/>
  <c r="AE89" i="5"/>
  <c r="AA13" i="5"/>
  <c r="Y53" i="11"/>
  <c r="W107" i="11"/>
  <c r="W106" i="11" s="1"/>
  <c r="L69" i="11"/>
  <c r="K18" i="6"/>
  <c r="E89" i="5"/>
  <c r="BG69" i="10"/>
  <c r="BG36" i="10"/>
  <c r="BG68" i="10"/>
  <c r="BF70" i="10"/>
  <c r="BF23" i="10"/>
  <c r="J222" i="5"/>
  <c r="I222" i="5"/>
  <c r="L222" i="5"/>
  <c r="K222" i="5"/>
  <c r="L215" i="5"/>
  <c r="L171" i="5"/>
  <c r="AP199" i="5"/>
  <c r="AP166" i="5"/>
  <c r="AP198" i="5"/>
  <c r="AA199" i="5"/>
  <c r="AA198" i="5"/>
  <c r="AE197" i="5"/>
  <c r="U147" i="5"/>
  <c r="Y142" i="5"/>
  <c r="Y152" i="5" s="1"/>
  <c r="U152" i="5"/>
  <c r="U200" i="5"/>
  <c r="AU46" i="5"/>
  <c r="AU47" i="5" s="1"/>
  <c r="AU169" i="5"/>
  <c r="AS41" i="13"/>
  <c r="Y139" i="10"/>
  <c r="AA44" i="13"/>
  <c r="AU101" i="6"/>
  <c r="O168" i="6"/>
  <c r="I168" i="6"/>
  <c r="AW179" i="6"/>
  <c r="P101" i="7"/>
  <c r="AY45" i="10"/>
  <c r="AQ157" i="10"/>
  <c r="AK156" i="10"/>
  <c r="AK15" i="10"/>
  <c r="AS135" i="10"/>
  <c r="AS137" i="10" s="1"/>
  <c r="AS138" i="10" s="1"/>
  <c r="AS115" i="5" s="1"/>
  <c r="AQ15" i="10"/>
  <c r="AY43" i="13"/>
  <c r="T36" i="13"/>
  <c r="U29" i="13"/>
  <c r="R36" i="13"/>
  <c r="U27" i="13"/>
  <c r="AE37" i="13"/>
  <c r="AD37" i="13"/>
  <c r="AD20" i="13"/>
  <c r="AD22" i="13" s="1"/>
  <c r="AQ187" i="10"/>
  <c r="AQ189" i="10" s="1"/>
  <c r="AP189" i="10"/>
  <c r="K189" i="10"/>
  <c r="AH189" i="10"/>
  <c r="AW21" i="10"/>
  <c r="AW160" i="10" s="1"/>
  <c r="AV160" i="10"/>
  <c r="BA106" i="5"/>
  <c r="BG147" i="6"/>
  <c r="BI101" i="6"/>
  <c r="AZ101" i="6"/>
  <c r="AZ71" i="6"/>
  <c r="AZ10" i="5"/>
  <c r="AZ73" i="6"/>
  <c r="AZ74" i="6"/>
  <c r="AZ56" i="6"/>
  <c r="BS131" i="5"/>
  <c r="BY131" i="5" s="1"/>
  <c r="CE131" i="5" s="1"/>
  <c r="CK131" i="5" s="1"/>
  <c r="BI131" i="5"/>
  <c r="BH72" i="5"/>
  <c r="BH50" i="5"/>
  <c r="AZ13" i="11"/>
  <c r="AU50" i="10"/>
  <c r="AU202" i="10" s="1"/>
  <c r="AU142" i="10"/>
  <c r="AU119" i="10"/>
  <c r="AV114" i="10" s="1"/>
  <c r="AU125" i="10"/>
  <c r="AV122" i="10" s="1"/>
  <c r="AV124" i="10" s="1"/>
  <c r="AU161" i="10"/>
  <c r="AW38" i="11"/>
  <c r="AT47" i="11"/>
  <c r="AT49" i="11" s="1"/>
  <c r="AT31" i="10"/>
  <c r="AT165" i="10"/>
  <c r="AU26" i="11"/>
  <c r="AU75" i="10"/>
  <c r="AV26" i="11"/>
  <c r="AT160" i="10"/>
  <c r="AM119" i="10"/>
  <c r="AN114" i="10" s="1"/>
  <c r="AQ10" i="11"/>
  <c r="AO89" i="5"/>
  <c r="AM89" i="5"/>
  <c r="AK62" i="11"/>
  <c r="AK13" i="11"/>
  <c r="AH114" i="7"/>
  <c r="AG72" i="5"/>
  <c r="AG50" i="5"/>
  <c r="AA69" i="11"/>
  <c r="AA95" i="10"/>
  <c r="AC119" i="10"/>
  <c r="AD114" i="10" s="1"/>
  <c r="AJ165" i="5"/>
  <c r="AD44" i="5"/>
  <c r="AD45" i="5" s="1"/>
  <c r="AB165" i="5"/>
  <c r="AB44" i="5"/>
  <c r="X165" i="5"/>
  <c r="X44" i="5"/>
  <c r="X45" i="5" s="1"/>
  <c r="Q59" i="11"/>
  <c r="R59" i="11" s="1"/>
  <c r="S59" i="11" s="1"/>
  <c r="S13" i="11"/>
  <c r="M10" i="11"/>
  <c r="G53" i="11"/>
  <c r="D124" i="10"/>
  <c r="E122" i="10"/>
  <c r="E124" i="10" s="1"/>
  <c r="AJ72" i="5"/>
  <c r="AJ54" i="5"/>
  <c r="AJ74" i="6"/>
  <c r="AJ10" i="5"/>
  <c r="AJ75" i="6"/>
  <c r="AP144" i="10"/>
  <c r="AP23" i="10"/>
  <c r="AT64" i="11"/>
  <c r="AT67" i="11" s="1"/>
  <c r="AP50" i="5"/>
  <c r="AK28" i="11"/>
  <c r="AE28" i="11"/>
  <c r="S65" i="11"/>
  <c r="K124" i="10"/>
  <c r="J124" i="10"/>
  <c r="G52" i="11"/>
  <c r="W137" i="10"/>
  <c r="W138" i="10" s="1"/>
  <c r="W115" i="5" s="1"/>
  <c r="BA167" i="10"/>
  <c r="AI137" i="10"/>
  <c r="AI138" i="10" s="1"/>
  <c r="AI115" i="5" s="1"/>
  <c r="I92" i="10"/>
  <c r="M92" i="10" s="1"/>
  <c r="CA115" i="10"/>
  <c r="BE162" i="10"/>
  <c r="BB189" i="10"/>
  <c r="AQ52" i="11"/>
  <c r="AK53" i="11"/>
  <c r="AK52" i="11"/>
  <c r="Y61" i="11"/>
  <c r="S62" i="11"/>
  <c r="M53" i="11"/>
  <c r="BA162" i="10"/>
  <c r="V144" i="10"/>
  <c r="AA92" i="10"/>
  <c r="AE92" i="10" s="1"/>
  <c r="O92" i="10"/>
  <c r="S92" i="10" s="1"/>
  <c r="AP37" i="13"/>
  <c r="BF162" i="10"/>
  <c r="AQ53" i="11"/>
  <c r="AN50" i="5"/>
  <c r="Y62" i="11"/>
  <c r="S53" i="11"/>
  <c r="M28" i="11"/>
  <c r="W23" i="13"/>
  <c r="X38" i="13"/>
  <c r="BR38" i="10"/>
  <c r="BS38" i="10" s="1"/>
  <c r="BT38" i="10" s="1"/>
  <c r="BO38" i="10"/>
  <c r="R38" i="13"/>
  <c r="R23" i="13"/>
  <c r="S38" i="13"/>
  <c r="BU103" i="10"/>
  <c r="AW28" i="11"/>
  <c r="BU115" i="10"/>
  <c r="G59" i="11"/>
  <c r="F55" i="11"/>
  <c r="G55" i="11" s="1"/>
  <c r="BB37" i="11"/>
  <c r="BC37" i="11" s="1"/>
  <c r="AD59" i="11"/>
  <c r="AD21" i="11"/>
  <c r="AE21" i="11" s="1"/>
  <c r="F32" i="11"/>
  <c r="G32" i="11" s="1"/>
  <c r="Y95" i="11"/>
  <c r="AE91" i="11" s="1"/>
  <c r="Y99" i="11"/>
  <c r="Y100" i="11"/>
  <c r="F44" i="11"/>
  <c r="G44" i="11" s="1"/>
  <c r="BB12" i="11"/>
  <c r="AJ15" i="11"/>
  <c r="AK15" i="11" s="1"/>
  <c r="AD32" i="11"/>
  <c r="AE32" i="11" s="1"/>
  <c r="X14" i="11"/>
  <c r="Y14" i="11" s="1"/>
  <c r="CA103" i="10"/>
  <c r="BF11" i="11"/>
  <c r="AU54" i="11"/>
  <c r="AU94" i="10" s="1"/>
  <c r="AE65" i="11"/>
  <c r="AK56" i="11"/>
  <c r="BE31" i="11"/>
  <c r="BB63" i="11"/>
  <c r="BC63" i="11" s="1"/>
  <c r="M61" i="11"/>
  <c r="BC29" i="11"/>
  <c r="CA123" i="10"/>
  <c r="G40" i="11"/>
  <c r="AK55" i="11"/>
  <c r="Y19" i="11"/>
  <c r="BB17" i="11"/>
  <c r="BC17" i="11" s="1"/>
  <c r="AP18" i="11"/>
  <c r="AQ18" i="11" s="1"/>
  <c r="AK18" i="11"/>
  <c r="R19" i="11"/>
  <c r="S19" i="11" s="1"/>
  <c r="F19" i="11"/>
  <c r="G19" i="11" s="1"/>
  <c r="L19" i="11"/>
  <c r="BB19" i="11"/>
  <c r="BC19" i="11" s="1"/>
  <c r="BB25" i="11"/>
  <c r="BG44" i="11"/>
  <c r="BB69" i="11"/>
  <c r="BC69" i="11" s="1"/>
  <c r="BC42" i="11"/>
  <c r="AJ60" i="11"/>
  <c r="AK60" i="11" s="1"/>
  <c r="AD20" i="11"/>
  <c r="AE20" i="11" s="1"/>
  <c r="R63" i="11"/>
  <c r="S63" i="11" s="1"/>
  <c r="BF23" i="11"/>
  <c r="X56" i="11"/>
  <c r="Y56" i="11" s="1"/>
  <c r="R48" i="11"/>
  <c r="S48" i="11" s="1"/>
  <c r="AP32" i="11"/>
  <c r="AQ32" i="11" s="1"/>
  <c r="AD18" i="11"/>
  <c r="AE18" i="11" s="1"/>
  <c r="X55" i="11"/>
  <c r="Y55" i="11" s="1"/>
  <c r="BA58" i="11"/>
  <c r="BB58" i="11" s="1"/>
  <c r="BA57" i="11"/>
  <c r="BB57" i="11" s="1"/>
  <c r="BC57" i="11" s="1"/>
  <c r="BA56" i="11"/>
  <c r="BB56" i="11" s="1"/>
  <c r="BC56" i="11" s="1"/>
  <c r="BA55" i="11"/>
  <c r="BB55" i="11" s="1"/>
  <c r="BC55" i="11" s="1"/>
  <c r="BA54" i="11"/>
  <c r="BB54" i="11" s="1"/>
  <c r="BB46" i="11"/>
  <c r="BC46" i="11" s="1"/>
  <c r="BA40" i="11"/>
  <c r="BB39" i="11"/>
  <c r="BC39" i="11" s="1"/>
  <c r="BB38" i="11"/>
  <c r="BC38" i="11" s="1"/>
  <c r="AU58" i="11"/>
  <c r="AW58" i="11" s="1"/>
  <c r="AJ48" i="11"/>
  <c r="AE61" i="11"/>
  <c r="M63" i="11"/>
  <c r="M48" i="11"/>
  <c r="AU16" i="11"/>
  <c r="AW14" i="11"/>
  <c r="AQ58" i="11"/>
  <c r="AE19" i="11"/>
  <c r="Y48" i="11"/>
  <c r="Y32" i="11"/>
  <c r="BB8" i="11"/>
  <c r="AC56" i="11"/>
  <c r="AD56" i="11" s="1"/>
  <c r="AC55" i="11"/>
  <c r="AD55" i="11" s="1"/>
  <c r="AC54" i="11"/>
  <c r="BC32" i="11"/>
  <c r="AZ169" i="6" l="1"/>
  <c r="CA92" i="11"/>
  <c r="CG92" i="11" s="1"/>
  <c r="CM92" i="11" s="1"/>
  <c r="V21" i="7"/>
  <c r="AB38" i="7" s="1"/>
  <c r="U96" i="7"/>
  <c r="U21" i="7"/>
  <c r="BC58" i="7"/>
  <c r="BI58" i="7"/>
  <c r="BI56" i="7"/>
  <c r="BC56" i="7"/>
  <c r="DF28" i="7"/>
  <c r="DF29" i="7"/>
  <c r="DG29" i="7"/>
  <c r="AN101" i="6"/>
  <c r="BE105" i="7"/>
  <c r="BO83" i="7"/>
  <c r="BO82" i="7"/>
  <c r="BO79" i="7"/>
  <c r="BO80" i="7"/>
  <c r="BO81" i="7"/>
  <c r="BO78" i="7"/>
  <c r="DQ29" i="7"/>
  <c r="DM29" i="7"/>
  <c r="DQ30" i="7"/>
  <c r="AK167" i="10"/>
  <c r="AY46" i="10"/>
  <c r="AY47" i="10" s="1"/>
  <c r="AY209" i="10"/>
  <c r="AY216" i="10" s="1"/>
  <c r="AQ51" i="10"/>
  <c r="AQ202" i="10"/>
  <c r="AK51" i="10"/>
  <c r="AK202" i="10"/>
  <c r="BG64" i="10"/>
  <c r="BG209" i="10"/>
  <c r="BG216" i="10" s="1"/>
  <c r="AT51" i="10"/>
  <c r="AT202" i="10"/>
  <c r="AQ214" i="10"/>
  <c r="BF215" i="10"/>
  <c r="BF216" i="10"/>
  <c r="BG215" i="10"/>
  <c r="BE216" i="10"/>
  <c r="BE215" i="10"/>
  <c r="BB215" i="10"/>
  <c r="BB216" i="10"/>
  <c r="AZ215" i="10"/>
  <c r="AZ216" i="10"/>
  <c r="AJ215" i="10"/>
  <c r="AJ216" i="10"/>
  <c r="AP215" i="10"/>
  <c r="AP216" i="10"/>
  <c r="AW51" i="10"/>
  <c r="AW202" i="10"/>
  <c r="BA64" i="10"/>
  <c r="BA209" i="10"/>
  <c r="AV64" i="10"/>
  <c r="AV209" i="10"/>
  <c r="AV215" i="10" s="1"/>
  <c r="AS64" i="10"/>
  <c r="AS209" i="10"/>
  <c r="AS216" i="10" s="1"/>
  <c r="BN108" i="7"/>
  <c r="BM28" i="7"/>
  <c r="BG90" i="7"/>
  <c r="BA95" i="7"/>
  <c r="BA108" i="7" s="1"/>
  <c r="BF14" i="6"/>
  <c r="BL92" i="7" s="1"/>
  <c r="BF92" i="7"/>
  <c r="BK33" i="7"/>
  <c r="BE95" i="7"/>
  <c r="BE15" i="6"/>
  <c r="BK93" i="7" s="1"/>
  <c r="BE93" i="7"/>
  <c r="BF104" i="7"/>
  <c r="DE16" i="7"/>
  <c r="DI31" i="7" s="1"/>
  <c r="BB95" i="7"/>
  <c r="BK28" i="7"/>
  <c r="BE90" i="7"/>
  <c r="BH91" i="7"/>
  <c r="AY95" i="7"/>
  <c r="BA91" i="7"/>
  <c r="BG104" i="7" s="1"/>
  <c r="BH108" i="7"/>
  <c r="BM33" i="7"/>
  <c r="BG95" i="7"/>
  <c r="DD11" i="7"/>
  <c r="BA90" i="7"/>
  <c r="DE12" i="7"/>
  <c r="BB91" i="7"/>
  <c r="BB90" i="7"/>
  <c r="BL33" i="7"/>
  <c r="BF95" i="7"/>
  <c r="BF15" i="6"/>
  <c r="BL93" i="7" s="1"/>
  <c r="BF93" i="7"/>
  <c r="BF106" i="7" s="1"/>
  <c r="AZ90" i="7"/>
  <c r="BF103" i="7" s="1"/>
  <c r="AY90" i="7"/>
  <c r="DF12" i="7"/>
  <c r="BE91" i="7"/>
  <c r="AS95" i="7"/>
  <c r="DK28" i="7"/>
  <c r="DN30" i="7"/>
  <c r="DG28" i="7"/>
  <c r="DO29" i="7"/>
  <c r="DP30" i="7"/>
  <c r="DN29" i="7"/>
  <c r="DO30" i="7"/>
  <c r="DM28" i="7"/>
  <c r="DK29" i="7"/>
  <c r="DM30" i="7"/>
  <c r="DP31" i="7"/>
  <c r="DL29" i="7"/>
  <c r="DL28" i="7"/>
  <c r="DH28" i="7"/>
  <c r="DJ29" i="7"/>
  <c r="DJ28" i="7"/>
  <c r="DP29" i="7"/>
  <c r="DI29" i="7"/>
  <c r="DQ31" i="7"/>
  <c r="BA23" i="11"/>
  <c r="CL105" i="5"/>
  <c r="DP26" i="7"/>
  <c r="CM131" i="5"/>
  <c r="AP124" i="10"/>
  <c r="AP169" i="10"/>
  <c r="AS169" i="10"/>
  <c r="CM133" i="5"/>
  <c r="AS44" i="6"/>
  <c r="AS42" i="6" s="1"/>
  <c r="AS11" i="7" s="1"/>
  <c r="BA73" i="7"/>
  <c r="BA71" i="7"/>
  <c r="BC71" i="7" s="1"/>
  <c r="BA70" i="7"/>
  <c r="BA72" i="7"/>
  <c r="BA75" i="7"/>
  <c r="BA74" i="7"/>
  <c r="BR106" i="10"/>
  <c r="BS106" i="10" s="1"/>
  <c r="BT106" i="10" s="1"/>
  <c r="BX106" i="10" s="1"/>
  <c r="BY106" i="10" s="1"/>
  <c r="BZ106" i="10" s="1"/>
  <c r="AS147" i="6"/>
  <c r="AY147" i="6"/>
  <c r="X145" i="6"/>
  <c r="AT88" i="5"/>
  <c r="AT106" i="5"/>
  <c r="J137" i="10"/>
  <c r="J138" i="10" s="1"/>
  <c r="J115" i="5" s="1"/>
  <c r="AH107" i="10"/>
  <c r="AI100" i="10" s="1"/>
  <c r="L60" i="11"/>
  <c r="AS51" i="6"/>
  <c r="AS46" i="6" s="1"/>
  <c r="AS12" i="7" s="1"/>
  <c r="AT13" i="5"/>
  <c r="AT84" i="5"/>
  <c r="AH161" i="10"/>
  <c r="AJ46" i="10"/>
  <c r="AJ47" i="10" s="1"/>
  <c r="BE33" i="11"/>
  <c r="BE80" i="10" s="1"/>
  <c r="I137" i="10"/>
  <c r="I138" i="10" s="1"/>
  <c r="I115" i="5" s="1"/>
  <c r="AH226" i="5"/>
  <c r="AH196" i="10" s="1"/>
  <c r="AS33" i="11"/>
  <c r="AS72" i="11" s="1"/>
  <c r="AS79" i="10" s="1"/>
  <c r="AY81" i="11"/>
  <c r="BL108" i="11"/>
  <c r="AW167" i="10"/>
  <c r="AT144" i="10"/>
  <c r="AW106" i="11"/>
  <c r="BL106" i="11"/>
  <c r="U137" i="10"/>
  <c r="U138" i="10" s="1"/>
  <c r="U115" i="5" s="1"/>
  <c r="I190" i="10"/>
  <c r="AB101" i="10"/>
  <c r="BM106" i="11"/>
  <c r="AT15" i="10"/>
  <c r="AT23" i="10" s="1"/>
  <c r="BN108" i="11"/>
  <c r="F190" i="10"/>
  <c r="AB107" i="10"/>
  <c r="AC100" i="10" s="1"/>
  <c r="AB159" i="10"/>
  <c r="AU30" i="11"/>
  <c r="AU23" i="11" s="1"/>
  <c r="AH159" i="10"/>
  <c r="X189" i="10"/>
  <c r="AA190" i="10" s="1"/>
  <c r="AN161" i="10"/>
  <c r="AV30" i="11"/>
  <c r="AV23" i="11" s="1"/>
  <c r="AG107" i="10"/>
  <c r="Y189" i="10"/>
  <c r="AQ23" i="10"/>
  <c r="AQ161" i="10"/>
  <c r="AQ162" i="10" s="1"/>
  <c r="AI107" i="10"/>
  <c r="AJ100" i="10" s="1"/>
  <c r="AI159" i="10"/>
  <c r="AC107" i="10"/>
  <c r="AD100" i="10" s="1"/>
  <c r="AG219" i="5"/>
  <c r="AG152" i="10" s="1"/>
  <c r="AC159" i="10"/>
  <c r="AC226" i="5"/>
  <c r="AC196" i="10" s="1"/>
  <c r="BF190" i="10"/>
  <c r="AD219" i="5"/>
  <c r="AD152" i="10" s="1"/>
  <c r="BE23" i="7"/>
  <c r="AJ169" i="10"/>
  <c r="AS100" i="10"/>
  <c r="D70" i="6"/>
  <c r="BG107" i="11"/>
  <c r="BG106" i="11" s="1"/>
  <c r="AQ108" i="10"/>
  <c r="BC68" i="10"/>
  <c r="AK68" i="10"/>
  <c r="BI138" i="10"/>
  <c r="AT124" i="10"/>
  <c r="V160" i="10"/>
  <c r="AZ145" i="6"/>
  <c r="AY190" i="10"/>
  <c r="J190" i="10"/>
  <c r="L101" i="10"/>
  <c r="M101" i="10" s="1"/>
  <c r="BE40" i="13"/>
  <c r="G69" i="11"/>
  <c r="BS53" i="11"/>
  <c r="BC45" i="10"/>
  <c r="BE169" i="10"/>
  <c r="AQ68" i="10"/>
  <c r="BH53" i="11"/>
  <c r="BH107" i="11" s="1"/>
  <c r="AY57" i="6"/>
  <c r="AY17" i="7" s="1"/>
  <c r="AY21" i="7" s="1"/>
  <c r="AZ169" i="10"/>
  <c r="DB11" i="7"/>
  <c r="AN119" i="10"/>
  <c r="AO114" i="10" s="1"/>
  <c r="AU158" i="10"/>
  <c r="AU162" i="10" s="1"/>
  <c r="AW107" i="11"/>
  <c r="BC162" i="10"/>
  <c r="BB169" i="10"/>
  <c r="AB226" i="5"/>
  <c r="AB196" i="10" s="1"/>
  <c r="AO161" i="10"/>
  <c r="AS46" i="10"/>
  <c r="AS47" i="10" s="1"/>
  <c r="AA226" i="5"/>
  <c r="AA196" i="10" s="1"/>
  <c r="AC117" i="7"/>
  <c r="AQ181" i="6"/>
  <c r="S54" i="11"/>
  <c r="AQ157" i="5"/>
  <c r="AQ191" i="5" s="1"/>
  <c r="Q94" i="10"/>
  <c r="BG190" i="10"/>
  <c r="L54" i="11"/>
  <c r="BF29" i="5"/>
  <c r="BC99" i="6"/>
  <c r="BI145" i="6" s="1"/>
  <c r="BF28" i="7"/>
  <c r="DD12" i="7"/>
  <c r="DC11" i="7"/>
  <c r="DG26" i="7" s="1"/>
  <c r="BA121" i="6"/>
  <c r="BU107" i="11"/>
  <c r="AK108" i="10"/>
  <c r="AV46" i="10"/>
  <c r="AK106" i="11"/>
  <c r="AQ167" i="10"/>
  <c r="AT137" i="10"/>
  <c r="AT138" i="10" s="1"/>
  <c r="AT115" i="5" s="1"/>
  <c r="Q216" i="5"/>
  <c r="AT167" i="10"/>
  <c r="AQ69" i="10"/>
  <c r="AK144" i="10"/>
  <c r="AQ36" i="10"/>
  <c r="BC69" i="10"/>
  <c r="AK162" i="10"/>
  <c r="AK169" i="10" s="1"/>
  <c r="AU51" i="6"/>
  <c r="AU14" i="6" s="1"/>
  <c r="BA92" i="7" s="1"/>
  <c r="BA105" i="7" s="1"/>
  <c r="M168" i="6"/>
  <c r="AB136" i="6"/>
  <c r="BG169" i="10"/>
  <c r="BQ32" i="13"/>
  <c r="C64" i="6"/>
  <c r="AN94" i="6"/>
  <c r="AT140" i="6" s="1"/>
  <c r="X147" i="6"/>
  <c r="R77" i="6"/>
  <c r="R78" i="6" s="1"/>
  <c r="AZ146" i="6"/>
  <c r="AB219" i="5"/>
  <c r="AB152" i="10" s="1"/>
  <c r="S143" i="10"/>
  <c r="S114" i="5" s="1"/>
  <c r="P70" i="6"/>
  <c r="BH212" i="5"/>
  <c r="BH213" i="5" s="1"/>
  <c r="BH56" i="5"/>
  <c r="BH11" i="5" s="1"/>
  <c r="AH96" i="6"/>
  <c r="AN142" i="6" s="1"/>
  <c r="AW59" i="6"/>
  <c r="AW51" i="6" s="1"/>
  <c r="AW46" i="6" s="1"/>
  <c r="AW12" i="7" s="1"/>
  <c r="AW91" i="7" s="1"/>
  <c r="AD10" i="5"/>
  <c r="AD157" i="5" s="1"/>
  <c r="AD191" i="5" s="1"/>
  <c r="AU141" i="6"/>
  <c r="BC72" i="6"/>
  <c r="BC65" i="6" s="1"/>
  <c r="AD175" i="5"/>
  <c r="AJ174" i="5"/>
  <c r="Q98" i="6"/>
  <c r="Q102" i="6" s="1"/>
  <c r="AT146" i="6"/>
  <c r="W147" i="6"/>
  <c r="Q69" i="6"/>
  <c r="AO99" i="6"/>
  <c r="AJ94" i="6"/>
  <c r="AP140" i="6" s="1"/>
  <c r="CY9" i="7"/>
  <c r="AT142" i="6"/>
  <c r="W145" i="6"/>
  <c r="AT88" i="7"/>
  <c r="AZ101" i="7" s="1"/>
  <c r="BC75" i="6"/>
  <c r="BC68" i="6" s="1"/>
  <c r="AH82" i="6"/>
  <c r="AH94" i="6" s="1"/>
  <c r="AT17" i="7"/>
  <c r="AT21" i="7" s="1"/>
  <c r="AN131" i="6"/>
  <c r="AW71" i="6"/>
  <c r="AW64" i="6" s="1"/>
  <c r="BB77" i="6"/>
  <c r="AY146" i="6"/>
  <c r="BM23" i="7"/>
  <c r="BM55" i="6"/>
  <c r="BM52" i="6" s="1"/>
  <c r="BM87" i="5" s="1"/>
  <c r="BM44" i="6"/>
  <c r="BM41" i="6" s="1"/>
  <c r="BM100" i="5" s="1"/>
  <c r="BM51" i="6"/>
  <c r="AP77" i="6"/>
  <c r="AP143" i="6"/>
  <c r="BN55" i="6"/>
  <c r="BN52" i="6" s="1"/>
  <c r="BN44" i="6"/>
  <c r="BN42" i="6" s="1"/>
  <c r="BN11" i="7" s="1"/>
  <c r="BN23" i="7"/>
  <c r="BN51" i="6"/>
  <c r="AC181" i="6"/>
  <c r="BA77" i="6"/>
  <c r="X169" i="6"/>
  <c r="BB121" i="6"/>
  <c r="BL51" i="6"/>
  <c r="BL55" i="6"/>
  <c r="BL52" i="6" s="1"/>
  <c r="BL44" i="6"/>
  <c r="BL41" i="6" s="1"/>
  <c r="BL23" i="7"/>
  <c r="U226" i="5"/>
  <c r="U196" i="10" s="1"/>
  <c r="AU29" i="5"/>
  <c r="CG133" i="5"/>
  <c r="BH29" i="5"/>
  <c r="AA215" i="5"/>
  <c r="AE200" i="5"/>
  <c r="AE201" i="5" s="1"/>
  <c r="AG170" i="5"/>
  <c r="E18" i="5"/>
  <c r="E13" i="11" s="1"/>
  <c r="S153" i="5"/>
  <c r="V139" i="5"/>
  <c r="AA171" i="5"/>
  <c r="AP98" i="6"/>
  <c r="AP102" i="6" s="1"/>
  <c r="AD40" i="6"/>
  <c r="CI105" i="5"/>
  <c r="CK105" i="5"/>
  <c r="CJ105" i="5"/>
  <c r="BF145" i="5"/>
  <c r="BF155" i="5" s="1"/>
  <c r="I216" i="5"/>
  <c r="BI126" i="5"/>
  <c r="W219" i="5"/>
  <c r="W152" i="10" s="1"/>
  <c r="W8" i="5"/>
  <c r="W7" i="11" s="1"/>
  <c r="P226" i="5"/>
  <c r="P196" i="10" s="1"/>
  <c r="X202" i="5"/>
  <c r="AH174" i="5"/>
  <c r="V193" i="5"/>
  <c r="J216" i="5"/>
  <c r="Q226" i="5"/>
  <c r="Q196" i="10" s="1"/>
  <c r="V6" i="6"/>
  <c r="V6" i="7" s="1"/>
  <c r="X8" i="13"/>
  <c r="CG131" i="5"/>
  <c r="BE29" i="5"/>
  <c r="X170" i="5"/>
  <c r="AA193" i="5"/>
  <c r="R215" i="5"/>
  <c r="X216" i="5" s="1"/>
  <c r="AD226" i="5"/>
  <c r="AD196" i="10" s="1"/>
  <c r="AV124" i="5"/>
  <c r="BO133" i="5"/>
  <c r="R226" i="5"/>
  <c r="R196" i="10" s="1"/>
  <c r="AH219" i="5"/>
  <c r="AH152" i="10" s="1"/>
  <c r="AG226" i="5"/>
  <c r="AG196" i="10" s="1"/>
  <c r="R201" i="5"/>
  <c r="R171" i="5"/>
  <c r="AH89" i="7"/>
  <c r="AN99" i="7"/>
  <c r="AT99" i="7"/>
  <c r="AP17" i="7"/>
  <c r="DM31" i="7"/>
  <c r="AC65" i="6"/>
  <c r="W10" i="5"/>
  <c r="W102" i="10" s="1"/>
  <c r="AK85" i="6"/>
  <c r="AK108" i="6" s="1"/>
  <c r="AJ56" i="6"/>
  <c r="Q77" i="6"/>
  <c r="AD64" i="6"/>
  <c r="AG97" i="6"/>
  <c r="AK97" i="6" s="1"/>
  <c r="V82" i="6"/>
  <c r="V98" i="6" s="1"/>
  <c r="V105" i="6" s="1"/>
  <c r="AJ24" i="7"/>
  <c r="AJ58" i="6" s="1"/>
  <c r="AD65" i="6"/>
  <c r="U96" i="6"/>
  <c r="Y96" i="6" s="1"/>
  <c r="Y100" i="6" s="1"/>
  <c r="AI56" i="6"/>
  <c r="AC66" i="6"/>
  <c r="AC68" i="6"/>
  <c r="AD68" i="6"/>
  <c r="AD76" i="6"/>
  <c r="AD77" i="6" s="1"/>
  <c r="AS98" i="6"/>
  <c r="AS102" i="6" s="1"/>
  <c r="AC64" i="6"/>
  <c r="AC76" i="6"/>
  <c r="AC77" i="6" s="1"/>
  <c r="AI190" i="5"/>
  <c r="AC17" i="7"/>
  <c r="AB129" i="6"/>
  <c r="AC67" i="6"/>
  <c r="AI24" i="7"/>
  <c r="AI58" i="6" s="1"/>
  <c r="AE84" i="6"/>
  <c r="AE107" i="6" s="1"/>
  <c r="V95" i="6"/>
  <c r="V99" i="6" s="1"/>
  <c r="X146" i="6"/>
  <c r="AJ38" i="6"/>
  <c r="AJ10" i="7" s="1"/>
  <c r="AJ89" i="7" s="1"/>
  <c r="AV143" i="6"/>
  <c r="AV147" i="6"/>
  <c r="AH130" i="6"/>
  <c r="V57" i="6"/>
  <c r="AE153" i="5"/>
  <c r="R98" i="6"/>
  <c r="R102" i="6" s="1"/>
  <c r="AW97" i="6"/>
  <c r="AW101" i="6" s="1"/>
  <c r="J69" i="6"/>
  <c r="AU44" i="6"/>
  <c r="AU42" i="6" s="1"/>
  <c r="AU11" i="7" s="1"/>
  <c r="G64" i="6"/>
  <c r="AG190" i="5"/>
  <c r="BC100" i="6"/>
  <c r="BI146" i="6" s="1"/>
  <c r="BC76" i="6"/>
  <c r="BC69" i="6" s="1"/>
  <c r="DB16" i="7"/>
  <c r="BF23" i="7"/>
  <c r="BI71" i="6"/>
  <c r="BI64" i="6" s="1"/>
  <c r="DE11" i="7"/>
  <c r="X101" i="10"/>
  <c r="Y101" i="10" s="1"/>
  <c r="AP94" i="10"/>
  <c r="AQ94" i="10" s="1"/>
  <c r="U40" i="13"/>
  <c r="AM40" i="13"/>
  <c r="BT138" i="10"/>
  <c r="BH38" i="13"/>
  <c r="AK97" i="11"/>
  <c r="Q190" i="10"/>
  <c r="AX37" i="13"/>
  <c r="Y69" i="11"/>
  <c r="AQ106" i="11"/>
  <c r="AK38" i="13"/>
  <c r="L190" i="10"/>
  <c r="G94" i="10"/>
  <c r="AW95" i="10"/>
  <c r="AH160" i="10"/>
  <c r="AW37" i="13"/>
  <c r="AQ107" i="11"/>
  <c r="AY37" i="13"/>
  <c r="G95" i="10"/>
  <c r="S138" i="10"/>
  <c r="S115" i="5" s="1"/>
  <c r="AN190" i="10"/>
  <c r="Y144" i="10"/>
  <c r="AO69" i="11"/>
  <c r="AY20" i="13"/>
  <c r="AY22" i="13" s="1"/>
  <c r="BA38" i="13" s="1"/>
  <c r="BA37" i="13"/>
  <c r="G143" i="10"/>
  <c r="G114" i="5" s="1"/>
  <c r="AI43" i="11"/>
  <c r="AW26" i="11"/>
  <c r="AO160" i="10"/>
  <c r="M144" i="10"/>
  <c r="AC190" i="10"/>
  <c r="AC43" i="11"/>
  <c r="AP69" i="11"/>
  <c r="AV20" i="13"/>
  <c r="AV22" i="13" s="1"/>
  <c r="AW38" i="13" s="1"/>
  <c r="AV37" i="13"/>
  <c r="AO95" i="10"/>
  <c r="AQ95" i="10" s="1"/>
  <c r="AU68" i="10"/>
  <c r="AE95" i="10"/>
  <c r="AT190" i="10"/>
  <c r="Y143" i="10"/>
  <c r="Y114" i="5" s="1"/>
  <c r="Y95" i="10"/>
  <c r="AI95" i="10"/>
  <c r="AA117" i="7"/>
  <c r="U100" i="7"/>
  <c r="AD86" i="7"/>
  <c r="V101" i="7"/>
  <c r="AK81" i="5"/>
  <c r="AK82" i="5" s="1"/>
  <c r="BA144" i="5"/>
  <c r="BA154" i="5" s="1"/>
  <c r="AC48" i="5"/>
  <c r="AC49" i="5" s="1"/>
  <c r="AA101" i="7"/>
  <c r="AM88" i="7"/>
  <c r="AM101" i="7" s="1"/>
  <c r="DK26" i="7"/>
  <c r="AJ88" i="7"/>
  <c r="P102" i="7"/>
  <c r="W216" i="5"/>
  <c r="AH175" i="5"/>
  <c r="AD174" i="5"/>
  <c r="X175" i="5"/>
  <c r="AD205" i="5"/>
  <c r="DF11" i="7"/>
  <c r="CS9" i="7"/>
  <c r="AW204" i="5"/>
  <c r="AD216" i="5"/>
  <c r="AP174" i="5"/>
  <c r="X205" i="5"/>
  <c r="AU173" i="5"/>
  <c r="BH81" i="7"/>
  <c r="DI63" i="7" s="1"/>
  <c r="AB216" i="5"/>
  <c r="AY72" i="7"/>
  <c r="O91" i="5"/>
  <c r="BG146" i="5"/>
  <c r="BG156" i="5" s="1"/>
  <c r="AA204" i="5"/>
  <c r="L216" i="5"/>
  <c r="AY241" i="5"/>
  <c r="BG241" i="5"/>
  <c r="AJ65" i="5"/>
  <c r="BH78" i="7"/>
  <c r="DI60" i="7" s="1"/>
  <c r="AQ166" i="5"/>
  <c r="DI47" i="7"/>
  <c r="M99" i="7"/>
  <c r="AK198" i="5"/>
  <c r="X174" i="5"/>
  <c r="BE209" i="5"/>
  <c r="BI209" i="5" s="1"/>
  <c r="AN73" i="7"/>
  <c r="BE106" i="5"/>
  <c r="BE14" i="5" s="1"/>
  <c r="AY33" i="11"/>
  <c r="AY72" i="11" s="1"/>
  <c r="AE143" i="10"/>
  <c r="AE114" i="5" s="1"/>
  <c r="AW52" i="5"/>
  <c r="AW53" i="5" s="1"/>
  <c r="AY70" i="7"/>
  <c r="AY74" i="7"/>
  <c r="DB48" i="7" s="1"/>
  <c r="AY53" i="5"/>
  <c r="DI46" i="7"/>
  <c r="AY73" i="7"/>
  <c r="DB47" i="7" s="1"/>
  <c r="BH210" i="5"/>
  <c r="AY75" i="7"/>
  <c r="DB49" i="7" s="1"/>
  <c r="BG183" i="5"/>
  <c r="BG210" i="5"/>
  <c r="AZ241" i="5"/>
  <c r="AV74" i="7"/>
  <c r="DA48" i="7" s="1"/>
  <c r="BG145" i="5"/>
  <c r="BG155" i="5" s="1"/>
  <c r="BH82" i="7"/>
  <c r="DI64" i="7" s="1"/>
  <c r="AH118" i="7"/>
  <c r="AK169" i="5"/>
  <c r="AU88" i="7"/>
  <c r="BA101" i="7" s="1"/>
  <c r="AT147" i="6"/>
  <c r="S18" i="6"/>
  <c r="J77" i="6"/>
  <c r="DI12" i="7"/>
  <c r="V77" i="6"/>
  <c r="V78" i="6" s="1"/>
  <c r="AV99" i="6"/>
  <c r="BI46" i="6"/>
  <c r="BI12" i="7" s="1"/>
  <c r="BI91" i="7" s="1"/>
  <c r="AT241" i="5"/>
  <c r="DG16" i="7"/>
  <c r="DK31" i="7" s="1"/>
  <c r="AK101" i="7"/>
  <c r="DA9" i="7"/>
  <c r="AB118" i="7"/>
  <c r="BI102" i="5"/>
  <c r="BI103" i="5" s="1"/>
  <c r="BC167" i="10"/>
  <c r="BB60" i="11"/>
  <c r="BC60" i="11" s="1"/>
  <c r="AT31" i="11"/>
  <c r="AJ54" i="11"/>
  <c r="AI94" i="10"/>
  <c r="S60" i="11"/>
  <c r="BO53" i="11"/>
  <c r="G36" i="11"/>
  <c r="BG56" i="5"/>
  <c r="BG11" i="5" s="1"/>
  <c r="AO201" i="5"/>
  <c r="L8" i="5"/>
  <c r="L7" i="10" s="1"/>
  <c r="AO171" i="5"/>
  <c r="BA145" i="5"/>
  <c r="BA155" i="5" s="1"/>
  <c r="AU202" i="5"/>
  <c r="BH145" i="5"/>
  <c r="BH155" i="5" s="1"/>
  <c r="AO170" i="5"/>
  <c r="BC181" i="5"/>
  <c r="AU170" i="5"/>
  <c r="X65" i="5"/>
  <c r="W175" i="5"/>
  <c r="S171" i="5"/>
  <c r="AA6" i="6"/>
  <c r="AA70" i="6" s="1"/>
  <c r="AA7" i="10"/>
  <c r="K216" i="5"/>
  <c r="U56" i="5"/>
  <c r="U11" i="5" s="1"/>
  <c r="AQ52" i="5"/>
  <c r="AQ53" i="5" s="1"/>
  <c r="AY45" i="13"/>
  <c r="AA38" i="5"/>
  <c r="AA159" i="5"/>
  <c r="O48" i="5"/>
  <c r="O49" i="5" s="1"/>
  <c r="BB189" i="5"/>
  <c r="AA139" i="5"/>
  <c r="AB8" i="5"/>
  <c r="O56" i="5"/>
  <c r="O11" i="5" s="1"/>
  <c r="O15" i="5" s="1"/>
  <c r="O113" i="5" s="1"/>
  <c r="M46" i="5"/>
  <c r="M47" i="5" s="1"/>
  <c r="V159" i="5"/>
  <c r="AN201" i="5"/>
  <c r="AO196" i="5"/>
  <c r="BH211" i="5"/>
  <c r="BE207" i="5"/>
  <c r="AY213" i="5"/>
  <c r="CA53" i="11"/>
  <c r="BG115" i="10"/>
  <c r="BI115" i="10" s="1"/>
  <c r="AV190" i="10"/>
  <c r="AW25" i="11"/>
  <c r="D190" i="10"/>
  <c r="AO190" i="10"/>
  <c r="T23" i="13"/>
  <c r="AJ124" i="10"/>
  <c r="AY169" i="10"/>
  <c r="AQ138" i="10"/>
  <c r="AQ115" i="5" s="1"/>
  <c r="BE121" i="6"/>
  <c r="AQ138" i="6"/>
  <c r="AS241" i="5"/>
  <c r="AE39" i="6"/>
  <c r="U82" i="6"/>
  <c r="U98" i="6" s="1"/>
  <c r="U105" i="6" s="1"/>
  <c r="J98" i="6"/>
  <c r="J102" i="6" s="1"/>
  <c r="AU241" i="5"/>
  <c r="AV241" i="5"/>
  <c r="BK104" i="5"/>
  <c r="BB241" i="5"/>
  <c r="AQ95" i="6"/>
  <c r="AW141" i="6" s="1"/>
  <c r="Y46" i="5"/>
  <c r="Y47" i="5" s="1"/>
  <c r="AW138" i="10"/>
  <c r="AW115" i="5" s="1"/>
  <c r="AE69" i="11"/>
  <c r="AO43" i="11"/>
  <c r="AA45" i="13"/>
  <c r="O219" i="5"/>
  <c r="O152" i="10" s="1"/>
  <c r="C68" i="6"/>
  <c r="O149" i="10"/>
  <c r="O170" i="10" s="1"/>
  <c r="AI131" i="6"/>
  <c r="AJ131" i="6" s="1"/>
  <c r="CX16" i="7"/>
  <c r="AM99" i="6"/>
  <c r="AY189" i="5"/>
  <c r="AZ55" i="5"/>
  <c r="BG23" i="7"/>
  <c r="BI177" i="5"/>
  <c r="AN43" i="11"/>
  <c r="Y40" i="6"/>
  <c r="AA219" i="5"/>
  <c r="AA152" i="10" s="1"/>
  <c r="U97" i="6"/>
  <c r="U101" i="6" s="1"/>
  <c r="AN202" i="5"/>
  <c r="C10" i="5"/>
  <c r="C19" i="6" s="1"/>
  <c r="AQ42" i="5"/>
  <c r="AQ43" i="5" s="1"/>
  <c r="AY33" i="7"/>
  <c r="AY179" i="5"/>
  <c r="AO136" i="6"/>
  <c r="AS141" i="6"/>
  <c r="AD131" i="6"/>
  <c r="E190" i="10"/>
  <c r="AZ16" i="6"/>
  <c r="BH241" i="5"/>
  <c r="BF105" i="10"/>
  <c r="BF241" i="5"/>
  <c r="AI160" i="10"/>
  <c r="AT118" i="10"/>
  <c r="BA241" i="5"/>
  <c r="J13" i="11"/>
  <c r="AW62" i="11"/>
  <c r="Y83" i="6"/>
  <c r="Y106" i="6" s="1"/>
  <c r="BE28" i="7"/>
  <c r="AN170" i="5"/>
  <c r="O74" i="5"/>
  <c r="AB88" i="7"/>
  <c r="AQ199" i="5"/>
  <c r="AD82" i="6"/>
  <c r="AD94" i="6" s="1"/>
  <c r="AW40" i="6"/>
  <c r="BE241" i="5"/>
  <c r="AJ84" i="5"/>
  <c r="AJ136" i="6"/>
  <c r="AC129" i="6"/>
  <c r="AE169" i="5"/>
  <c r="AW177" i="5"/>
  <c r="AM45" i="13"/>
  <c r="BE73" i="5"/>
  <c r="BC177" i="5"/>
  <c r="V38" i="5"/>
  <c r="V7" i="10"/>
  <c r="AK89" i="5"/>
  <c r="AP43" i="11"/>
  <c r="AI51" i="10"/>
  <c r="S188" i="10"/>
  <c r="S189" i="10" s="1"/>
  <c r="R189" i="10"/>
  <c r="R190" i="10" s="1"/>
  <c r="AA7" i="11"/>
  <c r="AG8" i="5"/>
  <c r="BA169" i="10"/>
  <c r="O102" i="10"/>
  <c r="AM126" i="5"/>
  <c r="BY132" i="5"/>
  <c r="BU132" i="5"/>
  <c r="AB51" i="10"/>
  <c r="AK69" i="10"/>
  <c r="Y36" i="11"/>
  <c r="BZ219" i="5"/>
  <c r="BZ152" i="10" s="1"/>
  <c r="BZ226" i="5"/>
  <c r="BZ196" i="10" s="1"/>
  <c r="AG82" i="6"/>
  <c r="AG94" i="6" s="1"/>
  <c r="AA169" i="6"/>
  <c r="AM36" i="13"/>
  <c r="AC190" i="5"/>
  <c r="BG214" i="5"/>
  <c r="AW99" i="6"/>
  <c r="AU190" i="10"/>
  <c r="W190" i="10"/>
  <c r="AH51" i="10"/>
  <c r="BW138" i="10"/>
  <c r="AE66" i="6"/>
  <c r="AC160" i="10"/>
  <c r="BC23" i="10"/>
  <c r="BC67" i="10"/>
  <c r="BC70" i="10"/>
  <c r="AT29" i="5"/>
  <c r="AL38" i="13"/>
  <c r="AT162" i="10"/>
  <c r="M95" i="10"/>
  <c r="AJ69" i="11"/>
  <c r="BU133" i="5"/>
  <c r="W226" i="5"/>
  <c r="W196" i="10" s="1"/>
  <c r="S89" i="5"/>
  <c r="AQ177" i="5"/>
  <c r="AW185" i="5"/>
  <c r="AH131" i="6"/>
  <c r="AI77" i="6"/>
  <c r="AI78" i="6" s="1"/>
  <c r="Y85" i="6"/>
  <c r="Y108" i="6" s="1"/>
  <c r="U145" i="6"/>
  <c r="S144" i="10"/>
  <c r="AA100" i="7"/>
  <c r="K7" i="10"/>
  <c r="K6" i="6"/>
  <c r="K70" i="6" s="1"/>
  <c r="AI38" i="6"/>
  <c r="AI10" i="7" s="1"/>
  <c r="CR10" i="7" s="1"/>
  <c r="BC42" i="6"/>
  <c r="BC11" i="7" s="1"/>
  <c r="AO169" i="6"/>
  <c r="AJ100" i="6"/>
  <c r="BI74" i="6"/>
  <c r="BI67" i="6" s="1"/>
  <c r="BA73" i="5"/>
  <c r="AU56" i="5"/>
  <c r="AK40" i="6"/>
  <c r="AV141" i="6"/>
  <c r="J6" i="6"/>
  <c r="AB190" i="10"/>
  <c r="W160" i="10"/>
  <c r="BD23" i="13"/>
  <c r="BF169" i="10"/>
  <c r="AY64" i="10"/>
  <c r="D123" i="5"/>
  <c r="K18" i="5"/>
  <c r="L18" i="5" s="1"/>
  <c r="Y138" i="10"/>
  <c r="Y115" i="5" s="1"/>
  <c r="D137" i="10"/>
  <c r="D138" i="10" s="1"/>
  <c r="D115" i="5" s="1"/>
  <c r="AS36" i="13"/>
  <c r="AE137" i="10"/>
  <c r="AE138" i="10" s="1"/>
  <c r="AE115" i="5" s="1"/>
  <c r="AI69" i="11"/>
  <c r="S44" i="5"/>
  <c r="S45" i="5" s="1"/>
  <c r="G190" i="10"/>
  <c r="O102" i="7"/>
  <c r="BA105" i="10"/>
  <c r="BA116" i="10" s="1"/>
  <c r="AJ98" i="6"/>
  <c r="AJ102" i="6" s="1"/>
  <c r="W173" i="5"/>
  <c r="BG28" i="7"/>
  <c r="AH19" i="6"/>
  <c r="AZ179" i="5"/>
  <c r="AQ167" i="5"/>
  <c r="AW73" i="6"/>
  <c r="AW66" i="6" s="1"/>
  <c r="Q48" i="5"/>
  <c r="Q49" i="5" s="1"/>
  <c r="AK78" i="5"/>
  <c r="AM30" i="6"/>
  <c r="AQ30" i="6" s="1"/>
  <c r="Y39" i="6"/>
  <c r="Y169" i="5"/>
  <c r="AN72" i="7"/>
  <c r="AM169" i="6"/>
  <c r="X68" i="6"/>
  <c r="AP38" i="6"/>
  <c r="AP10" i="7" s="1"/>
  <c r="AE177" i="6"/>
  <c r="AI173" i="5"/>
  <c r="O98" i="6"/>
  <c r="O102" i="6" s="1"/>
  <c r="Q102" i="7"/>
  <c r="AE38" i="6"/>
  <c r="AE10" i="7" s="1"/>
  <c r="AE89" i="7" s="1"/>
  <c r="J7" i="11"/>
  <c r="J7" i="10"/>
  <c r="BA46" i="10"/>
  <c r="BA47" i="10" s="1"/>
  <c r="AG43" i="11"/>
  <c r="AV205" i="5"/>
  <c r="AP175" i="5"/>
  <c r="AP204" i="5"/>
  <c r="AV174" i="5"/>
  <c r="AW69" i="10"/>
  <c r="AW68" i="10"/>
  <c r="AW36" i="10"/>
  <c r="BG47" i="11"/>
  <c r="BG49" i="11" s="1"/>
  <c r="BE81" i="11"/>
  <c r="AK133" i="5"/>
  <c r="S215" i="5"/>
  <c r="AJ95" i="10"/>
  <c r="BE57" i="6"/>
  <c r="BE17" i="7" s="1"/>
  <c r="BE21" i="7" s="1"/>
  <c r="AC82" i="6"/>
  <c r="AC94" i="6" s="1"/>
  <c r="AP177" i="6"/>
  <c r="AW137" i="6"/>
  <c r="BA74" i="5"/>
  <c r="Y84" i="6"/>
  <c r="Y107" i="6" s="1"/>
  <c r="AQ198" i="5"/>
  <c r="K7" i="11"/>
  <c r="BG64" i="11"/>
  <c r="BG67" i="11" s="1"/>
  <c r="BG106" i="5"/>
  <c r="BG107" i="5" s="1"/>
  <c r="BI54" i="5"/>
  <c r="BI55" i="5" s="1"/>
  <c r="W101" i="7"/>
  <c r="AD136" i="6"/>
  <c r="AW168" i="6"/>
  <c r="P10" i="5"/>
  <c r="P157" i="5" s="1"/>
  <c r="P191" i="5" s="1"/>
  <c r="AA10" i="5"/>
  <c r="AA91" i="5" s="1"/>
  <c r="AV191" i="5"/>
  <c r="AH136" i="6"/>
  <c r="BC138" i="10"/>
  <c r="BC115" i="5" s="1"/>
  <c r="AC189" i="5"/>
  <c r="U173" i="5"/>
  <c r="L8" i="13"/>
  <c r="AH69" i="11"/>
  <c r="AH95" i="10"/>
  <c r="AY154" i="5"/>
  <c r="AY147" i="5"/>
  <c r="AY157" i="5" s="1"/>
  <c r="CA133" i="5"/>
  <c r="AI51" i="5"/>
  <c r="BE212" i="5"/>
  <c r="BE213" i="5" s="1"/>
  <c r="BH106" i="5"/>
  <c r="BH107" i="5" s="1"/>
  <c r="BC50" i="5"/>
  <c r="BC51" i="5" s="1"/>
  <c r="AO195" i="5"/>
  <c r="AK72" i="5"/>
  <c r="AJ13" i="5"/>
  <c r="AJ114" i="7" s="1"/>
  <c r="BI52" i="5"/>
  <c r="BI53" i="5" s="1"/>
  <c r="S64" i="5"/>
  <c r="S65" i="5" s="1"/>
  <c r="BA11" i="11"/>
  <c r="BE146" i="5"/>
  <c r="BE156" i="5" s="1"/>
  <c r="AO162" i="5"/>
  <c r="AJ88" i="5"/>
  <c r="AK138" i="10"/>
  <c r="AK115" i="5" s="1"/>
  <c r="BI67" i="5"/>
  <c r="Q114" i="7"/>
  <c r="W118" i="7" s="1"/>
  <c r="AO163" i="5"/>
  <c r="V173" i="5"/>
  <c r="V189" i="5"/>
  <c r="U219" i="5"/>
  <c r="U152" i="10" s="1"/>
  <c r="M195" i="5"/>
  <c r="M163" i="5"/>
  <c r="M203" i="5"/>
  <c r="M204" i="5" s="1"/>
  <c r="H8" i="13"/>
  <c r="F6" i="6"/>
  <c r="F7" i="11"/>
  <c r="F7" i="10"/>
  <c r="AY51" i="5"/>
  <c r="AY56" i="5"/>
  <c r="AY11" i="5" s="1"/>
  <c r="BB74" i="5"/>
  <c r="J12" i="5"/>
  <c r="J57" i="5" s="1"/>
  <c r="E6" i="7"/>
  <c r="E70" i="6"/>
  <c r="I6" i="7"/>
  <c r="I70" i="6"/>
  <c r="AP205" i="5"/>
  <c r="AJ175" i="5"/>
  <c r="AJ204" i="5"/>
  <c r="AQ31" i="6"/>
  <c r="X23" i="6"/>
  <c r="X7" i="7" s="1"/>
  <c r="X86" i="7" s="1"/>
  <c r="CR9" i="7"/>
  <c r="AA89" i="7"/>
  <c r="U40" i="5"/>
  <c r="AD8" i="7"/>
  <c r="AD87" i="7" s="1"/>
  <c r="AD38" i="6"/>
  <c r="AD10" i="7" s="1"/>
  <c r="AN74" i="7"/>
  <c r="AV73" i="7"/>
  <c r="AP169" i="6"/>
  <c r="BF144" i="5"/>
  <c r="BF154" i="5" s="1"/>
  <c r="AS77" i="6"/>
  <c r="AC131" i="6"/>
  <c r="BF56" i="5"/>
  <c r="BF11" i="5" s="1"/>
  <c r="Y153" i="5"/>
  <c r="AV71" i="7"/>
  <c r="AN59" i="6"/>
  <c r="AN44" i="6" s="1"/>
  <c r="AN42" i="6" s="1"/>
  <c r="AN11" i="7" s="1"/>
  <c r="AN90" i="7" s="1"/>
  <c r="AE64" i="6"/>
  <c r="AG17" i="7"/>
  <c r="BA187" i="5"/>
  <c r="BA213" i="5"/>
  <c r="AO100" i="6"/>
  <c r="AU142" i="6"/>
  <c r="AT201" i="5"/>
  <c r="AT171" i="5"/>
  <c r="AM56" i="5"/>
  <c r="AM11" i="5" s="1"/>
  <c r="AN75" i="7"/>
  <c r="AV70" i="7"/>
  <c r="BG121" i="6"/>
  <c r="BI72" i="5"/>
  <c r="AW89" i="5"/>
  <c r="BE178" i="5"/>
  <c r="AT202" i="5"/>
  <c r="CV9" i="7"/>
  <c r="Y177" i="6"/>
  <c r="AH91" i="5"/>
  <c r="R56" i="5"/>
  <c r="R11" i="5" s="1"/>
  <c r="S101" i="7"/>
  <c r="BF57" i="6"/>
  <c r="BF17" i="7" s="1"/>
  <c r="AQ181" i="5"/>
  <c r="Y37" i="6"/>
  <c r="AY210" i="5"/>
  <c r="AK52" i="5"/>
  <c r="AK53" i="5" s="1"/>
  <c r="AE67" i="6"/>
  <c r="AS169" i="6"/>
  <c r="AV171" i="5"/>
  <c r="DG12" i="7"/>
  <c r="AA131" i="6"/>
  <c r="AT141" i="6"/>
  <c r="AN99" i="6"/>
  <c r="R45" i="5"/>
  <c r="R48" i="5"/>
  <c r="R49" i="5" s="1"/>
  <c r="AV75" i="7"/>
  <c r="AG131" i="6"/>
  <c r="AB131" i="6"/>
  <c r="BC72" i="5"/>
  <c r="BB56" i="5"/>
  <c r="BB11" i="5" s="1"/>
  <c r="BB75" i="10" s="1"/>
  <c r="BI181" i="5"/>
  <c r="AO88" i="7"/>
  <c r="AO101" i="7" s="1"/>
  <c r="AE85" i="6"/>
  <c r="AY12" i="7"/>
  <c r="AV72" i="7"/>
  <c r="AE181" i="6"/>
  <c r="AW54" i="5"/>
  <c r="AW55" i="5" s="1"/>
  <c r="AT170" i="5"/>
  <c r="W82" i="6"/>
  <c r="W94" i="6" s="1"/>
  <c r="AY145" i="6"/>
  <c r="BF77" i="6"/>
  <c r="AA189" i="5"/>
  <c r="AC96" i="6"/>
  <c r="AI142" i="6" s="1"/>
  <c r="AC130" i="6"/>
  <c r="AC56" i="6"/>
  <c r="W67" i="6"/>
  <c r="W64" i="6"/>
  <c r="W68" i="6"/>
  <c r="W66" i="6"/>
  <c r="W181" i="6"/>
  <c r="W65" i="6"/>
  <c r="W76" i="6"/>
  <c r="AC57" i="6"/>
  <c r="W56" i="6"/>
  <c r="W190" i="5"/>
  <c r="P181" i="6"/>
  <c r="P76" i="6"/>
  <c r="P100" i="6"/>
  <c r="P101" i="6"/>
  <c r="P67" i="6"/>
  <c r="P68" i="6"/>
  <c r="V190" i="5"/>
  <c r="V56" i="6"/>
  <c r="P64" i="6"/>
  <c r="P56" i="6"/>
  <c r="P99" i="6"/>
  <c r="P66" i="6"/>
  <c r="P65" i="6"/>
  <c r="AH102" i="10"/>
  <c r="AE83" i="6"/>
  <c r="AY102" i="6"/>
  <c r="AN24" i="7"/>
  <c r="AN58" i="6" s="1"/>
  <c r="AH12" i="5"/>
  <c r="X82" i="6"/>
  <c r="X98" i="6" s="1"/>
  <c r="AK165" i="5"/>
  <c r="AD130" i="6"/>
  <c r="V96" i="7"/>
  <c r="AP106" i="5"/>
  <c r="BI43" i="6"/>
  <c r="BI58" i="6" s="1"/>
  <c r="BI24" i="7" s="1"/>
  <c r="AV56" i="5"/>
  <c r="AO17" i="7"/>
  <c r="AK44" i="5"/>
  <c r="AK45" i="5" s="1"/>
  <c r="BF210" i="5"/>
  <c r="BF183" i="5"/>
  <c r="G89" i="5"/>
  <c r="L10" i="5"/>
  <c r="L92" i="5" s="1"/>
  <c r="AV84" i="5"/>
  <c r="AH90" i="5"/>
  <c r="DC16" i="7"/>
  <c r="BB57" i="6"/>
  <c r="BB17" i="7" s="1"/>
  <c r="BB21" i="7" s="1"/>
  <c r="BH33" i="7"/>
  <c r="X34" i="6"/>
  <c r="X9" i="7" s="1"/>
  <c r="BI53" i="6"/>
  <c r="BI16" i="7" s="1"/>
  <c r="BI95" i="7" s="1"/>
  <c r="AQ200" i="5"/>
  <c r="AQ202" i="5" s="1"/>
  <c r="BF33" i="7"/>
  <c r="AW50" i="5"/>
  <c r="AW51" i="5" s="1"/>
  <c r="AU169" i="6"/>
  <c r="BH29" i="7"/>
  <c r="BB73" i="5"/>
  <c r="J92" i="5"/>
  <c r="J93" i="5" s="1"/>
  <c r="BA149" i="10"/>
  <c r="AZ215" i="5"/>
  <c r="X173" i="5"/>
  <c r="Y90" i="6"/>
  <c r="M89" i="7"/>
  <c r="M102" i="7" s="1"/>
  <c r="BC52" i="5"/>
  <c r="BC53" i="5" s="1"/>
  <c r="Y161" i="5"/>
  <c r="M96" i="7"/>
  <c r="M109" i="7" s="1"/>
  <c r="AN136" i="6"/>
  <c r="BC53" i="6"/>
  <c r="BC16" i="7" s="1"/>
  <c r="BC95" i="7" s="1"/>
  <c r="BF73" i="10"/>
  <c r="AZ187" i="5"/>
  <c r="X66" i="6"/>
  <c r="BH121" i="6"/>
  <c r="BF121" i="6"/>
  <c r="BE189" i="5"/>
  <c r="S177" i="6"/>
  <c r="BF73" i="5"/>
  <c r="AV88" i="5"/>
  <c r="AV86" i="5"/>
  <c r="AD95" i="6"/>
  <c r="AJ141" i="6" s="1"/>
  <c r="AI65" i="5"/>
  <c r="S72" i="5"/>
  <c r="BH77" i="6"/>
  <c r="BA90" i="5"/>
  <c r="AH107" i="5"/>
  <c r="CP10" i="7"/>
  <c r="AY215" i="5"/>
  <c r="V40" i="5"/>
  <c r="AE164" i="6"/>
  <c r="AP170" i="5"/>
  <c r="AV170" i="5"/>
  <c r="BF149" i="10"/>
  <c r="AV202" i="5"/>
  <c r="W189" i="5"/>
  <c r="BA73" i="10"/>
  <c r="BA86" i="10"/>
  <c r="BA102" i="10"/>
  <c r="AQ190" i="5"/>
  <c r="BI185" i="5"/>
  <c r="AT189" i="5"/>
  <c r="BA19" i="6"/>
  <c r="AZ189" i="5"/>
  <c r="AW92" i="6"/>
  <c r="AW138" i="6" s="1"/>
  <c r="BK87" i="5"/>
  <c r="AN38" i="6"/>
  <c r="AN10" i="7" s="1"/>
  <c r="BF19" i="6"/>
  <c r="BI75" i="6"/>
  <c r="BI68" i="6" s="1"/>
  <c r="BF86" i="10"/>
  <c r="AK86" i="6"/>
  <c r="AK99" i="7"/>
  <c r="R157" i="5"/>
  <c r="R191" i="5" s="1"/>
  <c r="R19" i="6"/>
  <c r="R149" i="10"/>
  <c r="I56" i="5"/>
  <c r="I11" i="5" s="1"/>
  <c r="BI102" i="6"/>
  <c r="AU106" i="5"/>
  <c r="R90" i="5"/>
  <c r="AD56" i="6"/>
  <c r="AE90" i="6"/>
  <c r="AD190" i="5"/>
  <c r="BG33" i="7"/>
  <c r="AO65" i="5"/>
  <c r="X189" i="5"/>
  <c r="AK115" i="6"/>
  <c r="AA82" i="6"/>
  <c r="AP164" i="6"/>
  <c r="U101" i="7"/>
  <c r="C100" i="6"/>
  <c r="I96" i="7"/>
  <c r="I109" i="7" s="1"/>
  <c r="S42" i="5"/>
  <c r="S43" i="5" s="1"/>
  <c r="AO7" i="7"/>
  <c r="AO86" i="7" s="1"/>
  <c r="AJ87" i="7"/>
  <c r="AP100" i="7" s="1"/>
  <c r="AS38" i="6"/>
  <c r="AS10" i="7" s="1"/>
  <c r="AS89" i="7" s="1"/>
  <c r="BB90" i="5"/>
  <c r="R73" i="5"/>
  <c r="X76" i="6"/>
  <c r="BB105" i="10"/>
  <c r="BB116" i="10" s="1"/>
  <c r="BB73" i="10"/>
  <c r="BB149" i="10"/>
  <c r="BB19" i="6"/>
  <c r="BB86" i="10"/>
  <c r="CU9" i="7"/>
  <c r="AN88" i="7"/>
  <c r="BH86" i="10"/>
  <c r="BH73" i="10"/>
  <c r="BH105" i="10"/>
  <c r="BH149" i="10"/>
  <c r="BH102" i="10"/>
  <c r="BH39" i="5"/>
  <c r="BH19" i="6"/>
  <c r="G46" i="5"/>
  <c r="G47" i="5" s="1"/>
  <c r="BG189" i="5"/>
  <c r="BA189" i="5"/>
  <c r="J102" i="7"/>
  <c r="K102" i="7"/>
  <c r="AE40" i="6"/>
  <c r="Y18" i="6"/>
  <c r="AD48" i="5"/>
  <c r="AD49" i="5" s="1"/>
  <c r="AD65" i="5"/>
  <c r="F10" i="5"/>
  <c r="F100" i="6"/>
  <c r="F99" i="6"/>
  <c r="L145" i="6" s="1"/>
  <c r="F68" i="6"/>
  <c r="F64" i="6"/>
  <c r="F101" i="6"/>
  <c r="F66" i="6"/>
  <c r="F76" i="6"/>
  <c r="F65" i="6"/>
  <c r="F181" i="6"/>
  <c r="F67" i="6"/>
  <c r="L96" i="7"/>
  <c r="X56" i="6"/>
  <c r="Q56" i="5"/>
  <c r="Q11" i="5" s="1"/>
  <c r="Q15" i="5" s="1"/>
  <c r="Q19" i="5" s="1"/>
  <c r="Q24" i="5" s="1"/>
  <c r="W56" i="5"/>
  <c r="W11" i="5" s="1"/>
  <c r="W15" i="5" s="1"/>
  <c r="W124" i="5" s="1"/>
  <c r="X190" i="5"/>
  <c r="AO173" i="5"/>
  <c r="AA129" i="6"/>
  <c r="BG57" i="6"/>
  <c r="BG17" i="7" s="1"/>
  <c r="AA99" i="6"/>
  <c r="AP151" i="6"/>
  <c r="AP174" i="6" s="1"/>
  <c r="C99" i="6"/>
  <c r="C65" i="6"/>
  <c r="AD173" i="5"/>
  <c r="AQ44" i="5"/>
  <c r="AQ45" i="5" s="1"/>
  <c r="AE137" i="6"/>
  <c r="AQ81" i="5"/>
  <c r="AQ82" i="5" s="1"/>
  <c r="AJ190" i="5"/>
  <c r="BF189" i="5"/>
  <c r="X64" i="6"/>
  <c r="X67" i="6"/>
  <c r="X10" i="5"/>
  <c r="X149" i="10" s="1"/>
  <c r="V100" i="7"/>
  <c r="DG48" i="7"/>
  <c r="V19" i="6"/>
  <c r="V91" i="5"/>
  <c r="V149" i="10"/>
  <c r="V73" i="5"/>
  <c r="V90" i="5"/>
  <c r="V157" i="5"/>
  <c r="V191" i="5" s="1"/>
  <c r="V107" i="5"/>
  <c r="V74" i="5"/>
  <c r="AB23" i="7"/>
  <c r="CW9" i="7"/>
  <c r="AP88" i="7"/>
  <c r="AS73" i="10"/>
  <c r="AS86" i="10"/>
  <c r="AT86" i="10" s="1"/>
  <c r="AU86" i="10" s="1"/>
  <c r="AS19" i="6"/>
  <c r="AS117" i="10"/>
  <c r="AS149" i="10"/>
  <c r="AS102" i="10"/>
  <c r="AQ169" i="5"/>
  <c r="AQ63" i="5"/>
  <c r="AQ67" i="5"/>
  <c r="AQ72" i="5"/>
  <c r="L102" i="7"/>
  <c r="AA68" i="6"/>
  <c r="AA64" i="6"/>
  <c r="AA181" i="6"/>
  <c r="AA67" i="6"/>
  <c r="AA66" i="6"/>
  <c r="AA76" i="6"/>
  <c r="AA65" i="6"/>
  <c r="D10" i="5"/>
  <c r="D19" i="6" s="1"/>
  <c r="D181" i="6"/>
  <c r="D66" i="6"/>
  <c r="D76" i="6"/>
  <c r="J56" i="6"/>
  <c r="J96" i="7"/>
  <c r="D68" i="6"/>
  <c r="D101" i="6"/>
  <c r="D99" i="6"/>
  <c r="D100" i="6"/>
  <c r="D65" i="6"/>
  <c r="D64" i="6"/>
  <c r="D67" i="6"/>
  <c r="E10" i="5"/>
  <c r="E12" i="5" s="1"/>
  <c r="E67" i="6"/>
  <c r="E68" i="6"/>
  <c r="E100" i="6"/>
  <c r="E101" i="6"/>
  <c r="E181" i="6"/>
  <c r="E99" i="6"/>
  <c r="E66" i="6"/>
  <c r="E76" i="6"/>
  <c r="E64" i="6"/>
  <c r="E65" i="6"/>
  <c r="K96" i="7"/>
  <c r="AB10" i="5"/>
  <c r="AB68" i="6"/>
  <c r="AB76" i="6"/>
  <c r="AB190" i="5"/>
  <c r="AB64" i="6"/>
  <c r="AB66" i="6"/>
  <c r="AB56" i="6"/>
  <c r="AB181" i="6"/>
  <c r="AB67" i="6"/>
  <c r="AH190" i="5"/>
  <c r="AH56" i="6"/>
  <c r="AB65" i="6"/>
  <c r="AY77" i="6"/>
  <c r="DH16" i="7"/>
  <c r="AJ173" i="5"/>
  <c r="S59" i="5"/>
  <c r="AG129" i="6"/>
  <c r="W48" i="5"/>
  <c r="W49" i="5" s="1"/>
  <c r="AS73" i="5"/>
  <c r="C76" i="6"/>
  <c r="C69" i="6" s="1"/>
  <c r="C181" i="6"/>
  <c r="AQ46" i="5"/>
  <c r="AQ47" i="5" s="1"/>
  <c r="AV90" i="6"/>
  <c r="AV136" i="6" s="1"/>
  <c r="G67" i="6"/>
  <c r="DD16" i="7"/>
  <c r="X181" i="6"/>
  <c r="X65" i="6"/>
  <c r="AH17" i="7"/>
  <c r="AP13" i="5"/>
  <c r="AP74" i="5" s="1"/>
  <c r="AP86" i="5"/>
  <c r="AP84" i="5"/>
  <c r="AP88" i="5"/>
  <c r="BB107" i="5"/>
  <c r="BB14" i="5"/>
  <c r="J73" i="5"/>
  <c r="J149" i="10"/>
  <c r="J157" i="5"/>
  <c r="J191" i="5" s="1"/>
  <c r="J19" i="6"/>
  <c r="J102" i="10"/>
  <c r="AP171" i="5"/>
  <c r="AP202" i="5"/>
  <c r="M63" i="5"/>
  <c r="M72" i="5"/>
  <c r="AK39" i="6"/>
  <c r="AE37" i="6"/>
  <c r="AB130" i="6"/>
  <c r="AB82" i="6"/>
  <c r="AB96" i="6"/>
  <c r="AC173" i="5"/>
  <c r="L67" i="6"/>
  <c r="L56" i="6"/>
  <c r="L100" i="6"/>
  <c r="L76" i="6"/>
  <c r="L65" i="6"/>
  <c r="L64" i="6"/>
  <c r="L101" i="6"/>
  <c r="R56" i="6"/>
  <c r="L68" i="6"/>
  <c r="L181" i="6"/>
  <c r="L66" i="6"/>
  <c r="BK70" i="5"/>
  <c r="BK54" i="5" s="1"/>
  <c r="AZ57" i="6"/>
  <c r="AZ17" i="7" s="1"/>
  <c r="AZ21" i="7" s="1"/>
  <c r="AZ38" i="7" s="1"/>
  <c r="W96" i="7"/>
  <c r="AT10" i="7"/>
  <c r="AT89" i="7" s="1"/>
  <c r="W40" i="5"/>
  <c r="AG100" i="7"/>
  <c r="CX9" i="7"/>
  <c r="AS40" i="13"/>
  <c r="AC38" i="13"/>
  <c r="AA23" i="13"/>
  <c r="AY36" i="13"/>
  <c r="U37" i="13"/>
  <c r="AV162" i="10"/>
  <c r="AV169" i="10" s="1"/>
  <c r="AA40" i="13"/>
  <c r="BE36" i="13"/>
  <c r="AG36" i="13"/>
  <c r="BB11" i="11"/>
  <c r="BG94" i="10"/>
  <c r="BG23" i="11"/>
  <c r="BC10" i="11"/>
  <c r="BG11" i="11"/>
  <c r="BI17" i="11"/>
  <c r="BH44" i="11"/>
  <c r="BI44" i="11" s="1"/>
  <c r="AP59" i="11"/>
  <c r="AQ59" i="11" s="1"/>
  <c r="BH15" i="11"/>
  <c r="BI15" i="11" s="1"/>
  <c r="BI34" i="10"/>
  <c r="BI35" i="10"/>
  <c r="BB53" i="11"/>
  <c r="BA107" i="11"/>
  <c r="BA106" i="11" s="1"/>
  <c r="X54" i="11"/>
  <c r="Y54" i="11" s="1"/>
  <c r="BI13" i="11"/>
  <c r="BB23" i="11"/>
  <c r="AS81" i="11"/>
  <c r="BI55" i="11"/>
  <c r="BI61" i="11"/>
  <c r="BI19" i="10"/>
  <c r="BH16" i="11"/>
  <c r="BI16" i="11" s="1"/>
  <c r="BI20" i="11"/>
  <c r="BI22" i="11"/>
  <c r="BH40" i="11"/>
  <c r="BI103" i="10"/>
  <c r="BI46" i="11"/>
  <c r="BH8" i="11"/>
  <c r="BH19" i="11"/>
  <c r="BI19" i="11" s="1"/>
  <c r="BI21" i="11"/>
  <c r="BH37" i="11"/>
  <c r="BI10" i="10"/>
  <c r="BH41" i="11"/>
  <c r="BI41" i="11" s="1"/>
  <c r="BI43" i="11"/>
  <c r="BI45" i="11"/>
  <c r="BI48" i="11"/>
  <c r="BH63" i="11"/>
  <c r="BH69" i="11"/>
  <c r="BI36" i="11"/>
  <c r="R36" i="11"/>
  <c r="Q101" i="10"/>
  <c r="Q102" i="10" s="1"/>
  <c r="BI39" i="11"/>
  <c r="O77" i="6"/>
  <c r="O69" i="6"/>
  <c r="O107" i="5"/>
  <c r="O73" i="5"/>
  <c r="O157" i="5"/>
  <c r="O191" i="5" s="1"/>
  <c r="O90" i="5"/>
  <c r="AQ34" i="6"/>
  <c r="AQ9" i="7" s="1"/>
  <c r="AQ88" i="7" s="1"/>
  <c r="AD57" i="6"/>
  <c r="AM17" i="7"/>
  <c r="AS88" i="7"/>
  <c r="AQ23" i="6"/>
  <c r="AQ7" i="7" s="1"/>
  <c r="AQ86" i="7" s="1"/>
  <c r="AW34" i="6"/>
  <c r="AW9" i="7" s="1"/>
  <c r="AW88" i="7" s="1"/>
  <c r="BC101" i="7" s="1"/>
  <c r="AD17" i="7"/>
  <c r="BK58" i="6"/>
  <c r="BK24" i="7" s="1"/>
  <c r="D13" i="5"/>
  <c r="AH73" i="5"/>
  <c r="AN189" i="5"/>
  <c r="AQ162" i="6"/>
  <c r="W89" i="7"/>
  <c r="AC102" i="7" s="1"/>
  <c r="AS136" i="6"/>
  <c r="BA57" i="6"/>
  <c r="BA17" i="7" s="1"/>
  <c r="BA21" i="7" s="1"/>
  <c r="AI48" i="5"/>
  <c r="AI49" i="5" s="1"/>
  <c r="AG47" i="5"/>
  <c r="AK46" i="5"/>
  <c r="AK47" i="5" s="1"/>
  <c r="AH129" i="6"/>
  <c r="AN129" i="6"/>
  <c r="AH95" i="6"/>
  <c r="AM203" i="5"/>
  <c r="AM174" i="5" s="1"/>
  <c r="AM196" i="5"/>
  <c r="AM195" i="5"/>
  <c r="AM162" i="5"/>
  <c r="AM87" i="7"/>
  <c r="AV89" i="7"/>
  <c r="DA10" i="7"/>
  <c r="AN8" i="7"/>
  <c r="AN17" i="7"/>
  <c r="AN21" i="7" s="1"/>
  <c r="AO87" i="7"/>
  <c r="AU38" i="6"/>
  <c r="AU10" i="7" s="1"/>
  <c r="CZ10" i="7" s="1"/>
  <c r="AG169" i="6"/>
  <c r="AI169" i="6"/>
  <c r="AA136" i="6"/>
  <c r="AJ86" i="7"/>
  <c r="AM86" i="7"/>
  <c r="DI45" i="7"/>
  <c r="BH79" i="7"/>
  <c r="DI61" i="7" s="1"/>
  <c r="AG99" i="7"/>
  <c r="AK24" i="7"/>
  <c r="AK58" i="6" s="1"/>
  <c r="AE68" i="6"/>
  <c r="AE65" i="6"/>
  <c r="W169" i="6"/>
  <c r="DH11" i="7"/>
  <c r="AQ185" i="5"/>
  <c r="AK71" i="5"/>
  <c r="Q107" i="5"/>
  <c r="Q73" i="5"/>
  <c r="Q19" i="6"/>
  <c r="Q149" i="10"/>
  <c r="Q74" i="5"/>
  <c r="Q157" i="5"/>
  <c r="Q191" i="5" s="1"/>
  <c r="Q91" i="5"/>
  <c r="Q90" i="5"/>
  <c r="AC157" i="5"/>
  <c r="AC191" i="5" s="1"/>
  <c r="AC107" i="5"/>
  <c r="AC74" i="5"/>
  <c r="AI23" i="7"/>
  <c r="AC149" i="10"/>
  <c r="AC90" i="5"/>
  <c r="AC73" i="5"/>
  <c r="AC19" i="6"/>
  <c r="AC87" i="7"/>
  <c r="CQ9" i="7"/>
  <c r="AH88" i="7"/>
  <c r="AW10" i="5"/>
  <c r="S46" i="5"/>
  <c r="S47" i="5" s="1"/>
  <c r="AE168" i="6"/>
  <c r="AE101" i="7"/>
  <c r="BG213" i="5"/>
  <c r="BG186" i="5"/>
  <c r="BG187" i="5"/>
  <c r="AU201" i="5"/>
  <c r="AU171" i="5"/>
  <c r="BE14" i="6"/>
  <c r="BK92" i="7" s="1"/>
  <c r="BK105" i="7" s="1"/>
  <c r="AY16" i="6"/>
  <c r="BL58" i="6"/>
  <c r="BL24" i="7" s="1"/>
  <c r="U10" i="5"/>
  <c r="U74" i="5" s="1"/>
  <c r="U65" i="6"/>
  <c r="AA17" i="7"/>
  <c r="AA21" i="7" s="1"/>
  <c r="AA57" i="6"/>
  <c r="U64" i="6"/>
  <c r="U68" i="6"/>
  <c r="AA56" i="6"/>
  <c r="U56" i="6"/>
  <c r="U76" i="6"/>
  <c r="U67" i="6"/>
  <c r="U66" i="6"/>
  <c r="Y42" i="5"/>
  <c r="Y43" i="5" s="1"/>
  <c r="V48" i="5"/>
  <c r="V49" i="5" s="1"/>
  <c r="AC47" i="5"/>
  <c r="AE46" i="5"/>
  <c r="AE47" i="5" s="1"/>
  <c r="AK84" i="6"/>
  <c r="AK107" i="6" s="1"/>
  <c r="AM130" i="6"/>
  <c r="AG130" i="6"/>
  <c r="AG96" i="6"/>
  <c r="AM142" i="6" s="1"/>
  <c r="AQ153" i="5"/>
  <c r="AW37" i="6"/>
  <c r="AQ37" i="6"/>
  <c r="AO143" i="6"/>
  <c r="AO101" i="6"/>
  <c r="U86" i="7"/>
  <c r="AI87" i="7"/>
  <c r="AT136" i="6"/>
  <c r="AT98" i="6"/>
  <c r="AT113" i="6" s="1"/>
  <c r="DC12" i="7"/>
  <c r="AI100" i="6"/>
  <c r="AJ99" i="6"/>
  <c r="AP141" i="6"/>
  <c r="S89" i="7"/>
  <c r="M18" i="6"/>
  <c r="AU143" i="6"/>
  <c r="AD101" i="6"/>
  <c r="AD143" i="6"/>
  <c r="AQ97" i="6"/>
  <c r="AI86" i="7"/>
  <c r="BE77" i="6"/>
  <c r="BI76" i="6"/>
  <c r="BI69" i="6" s="1"/>
  <c r="BI72" i="6"/>
  <c r="BI65" i="6" s="1"/>
  <c r="BE73" i="10"/>
  <c r="BE105" i="10"/>
  <c r="BE149" i="10"/>
  <c r="BK41" i="6"/>
  <c r="G43" i="5"/>
  <c r="I10" i="5"/>
  <c r="I64" i="6"/>
  <c r="I100" i="6"/>
  <c r="I99" i="6"/>
  <c r="I68" i="6"/>
  <c r="I181" i="6"/>
  <c r="I66" i="6"/>
  <c r="I65" i="6"/>
  <c r="I56" i="6"/>
  <c r="I67" i="6"/>
  <c r="I101" i="6"/>
  <c r="I76" i="6"/>
  <c r="O56" i="6"/>
  <c r="AQ176" i="6"/>
  <c r="AW163" i="6"/>
  <c r="AQ163" i="6"/>
  <c r="AW69" i="5"/>
  <c r="AW72" i="5"/>
  <c r="AM202" i="5"/>
  <c r="AM201" i="5"/>
  <c r="AM170" i="5"/>
  <c r="AM171" i="5"/>
  <c r="AZ145" i="5"/>
  <c r="AZ53" i="5"/>
  <c r="AZ56" i="5"/>
  <c r="AZ11" i="5" s="1"/>
  <c r="AZ41" i="5" s="1"/>
  <c r="BC84" i="5"/>
  <c r="BC89" i="5"/>
  <c r="BA179" i="5"/>
  <c r="BA207" i="5"/>
  <c r="BA146" i="5"/>
  <c r="BA156" i="5" s="1"/>
  <c r="BA56" i="5"/>
  <c r="BA11" i="5" s="1"/>
  <c r="BA55" i="5"/>
  <c r="AI17" i="7"/>
  <c r="AI21" i="7" s="1"/>
  <c r="AO142" i="6"/>
  <c r="F56" i="5"/>
  <c r="F11" i="5" s="1"/>
  <c r="V56" i="5"/>
  <c r="V11" i="5" s="1"/>
  <c r="V15" i="5" s="1"/>
  <c r="V19" i="5" s="1"/>
  <c r="AH15" i="5"/>
  <c r="AH19" i="5" s="1"/>
  <c r="AO56" i="5"/>
  <c r="AO11" i="5" s="1"/>
  <c r="P56" i="5"/>
  <c r="P11" i="5" s="1"/>
  <c r="P15" i="5" s="1"/>
  <c r="P124" i="5" s="1"/>
  <c r="AC56" i="5"/>
  <c r="AC11" i="5" s="1"/>
  <c r="AS189" i="5"/>
  <c r="BI100" i="5"/>
  <c r="BI101" i="5" s="1"/>
  <c r="AD129" i="6"/>
  <c r="AH77" i="6"/>
  <c r="AH78" i="6" s="1"/>
  <c r="BC13" i="5"/>
  <c r="U189" i="5"/>
  <c r="BE208" i="5"/>
  <c r="AP136" i="6"/>
  <c r="AJ143" i="6"/>
  <c r="AW181" i="5"/>
  <c r="AN98" i="6"/>
  <c r="AN109" i="6" s="1"/>
  <c r="M22" i="6"/>
  <c r="M37" i="6" s="1"/>
  <c r="AE139" i="6"/>
  <c r="BB53" i="5"/>
  <c r="BC206" i="5"/>
  <c r="BC179" i="5" s="1"/>
  <c r="AV100" i="6"/>
  <c r="AO94" i="6"/>
  <c r="AU140" i="6" s="1"/>
  <c r="BC46" i="6"/>
  <c r="BC12" i="7" s="1"/>
  <c r="BC91" i="7" s="1"/>
  <c r="G65" i="6"/>
  <c r="G68" i="6"/>
  <c r="G181" i="6"/>
  <c r="BE102" i="10"/>
  <c r="AI19" i="6"/>
  <c r="AI149" i="10"/>
  <c r="AI39" i="5"/>
  <c r="AI22" i="7" s="1"/>
  <c r="AO24" i="7"/>
  <c r="AO58" i="6" s="1"/>
  <c r="AN169" i="6"/>
  <c r="AD66" i="6"/>
  <c r="AD189" i="5"/>
  <c r="AJ17" i="7"/>
  <c r="AJ21" i="7" s="1"/>
  <c r="AD67" i="6"/>
  <c r="AH149" i="10"/>
  <c r="AH74" i="5"/>
  <c r="S168" i="6"/>
  <c r="AN48" i="5"/>
  <c r="AN49" i="5" s="1"/>
  <c r="AN173" i="5"/>
  <c r="AN65" i="5"/>
  <c r="AM38" i="6"/>
  <c r="AM10" i="7" s="1"/>
  <c r="AM129" i="6"/>
  <c r="AG95" i="6"/>
  <c r="AK83" i="6"/>
  <c r="AK153" i="5"/>
  <c r="AK37" i="6"/>
  <c r="AO38" i="6"/>
  <c r="AO10" i="7" s="1"/>
  <c r="AK56" i="6"/>
  <c r="AQ56" i="6"/>
  <c r="AE99" i="7"/>
  <c r="W87" i="7"/>
  <c r="AC101" i="7"/>
  <c r="BB179" i="5"/>
  <c r="BB207" i="5"/>
  <c r="AW48" i="5"/>
  <c r="AW49" i="5" s="1"/>
  <c r="AW65" i="5"/>
  <c r="BB183" i="5"/>
  <c r="BH182" i="5"/>
  <c r="BB210" i="5"/>
  <c r="AK181" i="6"/>
  <c r="AK168" i="6"/>
  <c r="AQ168" i="6"/>
  <c r="BF29" i="7"/>
  <c r="AT173" i="5"/>
  <c r="U181" i="6"/>
  <c r="S22" i="6"/>
  <c r="S37" i="6" s="1"/>
  <c r="BE19" i="6"/>
  <c r="C101" i="6"/>
  <c r="C67" i="6"/>
  <c r="C66" i="6"/>
  <c r="G59" i="5"/>
  <c r="G72" i="5"/>
  <c r="DB45" i="7"/>
  <c r="BE79" i="7"/>
  <c r="DF61" i="7" s="1"/>
  <c r="AK8" i="7"/>
  <c r="AK87" i="7" s="1"/>
  <c r="AK100" i="7" s="1"/>
  <c r="AK17" i="7"/>
  <c r="AK21" i="7" s="1"/>
  <c r="AK164" i="6"/>
  <c r="AK177" i="6"/>
  <c r="AI94" i="6"/>
  <c r="AQ90" i="6"/>
  <c r="AQ115" i="6"/>
  <c r="AV142" i="6"/>
  <c r="AW96" i="6"/>
  <c r="AV94" i="6"/>
  <c r="AV140" i="6" s="1"/>
  <c r="AK93" i="5"/>
  <c r="AK98" i="5"/>
  <c r="AK99" i="5" s="1"/>
  <c r="AZ183" i="5"/>
  <c r="BF182" i="5"/>
  <c r="AZ210" i="5"/>
  <c r="BF211" i="5"/>
  <c r="BA169" i="6"/>
  <c r="Y168" i="6"/>
  <c r="AT169" i="6"/>
  <c r="AQ39" i="6"/>
  <c r="AT56" i="5"/>
  <c r="AI98" i="6"/>
  <c r="AI101" i="7"/>
  <c r="AH113" i="7"/>
  <c r="AH117" i="7" s="1"/>
  <c r="AU13" i="5"/>
  <c r="AU74" i="5" s="1"/>
  <c r="AI189" i="5"/>
  <c r="AI73" i="5"/>
  <c r="BG206" i="5"/>
  <c r="BI206" i="5" s="1"/>
  <c r="BG144" i="5"/>
  <c r="AI175" i="5"/>
  <c r="AI204" i="5"/>
  <c r="BH179" i="5"/>
  <c r="BH178" i="5"/>
  <c r="BH207" i="5"/>
  <c r="BH208" i="5"/>
  <c r="AO174" i="5"/>
  <c r="AU205" i="5"/>
  <c r="AO205" i="5"/>
  <c r="AU174" i="5"/>
  <c r="AO175" i="5"/>
  <c r="AO204" i="5"/>
  <c r="BI89" i="5"/>
  <c r="AI13" i="5"/>
  <c r="AI86" i="5"/>
  <c r="AI90" i="5"/>
  <c r="BF13" i="5"/>
  <c r="BF90" i="5"/>
  <c r="I13" i="5"/>
  <c r="AI106" i="5"/>
  <c r="X56" i="5"/>
  <c r="X11" i="5" s="1"/>
  <c r="CA131" i="5"/>
  <c r="R14" i="5"/>
  <c r="R107" i="5"/>
  <c r="AK157" i="5"/>
  <c r="AK191" i="5" s="1"/>
  <c r="AK190" i="5"/>
  <c r="G124" i="10"/>
  <c r="G125" i="10" s="1"/>
  <c r="X8" i="7"/>
  <c r="U38" i="13"/>
  <c r="AK107" i="11"/>
  <c r="BE190" i="10"/>
  <c r="BC190" i="10"/>
  <c r="AJ86" i="10"/>
  <c r="AJ19" i="6"/>
  <c r="AP23" i="7"/>
  <c r="AJ149" i="10"/>
  <c r="AJ73" i="10"/>
  <c r="AJ90" i="5"/>
  <c r="AB45" i="5"/>
  <c r="AB48" i="5"/>
  <c r="AB49" i="5" s="1"/>
  <c r="AO13" i="5"/>
  <c r="AO90" i="5"/>
  <c r="AV144" i="10"/>
  <c r="AU143" i="10"/>
  <c r="AU114" i="5" s="1"/>
  <c r="AU144" i="10"/>
  <c r="BC74" i="6"/>
  <c r="BC67" i="6" s="1"/>
  <c r="AH190" i="10"/>
  <c r="AI190" i="10"/>
  <c r="AH101" i="5"/>
  <c r="AK70" i="10"/>
  <c r="AK67" i="10"/>
  <c r="AK23" i="10"/>
  <c r="U169" i="6"/>
  <c r="O169" i="6"/>
  <c r="BG46" i="10"/>
  <c r="BG47" i="10" s="1"/>
  <c r="R145" i="6"/>
  <c r="Y107" i="11"/>
  <c r="Y106" i="11" s="1"/>
  <c r="AA65" i="5"/>
  <c r="AA173" i="5"/>
  <c r="AU124" i="10"/>
  <c r="BU131" i="5"/>
  <c r="AS29" i="5"/>
  <c r="AW126" i="5"/>
  <c r="AG40" i="13"/>
  <c r="G195" i="5"/>
  <c r="G203" i="5"/>
  <c r="G204" i="5" s="1"/>
  <c r="G163" i="5"/>
  <c r="Y167" i="5"/>
  <c r="Y198" i="5"/>
  <c r="Y166" i="5"/>
  <c r="Y203" i="5"/>
  <c r="Y199" i="5"/>
  <c r="BF64" i="10"/>
  <c r="BF46" i="10"/>
  <c r="BF47" i="10" s="1"/>
  <c r="W204" i="10"/>
  <c r="V204" i="10"/>
  <c r="AD204" i="10"/>
  <c r="M69" i="11"/>
  <c r="X14" i="5"/>
  <c r="AK127" i="5"/>
  <c r="AQ10" i="5"/>
  <c r="AM149" i="10"/>
  <c r="AM102" i="10"/>
  <c r="AM19" i="6"/>
  <c r="AM39" i="5"/>
  <c r="AM22" i="7" s="1"/>
  <c r="AS24" i="7"/>
  <c r="AS58" i="6" s="1"/>
  <c r="AS39" i="5"/>
  <c r="AS22" i="7" s="1"/>
  <c r="AN13" i="5"/>
  <c r="AN106" i="5"/>
  <c r="AN90" i="5"/>
  <c r="AU75" i="7"/>
  <c r="AU70" i="7"/>
  <c r="AU71" i="7"/>
  <c r="AU72" i="7"/>
  <c r="AU73" i="7"/>
  <c r="AU74" i="7"/>
  <c r="AV116" i="10"/>
  <c r="AV118" i="10" s="1"/>
  <c r="AV41" i="5"/>
  <c r="AV39" i="5"/>
  <c r="AV86" i="10"/>
  <c r="AV73" i="10"/>
  <c r="AV76" i="10" s="1"/>
  <c r="AV149" i="10"/>
  <c r="AV19" i="6"/>
  <c r="AV12" i="5"/>
  <c r="BB39" i="5"/>
  <c r="AV70" i="10"/>
  <c r="AV67" i="10"/>
  <c r="AV23" i="10"/>
  <c r="AZ31" i="11"/>
  <c r="AY86" i="10"/>
  <c r="BE86" i="10" s="1"/>
  <c r="AY105" i="10"/>
  <c r="BC10" i="5"/>
  <c r="AY90" i="5"/>
  <c r="AY73" i="10"/>
  <c r="AY73" i="5"/>
  <c r="AY19" i="6"/>
  <c r="AY102" i="10"/>
  <c r="AY149" i="10"/>
  <c r="BE39" i="5"/>
  <c r="AY107" i="5"/>
  <c r="AY39" i="5"/>
  <c r="AY22" i="7" s="1"/>
  <c r="BI73" i="6"/>
  <c r="BI66" i="6" s="1"/>
  <c r="DC45" i="7"/>
  <c r="V190" i="10"/>
  <c r="AA36" i="13"/>
  <c r="AK45" i="10"/>
  <c r="AK209" i="10" s="1"/>
  <c r="BA210" i="5"/>
  <c r="BA183" i="5"/>
  <c r="BC209" i="5"/>
  <c r="BG182" i="5"/>
  <c r="BA215" i="5"/>
  <c r="AH43" i="11"/>
  <c r="AG51" i="10"/>
  <c r="J13" i="5"/>
  <c r="M89" i="5"/>
  <c r="J90" i="5"/>
  <c r="Y13" i="5"/>
  <c r="U114" i="7"/>
  <c r="U48" i="5"/>
  <c r="U49" i="5" s="1"/>
  <c r="Y44" i="5"/>
  <c r="Y45" i="5" s="1"/>
  <c r="U45" i="5"/>
  <c r="AB173" i="5"/>
  <c r="AH173" i="5"/>
  <c r="AB65" i="5"/>
  <c r="BE64" i="10"/>
  <c r="BE46" i="10"/>
  <c r="BE47" i="10" s="1"/>
  <c r="AW45" i="10"/>
  <c r="AW209" i="10" s="1"/>
  <c r="AC174" i="5"/>
  <c r="AC205" i="5"/>
  <c r="AC204" i="5"/>
  <c r="AC175" i="5"/>
  <c r="AI174" i="5"/>
  <c r="AK201" i="5"/>
  <c r="AK171" i="5"/>
  <c r="J219" i="5"/>
  <c r="J152" i="10" s="1"/>
  <c r="J226" i="5"/>
  <c r="J196" i="10" s="1"/>
  <c r="Q70" i="6"/>
  <c r="Q6" i="7"/>
  <c r="AD88" i="7"/>
  <c r="AK138" i="6"/>
  <c r="AV77" i="6"/>
  <c r="V159" i="10"/>
  <c r="V107" i="10"/>
  <c r="AU102" i="10"/>
  <c r="AV102" i="10" s="1"/>
  <c r="AV101" i="10" s="1"/>
  <c r="BI59" i="6"/>
  <c r="BC56" i="6"/>
  <c r="BI56" i="6"/>
  <c r="AN195" i="5"/>
  <c r="AQ194" i="5"/>
  <c r="AN163" i="5"/>
  <c r="AN196" i="5"/>
  <c r="AN162" i="5"/>
  <c r="BO37" i="10"/>
  <c r="BO208" i="10" s="1"/>
  <c r="AG77" i="6"/>
  <c r="AM59" i="6"/>
  <c r="AV90" i="5"/>
  <c r="AU166" i="10"/>
  <c r="AU167" i="10" s="1"/>
  <c r="AU22" i="11"/>
  <c r="AW22" i="11" s="1"/>
  <c r="AU36" i="10"/>
  <c r="AW23" i="13"/>
  <c r="AX38" i="13"/>
  <c r="BE56" i="5"/>
  <c r="BE11" i="5" s="1"/>
  <c r="BE144" i="5"/>
  <c r="BI50" i="5"/>
  <c r="BE51" i="5"/>
  <c r="Z38" i="13"/>
  <c r="Z23" i="13"/>
  <c r="AG20" i="13"/>
  <c r="AG22" i="13" s="1"/>
  <c r="AI37" i="13"/>
  <c r="AG136" i="6"/>
  <c r="AM136" i="6"/>
  <c r="AS200" i="5"/>
  <c r="X39" i="6"/>
  <c r="L114" i="7"/>
  <c r="L118" i="7" s="1"/>
  <c r="AT71" i="7"/>
  <c r="AZ79" i="7" s="1"/>
  <c r="DC61" i="7" s="1"/>
  <c r="AT72" i="7"/>
  <c r="AZ80" i="7" s="1"/>
  <c r="DC62" i="7" s="1"/>
  <c r="AT74" i="7"/>
  <c r="AZ82" i="7" s="1"/>
  <c r="DC64" i="7" s="1"/>
  <c r="AT70" i="7"/>
  <c r="AT75" i="7"/>
  <c r="AT73" i="7"/>
  <c r="AZ81" i="7" s="1"/>
  <c r="DC63" i="7" s="1"/>
  <c r="AN149" i="10"/>
  <c r="AT24" i="7"/>
  <c r="AT58" i="6" s="1"/>
  <c r="AN39" i="5"/>
  <c r="AN22" i="7" s="1"/>
  <c r="AQ76" i="6"/>
  <c r="AQ77" i="6" s="1"/>
  <c r="AQ78" i="6" s="1"/>
  <c r="AM107" i="10"/>
  <c r="AM159" i="10"/>
  <c r="BC103" i="5"/>
  <c r="BC106" i="5"/>
  <c r="AC99" i="7"/>
  <c r="AQ165" i="5"/>
  <c r="AQ61" i="5"/>
  <c r="BB213" i="5"/>
  <c r="BC212" i="5"/>
  <c r="BB215" i="5"/>
  <c r="BB187" i="5"/>
  <c r="AP47" i="10"/>
  <c r="W146" i="6"/>
  <c r="AN56" i="5"/>
  <c r="AN11" i="5" s="1"/>
  <c r="AN12" i="5" s="1"/>
  <c r="AN51" i="5"/>
  <c r="AQ50" i="5"/>
  <c r="AG56" i="5"/>
  <c r="AG11" i="5" s="1"/>
  <c r="AG12" i="5" s="1"/>
  <c r="AG51" i="5"/>
  <c r="AK50" i="5"/>
  <c r="AT68" i="10"/>
  <c r="AT36" i="10"/>
  <c r="AT69" i="10"/>
  <c r="BC101" i="6"/>
  <c r="BI147" i="6" s="1"/>
  <c r="AZ147" i="6"/>
  <c r="AZ102" i="6"/>
  <c r="AH103" i="5"/>
  <c r="Y147" i="5"/>
  <c r="AA190" i="5"/>
  <c r="U190" i="5"/>
  <c r="BO54" i="11"/>
  <c r="E13" i="5"/>
  <c r="K10" i="5"/>
  <c r="K19" i="6" s="1"/>
  <c r="K99" i="6"/>
  <c r="K66" i="6"/>
  <c r="K181" i="6"/>
  <c r="K76" i="6"/>
  <c r="K64" i="6"/>
  <c r="K68" i="6"/>
  <c r="K100" i="6"/>
  <c r="Q56" i="6"/>
  <c r="K65" i="6"/>
  <c r="K101" i="6"/>
  <c r="K67" i="6"/>
  <c r="K56" i="6"/>
  <c r="AA114" i="7"/>
  <c r="AE13" i="5"/>
  <c r="AG114" i="7"/>
  <c r="AD56" i="5"/>
  <c r="AD11" i="5" s="1"/>
  <c r="AD36" i="11"/>
  <c r="AV24" i="7"/>
  <c r="AP90" i="5"/>
  <c r="AP73" i="5"/>
  <c r="AP73" i="10"/>
  <c r="AP86" i="10"/>
  <c r="AP39" i="5"/>
  <c r="AP22" i="7" s="1"/>
  <c r="AP149" i="10"/>
  <c r="AP19" i="6"/>
  <c r="AN22" i="11"/>
  <c r="AN166" i="10"/>
  <c r="AV29" i="5"/>
  <c r="AU118" i="10"/>
  <c r="BI104" i="5"/>
  <c r="BI105" i="5" s="1"/>
  <c r="BF212" i="5"/>
  <c r="BF146" i="5"/>
  <c r="BF156" i="5" s="1"/>
  <c r="AI22" i="11"/>
  <c r="AJ22" i="11"/>
  <c r="AI166" i="10"/>
  <c r="V124" i="10"/>
  <c r="W122" i="10"/>
  <c r="W124" i="10" s="1"/>
  <c r="Y59" i="11"/>
  <c r="AM77" i="6"/>
  <c r="AO149" i="10"/>
  <c r="AO19" i="6"/>
  <c r="AU24" i="7"/>
  <c r="AU58" i="6" s="1"/>
  <c r="AO39" i="5"/>
  <c r="AO22" i="7" s="1"/>
  <c r="AU189" i="5"/>
  <c r="AO189" i="5"/>
  <c r="AO106" i="5"/>
  <c r="AO73" i="5"/>
  <c r="AV106" i="5"/>
  <c r="AV189" i="5"/>
  <c r="AV73" i="5"/>
  <c r="BC36" i="11"/>
  <c r="BB101" i="10"/>
  <c r="BI23" i="13"/>
  <c r="BI38" i="13"/>
  <c r="BC73" i="6"/>
  <c r="BC66" i="6" s="1"/>
  <c r="BG73" i="10"/>
  <c r="BG86" i="10"/>
  <c r="BI10" i="5"/>
  <c r="BG105" i="10"/>
  <c r="BG73" i="5"/>
  <c r="BG149" i="10"/>
  <c r="BG39" i="5"/>
  <c r="BG19" i="6"/>
  <c r="BG102" i="10"/>
  <c r="BR127" i="5"/>
  <c r="BS127" i="5" s="1"/>
  <c r="BT127" i="5" s="1"/>
  <c r="BW127" i="5" s="1"/>
  <c r="DC49" i="7"/>
  <c r="BT15" i="13"/>
  <c r="BU15" i="13" s="1"/>
  <c r="BV15" i="13" s="1"/>
  <c r="BW15" i="13" s="1"/>
  <c r="BQ31" i="13"/>
  <c r="AE163" i="5"/>
  <c r="AE196" i="5"/>
  <c r="AE162" i="5"/>
  <c r="AE195" i="5"/>
  <c r="AG204" i="5"/>
  <c r="AG174" i="5"/>
  <c r="AG175" i="5"/>
  <c r="AZ64" i="10"/>
  <c r="AZ46" i="10"/>
  <c r="AZ47" i="10" s="1"/>
  <c r="S13" i="5"/>
  <c r="R114" i="7"/>
  <c r="R74" i="5"/>
  <c r="AE59" i="5"/>
  <c r="AE161" i="5"/>
  <c r="AE72" i="5"/>
  <c r="AI41" i="5"/>
  <c r="AI12" i="5"/>
  <c r="BF106" i="5"/>
  <c r="BG37" i="13"/>
  <c r="BE37" i="13"/>
  <c r="AC136" i="6"/>
  <c r="AI136" i="6"/>
  <c r="AK116" i="6"/>
  <c r="AK139" i="6"/>
  <c r="AQ139" i="6"/>
  <c r="AK59" i="5"/>
  <c r="AK161" i="5"/>
  <c r="AK64" i="5"/>
  <c r="AQ161" i="5"/>
  <c r="S203" i="5"/>
  <c r="S204" i="5" s="1"/>
  <c r="S198" i="5"/>
  <c r="I219" i="5"/>
  <c r="I152" i="10" s="1"/>
  <c r="I226" i="5"/>
  <c r="I196" i="10" s="1"/>
  <c r="K226" i="5"/>
  <c r="K196" i="10" s="1"/>
  <c r="K219" i="5"/>
  <c r="K152" i="10" s="1"/>
  <c r="AW162" i="10"/>
  <c r="R139" i="5"/>
  <c r="R193" i="5"/>
  <c r="R7" i="11"/>
  <c r="R7" i="10"/>
  <c r="R6" i="6"/>
  <c r="T8" i="13"/>
  <c r="AN143" i="6"/>
  <c r="AH143" i="6"/>
  <c r="AH101" i="6"/>
  <c r="S95" i="10"/>
  <c r="AV135" i="10"/>
  <c r="AV137" i="10" s="1"/>
  <c r="AV138" i="10" s="1"/>
  <c r="AV115" i="5" s="1"/>
  <c r="AU137" i="10"/>
  <c r="AU138" i="10" s="1"/>
  <c r="AU115" i="5" s="1"/>
  <c r="AW72" i="6"/>
  <c r="AW65" i="6" s="1"/>
  <c r="AW75" i="6"/>
  <c r="AW68" i="6" s="1"/>
  <c r="AT77" i="6"/>
  <c r="AW76" i="6"/>
  <c r="AW69" i="6" s="1"/>
  <c r="AS90" i="5"/>
  <c r="AS13" i="5"/>
  <c r="AS106" i="5"/>
  <c r="AN99" i="5"/>
  <c r="AQ98" i="5"/>
  <c r="AQ99" i="5" s="1"/>
  <c r="BB190" i="10"/>
  <c r="BB114" i="7"/>
  <c r="AV74" i="5"/>
  <c r="AG37" i="13"/>
  <c r="AC37" i="13"/>
  <c r="AA37" i="13"/>
  <c r="AF23" i="13"/>
  <c r="AF38" i="13"/>
  <c r="AU37" i="13"/>
  <c r="AS37" i="13"/>
  <c r="W99" i="7"/>
  <c r="AH169" i="6"/>
  <c r="AB169" i="6"/>
  <c r="AM98" i="6"/>
  <c r="AM94" i="6"/>
  <c r="BG211" i="5"/>
  <c r="AO159" i="10"/>
  <c r="AO107" i="10"/>
  <c r="AP100" i="10" s="1"/>
  <c r="AB96" i="7"/>
  <c r="AB40" i="5"/>
  <c r="AB34" i="7"/>
  <c r="AS173" i="5"/>
  <c r="AM65" i="5"/>
  <c r="AM48" i="5"/>
  <c r="AQ64" i="5"/>
  <c r="AM173" i="5"/>
  <c r="AG173" i="5"/>
  <c r="V102" i="7"/>
  <c r="U102" i="7"/>
  <c r="W205" i="5"/>
  <c r="AJ55" i="5"/>
  <c r="AJ56" i="5"/>
  <c r="AJ11" i="5" s="1"/>
  <c r="AK54" i="5"/>
  <c r="AK55" i="5" s="1"/>
  <c r="AG106" i="5"/>
  <c r="AG189" i="5"/>
  <c r="AG73" i="5"/>
  <c r="AO75" i="7"/>
  <c r="AO70" i="7"/>
  <c r="AO73" i="7"/>
  <c r="AO72" i="7"/>
  <c r="AO74" i="7"/>
  <c r="AO59" i="6"/>
  <c r="AM160" i="10"/>
  <c r="BA13" i="11"/>
  <c r="BH51" i="5"/>
  <c r="BH144" i="5"/>
  <c r="AZ105" i="10"/>
  <c r="AZ73" i="10"/>
  <c r="AZ39" i="5"/>
  <c r="AZ22" i="7" s="1"/>
  <c r="AZ74" i="5"/>
  <c r="AZ86" i="10"/>
  <c r="AZ107" i="5"/>
  <c r="AZ90" i="5"/>
  <c r="AZ102" i="10"/>
  <c r="AZ149" i="10"/>
  <c r="BF39" i="5"/>
  <c r="AZ73" i="5"/>
  <c r="AZ19" i="6"/>
  <c r="AZ91" i="5"/>
  <c r="BA14" i="5"/>
  <c r="BA107" i="5"/>
  <c r="AS190" i="10"/>
  <c r="AW190" i="10"/>
  <c r="AH105" i="5"/>
  <c r="U36" i="13"/>
  <c r="U170" i="5"/>
  <c r="U171" i="5"/>
  <c r="Y200" i="5"/>
  <c r="U201" i="5"/>
  <c r="AA202" i="5"/>
  <c r="U215" i="5"/>
  <c r="U216" i="5" s="1"/>
  <c r="U202" i="5"/>
  <c r="AA170" i="5"/>
  <c r="AE203" i="5"/>
  <c r="AE199" i="5"/>
  <c r="AE198" i="5"/>
  <c r="AK166" i="5"/>
  <c r="AE166" i="5"/>
  <c r="AE167" i="5"/>
  <c r="E136" i="10"/>
  <c r="F135" i="10" s="1"/>
  <c r="AC118" i="7"/>
  <c r="AB106" i="11"/>
  <c r="AE107" i="11"/>
  <c r="AQ12" i="11"/>
  <c r="AO22" i="11"/>
  <c r="AP22" i="11"/>
  <c r="AO166" i="10"/>
  <c r="AU12" i="5"/>
  <c r="AU39" i="5"/>
  <c r="AU73" i="10"/>
  <c r="AU76" i="10" s="1"/>
  <c r="AU149" i="10"/>
  <c r="AU41" i="5"/>
  <c r="AU117" i="10"/>
  <c r="AU73" i="5"/>
  <c r="AU19" i="6"/>
  <c r="AU90" i="5"/>
  <c r="AE188" i="10"/>
  <c r="AE189" i="10" s="1"/>
  <c r="AD189" i="10"/>
  <c r="AS23" i="13"/>
  <c r="AE144" i="10"/>
  <c r="AQ144" i="10"/>
  <c r="AV169" i="6"/>
  <c r="P216" i="5"/>
  <c r="V216" i="5"/>
  <c r="M215" i="5"/>
  <c r="M171" i="5"/>
  <c r="M201" i="5"/>
  <c r="O216" i="5"/>
  <c r="AH166" i="10"/>
  <c r="AC22" i="11"/>
  <c r="AC166" i="10"/>
  <c r="AI119" i="10"/>
  <c r="AI161" i="10"/>
  <c r="AH124" i="10"/>
  <c r="AI122" i="10"/>
  <c r="AI124" i="10" s="1"/>
  <c r="AS74" i="7"/>
  <c r="AS70" i="7"/>
  <c r="AS73" i="7"/>
  <c r="AS71" i="7"/>
  <c r="AS72" i="7"/>
  <c r="AS75" i="7"/>
  <c r="AO77" i="6"/>
  <c r="AO36" i="11"/>
  <c r="AN101" i="10"/>
  <c r="DC47" i="7"/>
  <c r="BF81" i="7"/>
  <c r="DG63" i="7" s="1"/>
  <c r="BU5" i="7"/>
  <c r="BQ6" i="10"/>
  <c r="BU6" i="10" s="1"/>
  <c r="AC36" i="13"/>
  <c r="G171" i="5"/>
  <c r="G201" i="5"/>
  <c r="G215" i="5"/>
  <c r="AP190" i="10"/>
  <c r="G101" i="10"/>
  <c r="Y61" i="5"/>
  <c r="Y64" i="5"/>
  <c r="Y165" i="5"/>
  <c r="AE165" i="5"/>
  <c r="AD114" i="7"/>
  <c r="X114" i="7"/>
  <c r="AH189" i="5"/>
  <c r="AB189" i="5"/>
  <c r="AB56" i="5"/>
  <c r="AB11" i="5" s="1"/>
  <c r="AI101" i="10"/>
  <c r="AJ36" i="11"/>
  <c r="AK36" i="11" s="1"/>
  <c r="BG90" i="5"/>
  <c r="AQ190" i="10"/>
  <c r="AM190" i="10"/>
  <c r="AW92" i="10"/>
  <c r="AU98" i="6"/>
  <c r="AU113" i="6" s="1"/>
  <c r="AU136" i="6"/>
  <c r="AJ48" i="5"/>
  <c r="AJ43" i="5"/>
  <c r="AK42" i="5"/>
  <c r="AK43" i="5" s="1"/>
  <c r="AC216" i="5"/>
  <c r="L219" i="5"/>
  <c r="L152" i="10" s="1"/>
  <c r="L226" i="5"/>
  <c r="L196" i="10" s="1"/>
  <c r="X219" i="5"/>
  <c r="X152" i="10" s="1"/>
  <c r="X226" i="5"/>
  <c r="X196" i="10" s="1"/>
  <c r="AW23" i="10"/>
  <c r="AW67" i="10"/>
  <c r="AW70" i="10"/>
  <c r="AC141" i="6"/>
  <c r="AC99" i="6"/>
  <c r="AI141" i="6"/>
  <c r="BG29" i="7"/>
  <c r="DH12" i="7"/>
  <c r="AY91" i="5"/>
  <c r="AD107" i="10"/>
  <c r="AE16" i="10"/>
  <c r="AD159" i="10"/>
  <c r="AU67" i="10"/>
  <c r="AU23" i="10"/>
  <c r="AU70" i="10"/>
  <c r="AT149" i="10"/>
  <c r="AT73" i="5"/>
  <c r="AT41" i="5"/>
  <c r="AT102" i="10"/>
  <c r="AT12" i="5"/>
  <c r="AT117" i="10"/>
  <c r="AT39" i="5"/>
  <c r="AT22" i="7" s="1"/>
  <c r="AT90" i="5"/>
  <c r="AT73" i="10"/>
  <c r="AT76" i="10" s="1"/>
  <c r="AW74" i="6"/>
  <c r="AW67" i="6" s="1"/>
  <c r="AK76" i="6"/>
  <c r="AK77" i="6" s="1"/>
  <c r="AK78" i="6" s="1"/>
  <c r="BH13" i="5"/>
  <c r="BH90" i="5"/>
  <c r="AM37" i="13"/>
  <c r="AM20" i="13"/>
  <c r="AM22" i="13" s="1"/>
  <c r="AS38" i="13" s="1"/>
  <c r="AO37" i="13"/>
  <c r="AS142" i="6"/>
  <c r="AM100" i="6"/>
  <c r="AQ96" i="6"/>
  <c r="AS47" i="5"/>
  <c r="AW46" i="5"/>
  <c r="AW47" i="5" s="1"/>
  <c r="V101" i="6"/>
  <c r="AB143" i="6"/>
  <c r="AH41" i="5"/>
  <c r="AN77" i="6"/>
  <c r="AN73" i="5"/>
  <c r="AN107" i="10"/>
  <c r="AO100" i="10" s="1"/>
  <c r="AN159" i="10"/>
  <c r="BC59" i="6"/>
  <c r="AW157" i="5"/>
  <c r="BC58" i="6"/>
  <c r="BC24" i="7" s="1"/>
  <c r="AW181" i="6"/>
  <c r="AW56" i="6"/>
  <c r="AW190" i="5"/>
  <c r="AH99" i="7"/>
  <c r="AB89" i="7"/>
  <c r="BB64" i="10"/>
  <c r="BB46" i="10"/>
  <c r="BB47" i="10" s="1"/>
  <c r="AE64" i="5"/>
  <c r="AJ77" i="6"/>
  <c r="AC143" i="6"/>
  <c r="AC101" i="6"/>
  <c r="AE97" i="6"/>
  <c r="AI143" i="6"/>
  <c r="AJ190" i="10"/>
  <c r="S107" i="11"/>
  <c r="S106" i="11" s="1"/>
  <c r="AV64" i="11"/>
  <c r="AV67" i="11" s="1"/>
  <c r="AP51" i="5"/>
  <c r="AP56" i="5"/>
  <c r="AP11" i="5" s="1"/>
  <c r="AP189" i="5"/>
  <c r="AJ106" i="5"/>
  <c r="AJ189" i="5"/>
  <c r="AJ73" i="5"/>
  <c r="AM13" i="5"/>
  <c r="AM90" i="5"/>
  <c r="AN160" i="10"/>
  <c r="AU51" i="10"/>
  <c r="BH73" i="5"/>
  <c r="BH12" i="5"/>
  <c r="BH189" i="5"/>
  <c r="AZ77" i="6"/>
  <c r="BC71" i="6"/>
  <c r="BC64" i="6" s="1"/>
  <c r="AD23" i="13"/>
  <c r="AD38" i="13"/>
  <c r="AE38" i="13"/>
  <c r="AQ67" i="10"/>
  <c r="AQ70" i="10"/>
  <c r="O106" i="10"/>
  <c r="AA48" i="5"/>
  <c r="AA49" i="5" s="1"/>
  <c r="AE44" i="5"/>
  <c r="AE45" i="5" s="1"/>
  <c r="AA45" i="5"/>
  <c r="AD122" i="10"/>
  <c r="AD124" i="10" s="1"/>
  <c r="AV51" i="6"/>
  <c r="AV44" i="6"/>
  <c r="AV42" i="6" s="1"/>
  <c r="AV55" i="6"/>
  <c r="AV53" i="6" s="1"/>
  <c r="AV16" i="7" s="1"/>
  <c r="AV95" i="7" s="1"/>
  <c r="AM166" i="10"/>
  <c r="AM22" i="11"/>
  <c r="AU77" i="6"/>
  <c r="BF102" i="10"/>
  <c r="P190" i="10"/>
  <c r="O190" i="10"/>
  <c r="AY40" i="13"/>
  <c r="AE51" i="10"/>
  <c r="BC144" i="10"/>
  <c r="S195" i="5"/>
  <c r="S163" i="5"/>
  <c r="U174" i="5"/>
  <c r="AA174" i="5"/>
  <c r="U175" i="5"/>
  <c r="U204" i="5"/>
  <c r="AA205" i="5"/>
  <c r="U205" i="5"/>
  <c r="Y163" i="5"/>
  <c r="Y196" i="5"/>
  <c r="Y162" i="5"/>
  <c r="Y195" i="5"/>
  <c r="V175" i="5"/>
  <c r="V205" i="5"/>
  <c r="V204" i="5"/>
  <c r="V174" i="5"/>
  <c r="AB166" i="10"/>
  <c r="AG204" i="10"/>
  <c r="AB119" i="10"/>
  <c r="G58" i="11"/>
  <c r="AB117" i="7"/>
  <c r="Y106" i="5"/>
  <c r="Y93" i="5"/>
  <c r="AA56" i="5"/>
  <c r="AA11" i="5" s="1"/>
  <c r="AA15" i="5" s="1"/>
  <c r="AE42" i="5"/>
  <c r="AC122" i="10"/>
  <c r="AC124" i="10" s="1"/>
  <c r="AB124" i="10"/>
  <c r="AM73" i="5"/>
  <c r="AM189" i="5"/>
  <c r="AM106" i="5"/>
  <c r="AQ54" i="5"/>
  <c r="AQ55" i="5" s="1"/>
  <c r="AP55" i="5"/>
  <c r="BK21" i="13"/>
  <c r="BO131" i="5"/>
  <c r="DC46" i="7"/>
  <c r="DC48" i="7"/>
  <c r="BC51" i="10"/>
  <c r="AW143" i="10"/>
  <c r="AW114" i="5" s="1"/>
  <c r="AY29" i="5"/>
  <c r="BC126" i="5"/>
  <c r="AB174" i="5"/>
  <c r="AB204" i="5"/>
  <c r="AB205" i="5"/>
  <c r="AB175" i="5"/>
  <c r="AK203" i="5"/>
  <c r="AK163" i="5"/>
  <c r="AK162" i="5"/>
  <c r="AK195" i="5"/>
  <c r="BF207" i="5"/>
  <c r="BF208" i="5"/>
  <c r="BF179" i="5"/>
  <c r="BF178" i="5"/>
  <c r="BG74" i="5"/>
  <c r="BG114" i="7"/>
  <c r="DF16" i="7"/>
  <c r="BE33" i="7"/>
  <c r="BE13" i="5"/>
  <c r="BE90" i="5"/>
  <c r="BE20" i="13"/>
  <c r="BE22" i="13" s="1"/>
  <c r="AQ45" i="10"/>
  <c r="M190" i="10"/>
  <c r="Y8" i="7"/>
  <c r="Y87" i="7" s="1"/>
  <c r="Y38" i="6"/>
  <c r="Y10" i="7" s="1"/>
  <c r="Y89" i="7" s="1"/>
  <c r="AE115" i="6"/>
  <c r="AE138" i="6"/>
  <c r="AW139" i="6"/>
  <c r="AT205" i="5"/>
  <c r="AN204" i="5"/>
  <c r="AN175" i="5"/>
  <c r="AN174" i="5"/>
  <c r="AN205" i="5"/>
  <c r="AT174" i="5"/>
  <c r="V226" i="5"/>
  <c r="V196" i="10" s="1"/>
  <c r="V219" i="5"/>
  <c r="V152" i="10" s="1"/>
  <c r="AY74" i="5"/>
  <c r="W107" i="10"/>
  <c r="W159" i="10"/>
  <c r="S69" i="11"/>
  <c r="V102" i="10"/>
  <c r="AT191" i="5"/>
  <c r="AC52" i="10"/>
  <c r="AK10" i="5"/>
  <c r="AG102" i="10"/>
  <c r="AG90" i="5"/>
  <c r="AM24" i="7"/>
  <c r="AM58" i="6" s="1"/>
  <c r="AG149" i="10"/>
  <c r="AG74" i="5"/>
  <c r="AG19" i="6"/>
  <c r="CZ16" i="7"/>
  <c r="BA33" i="7"/>
  <c r="BA39" i="5"/>
  <c r="BA22" i="7" s="1"/>
  <c r="U20" i="13"/>
  <c r="U22" i="13" s="1"/>
  <c r="W37" i="13"/>
  <c r="AR23" i="13"/>
  <c r="AR38" i="13"/>
  <c r="AK114" i="6"/>
  <c r="AK137" i="6"/>
  <c r="AQ137" i="6"/>
  <c r="AK90" i="6"/>
  <c r="AW169" i="5"/>
  <c r="AW63" i="5"/>
  <c r="AP147" i="6"/>
  <c r="AT51" i="6"/>
  <c r="AT46" i="6" s="1"/>
  <c r="AT12" i="7" s="1"/>
  <c r="AT91" i="7" s="1"/>
  <c r="AT55" i="6"/>
  <c r="AT53" i="6" s="1"/>
  <c r="AT16" i="7" s="1"/>
  <c r="AT95" i="7" s="1"/>
  <c r="AT44" i="6"/>
  <c r="AT42" i="6" s="1"/>
  <c r="AT11" i="7" s="1"/>
  <c r="AT90" i="7" s="1"/>
  <c r="K190" i="10"/>
  <c r="AB87" i="7"/>
  <c r="AH100" i="7" s="1"/>
  <c r="AG101" i="7"/>
  <c r="BC71" i="5"/>
  <c r="BC185" i="5"/>
  <c r="BC54" i="5"/>
  <c r="BB146" i="5"/>
  <c r="BB55" i="5"/>
  <c r="BG77" i="6"/>
  <c r="AS12" i="5"/>
  <c r="AW11" i="5"/>
  <c r="AS41" i="5"/>
  <c r="AS74" i="10"/>
  <c r="AS75" i="10"/>
  <c r="W174" i="5"/>
  <c r="AJ142" i="6"/>
  <c r="AD142" i="6"/>
  <c r="AD100" i="6"/>
  <c r="Y72" i="5"/>
  <c r="BW38" i="10"/>
  <c r="BX38" i="10" s="1"/>
  <c r="BY38" i="10" s="1"/>
  <c r="BZ38" i="10" s="1"/>
  <c r="BU38" i="10"/>
  <c r="BI12" i="11"/>
  <c r="AK48" i="11"/>
  <c r="AW94" i="10"/>
  <c r="BC12" i="11"/>
  <c r="AW54" i="11"/>
  <c r="AE94" i="11"/>
  <c r="AE93" i="11"/>
  <c r="AE59" i="11"/>
  <c r="M19" i="11"/>
  <c r="BB94" i="10"/>
  <c r="BC54" i="11"/>
  <c r="BB115" i="10"/>
  <c r="AC102" i="10"/>
  <c r="AQ97" i="11"/>
  <c r="AD54" i="11"/>
  <c r="AE54" i="11" s="1"/>
  <c r="AC94" i="10"/>
  <c r="BA64" i="11"/>
  <c r="BA67" i="11" s="1"/>
  <c r="BA94" i="10"/>
  <c r="BC58" i="11"/>
  <c r="AE56" i="11"/>
  <c r="BH94" i="10"/>
  <c r="AE55" i="11"/>
  <c r="BF31" i="11"/>
  <c r="BC25" i="11"/>
  <c r="BC23" i="11" s="1"/>
  <c r="BI32" i="11"/>
  <c r="BB40" i="11"/>
  <c r="BC40" i="11" s="1"/>
  <c r="BA47" i="11"/>
  <c r="BA49" i="11" s="1"/>
  <c r="AW16" i="11"/>
  <c r="BC59" i="11"/>
  <c r="BC8" i="11"/>
  <c r="BK15" i="6" l="1"/>
  <c r="BQ93" i="7" s="1"/>
  <c r="BL14" i="6"/>
  <c r="BE38" i="7"/>
  <c r="AA38" i="7"/>
  <c r="BT28" i="7"/>
  <c r="DM11" i="7"/>
  <c r="DQ26" i="7" s="1"/>
  <c r="BN90" i="7"/>
  <c r="BC21" i="7"/>
  <c r="AT38" i="7"/>
  <c r="AC21" i="7"/>
  <c r="AC38" i="7" s="1"/>
  <c r="BG96" i="7"/>
  <c r="BG21" i="7"/>
  <c r="BG38" i="7" s="1"/>
  <c r="AG96" i="7"/>
  <c r="AG21" i="7"/>
  <c r="AG38" i="7" s="1"/>
  <c r="AD96" i="7"/>
  <c r="AD21" i="7"/>
  <c r="AJ38" i="7" s="1"/>
  <c r="AH21" i="7"/>
  <c r="AH38" i="7" s="1"/>
  <c r="AO21" i="7"/>
  <c r="AO38" i="7" s="1"/>
  <c r="AM96" i="7"/>
  <c r="AM109" i="7" s="1"/>
  <c r="AM21" i="7"/>
  <c r="AM38" i="7" s="1"/>
  <c r="BF96" i="7"/>
  <c r="BF21" i="7"/>
  <c r="BF38" i="7" s="1"/>
  <c r="AP21" i="7"/>
  <c r="AP38" i="7" s="1"/>
  <c r="DH26" i="7"/>
  <c r="BQ106" i="7"/>
  <c r="BF16" i="6"/>
  <c r="DI27" i="7"/>
  <c r="AD160" i="10"/>
  <c r="BI204" i="10"/>
  <c r="AY215" i="10"/>
  <c r="V197" i="10"/>
  <c r="V198" i="10" s="1"/>
  <c r="V199" i="10" s="1"/>
  <c r="AQ64" i="10"/>
  <c r="AQ209" i="10"/>
  <c r="AQ216" i="10" s="1"/>
  <c r="BR37" i="10"/>
  <c r="BQ208" i="10"/>
  <c r="BA216" i="10"/>
  <c r="BA215" i="10"/>
  <c r="AW216" i="10"/>
  <c r="AW215" i="10"/>
  <c r="AV216" i="10"/>
  <c r="AS215" i="10"/>
  <c r="AK216" i="10"/>
  <c r="AK215" i="10"/>
  <c r="BI166" i="10"/>
  <c r="BC46" i="10"/>
  <c r="BC209" i="10"/>
  <c r="AT96" i="7"/>
  <c r="BI108" i="7"/>
  <c r="BL106" i="7"/>
  <c r="AY49" i="6"/>
  <c r="AY15" i="7" s="1"/>
  <c r="BE29" i="7"/>
  <c r="AY91" i="7"/>
  <c r="BE104" i="7" s="1"/>
  <c r="BC90" i="7"/>
  <c r="AZ60" i="6"/>
  <c r="BK106" i="7"/>
  <c r="BE106" i="7"/>
  <c r="BE108" i="7"/>
  <c r="BK108" i="7"/>
  <c r="BL105" i="7"/>
  <c r="BF105" i="7"/>
  <c r="BG103" i="7"/>
  <c r="BM103" i="7"/>
  <c r="BF60" i="6"/>
  <c r="BL94" i="7"/>
  <c r="BI104" i="7"/>
  <c r="BF108" i="7"/>
  <c r="BL108" i="7"/>
  <c r="BM108" i="7"/>
  <c r="BG108" i="7"/>
  <c r="BH104" i="7"/>
  <c r="BE103" i="7"/>
  <c r="BK103" i="7"/>
  <c r="AT103" i="7"/>
  <c r="AZ103" i="7"/>
  <c r="AY108" i="7"/>
  <c r="AZ108" i="7"/>
  <c r="BC104" i="7"/>
  <c r="CX12" i="7"/>
  <c r="AS91" i="7"/>
  <c r="AS90" i="7"/>
  <c r="AZ104" i="7"/>
  <c r="BB108" i="7"/>
  <c r="CZ11" i="7"/>
  <c r="DD26" i="7" s="1"/>
  <c r="AU90" i="7"/>
  <c r="BT90" i="7"/>
  <c r="BT95" i="7"/>
  <c r="BT108" i="7" s="1"/>
  <c r="BB40" i="5"/>
  <c r="BB96" i="7"/>
  <c r="DD17" i="7"/>
  <c r="BA96" i="7"/>
  <c r="AY40" i="5"/>
  <c r="AY96" i="7"/>
  <c r="AZ96" i="7"/>
  <c r="BE96" i="7"/>
  <c r="BE109" i="7" s="1"/>
  <c r="AE21" i="10"/>
  <c r="AE160" i="10" s="1"/>
  <c r="BR13" i="7"/>
  <c r="BR92" i="7" s="1"/>
  <c r="BR105" i="7" s="1"/>
  <c r="AQ22" i="11"/>
  <c r="M60" i="11"/>
  <c r="AY28" i="7"/>
  <c r="BH22" i="7"/>
  <c r="BH25" i="7" s="1"/>
  <c r="AH52" i="10"/>
  <c r="AB52" i="10"/>
  <c r="AI52" i="10"/>
  <c r="CX11" i="7"/>
  <c r="DB26" i="7" s="1"/>
  <c r="AT209" i="5"/>
  <c r="AG160" i="10"/>
  <c r="AT67" i="10"/>
  <c r="AT70" i="10"/>
  <c r="AP145" i="6"/>
  <c r="AO147" i="6"/>
  <c r="AA145" i="6"/>
  <c r="AT145" i="6"/>
  <c r="AD147" i="6"/>
  <c r="AP146" i="6"/>
  <c r="AV146" i="6"/>
  <c r="V146" i="6"/>
  <c r="AV145" i="6"/>
  <c r="AU146" i="6"/>
  <c r="AS145" i="6"/>
  <c r="AO145" i="6"/>
  <c r="AZ114" i="7"/>
  <c r="BG40" i="5"/>
  <c r="BE72" i="11"/>
  <c r="BG12" i="5"/>
  <c r="BG22" i="7"/>
  <c r="BG25" i="7" s="1"/>
  <c r="BN106" i="11"/>
  <c r="BO106" i="11" s="1"/>
  <c r="AT105" i="5"/>
  <c r="AT74" i="5"/>
  <c r="AT107" i="5"/>
  <c r="AT14" i="5"/>
  <c r="AT91" i="5" s="1"/>
  <c r="AY81" i="10"/>
  <c r="AW55" i="6"/>
  <c r="AS80" i="10"/>
  <c r="AY82" i="11"/>
  <c r="AY82" i="10" s="1"/>
  <c r="AW169" i="10"/>
  <c r="AW30" i="11"/>
  <c r="AW23" i="11" s="1"/>
  <c r="BC64" i="10"/>
  <c r="BC169" i="10"/>
  <c r="BE170" i="10" s="1"/>
  <c r="AT81" i="11"/>
  <c r="BO87" i="11"/>
  <c r="BO108" i="11" s="1"/>
  <c r="BI53" i="11"/>
  <c r="BF75" i="10"/>
  <c r="DG47" i="7"/>
  <c r="DG17" i="7"/>
  <c r="BF22" i="7"/>
  <c r="BF25" i="7" s="1"/>
  <c r="BE82" i="11"/>
  <c r="AV11" i="7"/>
  <c r="AB102" i="10"/>
  <c r="P160" i="10"/>
  <c r="S94" i="10"/>
  <c r="AG126" i="5"/>
  <c r="O126" i="5"/>
  <c r="AG159" i="10"/>
  <c r="X190" i="10"/>
  <c r="AQ169" i="10"/>
  <c r="AW44" i="6"/>
  <c r="AW42" i="6" s="1"/>
  <c r="AW11" i="7" s="1"/>
  <c r="AW53" i="6"/>
  <c r="AW16" i="7" s="1"/>
  <c r="BA170" i="10"/>
  <c r="V70" i="6"/>
  <c r="DB17" i="7"/>
  <c r="AS117" i="6"/>
  <c r="AI59" i="6"/>
  <c r="AS113" i="6"/>
  <c r="BG31" i="11"/>
  <c r="AH142" i="6"/>
  <c r="BH170" i="10"/>
  <c r="AS78" i="6"/>
  <c r="AD73" i="5"/>
  <c r="DH27" i="7"/>
  <c r="BU53" i="11"/>
  <c r="BC47" i="11"/>
  <c r="BC49" i="11" s="1"/>
  <c r="BB64" i="11"/>
  <c r="BB67" i="11" s="1"/>
  <c r="DF26" i="7"/>
  <c r="AY80" i="10"/>
  <c r="BC145" i="6"/>
  <c r="M54" i="11"/>
  <c r="L94" i="10"/>
  <c r="AU46" i="6"/>
  <c r="AU12" i="7" s="1"/>
  <c r="AU91" i="7" s="1"/>
  <c r="AU15" i="6"/>
  <c r="AT169" i="10"/>
  <c r="AU170" i="10" s="1"/>
  <c r="AC98" i="6"/>
  <c r="AC113" i="6" s="1"/>
  <c r="CA38" i="10"/>
  <c r="CC38" i="10"/>
  <c r="CD38" i="10" s="1"/>
  <c r="CE38" i="10" s="1"/>
  <c r="CF38" i="10" s="1"/>
  <c r="AP57" i="6"/>
  <c r="W73" i="5"/>
  <c r="BC145" i="5"/>
  <c r="BC155" i="5" s="1"/>
  <c r="DB44" i="7"/>
  <c r="AD19" i="6"/>
  <c r="AJ39" i="5"/>
  <c r="AJ22" i="7" s="1"/>
  <c r="CS18" i="7" s="1"/>
  <c r="AH100" i="6"/>
  <c r="AK131" i="6"/>
  <c r="J78" i="6"/>
  <c r="W193" i="5"/>
  <c r="F18" i="5"/>
  <c r="F13" i="11" s="1"/>
  <c r="X8" i="5"/>
  <c r="W159" i="5"/>
  <c r="N8" i="13"/>
  <c r="L7" i="11"/>
  <c r="BH214" i="5"/>
  <c r="BH215" i="5"/>
  <c r="BH216" i="5" s="1"/>
  <c r="L6" i="6"/>
  <c r="L6" i="7" s="1"/>
  <c r="BH186" i="5"/>
  <c r="BH187" i="5"/>
  <c r="AU145" i="6"/>
  <c r="AN128" i="6"/>
  <c r="AH98" i="6"/>
  <c r="AH105" i="6" s="1"/>
  <c r="AS121" i="6"/>
  <c r="U100" i="6"/>
  <c r="AD149" i="10"/>
  <c r="AJ23" i="7"/>
  <c r="BA78" i="6"/>
  <c r="BC102" i="6"/>
  <c r="AG98" i="6"/>
  <c r="AG113" i="6" s="1"/>
  <c r="AD90" i="5"/>
  <c r="AD91" i="5"/>
  <c r="AP78" i="6"/>
  <c r="AG143" i="6"/>
  <c r="AD74" i="5"/>
  <c r="AD107" i="5"/>
  <c r="AW94" i="6"/>
  <c r="AC96" i="7"/>
  <c r="BI29" i="5"/>
  <c r="AE215" i="5"/>
  <c r="AK170" i="5"/>
  <c r="AE171" i="5"/>
  <c r="S216" i="5"/>
  <c r="DJ26" i="7"/>
  <c r="BM104" i="5"/>
  <c r="BM70" i="5"/>
  <c r="BM185" i="5" s="1"/>
  <c r="AH102" i="7"/>
  <c r="J39" i="5"/>
  <c r="J22" i="7" s="1"/>
  <c r="J24" i="7" s="1"/>
  <c r="CY17" i="7"/>
  <c r="AP113" i="6"/>
  <c r="BC144" i="5"/>
  <c r="BC154" i="5" s="1"/>
  <c r="AT40" i="5"/>
  <c r="Q78" i="6"/>
  <c r="AB141" i="6"/>
  <c r="V94" i="6"/>
  <c r="BL15" i="6"/>
  <c r="BR93" i="7" s="1"/>
  <c r="BR106" i="7" s="1"/>
  <c r="AC69" i="6"/>
  <c r="AT57" i="6"/>
  <c r="S67" i="6"/>
  <c r="BL70" i="5"/>
  <c r="BL185" i="5" s="1"/>
  <c r="BO17" i="6"/>
  <c r="BL87" i="5"/>
  <c r="BM83" i="5"/>
  <c r="BM66" i="5"/>
  <c r="BM177" i="5" s="1"/>
  <c r="BB78" i="6"/>
  <c r="BN70" i="5"/>
  <c r="BN87" i="5"/>
  <c r="BN83" i="5"/>
  <c r="BN66" i="5"/>
  <c r="BN177" i="5" s="1"/>
  <c r="W91" i="5"/>
  <c r="BH144" i="6"/>
  <c r="AM134" i="5"/>
  <c r="AM29" i="5" s="1"/>
  <c r="K13" i="11"/>
  <c r="E123" i="5"/>
  <c r="AA142" i="6"/>
  <c r="Y95" i="6"/>
  <c r="Y99" i="6" s="1"/>
  <c r="AB128" i="6"/>
  <c r="W19" i="6"/>
  <c r="AD98" i="6"/>
  <c r="AD102" i="6" s="1"/>
  <c r="W74" i="5"/>
  <c r="W90" i="5"/>
  <c r="W149" i="10"/>
  <c r="AJ128" i="6"/>
  <c r="AD69" i="6"/>
  <c r="W39" i="5"/>
  <c r="W22" i="7" s="1"/>
  <c r="W25" i="7" s="1"/>
  <c r="AC23" i="7"/>
  <c r="W107" i="5"/>
  <c r="X144" i="6"/>
  <c r="BA28" i="7"/>
  <c r="AC39" i="5"/>
  <c r="AC22" i="7" s="1"/>
  <c r="W157" i="5"/>
  <c r="W191" i="5" s="1"/>
  <c r="AC40" i="5"/>
  <c r="CS10" i="7"/>
  <c r="AP96" i="7"/>
  <c r="W139" i="5"/>
  <c r="Y8" i="13"/>
  <c r="W7" i="10"/>
  <c r="W6" i="6"/>
  <c r="W70" i="6" s="1"/>
  <c r="R216" i="5"/>
  <c r="W38" i="5"/>
  <c r="AC8" i="5"/>
  <c r="AC6" i="6" s="1"/>
  <c r="CA132" i="5"/>
  <c r="CE132" i="5"/>
  <c r="AB6" i="6"/>
  <c r="AB70" i="6" s="1"/>
  <c r="AB193" i="5"/>
  <c r="AP40" i="5"/>
  <c r="AC34" i="7"/>
  <c r="CW17" i="7"/>
  <c r="DB31" i="7"/>
  <c r="AG101" i="6"/>
  <c r="U94" i="6"/>
  <c r="AM143" i="6"/>
  <c r="AA143" i="6"/>
  <c r="S64" i="6"/>
  <c r="Y56" i="6"/>
  <c r="S68" i="6"/>
  <c r="AA19" i="6"/>
  <c r="Y57" i="6"/>
  <c r="S181" i="6"/>
  <c r="S65" i="6"/>
  <c r="S66" i="6"/>
  <c r="C73" i="5"/>
  <c r="C12" i="5"/>
  <c r="C57" i="5" s="1"/>
  <c r="AK106" i="5"/>
  <c r="AK107" i="5" s="1"/>
  <c r="C90" i="5"/>
  <c r="C74" i="5"/>
  <c r="BF78" i="6"/>
  <c r="AO140" i="6"/>
  <c r="BF79" i="7"/>
  <c r="DG61" i="7" s="1"/>
  <c r="C157" i="5"/>
  <c r="C191" i="5" s="1"/>
  <c r="C102" i="10"/>
  <c r="C92" i="5"/>
  <c r="C106" i="5" s="1"/>
  <c r="AP161" i="6"/>
  <c r="I119" i="7"/>
  <c r="BF83" i="7"/>
  <c r="DG65" i="7" s="1"/>
  <c r="C149" i="10"/>
  <c r="C170" i="10" s="1"/>
  <c r="AK129" i="6"/>
  <c r="AZ49" i="6"/>
  <c r="AZ15" i="7" s="1"/>
  <c r="BF78" i="7"/>
  <c r="DG60" i="7" s="1"/>
  <c r="BX138" i="10"/>
  <c r="AT33" i="11"/>
  <c r="AT72" i="11" s="1"/>
  <c r="AY23" i="13"/>
  <c r="AY38" i="13"/>
  <c r="AQ69" i="11"/>
  <c r="AQ43" i="11"/>
  <c r="BA104" i="10"/>
  <c r="AV23" i="13"/>
  <c r="AV38" i="13"/>
  <c r="BA109" i="10"/>
  <c r="BA118" i="10"/>
  <c r="AU169" i="10"/>
  <c r="AV170" i="10" s="1"/>
  <c r="AK95" i="10"/>
  <c r="DB46" i="7"/>
  <c r="DG31" i="7"/>
  <c r="AJ99" i="7"/>
  <c r="AD99" i="7"/>
  <c r="AB101" i="7"/>
  <c r="AH101" i="7"/>
  <c r="BC72" i="7"/>
  <c r="BE80" i="7"/>
  <c r="DF62" i="7" s="1"/>
  <c r="BE83" i="7"/>
  <c r="DF65" i="7" s="1"/>
  <c r="BE78" i="7"/>
  <c r="DF60" i="7" s="1"/>
  <c r="BC75" i="7"/>
  <c r="BI83" i="7" s="1"/>
  <c r="BB82" i="7"/>
  <c r="DE64" i="7" s="1"/>
  <c r="AS101" i="7"/>
  <c r="AA102" i="10"/>
  <c r="AG23" i="7"/>
  <c r="AA73" i="5"/>
  <c r="P73" i="5"/>
  <c r="U15" i="5"/>
  <c r="U124" i="5" s="1"/>
  <c r="P74" i="5"/>
  <c r="P19" i="6"/>
  <c r="V108" i="5"/>
  <c r="V109" i="5" s="1"/>
  <c r="BC207" i="5"/>
  <c r="AQ89" i="5"/>
  <c r="AQ90" i="5" s="1"/>
  <c r="AC15" i="5"/>
  <c r="AC124" i="5" s="1"/>
  <c r="O19" i="5"/>
  <c r="O12" i="5"/>
  <c r="O57" i="5" s="1"/>
  <c r="BE40" i="5"/>
  <c r="BE211" i="5"/>
  <c r="BE113" i="7"/>
  <c r="BB81" i="7"/>
  <c r="DE63" i="7" s="1"/>
  <c r="O124" i="5"/>
  <c r="O41" i="5"/>
  <c r="AA6" i="7"/>
  <c r="BG75" i="10"/>
  <c r="BG41" i="5"/>
  <c r="M56" i="5"/>
  <c r="BG74" i="10"/>
  <c r="AI89" i="7"/>
  <c r="BI183" i="5"/>
  <c r="BI210" i="5"/>
  <c r="AY79" i="10"/>
  <c r="BE182" i="5"/>
  <c r="BI145" i="5"/>
  <c r="BI155" i="5" s="1"/>
  <c r="BE107" i="5"/>
  <c r="DG49" i="7"/>
  <c r="BE183" i="5"/>
  <c r="BE91" i="5"/>
  <c r="AS81" i="10"/>
  <c r="AB73" i="5"/>
  <c r="BI182" i="5"/>
  <c r="BE210" i="5"/>
  <c r="DF17" i="7"/>
  <c r="BE82" i="7"/>
  <c r="DF64" i="7" s="1"/>
  <c r="BE81" i="7"/>
  <c r="DF63" i="7" s="1"/>
  <c r="BC189" i="5"/>
  <c r="DH47" i="7"/>
  <c r="BE34" i="7"/>
  <c r="AO12" i="5"/>
  <c r="AY12" i="5"/>
  <c r="AN55" i="6"/>
  <c r="AN53" i="6" s="1"/>
  <c r="AN16" i="7" s="1"/>
  <c r="CQ17" i="7"/>
  <c r="AN34" i="7"/>
  <c r="BB83" i="7"/>
  <c r="DE65" i="7" s="1"/>
  <c r="R15" i="5"/>
  <c r="R113" i="5" s="1"/>
  <c r="Y17" i="7"/>
  <c r="AJ94" i="10"/>
  <c r="AK54" i="11"/>
  <c r="BA117" i="10"/>
  <c r="AB7" i="11"/>
  <c r="AB7" i="10"/>
  <c r="BC241" i="5"/>
  <c r="BF109" i="10"/>
  <c r="BG14" i="5"/>
  <c r="AB159" i="5"/>
  <c r="AB139" i="5"/>
  <c r="AP114" i="7"/>
  <c r="AP118" i="7" s="1"/>
  <c r="BF104" i="10"/>
  <c r="AB38" i="5"/>
  <c r="AD8" i="13"/>
  <c r="Q197" i="10"/>
  <c r="Q198" i="10" s="1"/>
  <c r="AQ201" i="5"/>
  <c r="AK69" i="11"/>
  <c r="DH45" i="7"/>
  <c r="AO40" i="5"/>
  <c r="AY190" i="5"/>
  <c r="AM12" i="5"/>
  <c r="AM57" i="5" s="1"/>
  <c r="BH14" i="5"/>
  <c r="AG57" i="6"/>
  <c r="AO98" i="6"/>
  <c r="AU144" i="6" s="1"/>
  <c r="AG39" i="5"/>
  <c r="AG22" i="7" s="1"/>
  <c r="CP18" i="7" s="1"/>
  <c r="P19" i="5"/>
  <c r="AQ99" i="6"/>
  <c r="AW145" i="6" s="1"/>
  <c r="BL16" i="6"/>
  <c r="BR94" i="7" s="1"/>
  <c r="AI128" i="6"/>
  <c r="AA74" i="5"/>
  <c r="AJ74" i="5"/>
  <c r="R41" i="5"/>
  <c r="AA149" i="10"/>
  <c r="AA107" i="5"/>
  <c r="AA157" i="5"/>
  <c r="AA191" i="5" s="1"/>
  <c r="AE129" i="6"/>
  <c r="DH49" i="7"/>
  <c r="BI90" i="5"/>
  <c r="BF49" i="6"/>
  <c r="BF15" i="7" s="1"/>
  <c r="BF94" i="7" s="1"/>
  <c r="Y97" i="6"/>
  <c r="Y101" i="6" s="1"/>
  <c r="AJ105" i="6"/>
  <c r="BH78" i="6"/>
  <c r="AM170" i="10"/>
  <c r="P102" i="10"/>
  <c r="P90" i="5"/>
  <c r="P91" i="5"/>
  <c r="BB79" i="7"/>
  <c r="DE61" i="7" s="1"/>
  <c r="U126" i="5"/>
  <c r="AW106" i="5"/>
  <c r="AW107" i="5" s="1"/>
  <c r="AJ113" i="6"/>
  <c r="AV114" i="7"/>
  <c r="BB118" i="7" s="1"/>
  <c r="BI241" i="5"/>
  <c r="DA45" i="7"/>
  <c r="P149" i="10"/>
  <c r="V39" i="5"/>
  <c r="V22" i="7" s="1"/>
  <c r="V25" i="7" s="1"/>
  <c r="P107" i="5"/>
  <c r="BF116" i="10"/>
  <c r="BF118" i="10" s="1"/>
  <c r="BO28" i="10"/>
  <c r="AW83" i="5"/>
  <c r="AW84" i="5" s="1"/>
  <c r="AJ109" i="6"/>
  <c r="P39" i="5"/>
  <c r="P22" i="7" s="1"/>
  <c r="S10" i="5"/>
  <c r="S73" i="5" s="1"/>
  <c r="AH8" i="5"/>
  <c r="AG193" i="5"/>
  <c r="AG7" i="11"/>
  <c r="AG38" i="5"/>
  <c r="AG139" i="5"/>
  <c r="AI8" i="13"/>
  <c r="AG6" i="6"/>
  <c r="AG7" i="10"/>
  <c r="AM8" i="5"/>
  <c r="AG159" i="5"/>
  <c r="BE81" i="10"/>
  <c r="CY10" i="7"/>
  <c r="L90" i="5"/>
  <c r="L19" i="6"/>
  <c r="AD141" i="6"/>
  <c r="K123" i="5"/>
  <c r="AM128" i="6"/>
  <c r="Y190" i="10"/>
  <c r="J106" i="5"/>
  <c r="J14" i="5" s="1"/>
  <c r="AW144" i="10"/>
  <c r="E92" i="5"/>
  <c r="E93" i="5" s="1"/>
  <c r="S56" i="5"/>
  <c r="AW56" i="5"/>
  <c r="L157" i="5"/>
  <c r="L191" i="5" s="1"/>
  <c r="K6" i="7"/>
  <c r="AM205" i="5"/>
  <c r="X113" i="6"/>
  <c r="U190" i="10"/>
  <c r="AD89" i="7"/>
  <c r="BF40" i="5"/>
  <c r="CP17" i="7"/>
  <c r="AQ133" i="5"/>
  <c r="AE108" i="6"/>
  <c r="BA147" i="5"/>
  <c r="BA190" i="5" s="1"/>
  <c r="AQ203" i="5"/>
  <c r="AQ174" i="5" s="1"/>
  <c r="S190" i="10"/>
  <c r="L102" i="10"/>
  <c r="L149" i="10"/>
  <c r="AD128" i="6"/>
  <c r="AM34" i="7"/>
  <c r="BE187" i="5"/>
  <c r="AS17" i="7"/>
  <c r="AS21" i="7" s="1"/>
  <c r="AQ189" i="5"/>
  <c r="AG128" i="6"/>
  <c r="S48" i="5"/>
  <c r="S49" i="5" s="1"/>
  <c r="AE96" i="6"/>
  <c r="AE100" i="6" s="1"/>
  <c r="AQ94" i="6"/>
  <c r="BB41" i="5"/>
  <c r="BE186" i="5"/>
  <c r="AQ171" i="5"/>
  <c r="AN126" i="5"/>
  <c r="AP14" i="5"/>
  <c r="DA46" i="7"/>
  <c r="Y21" i="10"/>
  <c r="Y160" i="10" s="1"/>
  <c r="X160" i="10"/>
  <c r="W51" i="10"/>
  <c r="AH126" i="5"/>
  <c r="AE131" i="6"/>
  <c r="X105" i="6"/>
  <c r="L12" i="5"/>
  <c r="L73" i="5"/>
  <c r="L74" i="5"/>
  <c r="AY29" i="7"/>
  <c r="AE130" i="6"/>
  <c r="AW189" i="5"/>
  <c r="X15" i="5"/>
  <c r="X124" i="5" s="1"/>
  <c r="DA49" i="7"/>
  <c r="BB12" i="5"/>
  <c r="BE215" i="5"/>
  <c r="BE216" i="5" s="1"/>
  <c r="AQ170" i="5"/>
  <c r="AP144" i="6"/>
  <c r="X102" i="6"/>
  <c r="BC74" i="5"/>
  <c r="AY78" i="6"/>
  <c r="AK38" i="6"/>
  <c r="AK10" i="7" s="1"/>
  <c r="AK89" i="7" s="1"/>
  <c r="AK102" i="7" s="1"/>
  <c r="AW90" i="6"/>
  <c r="DG27" i="7"/>
  <c r="AG40" i="5"/>
  <c r="AP89" i="7"/>
  <c r="G99" i="6"/>
  <c r="G122" i="6" s="1"/>
  <c r="Q160" i="10"/>
  <c r="AE20" i="10"/>
  <c r="AD43" i="11"/>
  <c r="AS82" i="11"/>
  <c r="AS82" i="10" s="1"/>
  <c r="BC47" i="10"/>
  <c r="X94" i="6"/>
  <c r="AD140" i="6" s="1"/>
  <c r="BF34" i="7"/>
  <c r="AU14" i="5"/>
  <c r="R39" i="5"/>
  <c r="R22" i="7" s="1"/>
  <c r="DB12" i="7"/>
  <c r="I39" i="5"/>
  <c r="I22" i="7" s="1"/>
  <c r="I24" i="7" s="1"/>
  <c r="X118" i="7"/>
  <c r="BB74" i="10"/>
  <c r="BB76" i="10" s="1"/>
  <c r="BE214" i="5"/>
  <c r="BI212" i="5"/>
  <c r="BI213" i="5" s="1"/>
  <c r="AG118" i="7"/>
  <c r="AE127" i="5"/>
  <c r="Y82" i="6"/>
  <c r="Y98" i="6" s="1"/>
  <c r="Y105" i="6" s="1"/>
  <c r="R12" i="5"/>
  <c r="CW10" i="7"/>
  <c r="DE17" i="7"/>
  <c r="AA90" i="5"/>
  <c r="CU10" i="7"/>
  <c r="DH31" i="7"/>
  <c r="BB80" i="7"/>
  <c r="DE62" i="7" s="1"/>
  <c r="BI189" i="5"/>
  <c r="W43" i="11"/>
  <c r="V51" i="10"/>
  <c r="J70" i="6"/>
  <c r="J6" i="7"/>
  <c r="DA47" i="7"/>
  <c r="CV17" i="7"/>
  <c r="D102" i="10"/>
  <c r="G11" i="5"/>
  <c r="AM41" i="5"/>
  <c r="AN51" i="6"/>
  <c r="AN46" i="6" s="1"/>
  <c r="AN12" i="7" s="1"/>
  <c r="AN91" i="7" s="1"/>
  <c r="AT104" i="7" s="1"/>
  <c r="G56" i="5"/>
  <c r="BC11" i="11"/>
  <c r="AW90" i="5"/>
  <c r="AA118" i="7"/>
  <c r="AY41" i="5"/>
  <c r="AY15" i="5"/>
  <c r="AY113" i="5" s="1"/>
  <c r="AY74" i="10"/>
  <c r="AY75" i="10"/>
  <c r="F6" i="7"/>
  <c r="F70" i="6"/>
  <c r="AD40" i="5"/>
  <c r="AO34" i="7"/>
  <c r="AO57" i="6"/>
  <c r="AO96" i="7"/>
  <c r="AA102" i="7"/>
  <c r="X38" i="6"/>
  <c r="X10" i="7" s="1"/>
  <c r="AN89" i="7"/>
  <c r="AN102" i="7" s="1"/>
  <c r="AG102" i="7"/>
  <c r="E19" i="6"/>
  <c r="AU105" i="5"/>
  <c r="AV98" i="6"/>
  <c r="AV113" i="6" s="1"/>
  <c r="W102" i="7"/>
  <c r="AH57" i="5"/>
  <c r="AC128" i="6"/>
  <c r="BB78" i="7"/>
  <c r="DE60" i="7" s="1"/>
  <c r="G13" i="5"/>
  <c r="DL31" i="7"/>
  <c r="W98" i="6"/>
  <c r="W102" i="6" s="1"/>
  <c r="BF41" i="5"/>
  <c r="P147" i="6"/>
  <c r="S101" i="6"/>
  <c r="W69" i="6"/>
  <c r="W77" i="6"/>
  <c r="AU101" i="7"/>
  <c r="AU107" i="5"/>
  <c r="AU101" i="5"/>
  <c r="AN113" i="6"/>
  <c r="AC12" i="5"/>
  <c r="AC57" i="5" s="1"/>
  <c r="DA44" i="7"/>
  <c r="X57" i="6"/>
  <c r="AH148" i="5"/>
  <c r="K119" i="7"/>
  <c r="S102" i="7"/>
  <c r="L98" i="6"/>
  <c r="L102" i="6" s="1"/>
  <c r="E73" i="5"/>
  <c r="BF12" i="5"/>
  <c r="P77" i="6"/>
  <c r="P69" i="6"/>
  <c r="S76" i="6"/>
  <c r="P145" i="6"/>
  <c r="S99" i="6"/>
  <c r="P98" i="6"/>
  <c r="V144" i="6" s="1"/>
  <c r="P146" i="6"/>
  <c r="AN76" i="7"/>
  <c r="AC41" i="5"/>
  <c r="E90" i="5"/>
  <c r="AH124" i="5"/>
  <c r="AE10" i="5"/>
  <c r="AE90" i="5" s="1"/>
  <c r="X17" i="7"/>
  <c r="BF74" i="10"/>
  <c r="S100" i="6"/>
  <c r="F12" i="5"/>
  <c r="F57" i="5" s="1"/>
  <c r="AC100" i="6"/>
  <c r="AC142" i="6"/>
  <c r="BF82" i="7"/>
  <c r="DG64" i="7" s="1"/>
  <c r="AE106" i="6"/>
  <c r="AH34" i="7"/>
  <c r="AP103" i="5"/>
  <c r="AW73" i="5"/>
  <c r="W113" i="5"/>
  <c r="I145" i="6"/>
  <c r="AH96" i="7"/>
  <c r="C98" i="6"/>
  <c r="C102" i="6" s="1"/>
  <c r="AE136" i="6"/>
  <c r="AW12" i="5"/>
  <c r="AW57" i="5" s="1"/>
  <c r="AJ147" i="6"/>
  <c r="AA94" i="6"/>
  <c r="W41" i="5"/>
  <c r="V150" i="10"/>
  <c r="V182" i="10" s="1"/>
  <c r="V184" i="10" s="1"/>
  <c r="V185" i="10" s="1"/>
  <c r="V181" i="10" s="1"/>
  <c r="V179" i="10" s="1"/>
  <c r="AE82" i="6"/>
  <c r="AE98" i="6" s="1"/>
  <c r="AE105" i="6" s="1"/>
  <c r="AD99" i="6"/>
  <c r="CX10" i="7"/>
  <c r="AW39" i="5"/>
  <c r="AW22" i="7" s="1"/>
  <c r="AP107" i="5"/>
  <c r="AP212" i="5"/>
  <c r="W19" i="5"/>
  <c r="W24" i="5" s="1"/>
  <c r="AA98" i="6"/>
  <c r="AA102" i="6" s="1"/>
  <c r="AH57" i="6"/>
  <c r="AA128" i="6"/>
  <c r="BC77" i="6"/>
  <c r="BC78" i="6" s="1"/>
  <c r="W12" i="5"/>
  <c r="AK130" i="6"/>
  <c r="AE95" i="6"/>
  <c r="AW73" i="10"/>
  <c r="BF170" i="10"/>
  <c r="AH40" i="5"/>
  <c r="F73" i="5"/>
  <c r="X88" i="7"/>
  <c r="AD101" i="7" s="1"/>
  <c r="D90" i="5"/>
  <c r="F19" i="6"/>
  <c r="L39" i="5"/>
  <c r="L22" i="7" s="1"/>
  <c r="L24" i="7" s="1"/>
  <c r="AH128" i="6"/>
  <c r="BC73" i="7"/>
  <c r="BI81" i="7" s="1"/>
  <c r="Q41" i="5"/>
  <c r="Q12" i="5"/>
  <c r="L119" i="7"/>
  <c r="Q124" i="5"/>
  <c r="Q61" i="10"/>
  <c r="F74" i="5"/>
  <c r="C77" i="6"/>
  <c r="C78" i="6" s="1"/>
  <c r="AW23" i="7"/>
  <c r="AW149" i="10"/>
  <c r="S56" i="6"/>
  <c r="D74" i="5"/>
  <c r="F102" i="10"/>
  <c r="F90" i="5"/>
  <c r="DC17" i="7"/>
  <c r="DH17" i="7"/>
  <c r="V24" i="5"/>
  <c r="V25" i="5" s="1"/>
  <c r="V26" i="5" s="1"/>
  <c r="AT34" i="7"/>
  <c r="AT144" i="6"/>
  <c r="AW19" i="6"/>
  <c r="G10" i="5"/>
  <c r="G90" i="5" s="1"/>
  <c r="AQ151" i="6"/>
  <c r="AQ174" i="6" s="1"/>
  <c r="X74" i="5"/>
  <c r="V124" i="5"/>
  <c r="Q150" i="10"/>
  <c r="Q182" i="10" s="1"/>
  <c r="Q184" i="10" s="1"/>
  <c r="Q185" i="10" s="1"/>
  <c r="Q181" i="10" s="1"/>
  <c r="Q179" i="10" s="1"/>
  <c r="X107" i="5"/>
  <c r="AW86" i="10"/>
  <c r="AY144" i="6"/>
  <c r="D92" i="5"/>
  <c r="I146" i="6"/>
  <c r="X19" i="6"/>
  <c r="DG46" i="7"/>
  <c r="F92" i="5"/>
  <c r="V61" i="10"/>
  <c r="Y56" i="5"/>
  <c r="AZ12" i="5"/>
  <c r="AZ57" i="5" s="1"/>
  <c r="BI29" i="7"/>
  <c r="X12" i="5"/>
  <c r="X57" i="5" s="1"/>
  <c r="Q113" i="5"/>
  <c r="Y11" i="5"/>
  <c r="Q108" i="5"/>
  <c r="Q109" i="5" s="1"/>
  <c r="BC29" i="7"/>
  <c r="BI33" i="7"/>
  <c r="S190" i="5"/>
  <c r="AD23" i="7"/>
  <c r="BK146" i="5"/>
  <c r="BK156" i="5" s="1"/>
  <c r="BK55" i="5"/>
  <c r="BC74" i="7"/>
  <c r="X41" i="5"/>
  <c r="U41" i="5"/>
  <c r="G100" i="6"/>
  <c r="G123" i="6" s="1"/>
  <c r="P113" i="5"/>
  <c r="AH108" i="5"/>
  <c r="AH109" i="5" s="1"/>
  <c r="AH61" i="10"/>
  <c r="AH24" i="5"/>
  <c r="AH25" i="5" s="1"/>
  <c r="I90" i="5"/>
  <c r="AE169" i="6"/>
  <c r="AZ15" i="5"/>
  <c r="AZ113" i="5" s="1"/>
  <c r="I19" i="6"/>
  <c r="X102" i="10"/>
  <c r="BK212" i="5"/>
  <c r="L147" i="6"/>
  <c r="R147" i="6"/>
  <c r="R146" i="6"/>
  <c r="L146" i="6"/>
  <c r="AB74" i="5"/>
  <c r="AB157" i="5"/>
  <c r="AB191" i="5" s="1"/>
  <c r="AB39" i="5"/>
  <c r="AB22" i="7" s="1"/>
  <c r="AB25" i="7" s="1"/>
  <c r="AB90" i="5"/>
  <c r="AB91" i="5"/>
  <c r="AB107" i="5"/>
  <c r="AH23" i="7"/>
  <c r="AB149" i="10"/>
  <c r="AH39" i="5"/>
  <c r="AH22" i="7" s="1"/>
  <c r="E98" i="6"/>
  <c r="E102" i="6" s="1"/>
  <c r="E157" i="5"/>
  <c r="E191" i="5" s="1"/>
  <c r="E149" i="10"/>
  <c r="E102" i="10"/>
  <c r="J146" i="6"/>
  <c r="F98" i="6"/>
  <c r="F102" i="6" s="1"/>
  <c r="BB91" i="5"/>
  <c r="AB77" i="6"/>
  <c r="AB69" i="6"/>
  <c r="J145" i="6"/>
  <c r="D98" i="6"/>
  <c r="J109" i="7"/>
  <c r="AA77" i="6"/>
  <c r="AA69" i="6"/>
  <c r="AP101" i="7"/>
  <c r="AV101" i="7"/>
  <c r="X73" i="5"/>
  <c r="X90" i="5"/>
  <c r="AT101" i="7"/>
  <c r="X69" i="6"/>
  <c r="X77" i="6"/>
  <c r="I92" i="5"/>
  <c r="I106" i="5" s="1"/>
  <c r="AJ100" i="7"/>
  <c r="AH113" i="5"/>
  <c r="AN113" i="5" s="1"/>
  <c r="U12" i="5"/>
  <c r="G76" i="6"/>
  <c r="G69" i="6" s="1"/>
  <c r="BE22" i="7"/>
  <c r="DF18" i="7" s="1"/>
  <c r="AH16" i="5"/>
  <c r="AK169" i="6"/>
  <c r="U19" i="6"/>
  <c r="X39" i="5"/>
  <c r="X22" i="7" s="1"/>
  <c r="X25" i="7" s="1"/>
  <c r="BK185" i="5"/>
  <c r="DG44" i="7"/>
  <c r="AB142" i="6"/>
  <c r="AB100" i="6"/>
  <c r="E69" i="6"/>
  <c r="E77" i="6"/>
  <c r="E78" i="6" s="1"/>
  <c r="J147" i="6"/>
  <c r="L109" i="7"/>
  <c r="F69" i="6"/>
  <c r="F77" i="6"/>
  <c r="F78" i="6" s="1"/>
  <c r="BH116" i="10"/>
  <c r="BH109" i="10"/>
  <c r="BH104" i="10"/>
  <c r="BB170" i="10"/>
  <c r="BI146" i="5"/>
  <c r="BI156" i="5" s="1"/>
  <c r="BI77" i="6"/>
  <c r="S11" i="5"/>
  <c r="BF147" i="5"/>
  <c r="BF157" i="5" s="1"/>
  <c r="AE76" i="6"/>
  <c r="AE69" i="6" s="1"/>
  <c r="BB15" i="5"/>
  <c r="U157" i="5"/>
  <c r="U191" i="5" s="1"/>
  <c r="AW100" i="6"/>
  <c r="BC146" i="6" s="1"/>
  <c r="AD39" i="5"/>
  <c r="AD22" i="7" s="1"/>
  <c r="AH150" i="10"/>
  <c r="AH153" i="10" s="1"/>
  <c r="AH154" i="10" s="1"/>
  <c r="AH155" i="10" s="1"/>
  <c r="AW38" i="6"/>
  <c r="AW10" i="7" s="1"/>
  <c r="AW89" i="7" s="1"/>
  <c r="BC102" i="7" s="1"/>
  <c r="X157" i="5"/>
  <c r="X191" i="5" s="1"/>
  <c r="L77" i="6"/>
  <c r="L69" i="6"/>
  <c r="AB94" i="6"/>
  <c r="AH140" i="6" s="1"/>
  <c r="AB98" i="6"/>
  <c r="AB105" i="6" s="1"/>
  <c r="AB19" i="6"/>
  <c r="K109" i="7"/>
  <c r="D77" i="6"/>
  <c r="D78" i="6" s="1"/>
  <c r="D69" i="6"/>
  <c r="D157" i="5"/>
  <c r="D191" i="5" s="1"/>
  <c r="D149" i="10"/>
  <c r="D73" i="5"/>
  <c r="D12" i="5"/>
  <c r="J119" i="7"/>
  <c r="F157" i="5"/>
  <c r="F191" i="5" s="1"/>
  <c r="F149" i="10"/>
  <c r="Y67" i="6"/>
  <c r="Y181" i="6"/>
  <c r="Y68" i="6"/>
  <c r="Y64" i="6"/>
  <c r="Y65" i="6"/>
  <c r="Y66" i="6"/>
  <c r="AE56" i="6"/>
  <c r="AE57" i="6"/>
  <c r="AE17" i="7"/>
  <c r="AZ34" i="7"/>
  <c r="AZ40" i="5"/>
  <c r="BG34" i="7"/>
  <c r="BC57" i="6"/>
  <c r="BC17" i="7" s="1"/>
  <c r="DL26" i="7"/>
  <c r="AM57" i="6"/>
  <c r="CT17" i="7"/>
  <c r="AM40" i="5"/>
  <c r="AW101" i="7"/>
  <c r="AY101" i="7"/>
  <c r="AQ101" i="7"/>
  <c r="AI99" i="7"/>
  <c r="BH47" i="11"/>
  <c r="BH49" i="11" s="1"/>
  <c r="BI40" i="11"/>
  <c r="BI42" i="10"/>
  <c r="BK95" i="10" s="1"/>
  <c r="BO95" i="10" s="1"/>
  <c r="BH95" i="10"/>
  <c r="BI95" i="10" s="1"/>
  <c r="BI123" i="10"/>
  <c r="BI69" i="11"/>
  <c r="BI39" i="10"/>
  <c r="BI18" i="10"/>
  <c r="X94" i="10"/>
  <c r="BI101" i="10"/>
  <c r="BI102" i="10" s="1"/>
  <c r="R101" i="10"/>
  <c r="R102" i="10" s="1"/>
  <c r="S36" i="11"/>
  <c r="BN207" i="10"/>
  <c r="BI44" i="10"/>
  <c r="BI207" i="10" s="1"/>
  <c r="BI29" i="10"/>
  <c r="BI20" i="10"/>
  <c r="BB107" i="11"/>
  <c r="BC53" i="11"/>
  <c r="BI63" i="11"/>
  <c r="BK166" i="10"/>
  <c r="BH106" i="11"/>
  <c r="BI107" i="11"/>
  <c r="BI37" i="11"/>
  <c r="BI21" i="10"/>
  <c r="BI160" i="10" s="1"/>
  <c r="O78" i="6"/>
  <c r="AO71" i="7"/>
  <c r="AO76" i="7" s="1"/>
  <c r="AM175" i="5"/>
  <c r="AM204" i="5"/>
  <c r="AS174" i="5"/>
  <c r="AS205" i="5"/>
  <c r="AH141" i="6"/>
  <c r="AN141" i="6"/>
  <c r="AH99" i="6"/>
  <c r="BA40" i="5"/>
  <c r="AN87" i="7"/>
  <c r="BB102" i="7"/>
  <c r="AU100" i="7"/>
  <c r="AN96" i="7"/>
  <c r="AN40" i="5"/>
  <c r="AN57" i="6"/>
  <c r="CU17" i="7"/>
  <c r="AS100" i="7"/>
  <c r="AM100" i="7"/>
  <c r="AW77" i="6"/>
  <c r="AW78" i="6" s="1"/>
  <c r="V113" i="5"/>
  <c r="AO41" i="5"/>
  <c r="BI211" i="5"/>
  <c r="BC19" i="6"/>
  <c r="P41" i="5"/>
  <c r="P12" i="5"/>
  <c r="P57" i="5" s="1"/>
  <c r="V41" i="5"/>
  <c r="V12" i="5"/>
  <c r="AS99" i="7"/>
  <c r="AM99" i="7"/>
  <c r="AP99" i="7"/>
  <c r="AU89" i="7"/>
  <c r="AC78" i="6"/>
  <c r="AN101" i="7"/>
  <c r="AI109" i="6"/>
  <c r="AI113" i="6"/>
  <c r="AI102" i="6"/>
  <c r="CU11" i="7"/>
  <c r="AQ169" i="6"/>
  <c r="AW169" i="6"/>
  <c r="AK106" i="6"/>
  <c r="AK82" i="6"/>
  <c r="AJ34" i="7"/>
  <c r="AJ57" i="6"/>
  <c r="CS17" i="7"/>
  <c r="AJ40" i="5"/>
  <c r="AJ96" i="7"/>
  <c r="AN105" i="6"/>
  <c r="AN102" i="6"/>
  <c r="AI57" i="6"/>
  <c r="AI34" i="7"/>
  <c r="AI40" i="5"/>
  <c r="CR17" i="7"/>
  <c r="AI96" i="7"/>
  <c r="BA74" i="10"/>
  <c r="BA41" i="5"/>
  <c r="BA12" i="5"/>
  <c r="BA75" i="10"/>
  <c r="AZ74" i="10"/>
  <c r="BC11" i="5"/>
  <c r="BC12" i="5" s="1"/>
  <c r="AZ75" i="10"/>
  <c r="AZ155" i="5"/>
  <c r="AZ147" i="5"/>
  <c r="I69" i="6"/>
  <c r="I77" i="6"/>
  <c r="I78" i="6" s="1"/>
  <c r="O146" i="6"/>
  <c r="BO12" i="6"/>
  <c r="BK83" i="5"/>
  <c r="BK66" i="5"/>
  <c r="BK100" i="5"/>
  <c r="AQ101" i="6"/>
  <c r="AW147" i="6" s="1"/>
  <c r="AW143" i="6"/>
  <c r="M67" i="6"/>
  <c r="M65" i="6"/>
  <c r="M66" i="6"/>
  <c r="M56" i="6"/>
  <c r="M68" i="6"/>
  <c r="M64" i="6"/>
  <c r="M181" i="6"/>
  <c r="M190" i="5"/>
  <c r="AO146" i="6"/>
  <c r="U77" i="6"/>
  <c r="U69" i="6"/>
  <c r="Y76" i="6"/>
  <c r="AG34" i="7"/>
  <c r="AA40" i="5"/>
  <c r="AA34" i="7"/>
  <c r="AI105" i="6"/>
  <c r="BL83" i="5"/>
  <c r="BL66" i="5"/>
  <c r="AU147" i="6"/>
  <c r="R118" i="7"/>
  <c r="BC107" i="5"/>
  <c r="AK96" i="7"/>
  <c r="AK40" i="5"/>
  <c r="AK57" i="6"/>
  <c r="G101" i="6"/>
  <c r="AT101" i="5"/>
  <c r="AT206" i="5"/>
  <c r="W100" i="7"/>
  <c r="AC100" i="7"/>
  <c r="CV10" i="7"/>
  <c r="AO89" i="7"/>
  <c r="AG99" i="6"/>
  <c r="AG141" i="6"/>
  <c r="AM141" i="6"/>
  <c r="AK95" i="6"/>
  <c r="CT10" i="7"/>
  <c r="AM89" i="7"/>
  <c r="AS102" i="7" s="1"/>
  <c r="CR18" i="7"/>
  <c r="AI25" i="7"/>
  <c r="AP34" i="7"/>
  <c r="I147" i="6"/>
  <c r="O147" i="6"/>
  <c r="I98" i="6"/>
  <c r="O145" i="6"/>
  <c r="I149" i="10"/>
  <c r="I170" i="10" s="1"/>
  <c r="I157" i="5"/>
  <c r="I191" i="5" s="1"/>
  <c r="I102" i="10"/>
  <c r="I73" i="5"/>
  <c r="O39" i="5"/>
  <c r="BE116" i="10"/>
  <c r="BE78" i="6"/>
  <c r="AT117" i="6"/>
  <c r="AT121" i="6"/>
  <c r="AT102" i="6"/>
  <c r="AO100" i="7"/>
  <c r="AI100" i="7"/>
  <c r="U99" i="7"/>
  <c r="AA99" i="7"/>
  <c r="AG142" i="6"/>
  <c r="AG100" i="6"/>
  <c r="AK96" i="6"/>
  <c r="AK100" i="6" s="1"/>
  <c r="AA96" i="7"/>
  <c r="U102" i="10"/>
  <c r="U107" i="5"/>
  <c r="U149" i="10"/>
  <c r="Y10" i="5"/>
  <c r="Y157" i="5" s="1"/>
  <c r="Y191" i="5" s="1"/>
  <c r="AA39" i="5"/>
  <c r="AA22" i="7" s="1"/>
  <c r="AA25" i="7" s="1"/>
  <c r="U91" i="5"/>
  <c r="U73" i="5"/>
  <c r="U106" i="10"/>
  <c r="U39" i="5"/>
  <c r="U22" i="7" s="1"/>
  <c r="U25" i="7" s="1"/>
  <c r="U90" i="5"/>
  <c r="AY60" i="6"/>
  <c r="BE16" i="6"/>
  <c r="BK94" i="7" s="1"/>
  <c r="BK14" i="6"/>
  <c r="BG207" i="5"/>
  <c r="BG178" i="5"/>
  <c r="BG179" i="5"/>
  <c r="BG208" i="5"/>
  <c r="BG215" i="5"/>
  <c r="BG216" i="5" s="1"/>
  <c r="AU86" i="5"/>
  <c r="AW85" i="5"/>
  <c r="AW86" i="5" s="1"/>
  <c r="BG154" i="5"/>
  <c r="BG147" i="5"/>
  <c r="BG157" i="5" s="1"/>
  <c r="AU88" i="5"/>
  <c r="AW87" i="5"/>
  <c r="AW88" i="5" s="1"/>
  <c r="BA114" i="7"/>
  <c r="BG118" i="7" s="1"/>
  <c r="BO130" i="5"/>
  <c r="AI14" i="5"/>
  <c r="AI15" i="5" s="1"/>
  <c r="AI107" i="5"/>
  <c r="AI101" i="5"/>
  <c r="AI105" i="5"/>
  <c r="O114" i="7"/>
  <c r="U118" i="7" s="1"/>
  <c r="I114" i="7"/>
  <c r="I118" i="7" s="1"/>
  <c r="I74" i="5"/>
  <c r="BF74" i="5"/>
  <c r="BF114" i="7"/>
  <c r="R91" i="5"/>
  <c r="S14" i="5"/>
  <c r="E57" i="5"/>
  <c r="AI88" i="5"/>
  <c r="AI84" i="5"/>
  <c r="AI74" i="5"/>
  <c r="AI114" i="7"/>
  <c r="AI118" i="7" s="1"/>
  <c r="AK13" i="5"/>
  <c r="AK114" i="7" s="1"/>
  <c r="AN57" i="5"/>
  <c r="AS57" i="5"/>
  <c r="BI13" i="5"/>
  <c r="BE114" i="7"/>
  <c r="BE15" i="5"/>
  <c r="BE113" i="5" s="1"/>
  <c r="BE74" i="5"/>
  <c r="AK204" i="5"/>
  <c r="AK175" i="5"/>
  <c r="AK174" i="5"/>
  <c r="I106" i="10"/>
  <c r="AM114" i="7"/>
  <c r="AM118" i="7" s="1"/>
  <c r="AQ13" i="5"/>
  <c r="AM74" i="5"/>
  <c r="AJ140" i="6"/>
  <c r="AN102" i="10"/>
  <c r="AO101" i="10"/>
  <c r="AP36" i="11"/>
  <c r="AW70" i="7"/>
  <c r="CX44" i="7"/>
  <c r="AS78" i="7"/>
  <c r="CX60" i="7" s="1"/>
  <c r="AY78" i="7"/>
  <c r="DB60" i="7" s="1"/>
  <c r="AJ114" i="10"/>
  <c r="BH147" i="5"/>
  <c r="BH154" i="5"/>
  <c r="BK224" i="5"/>
  <c r="AK65" i="5"/>
  <c r="AK173" i="5"/>
  <c r="BI39" i="5"/>
  <c r="BI22" i="7" s="1"/>
  <c r="BI19" i="6"/>
  <c r="BI149" i="10"/>
  <c r="BI86" i="10"/>
  <c r="BI73" i="10"/>
  <c r="AV107" i="5"/>
  <c r="AV14" i="5"/>
  <c r="AA124" i="5"/>
  <c r="AA113" i="5"/>
  <c r="AA19" i="5"/>
  <c r="AE114" i="7"/>
  <c r="AK51" i="5"/>
  <c r="AK56" i="5"/>
  <c r="AQ56" i="5"/>
  <c r="AQ51" i="5"/>
  <c r="AM76" i="7"/>
  <c r="W100" i="10"/>
  <c r="AW46" i="10"/>
  <c r="AW47" i="10" s="1"/>
  <c r="AW64" i="10"/>
  <c r="BI106" i="5"/>
  <c r="BI107" i="5" s="1"/>
  <c r="AU80" i="7"/>
  <c r="CZ62" i="7" s="1"/>
  <c r="CZ46" i="7"/>
  <c r="AN86" i="5"/>
  <c r="W22" i="11"/>
  <c r="W166" i="10"/>
  <c r="O117" i="10"/>
  <c r="AH100" i="10"/>
  <c r="AH84" i="5"/>
  <c r="AK83" i="5"/>
  <c r="AK84" i="5" s="1"/>
  <c r="AH206" i="5"/>
  <c r="Y189" i="5"/>
  <c r="BC55" i="5"/>
  <c r="BC56" i="5"/>
  <c r="CY12" i="7"/>
  <c r="AZ29" i="7"/>
  <c r="BI79" i="7"/>
  <c r="DD31" i="7"/>
  <c r="AB43" i="11"/>
  <c r="AA51" i="10"/>
  <c r="BK37" i="13"/>
  <c r="BM21" i="13"/>
  <c r="AU209" i="5"/>
  <c r="AU103" i="5"/>
  <c r="AG166" i="10"/>
  <c r="AG22" i="11"/>
  <c r="AM84" i="5"/>
  <c r="AQ83" i="5"/>
  <c r="AQ84" i="5" s="1"/>
  <c r="C110" i="10"/>
  <c r="C106" i="10"/>
  <c r="AW191" i="5"/>
  <c r="AB147" i="6"/>
  <c r="V147" i="6"/>
  <c r="BH74" i="5"/>
  <c r="BH114" i="7"/>
  <c r="BH118" i="7" s="1"/>
  <c r="P126" i="5"/>
  <c r="AT170" i="10"/>
  <c r="AE107" i="10"/>
  <c r="AE159" i="10"/>
  <c r="AB15" i="5"/>
  <c r="AB41" i="5"/>
  <c r="AB12" i="5"/>
  <c r="AM109" i="10"/>
  <c r="AM106" i="10"/>
  <c r="AY83" i="7"/>
  <c r="DB65" i="7" s="1"/>
  <c r="CX49" i="7"/>
  <c r="AS83" i="7"/>
  <c r="CX65" i="7" s="1"/>
  <c r="AW75" i="7"/>
  <c r="AW73" i="7"/>
  <c r="AY81" i="7"/>
  <c r="DB63" i="7" s="1"/>
  <c r="CX47" i="7"/>
  <c r="AS81" i="7"/>
  <c r="CX63" i="7" s="1"/>
  <c r="M216" i="5"/>
  <c r="AG190" i="10"/>
  <c r="AD190" i="10"/>
  <c r="AK190" i="10"/>
  <c r="AE106" i="11"/>
  <c r="E137" i="10"/>
  <c r="E138" i="10" s="1"/>
  <c r="E115" i="5" s="1"/>
  <c r="AZ116" i="10"/>
  <c r="AZ104" i="10"/>
  <c r="AZ109" i="10"/>
  <c r="BB13" i="11"/>
  <c r="AK43" i="11"/>
  <c r="AJ75" i="10"/>
  <c r="AJ74" i="10"/>
  <c r="AJ41" i="5"/>
  <c r="AQ48" i="5"/>
  <c r="AQ49" i="5" s="1"/>
  <c r="AM49" i="5"/>
  <c r="AM113" i="6"/>
  <c r="AM105" i="6"/>
  <c r="AM102" i="6"/>
  <c r="AS144" i="6"/>
  <c r="AA106" i="10"/>
  <c r="AT78" i="6"/>
  <c r="P107" i="10"/>
  <c r="P159" i="10"/>
  <c r="R6" i="7"/>
  <c r="R70" i="6"/>
  <c r="AQ46" i="10"/>
  <c r="AQ47" i="10" s="1"/>
  <c r="BY15" i="13"/>
  <c r="BZ15" i="13" s="1"/>
  <c r="CA15" i="13" s="1"/>
  <c r="CB15" i="13" s="1"/>
  <c r="CC15" i="13" s="1"/>
  <c r="CE15" i="13" s="1"/>
  <c r="BW31" i="13"/>
  <c r="BX127" i="5"/>
  <c r="BY127" i="5" s="1"/>
  <c r="BZ127" i="5" s="1"/>
  <c r="CC127" i="5" s="1"/>
  <c r="BI105" i="10"/>
  <c r="BG109" i="10"/>
  <c r="BG104" i="10"/>
  <c r="BG116" i="10"/>
  <c r="BF215" i="5"/>
  <c r="BF216" i="5" s="1"/>
  <c r="BF213" i="5"/>
  <c r="BF186" i="5"/>
  <c r="BF214" i="5"/>
  <c r="BF187" i="5"/>
  <c r="DD47" i="7"/>
  <c r="BA81" i="7"/>
  <c r="DD63" i="7" s="1"/>
  <c r="DD45" i="7"/>
  <c r="BA79" i="7"/>
  <c r="DD61" i="7" s="1"/>
  <c r="BG79" i="7"/>
  <c r="DH61" i="7" s="1"/>
  <c r="AD15" i="5"/>
  <c r="AD41" i="5"/>
  <c r="K92" i="5"/>
  <c r="K157" i="5"/>
  <c r="K191" i="5" s="1"/>
  <c r="K39" i="5"/>
  <c r="K22" i="7" s="1"/>
  <c r="K149" i="10"/>
  <c r="K73" i="5"/>
  <c r="K90" i="5"/>
  <c r="K12" i="5"/>
  <c r="Q39" i="5"/>
  <c r="K74" i="5"/>
  <c r="M10" i="5"/>
  <c r="K102" i="10"/>
  <c r="E74" i="5"/>
  <c r="K114" i="7"/>
  <c r="AT41" i="10"/>
  <c r="R160" i="10"/>
  <c r="S21" i="10"/>
  <c r="S160" i="10" s="1"/>
  <c r="CU18" i="7"/>
  <c r="AN25" i="7"/>
  <c r="AT81" i="7"/>
  <c r="CY63" i="7" s="1"/>
  <c r="CY47" i="7"/>
  <c r="CY46" i="7"/>
  <c r="AT80" i="7"/>
  <c r="CY62" i="7" s="1"/>
  <c r="U147" i="6"/>
  <c r="AA147" i="6"/>
  <c r="AG23" i="13"/>
  <c r="AG38" i="13"/>
  <c r="AI38" i="13"/>
  <c r="BA14" i="6"/>
  <c r="BG92" i="7" s="1"/>
  <c r="BG105" i="7" s="1"/>
  <c r="BY138" i="10"/>
  <c r="AY102" i="7"/>
  <c r="AD12" i="5"/>
  <c r="Y114" i="7"/>
  <c r="AG52" i="10"/>
  <c r="BC39" i="5"/>
  <c r="BC22" i="7" s="1"/>
  <c r="BC86" i="10"/>
  <c r="BC90" i="5"/>
  <c r="BC73" i="10"/>
  <c r="BC149" i="10"/>
  <c r="AW116" i="10"/>
  <c r="CZ47" i="7"/>
  <c r="AU81" i="7"/>
  <c r="CZ63" i="7" s="1"/>
  <c r="CZ49" i="7"/>
  <c r="AU83" i="7"/>
  <c r="CZ65" i="7" s="1"/>
  <c r="AN84" i="5"/>
  <c r="CX18" i="7"/>
  <c r="AS25" i="7"/>
  <c r="W119" i="10"/>
  <c r="W161" i="10"/>
  <c r="V166" i="10"/>
  <c r="Y175" i="5"/>
  <c r="Y174" i="5"/>
  <c r="Y205" i="5"/>
  <c r="Y204" i="5"/>
  <c r="AP101" i="5"/>
  <c r="AP206" i="5"/>
  <c r="AA216" i="5"/>
  <c r="AO86" i="5"/>
  <c r="AO114" i="7"/>
  <c r="AU114" i="7"/>
  <c r="AO74" i="5"/>
  <c r="AP71" i="7"/>
  <c r="AP72" i="7"/>
  <c r="AP75" i="7"/>
  <c r="AQ75" i="7" s="1"/>
  <c r="AP70" i="7"/>
  <c r="AP74" i="7"/>
  <c r="AQ74" i="7" s="1"/>
  <c r="AP29" i="6"/>
  <c r="AP59" i="6"/>
  <c r="AP73" i="7"/>
  <c r="AQ73" i="7" s="1"/>
  <c r="AP25" i="6"/>
  <c r="AW241" i="5"/>
  <c r="X87" i="7"/>
  <c r="BA31" i="11"/>
  <c r="I122" i="10"/>
  <c r="I124" i="10" s="1"/>
  <c r="M122" i="10"/>
  <c r="AZ102" i="7"/>
  <c r="X100" i="10"/>
  <c r="AJ14" i="5"/>
  <c r="AJ107" i="5"/>
  <c r="AE101" i="6"/>
  <c r="AE173" i="5"/>
  <c r="AE48" i="5"/>
  <c r="AE49" i="5" s="1"/>
  <c r="AE65" i="5"/>
  <c r="AU41" i="10"/>
  <c r="AI145" i="6"/>
  <c r="AC145" i="6"/>
  <c r="F136" i="10"/>
  <c r="G137" i="10" s="1"/>
  <c r="G138" i="10" s="1"/>
  <c r="G115" i="5" s="1"/>
  <c r="Y171" i="5"/>
  <c r="Y170" i="5"/>
  <c r="AE170" i="5"/>
  <c r="Y201" i="5"/>
  <c r="Y202" i="5"/>
  <c r="Y215" i="5"/>
  <c r="Y216" i="5" s="1"/>
  <c r="AE202" i="5"/>
  <c r="AO44" i="6"/>
  <c r="AO42" i="6" s="1"/>
  <c r="AO11" i="7" s="1"/>
  <c r="AO90" i="7" s="1"/>
  <c r="AO55" i="6"/>
  <c r="AO53" i="6" s="1"/>
  <c r="AO16" i="7" s="1"/>
  <c r="AO95" i="7" s="1"/>
  <c r="AO51" i="6"/>
  <c r="AO46" i="6" s="1"/>
  <c r="AO12" i="7" s="1"/>
  <c r="AO91" i="7" s="1"/>
  <c r="AY191" i="5"/>
  <c r="AB109" i="7"/>
  <c r="AA107" i="10"/>
  <c r="AB100" i="10" s="1"/>
  <c r="AA159" i="10"/>
  <c r="J160" i="10"/>
  <c r="CY49" i="7"/>
  <c r="AT83" i="7"/>
  <c r="CY65" i="7" s="1"/>
  <c r="BI51" i="5"/>
  <c r="BI56" i="5"/>
  <c r="V119" i="10"/>
  <c r="W114" i="10" s="1"/>
  <c r="V161" i="10"/>
  <c r="AD146" i="6"/>
  <c r="AJ146" i="6"/>
  <c r="CY11" i="7"/>
  <c r="AZ28" i="7"/>
  <c r="AT28" i="7"/>
  <c r="U23" i="13"/>
  <c r="W38" i="13"/>
  <c r="AA38" i="13"/>
  <c r="AK73" i="5"/>
  <c r="AQ24" i="7"/>
  <c r="AQ58" i="6" s="1"/>
  <c r="AK73" i="10"/>
  <c r="AK19" i="6"/>
  <c r="AK149" i="10"/>
  <c r="AK86" i="10"/>
  <c r="AQ23" i="7"/>
  <c r="AQ59" i="6" s="1"/>
  <c r="AK90" i="5"/>
  <c r="BI73" i="5"/>
  <c r="Y100" i="7"/>
  <c r="AE100" i="7"/>
  <c r="DF31" i="7"/>
  <c r="DJ31" i="7"/>
  <c r="BC29" i="5"/>
  <c r="AM14" i="5"/>
  <c r="AM212" i="5"/>
  <c r="AM107" i="5"/>
  <c r="AE43" i="5"/>
  <c r="AE56" i="5"/>
  <c r="AC114" i="10"/>
  <c r="L106" i="5"/>
  <c r="L93" i="5"/>
  <c r="AZ78" i="6"/>
  <c r="AZ144" i="6"/>
  <c r="BI11" i="5"/>
  <c r="BH57" i="5"/>
  <c r="AQ87" i="5"/>
  <c r="AQ88" i="5" s="1"/>
  <c r="AM88" i="5"/>
  <c r="AI147" i="6"/>
  <c r="AC147" i="6"/>
  <c r="V145" i="6"/>
  <c r="AB145" i="6"/>
  <c r="AQ100" i="6"/>
  <c r="AW142" i="6"/>
  <c r="CY18" i="7"/>
  <c r="AT25" i="7"/>
  <c r="AI102" i="10"/>
  <c r="AO78" i="6"/>
  <c r="AW72" i="7"/>
  <c r="CX46" i="7"/>
  <c r="AS80" i="7"/>
  <c r="CX62" i="7" s="1"/>
  <c r="AY80" i="7"/>
  <c r="DB62" i="7" s="1"/>
  <c r="AW74" i="7"/>
  <c r="AY82" i="7"/>
  <c r="DB64" i="7" s="1"/>
  <c r="CX48" i="7"/>
  <c r="AS82" i="7"/>
  <c r="CX64" i="7" s="1"/>
  <c r="AK130" i="5"/>
  <c r="AH22" i="11"/>
  <c r="AU57" i="5"/>
  <c r="AA160" i="10"/>
  <c r="AH88" i="5"/>
  <c r="AK87" i="5"/>
  <c r="AK88" i="5" s="1"/>
  <c r="AH212" i="5"/>
  <c r="BA91" i="5"/>
  <c r="BC14" i="5"/>
  <c r="BA15" i="5"/>
  <c r="BA113" i="5" s="1"/>
  <c r="AZ170" i="10"/>
  <c r="I12" i="5"/>
  <c r="M11" i="5"/>
  <c r="AM140" i="6"/>
  <c r="AS140" i="6"/>
  <c r="AA126" i="5"/>
  <c r="AS14" i="5"/>
  <c r="AS15" i="5" s="1"/>
  <c r="AS107" i="5"/>
  <c r="Y16" i="10"/>
  <c r="X159" i="10"/>
  <c r="X107" i="10"/>
  <c r="AC140" i="6"/>
  <c r="AI140" i="6"/>
  <c r="AI57" i="5"/>
  <c r="AK189" i="5"/>
  <c r="AE189" i="5"/>
  <c r="AZ83" i="7"/>
  <c r="DC65" i="7" s="1"/>
  <c r="BG170" i="10"/>
  <c r="CV18" i="7"/>
  <c r="AO25" i="7"/>
  <c r="AM78" i="6"/>
  <c r="BA78" i="7"/>
  <c r="DD60" i="7" s="1"/>
  <c r="DD44" i="7"/>
  <c r="BC70" i="7"/>
  <c r="K147" i="6"/>
  <c r="Q147" i="6"/>
  <c r="M101" i="6"/>
  <c r="K146" i="6"/>
  <c r="Q146" i="6"/>
  <c r="M100" i="6"/>
  <c r="AW99" i="7"/>
  <c r="AQ99" i="7"/>
  <c r="AZ78" i="7"/>
  <c r="DC60" i="7" s="1"/>
  <c r="AT78" i="7"/>
  <c r="CY60" i="7" s="1"/>
  <c r="CY44" i="7"/>
  <c r="AS202" i="5"/>
  <c r="AW200" i="5"/>
  <c r="AS170" i="5"/>
  <c r="AS171" i="5"/>
  <c r="AS201" i="5"/>
  <c r="BE147" i="5"/>
  <c r="BE154" i="5"/>
  <c r="BI144" i="5"/>
  <c r="AM44" i="6"/>
  <c r="AM42" i="6" s="1"/>
  <c r="AM11" i="7" s="1"/>
  <c r="AM55" i="6"/>
  <c r="AM53" i="6" s="1"/>
  <c r="AM16" i="7" s="1"/>
  <c r="AM51" i="6"/>
  <c r="AM46" i="6" s="1"/>
  <c r="AM12" i="7" s="1"/>
  <c r="AE190" i="10"/>
  <c r="AQ196" i="5"/>
  <c r="AQ163" i="5"/>
  <c r="AQ195" i="5"/>
  <c r="AQ162" i="5"/>
  <c r="BI23" i="7"/>
  <c r="BR130" i="5"/>
  <c r="BS130" i="5" s="1"/>
  <c r="BT130" i="5" s="1"/>
  <c r="BW130" i="5" s="1"/>
  <c r="P114" i="7"/>
  <c r="J114" i="7"/>
  <c r="J118" i="7" s="1"/>
  <c r="J74" i="5"/>
  <c r="M13" i="5"/>
  <c r="S114" i="7" s="1"/>
  <c r="AK64" i="10"/>
  <c r="AK46" i="10"/>
  <c r="AK47" i="10" s="1"/>
  <c r="AY25" i="7"/>
  <c r="DB18" i="7"/>
  <c r="AV57" i="5"/>
  <c r="CZ45" i="7"/>
  <c r="AN14" i="5"/>
  <c r="AN15" i="5" s="1"/>
  <c r="AN107" i="5"/>
  <c r="AN105" i="5"/>
  <c r="AN103" i="5"/>
  <c r="AN101" i="5"/>
  <c r="AN74" i="5"/>
  <c r="AT114" i="7"/>
  <c r="AN114" i="7"/>
  <c r="AN118" i="7" s="1"/>
  <c r="X91" i="5"/>
  <c r="AD113" i="7"/>
  <c r="X113" i="7"/>
  <c r="Y14" i="5"/>
  <c r="Q204" i="10"/>
  <c r="X204" i="10"/>
  <c r="P204" i="10"/>
  <c r="AO88" i="5"/>
  <c r="BC73" i="5"/>
  <c r="AU99" i="7"/>
  <c r="AO99" i="7"/>
  <c r="Y102" i="7"/>
  <c r="AE102" i="7"/>
  <c r="AU78" i="6"/>
  <c r="AV14" i="6"/>
  <c r="BB92" i="7" s="1"/>
  <c r="BB105" i="7" s="1"/>
  <c r="AV46" i="6"/>
  <c r="AV12" i="7" s="1"/>
  <c r="AV91" i="7" s="1"/>
  <c r="AV15" i="6"/>
  <c r="AJ78" i="6"/>
  <c r="AT57" i="5"/>
  <c r="AU102" i="6"/>
  <c r="AU121" i="6"/>
  <c r="AU117" i="6"/>
  <c r="AJ101" i="10"/>
  <c r="AU22" i="7"/>
  <c r="AU17" i="7"/>
  <c r="V102" i="6"/>
  <c r="V113" i="6"/>
  <c r="DD49" i="7"/>
  <c r="BA83" i="7"/>
  <c r="DD65" i="7" s="1"/>
  <c r="CW18" i="7"/>
  <c r="AP25" i="7"/>
  <c r="AH86" i="5"/>
  <c r="AK85" i="5"/>
  <c r="AK86" i="5" s="1"/>
  <c r="AH209" i="5"/>
  <c r="CY45" i="7"/>
  <c r="AT79" i="7"/>
  <c r="CY61" i="7" s="1"/>
  <c r="AY116" i="10"/>
  <c r="BC105" i="10"/>
  <c r="AV22" i="7"/>
  <c r="AV17" i="7"/>
  <c r="X99" i="7"/>
  <c r="AS76" i="10"/>
  <c r="AW41" i="5"/>
  <c r="AW74" i="10"/>
  <c r="AW75" i="10"/>
  <c r="BG144" i="6"/>
  <c r="BG78" i="6"/>
  <c r="BB156" i="5"/>
  <c r="BB147" i="5"/>
  <c r="BC146" i="5"/>
  <c r="BC156" i="5" s="1"/>
  <c r="AB100" i="7"/>
  <c r="CY16" i="7"/>
  <c r="AZ33" i="7"/>
  <c r="AG106" i="10"/>
  <c r="AK136" i="6"/>
  <c r="AQ136" i="6"/>
  <c r="BA25" i="7"/>
  <c r="DD18" i="7"/>
  <c r="AG57" i="5"/>
  <c r="BG38" i="13"/>
  <c r="BE23" i="13"/>
  <c r="BE38" i="13"/>
  <c r="BI178" i="5"/>
  <c r="BI207" i="5"/>
  <c r="BI208" i="5"/>
  <c r="BI179" i="5"/>
  <c r="AA41" i="5"/>
  <c r="AA12" i="5"/>
  <c r="AE11" i="5"/>
  <c r="AA204" i="10"/>
  <c r="DA16" i="7"/>
  <c r="BB33" i="7"/>
  <c r="AM86" i="5"/>
  <c r="AQ85" i="5"/>
  <c r="AQ86" i="5" s="1"/>
  <c r="AP41" i="5"/>
  <c r="AP74" i="10"/>
  <c r="AP75" i="10"/>
  <c r="U102" i="6"/>
  <c r="U144" i="6"/>
  <c r="U113" i="6"/>
  <c r="AB102" i="7"/>
  <c r="BC23" i="7"/>
  <c r="AN78" i="6"/>
  <c r="AS146" i="6"/>
  <c r="AM23" i="13"/>
  <c r="AO38" i="13"/>
  <c r="AM38" i="13"/>
  <c r="P106" i="10"/>
  <c r="AJ49" i="5"/>
  <c r="AK48" i="5"/>
  <c r="AK49" i="5" s="1"/>
  <c r="AD78" i="6"/>
  <c r="AD118" i="7"/>
  <c r="AJ118" i="7"/>
  <c r="Y65" i="5"/>
  <c r="Y48" i="5"/>
  <c r="Y49" i="5" s="1"/>
  <c r="Y173" i="5"/>
  <c r="AW71" i="7"/>
  <c r="CX45" i="7"/>
  <c r="AS79" i="7"/>
  <c r="CX61" i="7" s="1"/>
  <c r="AY79" i="7"/>
  <c r="DB61" i="7" s="1"/>
  <c r="AE204" i="5"/>
  <c r="AE174" i="5"/>
  <c r="AE205" i="5"/>
  <c r="AE175" i="5"/>
  <c r="DC18" i="7"/>
  <c r="AZ25" i="7"/>
  <c r="AG14" i="5"/>
  <c r="AG107" i="5"/>
  <c r="AN140" i="6"/>
  <c r="AQ173" i="5"/>
  <c r="AW173" i="5"/>
  <c r="AQ65" i="5"/>
  <c r="AM109" i="6"/>
  <c r="AS114" i="7"/>
  <c r="AS74" i="5"/>
  <c r="AW13" i="5"/>
  <c r="AY114" i="7"/>
  <c r="Q107" i="10"/>
  <c r="Q159" i="10"/>
  <c r="D106" i="10"/>
  <c r="AK101" i="6"/>
  <c r="AQ143" i="6"/>
  <c r="AK143" i="6"/>
  <c r="AH147" i="6"/>
  <c r="AN147" i="6"/>
  <c r="BF14" i="5"/>
  <c r="BF107" i="5"/>
  <c r="BU127" i="5"/>
  <c r="BB102" i="10"/>
  <c r="BC101" i="10"/>
  <c r="BC102" i="10" s="1"/>
  <c r="BB104" i="10"/>
  <c r="BB109" i="10"/>
  <c r="AO14" i="5"/>
  <c r="AO105" i="5"/>
  <c r="AO101" i="5"/>
  <c r="AO107" i="5"/>
  <c r="AO103" i="5"/>
  <c r="AG119" i="10"/>
  <c r="AH114" i="10" s="1"/>
  <c r="AG161" i="10"/>
  <c r="BA82" i="7"/>
  <c r="DD64" i="7" s="1"/>
  <c r="DD48" i="7"/>
  <c r="BA80" i="7"/>
  <c r="DD62" i="7" s="1"/>
  <c r="DD46" i="7"/>
  <c r="AP12" i="5"/>
  <c r="AE36" i="11"/>
  <c r="AD101" i="10"/>
  <c r="K77" i="6"/>
  <c r="K69" i="6"/>
  <c r="M76" i="6"/>
  <c r="K98" i="6"/>
  <c r="M99" i="6"/>
  <c r="K145" i="6"/>
  <c r="Q145" i="6"/>
  <c r="Y190" i="5"/>
  <c r="AE190" i="5"/>
  <c r="BC147" i="6"/>
  <c r="AK11" i="5"/>
  <c r="AG41" i="5"/>
  <c r="Q25" i="5"/>
  <c r="Q26" i="5" s="1"/>
  <c r="L13" i="11"/>
  <c r="L123" i="5"/>
  <c r="AN41" i="5"/>
  <c r="BC213" i="5"/>
  <c r="BC215" i="5"/>
  <c r="BC187" i="5"/>
  <c r="AN100" i="10"/>
  <c r="AM104" i="10"/>
  <c r="AT82" i="7"/>
  <c r="CY64" i="7" s="1"/>
  <c r="CY48" i="7"/>
  <c r="BE75" i="10"/>
  <c r="BE41" i="5"/>
  <c r="BE74" i="10"/>
  <c r="BE12" i="5"/>
  <c r="AQ128" i="5"/>
  <c r="AG78" i="6"/>
  <c r="AW101" i="10"/>
  <c r="AV36" i="11"/>
  <c r="AV78" i="6"/>
  <c r="AJ101" i="7"/>
  <c r="BC183" i="5"/>
  <c r="BC210" i="5"/>
  <c r="AZ81" i="11"/>
  <c r="AZ33" i="11"/>
  <c r="AV47" i="10"/>
  <c r="BB22" i="7"/>
  <c r="CZ48" i="7"/>
  <c r="AU82" i="7"/>
  <c r="CZ64" i="7" s="1"/>
  <c r="CZ44" i="7"/>
  <c r="AU78" i="7"/>
  <c r="CZ60" i="7" s="1"/>
  <c r="AN88" i="5"/>
  <c r="AM25" i="7"/>
  <c r="CT18" i="7"/>
  <c r="AW24" i="7"/>
  <c r="AW58" i="6" s="1"/>
  <c r="AQ86" i="10"/>
  <c r="AQ39" i="5"/>
  <c r="AQ22" i="7" s="1"/>
  <c r="AQ149" i="10"/>
  <c r="AQ73" i="5"/>
  <c r="AQ73" i="10"/>
  <c r="AQ19" i="6"/>
  <c r="AD119" i="10"/>
  <c r="AD161" i="10"/>
  <c r="AE18" i="10"/>
  <c r="AD22" i="11"/>
  <c r="AD166" i="10"/>
  <c r="AE35" i="10"/>
  <c r="AE204" i="10" s="1"/>
  <c r="AW29" i="5"/>
  <c r="AO84" i="5"/>
  <c r="AQ11" i="5"/>
  <c r="AQ12" i="5" s="1"/>
  <c r="AJ12" i="5"/>
  <c r="BB117" i="10"/>
  <c r="AE95" i="11"/>
  <c r="AK91" i="11" s="1"/>
  <c r="AE103" i="11"/>
  <c r="BC115" i="10"/>
  <c r="BB118" i="10"/>
  <c r="BF33" i="11"/>
  <c r="BF81" i="11"/>
  <c r="BC94" i="10"/>
  <c r="AD94" i="10"/>
  <c r="AE94" i="10" s="1"/>
  <c r="BB47" i="11"/>
  <c r="BB49" i="11" s="1"/>
  <c r="BI94" i="10"/>
  <c r="AS38" i="7" l="1"/>
  <c r="BT103" i="7"/>
  <c r="AN38" i="7"/>
  <c r="AY38" i="7"/>
  <c r="AI38" i="7"/>
  <c r="X21" i="7"/>
  <c r="AD38" i="7" s="1"/>
  <c r="AU96" i="7"/>
  <c r="AU109" i="7" s="1"/>
  <c r="AU21" i="7"/>
  <c r="BC96" i="7"/>
  <c r="AV96" i="7"/>
  <c r="AV109" i="7" s="1"/>
  <c r="AV21" i="7"/>
  <c r="AK34" i="7"/>
  <c r="AE21" i="7"/>
  <c r="Y21" i="7"/>
  <c r="DH32" i="7"/>
  <c r="BR107" i="7"/>
  <c r="AN109" i="7"/>
  <c r="AQ215" i="10"/>
  <c r="DB27" i="7"/>
  <c r="BC216" i="10"/>
  <c r="BC215" i="10"/>
  <c r="BS37" i="10"/>
  <c r="BR208" i="10"/>
  <c r="AH197" i="10"/>
  <c r="AH198" i="10" s="1"/>
  <c r="Q199" i="10"/>
  <c r="AZ109" i="7"/>
  <c r="AP109" i="7"/>
  <c r="AO109" i="7"/>
  <c r="AS40" i="5"/>
  <c r="AS96" i="7"/>
  <c r="AS109" i="7" s="1"/>
  <c r="AT109" i="7"/>
  <c r="DC15" i="7"/>
  <c r="AZ94" i="7"/>
  <c r="AZ107" i="7" s="1"/>
  <c r="BL107" i="7"/>
  <c r="DB15" i="7"/>
  <c r="AY94" i="7"/>
  <c r="AY107" i="7" s="1"/>
  <c r="BO41" i="6"/>
  <c r="BA15" i="6"/>
  <c r="BG93" i="7" s="1"/>
  <c r="BA93" i="7"/>
  <c r="BA106" i="7" s="1"/>
  <c r="BB104" i="7"/>
  <c r="AW95" i="7"/>
  <c r="AU103" i="7"/>
  <c r="BA103" i="7"/>
  <c r="BA104" i="7"/>
  <c r="AU104" i="7"/>
  <c r="AW90" i="7"/>
  <c r="BO53" i="6"/>
  <c r="BO16" i="7" s="1"/>
  <c r="AY104" i="7"/>
  <c r="BB15" i="6"/>
  <c r="BB93" i="7"/>
  <c r="BB106" i="7" s="1"/>
  <c r="AO108" i="7"/>
  <c r="AU108" i="7"/>
  <c r="CU16" i="7"/>
  <c r="CY31" i="7" s="1"/>
  <c r="AN95" i="7"/>
  <c r="BB28" i="7"/>
  <c r="AV90" i="7"/>
  <c r="AY103" i="7"/>
  <c r="BF109" i="7"/>
  <c r="BG109" i="7"/>
  <c r="DG15" i="7"/>
  <c r="DK30" i="7" s="1"/>
  <c r="BF32" i="7"/>
  <c r="BL32" i="7"/>
  <c r="DO13" i="7"/>
  <c r="DO28" i="7" s="1"/>
  <c r="BR30" i="7"/>
  <c r="BX30" i="7"/>
  <c r="DI18" i="7"/>
  <c r="BQ13" i="7"/>
  <c r="BQ92" i="7" s="1"/>
  <c r="BQ105" i="7" s="1"/>
  <c r="BH113" i="7"/>
  <c r="V52" i="10"/>
  <c r="W52" i="10"/>
  <c r="CG38" i="10"/>
  <c r="CI38" i="10"/>
  <c r="CJ38" i="10" s="1"/>
  <c r="CK38" i="10" s="1"/>
  <c r="CL38" i="10" s="1"/>
  <c r="CM38" i="10" s="1"/>
  <c r="CG132" i="5"/>
  <c r="CK132" i="5"/>
  <c r="CM132" i="5" s="1"/>
  <c r="BE79" i="10"/>
  <c r="AT103" i="5"/>
  <c r="K160" i="10"/>
  <c r="BG57" i="5"/>
  <c r="G21" i="10"/>
  <c r="G160" i="10" s="1"/>
  <c r="AB146" i="6"/>
  <c r="AD145" i="6"/>
  <c r="AM147" i="6"/>
  <c r="AG146" i="6"/>
  <c r="AT15" i="5"/>
  <c r="AT18" i="5" s="1"/>
  <c r="AT123" i="5" s="1"/>
  <c r="AT124" i="5" s="1"/>
  <c r="AC146" i="6"/>
  <c r="U146" i="6"/>
  <c r="AN146" i="6"/>
  <c r="BR108" i="11"/>
  <c r="BF118" i="7"/>
  <c r="DH18" i="7"/>
  <c r="DH33" i="7" s="1"/>
  <c r="AY84" i="11"/>
  <c r="AY170" i="10"/>
  <c r="BM37" i="13"/>
  <c r="BN37" i="13"/>
  <c r="AT212" i="5"/>
  <c r="AT213" i="5" s="1"/>
  <c r="BG15" i="5"/>
  <c r="BE83" i="11"/>
  <c r="DG18" i="7"/>
  <c r="DG33" i="7" s="1"/>
  <c r="AZ113" i="7"/>
  <c r="AT82" i="11"/>
  <c r="AT84" i="11" s="1"/>
  <c r="AT81" i="10"/>
  <c r="E160" i="10"/>
  <c r="DA11" i="7"/>
  <c r="DE26" i="7" s="1"/>
  <c r="AS170" i="10"/>
  <c r="BG81" i="11"/>
  <c r="Z8" i="13"/>
  <c r="BE82" i="10"/>
  <c r="BC28" i="7"/>
  <c r="BF76" i="10"/>
  <c r="AV57" i="6"/>
  <c r="AG134" i="5"/>
  <c r="AG29" i="5" s="1"/>
  <c r="DG32" i="7"/>
  <c r="BE84" i="11"/>
  <c r="BC33" i="7"/>
  <c r="AU16" i="6"/>
  <c r="X38" i="5"/>
  <c r="DF32" i="7"/>
  <c r="AC159" i="5"/>
  <c r="BG33" i="11"/>
  <c r="BE119" i="7"/>
  <c r="AG59" i="6"/>
  <c r="AJ59" i="6"/>
  <c r="AH59" i="6"/>
  <c r="X104" i="10"/>
  <c r="BI47" i="11"/>
  <c r="BI49" i="11" s="1"/>
  <c r="AY83" i="11"/>
  <c r="BA29" i="7"/>
  <c r="AC105" i="6"/>
  <c r="M94" i="10"/>
  <c r="CZ12" i="7"/>
  <c r="DD27" i="7" s="1"/>
  <c r="AC102" i="6"/>
  <c r="AI144" i="6"/>
  <c r="BE257" i="5"/>
  <c r="AH102" i="6"/>
  <c r="AN144" i="6"/>
  <c r="AH113" i="6"/>
  <c r="BZ138" i="10"/>
  <c r="CC31" i="13"/>
  <c r="CF15" i="13"/>
  <c r="CG15" i="13" s="1"/>
  <c r="CH15" i="13" s="1"/>
  <c r="CI15" i="13" s="1"/>
  <c r="BI78" i="6"/>
  <c r="BI144" i="6"/>
  <c r="X193" i="5"/>
  <c r="BB87" i="10"/>
  <c r="BB113" i="5"/>
  <c r="L70" i="6"/>
  <c r="X159" i="5"/>
  <c r="X7" i="10"/>
  <c r="F123" i="5"/>
  <c r="G123" i="5" s="1"/>
  <c r="AB6" i="7"/>
  <c r="X7" i="11"/>
  <c r="X6" i="6"/>
  <c r="X70" i="6" s="1"/>
  <c r="AC7" i="11"/>
  <c r="W6" i="7"/>
  <c r="X139" i="5"/>
  <c r="AG102" i="6"/>
  <c r="AJ25" i="7"/>
  <c r="J25" i="7"/>
  <c r="AA146" i="6"/>
  <c r="AW98" i="6"/>
  <c r="AW102" i="6" s="1"/>
  <c r="AW140" i="6"/>
  <c r="BO104" i="5"/>
  <c r="BO105" i="5" s="1"/>
  <c r="M13" i="11"/>
  <c r="AE8" i="13"/>
  <c r="AC193" i="5"/>
  <c r="AD8" i="5"/>
  <c r="AD6" i="6" s="1"/>
  <c r="AC139" i="5"/>
  <c r="AC7" i="10"/>
  <c r="AC38" i="5"/>
  <c r="AE142" i="6"/>
  <c r="AE94" i="6"/>
  <c r="AO144" i="6"/>
  <c r="AG105" i="6"/>
  <c r="AM144" i="6"/>
  <c r="CY32" i="7"/>
  <c r="AC109" i="7"/>
  <c r="AW136" i="6"/>
  <c r="BM54" i="5"/>
  <c r="BM55" i="5" s="1"/>
  <c r="BM212" i="5"/>
  <c r="BM214" i="5" s="1"/>
  <c r="BO87" i="5"/>
  <c r="BO88" i="5" s="1"/>
  <c r="BM50" i="5"/>
  <c r="BM51" i="5" s="1"/>
  <c r="BL212" i="5"/>
  <c r="BL214" i="5" s="1"/>
  <c r="BF80" i="7"/>
  <c r="DG62" i="7" s="1"/>
  <c r="AA140" i="6"/>
  <c r="AC25" i="7"/>
  <c r="BN206" i="5"/>
  <c r="BN212" i="5"/>
  <c r="BN185" i="5"/>
  <c r="BN54" i="5"/>
  <c r="AG147" i="6"/>
  <c r="BO70" i="5"/>
  <c r="BO71" i="5" s="1"/>
  <c r="BO54" i="6"/>
  <c r="BO55" i="6"/>
  <c r="I144" i="6"/>
  <c r="BO52" i="6"/>
  <c r="AD144" i="6"/>
  <c r="BM206" i="5"/>
  <c r="BL54" i="5"/>
  <c r="BN50" i="5"/>
  <c r="AJ144" i="6"/>
  <c r="AD105" i="6"/>
  <c r="AD113" i="6"/>
  <c r="AO113" i="6"/>
  <c r="AO102" i="6"/>
  <c r="C93" i="5"/>
  <c r="AA119" i="7"/>
  <c r="AC19" i="5"/>
  <c r="AN134" i="5"/>
  <c r="AN29" i="5" s="1"/>
  <c r="CD127" i="5"/>
  <c r="CE127" i="5" s="1"/>
  <c r="CF127" i="5" s="1"/>
  <c r="CI127" i="5" s="1"/>
  <c r="W57" i="5"/>
  <c r="U19" i="5"/>
  <c r="U150" i="10" s="1"/>
  <c r="Y147" i="6"/>
  <c r="AE99" i="6"/>
  <c r="AE145" i="6" s="1"/>
  <c r="AE143" i="6"/>
  <c r="U113" i="5"/>
  <c r="Y94" i="6"/>
  <c r="AE147" i="6"/>
  <c r="R17" i="7"/>
  <c r="O108" i="5"/>
  <c r="O109" i="5" s="1"/>
  <c r="O197" i="10"/>
  <c r="O198" i="10" s="1"/>
  <c r="AQ106" i="5"/>
  <c r="AQ107" i="5" s="1"/>
  <c r="O61" i="10"/>
  <c r="O16" i="5"/>
  <c r="O112" i="5" s="1"/>
  <c r="O24" i="5"/>
  <c r="O25" i="5" s="1"/>
  <c r="O26" i="5" s="1"/>
  <c r="W105" i="6"/>
  <c r="DG45" i="7"/>
  <c r="O150" i="10"/>
  <c r="O182" i="10" s="1"/>
  <c r="O184" i="10" s="1"/>
  <c r="O185" i="10" s="1"/>
  <c r="O181" i="10" s="1"/>
  <c r="O179" i="10" s="1"/>
  <c r="AO57" i="5"/>
  <c r="Y145" i="6"/>
  <c r="W113" i="6"/>
  <c r="AT80" i="10"/>
  <c r="BG80" i="7"/>
  <c r="DH62" i="7" s="1"/>
  <c r="DH46" i="7"/>
  <c r="BI80" i="7"/>
  <c r="I25" i="7"/>
  <c r="AG25" i="7"/>
  <c r="BG81" i="7"/>
  <c r="DH63" i="7" s="1"/>
  <c r="L57" i="5"/>
  <c r="BG113" i="7"/>
  <c r="P61" i="10"/>
  <c r="AS34" i="7"/>
  <c r="AI102" i="7"/>
  <c r="DH48" i="7"/>
  <c r="J107" i="5"/>
  <c r="AY57" i="5"/>
  <c r="BI186" i="5"/>
  <c r="BH91" i="5"/>
  <c r="X89" i="7"/>
  <c r="X102" i="7" s="1"/>
  <c r="BG76" i="10"/>
  <c r="AC113" i="5"/>
  <c r="AP15" i="5"/>
  <c r="AW174" i="5"/>
  <c r="AS119" i="7"/>
  <c r="AY34" i="7"/>
  <c r="AJ102" i="7"/>
  <c r="DF27" i="7"/>
  <c r="BG82" i="7"/>
  <c r="DH64" i="7" s="1"/>
  <c r="W108" i="5"/>
  <c r="W109" i="5" s="1"/>
  <c r="E106" i="5"/>
  <c r="E14" i="5" s="1"/>
  <c r="BI214" i="5"/>
  <c r="BI187" i="5"/>
  <c r="BI215" i="5"/>
  <c r="BI216" i="5" s="1"/>
  <c r="AP113" i="7"/>
  <c r="AW205" i="5"/>
  <c r="AT33" i="7"/>
  <c r="AP91" i="5"/>
  <c r="P150" i="10"/>
  <c r="P182" i="10" s="1"/>
  <c r="P184" i="10" s="1"/>
  <c r="P185" i="10" s="1"/>
  <c r="P181" i="10" s="1"/>
  <c r="P179" i="10" s="1"/>
  <c r="BG91" i="5"/>
  <c r="AN109" i="10"/>
  <c r="AN119" i="7"/>
  <c r="S15" i="5"/>
  <c r="S19" i="5" s="1"/>
  <c r="S157" i="5"/>
  <c r="S191" i="5" s="1"/>
  <c r="S90" i="5"/>
  <c r="R124" i="5"/>
  <c r="S149" i="10"/>
  <c r="S170" i="10" s="1"/>
  <c r="R19" i="5"/>
  <c r="R24" i="5" s="1"/>
  <c r="BA157" i="5"/>
  <c r="BA191" i="5" s="1"/>
  <c r="S19" i="6"/>
  <c r="S41" i="5"/>
  <c r="S74" i="5"/>
  <c r="S107" i="5"/>
  <c r="S12" i="5"/>
  <c r="Y23" i="7"/>
  <c r="U117" i="10"/>
  <c r="AE131" i="5"/>
  <c r="DH44" i="7"/>
  <c r="AE74" i="5"/>
  <c r="AQ131" i="5"/>
  <c r="BG78" i="7"/>
  <c r="DH60" i="7" s="1"/>
  <c r="AK129" i="5"/>
  <c r="AQ132" i="5"/>
  <c r="AK128" i="5"/>
  <c r="AQ130" i="5"/>
  <c r="Y40" i="5"/>
  <c r="Y96" i="7"/>
  <c r="BF117" i="10"/>
  <c r="AS84" i="11"/>
  <c r="AK94" i="10"/>
  <c r="P108" i="5"/>
  <c r="P109" i="5" s="1"/>
  <c r="P24" i="5"/>
  <c r="P197" i="10"/>
  <c r="P198" i="10" s="1"/>
  <c r="BG83" i="7"/>
  <c r="DH65" i="7" s="1"/>
  <c r="AY76" i="10"/>
  <c r="AB144" i="6"/>
  <c r="BU130" i="5"/>
  <c r="R25" i="7"/>
  <c r="AQ98" i="6"/>
  <c r="Y74" i="5"/>
  <c r="BB57" i="5"/>
  <c r="BO28" i="11"/>
  <c r="AZ76" i="10"/>
  <c r="AV118" i="7"/>
  <c r="DC32" i="7"/>
  <c r="BF119" i="7"/>
  <c r="AQ127" i="5"/>
  <c r="U134" i="5"/>
  <c r="U29" i="5" s="1"/>
  <c r="AV102" i="6"/>
  <c r="AE91" i="5"/>
  <c r="AE149" i="10"/>
  <c r="Q153" i="10"/>
  <c r="Q154" i="10" s="1"/>
  <c r="Q155" i="10" s="1"/>
  <c r="U57" i="5"/>
  <c r="AV102" i="7"/>
  <c r="AE132" i="5"/>
  <c r="AM146" i="6"/>
  <c r="R144" i="6"/>
  <c r="V153" i="10"/>
  <c r="V154" i="10" s="1"/>
  <c r="V155" i="10" s="1"/>
  <c r="AH146" i="6"/>
  <c r="AQ205" i="5"/>
  <c r="AQ204" i="5"/>
  <c r="AS57" i="6"/>
  <c r="AD25" i="7"/>
  <c r="AP126" i="5"/>
  <c r="AM7" i="10"/>
  <c r="AM7" i="11"/>
  <c r="AM193" i="5"/>
  <c r="AN8" i="5"/>
  <c r="AO8" i="13"/>
  <c r="AS8" i="5"/>
  <c r="AM139" i="5"/>
  <c r="AM38" i="5"/>
  <c r="AM6" i="6"/>
  <c r="AM159" i="5"/>
  <c r="AH62" i="10"/>
  <c r="X19" i="5"/>
  <c r="AU91" i="5"/>
  <c r="Q57" i="5"/>
  <c r="AE128" i="6"/>
  <c r="AQ175" i="5"/>
  <c r="AE130" i="5"/>
  <c r="AP102" i="7"/>
  <c r="AM119" i="7"/>
  <c r="X113" i="5"/>
  <c r="AE77" i="6"/>
  <c r="AE78" i="6" s="1"/>
  <c r="R57" i="5"/>
  <c r="AE23" i="7"/>
  <c r="CX17" i="7"/>
  <c r="CX32" i="7" s="1"/>
  <c r="G92" i="5"/>
  <c r="G93" i="5" s="1"/>
  <c r="BG119" i="7"/>
  <c r="AE129" i="5"/>
  <c r="AG6" i="7"/>
  <c r="AG70" i="6"/>
  <c r="AH6" i="6"/>
  <c r="AH7" i="10"/>
  <c r="AH193" i="5"/>
  <c r="AH159" i="5"/>
  <c r="AH7" i="11"/>
  <c r="AI8" i="5"/>
  <c r="AJ8" i="13"/>
  <c r="AH139" i="5"/>
  <c r="AH38" i="5"/>
  <c r="AH134" i="5"/>
  <c r="AH29" i="5" s="1"/>
  <c r="AO126" i="5"/>
  <c r="AJ126" i="5"/>
  <c r="P51" i="10"/>
  <c r="Q43" i="11"/>
  <c r="W61" i="10"/>
  <c r="W150" i="10"/>
  <c r="W153" i="10" s="1"/>
  <c r="W154" i="10" s="1"/>
  <c r="W155" i="10" s="1"/>
  <c r="AV121" i="6"/>
  <c r="AU206" i="5"/>
  <c r="AU179" i="5" s="1"/>
  <c r="G98" i="6"/>
  <c r="L144" i="6"/>
  <c r="AE39" i="5"/>
  <c r="AE22" i="7" s="1"/>
  <c r="AE141" i="6"/>
  <c r="AP209" i="5"/>
  <c r="AP210" i="5" s="1"/>
  <c r="AJ76" i="10"/>
  <c r="AH60" i="10"/>
  <c r="AK131" i="5"/>
  <c r="AV144" i="6"/>
  <c r="AE12" i="5"/>
  <c r="V57" i="5"/>
  <c r="AG140" i="6"/>
  <c r="AE73" i="5"/>
  <c r="AC144" i="6"/>
  <c r="M119" i="7"/>
  <c r="AK39" i="5"/>
  <c r="AK22" i="7" s="1"/>
  <c r="F106" i="5"/>
  <c r="F107" i="5" s="1"/>
  <c r="P16" i="5"/>
  <c r="AT102" i="7"/>
  <c r="Y41" i="5"/>
  <c r="AJ145" i="6"/>
  <c r="Y73" i="5"/>
  <c r="AH112" i="5"/>
  <c r="W144" i="6"/>
  <c r="X51" i="10"/>
  <c r="AA43" i="11"/>
  <c r="AE43" i="11" s="1"/>
  <c r="X43" i="11"/>
  <c r="Y20" i="10"/>
  <c r="Y51" i="10" s="1"/>
  <c r="Y52" i="10" s="1"/>
  <c r="AQ129" i="5"/>
  <c r="Y94" i="10"/>
  <c r="W197" i="10"/>
  <c r="W198" i="10" s="1"/>
  <c r="AN212" i="5"/>
  <c r="AN213" i="5" s="1"/>
  <c r="AV117" i="6"/>
  <c r="AE157" i="5"/>
  <c r="AE191" i="5" s="1"/>
  <c r="AE107" i="5"/>
  <c r="AE19" i="6"/>
  <c r="BA113" i="7"/>
  <c r="AQ142" i="6"/>
  <c r="AU15" i="5"/>
  <c r="AU18" i="5" s="1"/>
  <c r="AK74" i="5"/>
  <c r="AK142" i="6"/>
  <c r="AH63" i="10"/>
  <c r="AK128" i="6"/>
  <c r="AO119" i="7"/>
  <c r="Q51" i="10"/>
  <c r="G19" i="6"/>
  <c r="AH182" i="10"/>
  <c r="AH184" i="10" s="1"/>
  <c r="AH185" i="10" s="1"/>
  <c r="AH181" i="10" s="1"/>
  <c r="AH179" i="10" s="1"/>
  <c r="G74" i="5"/>
  <c r="AH109" i="7"/>
  <c r="F93" i="5"/>
  <c r="L25" i="7"/>
  <c r="CU12" i="7"/>
  <c r="CY27" i="7" s="1"/>
  <c r="AP105" i="5"/>
  <c r="G157" i="5"/>
  <c r="G191" i="5" s="1"/>
  <c r="G12" i="5"/>
  <c r="G57" i="5" s="1"/>
  <c r="AO118" i="7"/>
  <c r="G102" i="10"/>
  <c r="G73" i="5"/>
  <c r="G149" i="10"/>
  <c r="G170" i="10" s="1"/>
  <c r="BF190" i="5"/>
  <c r="M92" i="5"/>
  <c r="M93" i="5" s="1"/>
  <c r="AW25" i="7"/>
  <c r="AC119" i="7"/>
  <c r="AY87" i="10"/>
  <c r="AY85" i="10"/>
  <c r="AY88" i="10"/>
  <c r="AY19" i="5"/>
  <c r="AY124" i="5"/>
  <c r="X40" i="5"/>
  <c r="P78" i="6"/>
  <c r="AD34" i="7"/>
  <c r="AI119" i="7"/>
  <c r="Y12" i="5"/>
  <c r="AU212" i="5"/>
  <c r="AU213" i="5" s="1"/>
  <c r="S122" i="6"/>
  <c r="W78" i="6"/>
  <c r="X96" i="7"/>
  <c r="BC40" i="5"/>
  <c r="AI146" i="6"/>
  <c r="S98" i="6"/>
  <c r="Y144" i="6" s="1"/>
  <c r="P102" i="6"/>
  <c r="P144" i="6"/>
  <c r="S124" i="6"/>
  <c r="AB140" i="6"/>
  <c r="S123" i="6"/>
  <c r="S77" i="6"/>
  <c r="S78" i="6" s="1"/>
  <c r="S69" i="6"/>
  <c r="BF57" i="5"/>
  <c r="Y146" i="6"/>
  <c r="AG144" i="6"/>
  <c r="AI206" i="5"/>
  <c r="AI207" i="5" s="1"/>
  <c r="X101" i="7"/>
  <c r="AA144" i="6"/>
  <c r="AH144" i="6"/>
  <c r="AQ154" i="6"/>
  <c r="AW164" i="6" s="1"/>
  <c r="AA113" i="6"/>
  <c r="BE25" i="7"/>
  <c r="AQ146" i="6"/>
  <c r="AA105" i="6"/>
  <c r="BC81" i="7"/>
  <c r="AB119" i="7"/>
  <c r="AQ161" i="6"/>
  <c r="D106" i="5"/>
  <c r="D93" i="5"/>
  <c r="AW170" i="10"/>
  <c r="BB85" i="10"/>
  <c r="BC144" i="6"/>
  <c r="BB88" i="10"/>
  <c r="BG190" i="5"/>
  <c r="BO43" i="6"/>
  <c r="AB113" i="6"/>
  <c r="AB102" i="6"/>
  <c r="X78" i="6"/>
  <c r="AA78" i="6"/>
  <c r="D57" i="5"/>
  <c r="G77" i="6"/>
  <c r="G78" i="6" s="1"/>
  <c r="AK98" i="6"/>
  <c r="AK102" i="6" s="1"/>
  <c r="BH15" i="5"/>
  <c r="BH74" i="10"/>
  <c r="BH75" i="10"/>
  <c r="BB124" i="5"/>
  <c r="BB19" i="5"/>
  <c r="BB230" i="5" s="1"/>
  <c r="BB237" i="5" s="1"/>
  <c r="I93" i="5"/>
  <c r="BI82" i="7"/>
  <c r="BK213" i="5"/>
  <c r="BK187" i="5"/>
  <c r="BK186" i="5"/>
  <c r="BK214" i="5"/>
  <c r="AK23" i="7"/>
  <c r="AK59" i="6" s="1"/>
  <c r="AI212" i="5"/>
  <c r="AI187" i="5" s="1"/>
  <c r="AE34" i="7"/>
  <c r="AE96" i="7"/>
  <c r="AE40" i="5"/>
  <c r="L78" i="6"/>
  <c r="BH117" i="10"/>
  <c r="BH118" i="10"/>
  <c r="D102" i="6"/>
  <c r="J144" i="6"/>
  <c r="AB78" i="6"/>
  <c r="AH25" i="7"/>
  <c r="CQ18" i="7"/>
  <c r="AZ85" i="10"/>
  <c r="AZ88" i="10"/>
  <c r="AZ19" i="5"/>
  <c r="AZ87" i="10"/>
  <c r="AZ124" i="5"/>
  <c r="AU79" i="7"/>
  <c r="CZ61" i="7" s="1"/>
  <c r="AQ71" i="7"/>
  <c r="AN104" i="10"/>
  <c r="F137" i="10"/>
  <c r="F138" i="10" s="1"/>
  <c r="F115" i="5" s="1"/>
  <c r="BC116" i="10"/>
  <c r="BC117" i="10" s="1"/>
  <c r="BI16" i="10"/>
  <c r="BC79" i="11"/>
  <c r="BO44" i="10"/>
  <c r="BO207" i="10" s="1"/>
  <c r="BI17" i="10"/>
  <c r="S101" i="10"/>
  <c r="S102" i="10" s="1"/>
  <c r="BC64" i="11"/>
  <c r="BC67" i="11" s="1"/>
  <c r="BK160" i="10"/>
  <c r="BI106" i="11"/>
  <c r="BC107" i="11"/>
  <c r="BB106" i="11"/>
  <c r="BR39" i="10"/>
  <c r="BS39" i="10" s="1"/>
  <c r="BT39" i="10" s="1"/>
  <c r="BO39" i="10"/>
  <c r="O17" i="7"/>
  <c r="O21" i="7" s="1"/>
  <c r="AN145" i="6"/>
  <c r="AH145" i="6"/>
  <c r="AT100" i="7"/>
  <c r="AN100" i="7"/>
  <c r="AO206" i="5"/>
  <c r="AO179" i="5" s="1"/>
  <c r="AW15" i="6"/>
  <c r="BC147" i="5"/>
  <c r="BC157" i="5" s="1"/>
  <c r="BO44" i="6"/>
  <c r="BO42" i="6"/>
  <c r="BO11" i="7" s="1"/>
  <c r="BO90" i="7" s="1"/>
  <c r="BA102" i="7"/>
  <c r="BC25" i="7"/>
  <c r="BE49" i="6"/>
  <c r="BE15" i="7" s="1"/>
  <c r="BE94" i="7" s="1"/>
  <c r="BE60" i="6"/>
  <c r="BK16" i="6"/>
  <c r="BQ94" i="7" s="1"/>
  <c r="BQ107" i="7" s="1"/>
  <c r="Y19" i="6"/>
  <c r="Y149" i="10"/>
  <c r="Y39" i="5"/>
  <c r="Y22" i="7" s="1"/>
  <c r="Y90" i="5"/>
  <c r="AA109" i="7"/>
  <c r="AG109" i="7"/>
  <c r="O144" i="6"/>
  <c r="I102" i="6"/>
  <c r="AK99" i="6"/>
  <c r="AQ145" i="6" s="1"/>
  <c r="AK94" i="6"/>
  <c r="AK141" i="6"/>
  <c r="AQ141" i="6"/>
  <c r="AT179" i="5"/>
  <c r="AZ178" i="5"/>
  <c r="AT207" i="5"/>
  <c r="AZ208" i="5"/>
  <c r="BL50" i="5"/>
  <c r="BL177" i="5"/>
  <c r="BL206" i="5"/>
  <c r="BK177" i="5"/>
  <c r="BO66" i="5"/>
  <c r="BK50" i="5"/>
  <c r="BK206" i="5"/>
  <c r="BC75" i="10"/>
  <c r="BC41" i="5"/>
  <c r="BC74" i="10"/>
  <c r="BA76" i="10"/>
  <c r="AI109" i="7"/>
  <c r="AT183" i="5"/>
  <c r="AZ182" i="5"/>
  <c r="AZ211" i="5"/>
  <c r="AT210" i="5"/>
  <c r="AN103" i="7"/>
  <c r="AP76" i="10"/>
  <c r="DF33" i="7"/>
  <c r="BE117" i="10"/>
  <c r="O22" i="7"/>
  <c r="AM102" i="7"/>
  <c r="AM145" i="6"/>
  <c r="AG145" i="6"/>
  <c r="AO102" i="7"/>
  <c r="AU102" i="7"/>
  <c r="G124" i="6"/>
  <c r="Y102" i="10"/>
  <c r="Y69" i="6"/>
  <c r="Y77" i="6"/>
  <c r="Y78" i="6" s="1"/>
  <c r="U78" i="6"/>
  <c r="BO100" i="5"/>
  <c r="BO101" i="5" s="1"/>
  <c r="BO83" i="5"/>
  <c r="BO84" i="5" s="1"/>
  <c r="AZ157" i="5"/>
  <c r="AZ190" i="5"/>
  <c r="BA57" i="5"/>
  <c r="AJ109" i="7"/>
  <c r="AN104" i="7"/>
  <c r="Y107" i="5"/>
  <c r="AJ119" i="7"/>
  <c r="AS118" i="7"/>
  <c r="DC33" i="7"/>
  <c r="DB33" i="7"/>
  <c r="BG191" i="5"/>
  <c r="AW76" i="10"/>
  <c r="AT119" i="7"/>
  <c r="AQ25" i="7"/>
  <c r="Y27" i="10"/>
  <c r="CA127" i="5"/>
  <c r="AE15" i="5"/>
  <c r="AE19" i="5" s="1"/>
  <c r="AE108" i="5" s="1"/>
  <c r="AE109" i="5" s="1"/>
  <c r="AE216" i="5"/>
  <c r="AI19" i="5"/>
  <c r="AI124" i="5"/>
  <c r="AI113" i="5"/>
  <c r="AO113" i="5" s="1"/>
  <c r="S91" i="5"/>
  <c r="AI91" i="5"/>
  <c r="AI113" i="7"/>
  <c r="AI117" i="7" s="1"/>
  <c r="AH119" i="7"/>
  <c r="AN209" i="5"/>
  <c r="AN183" i="5" s="1"/>
  <c r="O118" i="7"/>
  <c r="AI209" i="5"/>
  <c r="AI103" i="5"/>
  <c r="Q28" i="5"/>
  <c r="Q118" i="5"/>
  <c r="Q33" i="5"/>
  <c r="AM213" i="5"/>
  <c r="AM187" i="5"/>
  <c r="J91" i="5"/>
  <c r="P113" i="7"/>
  <c r="AZ82" i="11"/>
  <c r="AZ81" i="10"/>
  <c r="AW102" i="10"/>
  <c r="BE76" i="10"/>
  <c r="K78" i="6"/>
  <c r="AP57" i="5"/>
  <c r="AO113" i="7"/>
  <c r="AO91" i="5"/>
  <c r="AS85" i="10"/>
  <c r="AT85" i="10" s="1"/>
  <c r="AU85" i="10" s="1"/>
  <c r="AS124" i="5"/>
  <c r="AS88" i="10"/>
  <c r="AT88" i="10" s="1"/>
  <c r="AU88" i="10" s="1"/>
  <c r="AS19" i="5"/>
  <c r="AS87" i="10"/>
  <c r="AT87" i="10" s="1"/>
  <c r="AU87" i="10" s="1"/>
  <c r="AK104" i="5"/>
  <c r="AK105" i="5" s="1"/>
  <c r="AG105" i="5"/>
  <c r="AG212" i="5"/>
  <c r="I126" i="5"/>
  <c r="BB190" i="5"/>
  <c r="BB157" i="5"/>
  <c r="BB29" i="7"/>
  <c r="DA12" i="7"/>
  <c r="AN124" i="5"/>
  <c r="AN19" i="5"/>
  <c r="Y107" i="10"/>
  <c r="Y159" i="10"/>
  <c r="I57" i="5"/>
  <c r="BA87" i="10"/>
  <c r="BA88" i="10"/>
  <c r="BA85" i="10"/>
  <c r="BA19" i="5"/>
  <c r="BA124" i="5"/>
  <c r="L14" i="5"/>
  <c r="L107" i="5"/>
  <c r="AM103" i="5"/>
  <c r="AQ102" i="5"/>
  <c r="AQ103" i="5" s="1"/>
  <c r="AV80" i="7"/>
  <c r="DA62" i="7" s="1"/>
  <c r="AD57" i="5"/>
  <c r="BB31" i="11"/>
  <c r="AB106" i="10"/>
  <c r="AB104" i="10"/>
  <c r="AE128" i="5"/>
  <c r="AV105" i="5"/>
  <c r="AV212" i="5"/>
  <c r="AQ75" i="10"/>
  <c r="AQ74" i="10"/>
  <c r="AQ41" i="5"/>
  <c r="AZ80" i="10"/>
  <c r="AZ72" i="11"/>
  <c r="BE57" i="5"/>
  <c r="L160" i="10"/>
  <c r="M21" i="10"/>
  <c r="M160" i="10" s="1"/>
  <c r="AK75" i="10"/>
  <c r="AK41" i="5"/>
  <c r="AK74" i="10"/>
  <c r="M122" i="6"/>
  <c r="M145" i="6"/>
  <c r="S145" i="6"/>
  <c r="AD102" i="10"/>
  <c r="AE101" i="10"/>
  <c r="AE102" i="10" s="1"/>
  <c r="AY118" i="7"/>
  <c r="AA117" i="10"/>
  <c r="AG103" i="5"/>
  <c r="AG209" i="5"/>
  <c r="AK102" i="5"/>
  <c r="AK103" i="5" s="1"/>
  <c r="AG113" i="7"/>
  <c r="AG117" i="7" s="1"/>
  <c r="AG91" i="5"/>
  <c r="AG15" i="5"/>
  <c r="AK14" i="5"/>
  <c r="AA166" i="10"/>
  <c r="AA22" i="11"/>
  <c r="AB22" i="11"/>
  <c r="AA57" i="5"/>
  <c r="DC31" i="7"/>
  <c r="DA18" i="7"/>
  <c r="DA33" i="7" s="1"/>
  <c r="AV25" i="7"/>
  <c r="AY117" i="10"/>
  <c r="AJ102" i="10"/>
  <c r="AO212" i="5"/>
  <c r="O134" i="5"/>
  <c r="O29" i="5" s="1"/>
  <c r="X22" i="11"/>
  <c r="Y35" i="10"/>
  <c r="Y204" i="10" s="1"/>
  <c r="X166" i="10"/>
  <c r="Y18" i="10"/>
  <c r="X161" i="10"/>
  <c r="X119" i="10"/>
  <c r="Y113" i="7"/>
  <c r="Y91" i="5"/>
  <c r="AE113" i="7"/>
  <c r="BX130" i="5"/>
  <c r="BY130" i="5" s="1"/>
  <c r="BZ130" i="5" s="1"/>
  <c r="CC130" i="5" s="1"/>
  <c r="AS28" i="7"/>
  <c r="AM90" i="7"/>
  <c r="AS103" i="7" s="1"/>
  <c r="CT11" i="7"/>
  <c r="CX26" i="7" s="1"/>
  <c r="BE157" i="5"/>
  <c r="BE190" i="5"/>
  <c r="AP24" i="11"/>
  <c r="AO156" i="10"/>
  <c r="AO73" i="10"/>
  <c r="AS212" i="5"/>
  <c r="AW104" i="5"/>
  <c r="AW105" i="5" s="1"/>
  <c r="AS105" i="5"/>
  <c r="AW14" i="5"/>
  <c r="AS113" i="7"/>
  <c r="AY113" i="7"/>
  <c r="AS91" i="5"/>
  <c r="Q106" i="10"/>
  <c r="CY33" i="7"/>
  <c r="AM101" i="5"/>
  <c r="AQ100" i="5"/>
  <c r="AQ101" i="5" s="1"/>
  <c r="AM113" i="7"/>
  <c r="AM91" i="5"/>
  <c r="AQ14" i="5"/>
  <c r="AQ15" i="5" s="1"/>
  <c r="AP119" i="7"/>
  <c r="AH106" i="10"/>
  <c r="AH104" i="10"/>
  <c r="I14" i="5"/>
  <c r="I107" i="5"/>
  <c r="AJ209" i="5"/>
  <c r="AJ103" i="5"/>
  <c r="AJ91" i="5"/>
  <c r="AJ113" i="7"/>
  <c r="AJ117" i="7" s="1"/>
  <c r="AJ15" i="5"/>
  <c r="AP55" i="6"/>
  <c r="AP53" i="6" s="1"/>
  <c r="AP16" i="7" s="1"/>
  <c r="AP95" i="7" s="1"/>
  <c r="AP44" i="6"/>
  <c r="AP42" i="6" s="1"/>
  <c r="AP11" i="7" s="1"/>
  <c r="AP90" i="7" s="1"/>
  <c r="AP51" i="6"/>
  <c r="AP46" i="6" s="1"/>
  <c r="AP12" i="7" s="1"/>
  <c r="AP91" i="7" s="1"/>
  <c r="AV104" i="7" s="1"/>
  <c r="AV83" i="7"/>
  <c r="DA65" i="7" s="1"/>
  <c r="AU118" i="7"/>
  <c r="BA118" i="7"/>
  <c r="BC170" i="10"/>
  <c r="K57" i="5"/>
  <c r="K106" i="5"/>
  <c r="K93" i="5"/>
  <c r="BG117" i="10"/>
  <c r="BI116" i="10"/>
  <c r="BG118" i="10"/>
  <c r="AK118" i="7"/>
  <c r="AN86" i="10"/>
  <c r="AN158" i="10"/>
  <c r="AV103" i="5"/>
  <c r="AV209" i="5"/>
  <c r="BI170" i="10"/>
  <c r="BI25" i="7"/>
  <c r="K107" i="10"/>
  <c r="K159" i="10"/>
  <c r="J126" i="5"/>
  <c r="BI74" i="5"/>
  <c r="BI114" i="7"/>
  <c r="AB126" i="5"/>
  <c r="AQ147" i="6"/>
  <c r="AK147" i="6"/>
  <c r="U160" i="10"/>
  <c r="AN15" i="10"/>
  <c r="AM15" i="10"/>
  <c r="AD126" i="5"/>
  <c r="J204" i="10"/>
  <c r="R204" i="10"/>
  <c r="K204" i="10"/>
  <c r="AS101" i="5"/>
  <c r="AW100" i="5"/>
  <c r="AW101" i="5" s="1"/>
  <c r="AS206" i="5"/>
  <c r="BF191" i="5"/>
  <c r="AQ55" i="6"/>
  <c r="AQ53" i="6" s="1"/>
  <c r="AQ16" i="7" s="1"/>
  <c r="AQ95" i="7" s="1"/>
  <c r="AQ108" i="7" s="1"/>
  <c r="AQ51" i="6"/>
  <c r="AQ46" i="6" s="1"/>
  <c r="AQ12" i="7" s="1"/>
  <c r="AQ91" i="7" s="1"/>
  <c r="AW104" i="7" s="1"/>
  <c r="AQ44" i="6"/>
  <c r="AQ42" i="6" s="1"/>
  <c r="AQ11" i="7" s="1"/>
  <c r="AQ90" i="7" s="1"/>
  <c r="X114" i="10"/>
  <c r="Y118" i="7"/>
  <c r="M19" i="6"/>
  <c r="S39" i="5"/>
  <c r="M12" i="5"/>
  <c r="M73" i="5"/>
  <c r="M149" i="10"/>
  <c r="M170" i="10" s="1"/>
  <c r="M39" i="5"/>
  <c r="M22" i="7" s="1"/>
  <c r="M157" i="5"/>
  <c r="M191" i="5" s="1"/>
  <c r="M102" i="10"/>
  <c r="Q100" i="10"/>
  <c r="Q109" i="10" s="1"/>
  <c r="AA52" i="10"/>
  <c r="DC27" i="7"/>
  <c r="AH26" i="5"/>
  <c r="AH86" i="10"/>
  <c r="AH158" i="10"/>
  <c r="AJ57" i="5"/>
  <c r="AE166" i="10"/>
  <c r="BB25" i="7"/>
  <c r="DE18" i="7"/>
  <c r="BI41" i="5"/>
  <c r="M123" i="5"/>
  <c r="M69" i="6"/>
  <c r="M77" i="6"/>
  <c r="M78" i="6" s="1"/>
  <c r="AW74" i="5"/>
  <c r="AW114" i="7"/>
  <c r="BC114" i="7"/>
  <c r="AM209" i="5"/>
  <c r="X126" i="5"/>
  <c r="BC106" i="10"/>
  <c r="AH210" i="5"/>
  <c r="AH183" i="5"/>
  <c r="AU40" i="5"/>
  <c r="AU57" i="6"/>
  <c r="AU34" i="7"/>
  <c r="CZ17" i="7"/>
  <c r="BA34" i="7"/>
  <c r="AM117" i="10"/>
  <c r="BB14" i="6"/>
  <c r="AV16" i="6"/>
  <c r="AG117" i="10"/>
  <c r="Q22" i="11"/>
  <c r="Q166" i="10"/>
  <c r="P161" i="10"/>
  <c r="P119" i="10"/>
  <c r="AZ118" i="7"/>
  <c r="AT118" i="7"/>
  <c r="AN113" i="7"/>
  <c r="AN117" i="7" s="1"/>
  <c r="AT113" i="7"/>
  <c r="AN91" i="5"/>
  <c r="M74" i="5"/>
  <c r="M114" i="7"/>
  <c r="M118" i="7" s="1"/>
  <c r="V118" i="7"/>
  <c r="P118" i="7"/>
  <c r="CT12" i="7"/>
  <c r="CX27" i="7" s="1"/>
  <c r="AM91" i="7"/>
  <c r="AS104" i="7" s="1"/>
  <c r="BI154" i="5"/>
  <c r="BI147" i="5"/>
  <c r="AW171" i="5"/>
  <c r="AW201" i="5"/>
  <c r="AW170" i="5"/>
  <c r="AW202" i="5"/>
  <c r="U107" i="10"/>
  <c r="V100" i="10" s="1"/>
  <c r="U159" i="10"/>
  <c r="M146" i="6"/>
  <c r="M123" i="6"/>
  <c r="S146" i="6"/>
  <c r="M124" i="6"/>
  <c r="S147" i="6"/>
  <c r="M147" i="6"/>
  <c r="AM156" i="10"/>
  <c r="AN24" i="11"/>
  <c r="AM24" i="11"/>
  <c r="AM73" i="10"/>
  <c r="AA119" i="10"/>
  <c r="AB114" i="10" s="1"/>
  <c r="AA161" i="10"/>
  <c r="AS103" i="5"/>
  <c r="AW102" i="5"/>
  <c r="AW103" i="5" s="1"/>
  <c r="AS209" i="5"/>
  <c r="AA134" i="5"/>
  <c r="AA29" i="5" s="1"/>
  <c r="BC91" i="5"/>
  <c r="BC15" i="5"/>
  <c r="AH187" i="5"/>
  <c r="AH215" i="5"/>
  <c r="AH213" i="5"/>
  <c r="AZ119" i="7"/>
  <c r="CY26" i="7"/>
  <c r="DC26" i="7"/>
  <c r="AN106" i="10"/>
  <c r="CV16" i="7"/>
  <c r="CZ31" i="7" s="1"/>
  <c r="AU33" i="7"/>
  <c r="AJ212" i="5"/>
  <c r="AP186" i="5" s="1"/>
  <c r="AJ105" i="5"/>
  <c r="M124" i="10"/>
  <c r="M125" i="10" s="1"/>
  <c r="AE144" i="6"/>
  <c r="AE102" i="6"/>
  <c r="AE113" i="6"/>
  <c r="AP22" i="6"/>
  <c r="AQ25" i="6"/>
  <c r="AV82" i="7"/>
  <c r="DA64" i="7" s="1"/>
  <c r="AV79" i="7"/>
  <c r="DA61" i="7" s="1"/>
  <c r="AO15" i="5"/>
  <c r="AP179" i="5"/>
  <c r="AP207" i="5"/>
  <c r="CX33" i="7"/>
  <c r="AW14" i="6"/>
  <c r="AT43" i="10"/>
  <c r="AZ117" i="10"/>
  <c r="AZ118" i="10"/>
  <c r="AG100" i="10"/>
  <c r="AE108" i="10"/>
  <c r="P134" i="5"/>
  <c r="P29" i="5" s="1"/>
  <c r="F106" i="10"/>
  <c r="AK22" i="11"/>
  <c r="AU183" i="5"/>
  <c r="AU210" i="5"/>
  <c r="BA211" i="5"/>
  <c r="BA182" i="5"/>
  <c r="BC82" i="7"/>
  <c r="BC79" i="7"/>
  <c r="AH109" i="10"/>
  <c r="M90" i="5"/>
  <c r="AE118" i="7"/>
  <c r="AV101" i="5"/>
  <c r="AV206" i="5"/>
  <c r="BL224" i="5"/>
  <c r="BH157" i="5"/>
  <c r="BH190" i="5"/>
  <c r="AQ36" i="11"/>
  <c r="AP101" i="10"/>
  <c r="AQ74" i="5"/>
  <c r="AQ114" i="7"/>
  <c r="AQ118" i="7" s="1"/>
  <c r="V43" i="11"/>
  <c r="U51" i="10"/>
  <c r="BE19" i="5"/>
  <c r="BE124" i="5"/>
  <c r="BC83" i="7"/>
  <c r="AW17" i="7"/>
  <c r="AW21" i="7" s="1"/>
  <c r="AI158" i="10"/>
  <c r="AI86" i="10"/>
  <c r="BR54" i="11"/>
  <c r="Q144" i="6"/>
  <c r="M98" i="6"/>
  <c r="K144" i="6"/>
  <c r="K102" i="6"/>
  <c r="E106" i="10"/>
  <c r="BC78" i="7"/>
  <c r="BI78" i="7"/>
  <c r="Q32" i="5"/>
  <c r="CV12" i="7"/>
  <c r="V28" i="5"/>
  <c r="V33" i="5"/>
  <c r="V118" i="5"/>
  <c r="X100" i="7"/>
  <c r="AD100" i="7"/>
  <c r="AQ29" i="6"/>
  <c r="AQ27" i="6" s="1"/>
  <c r="AP26" i="6"/>
  <c r="AW117" i="10"/>
  <c r="K118" i="7"/>
  <c r="Q118" i="7"/>
  <c r="AM158" i="10"/>
  <c r="AM86" i="10"/>
  <c r="J107" i="10"/>
  <c r="J159" i="10"/>
  <c r="W25" i="5"/>
  <c r="W26" i="5" s="1"/>
  <c r="AG86" i="10"/>
  <c r="AG158" i="10"/>
  <c r="AP187" i="5"/>
  <c r="AP213" i="5"/>
  <c r="AE161" i="10"/>
  <c r="AQ57" i="5"/>
  <c r="AQ170" i="10"/>
  <c r="AC70" i="6"/>
  <c r="AC6" i="7"/>
  <c r="AV47" i="11"/>
  <c r="AV49" i="11" s="1"/>
  <c r="AW36" i="11"/>
  <c r="AG119" i="7"/>
  <c r="BF113" i="7"/>
  <c r="BF91" i="5"/>
  <c r="BI14" i="5"/>
  <c r="BF15" i="5"/>
  <c r="D126" i="5"/>
  <c r="R100" i="10"/>
  <c r="AT79" i="10"/>
  <c r="AG206" i="5"/>
  <c r="AK100" i="5"/>
  <c r="AK101" i="5" s="1"/>
  <c r="AG101" i="5"/>
  <c r="I117" i="10"/>
  <c r="DE31" i="7"/>
  <c r="U204" i="10"/>
  <c r="AE41" i="5"/>
  <c r="Y102" i="6"/>
  <c r="Y113" i="6"/>
  <c r="BB34" i="7"/>
  <c r="AV40" i="5"/>
  <c r="DA17" i="7"/>
  <c r="AV34" i="7"/>
  <c r="CZ18" i="7"/>
  <c r="CZ33" i="7" s="1"/>
  <c r="AU25" i="7"/>
  <c r="BI62" i="11"/>
  <c r="P166" i="10"/>
  <c r="Q119" i="10"/>
  <c r="R114" i="10" s="1"/>
  <c r="Q161" i="10"/>
  <c r="AD117" i="7"/>
  <c r="J15" i="5"/>
  <c r="AM95" i="7"/>
  <c r="CT16" i="7"/>
  <c r="CX31" i="7" s="1"/>
  <c r="AS33" i="7"/>
  <c r="AN156" i="10"/>
  <c r="AO24" i="11"/>
  <c r="AN73" i="10"/>
  <c r="AK101" i="10"/>
  <c r="AK102" i="10" s="1"/>
  <c r="BH41" i="5"/>
  <c r="AM105" i="5"/>
  <c r="AQ104" i="5"/>
  <c r="AQ105" i="5" s="1"/>
  <c r="AU113" i="7"/>
  <c r="AK12" i="5"/>
  <c r="AB109" i="10"/>
  <c r="CV11" i="7"/>
  <c r="CZ26" i="7" s="1"/>
  <c r="AU28" i="7"/>
  <c r="AU43" i="10"/>
  <c r="C126" i="5"/>
  <c r="AJ206" i="5"/>
  <c r="AJ101" i="5"/>
  <c r="BC80" i="7"/>
  <c r="AK146" i="6"/>
  <c r="AE146" i="6"/>
  <c r="G13" i="11"/>
  <c r="BA33" i="11"/>
  <c r="BA81" i="11"/>
  <c r="AV81" i="7"/>
  <c r="DA63" i="7" s="1"/>
  <c r="AP76" i="7"/>
  <c r="AV78" i="7"/>
  <c r="DA60" i="7" s="1"/>
  <c r="AO209" i="5"/>
  <c r="AU211" i="5" s="1"/>
  <c r="AN206" i="5"/>
  <c r="BC57" i="5"/>
  <c r="Y15" i="5"/>
  <c r="AQ72" i="7"/>
  <c r="BG14" i="6"/>
  <c r="BM92" i="7" s="1"/>
  <c r="BM105" i="7" s="1"/>
  <c r="AW146" i="6"/>
  <c r="Q22" i="7"/>
  <c r="Q25" i="7" s="1"/>
  <c r="Q17" i="7"/>
  <c r="Q21" i="7" s="1"/>
  <c r="K24" i="7"/>
  <c r="K25" i="7"/>
  <c r="AD119" i="7"/>
  <c r="AD113" i="5"/>
  <c r="AD124" i="5"/>
  <c r="AD19" i="5"/>
  <c r="AO104" i="10"/>
  <c r="BI106" i="10"/>
  <c r="AB57" i="5"/>
  <c r="AB19" i="5"/>
  <c r="AB113" i="5"/>
  <c r="AB124" i="5"/>
  <c r="P117" i="10"/>
  <c r="C14" i="5"/>
  <c r="C107" i="5"/>
  <c r="C111" i="10"/>
  <c r="D110" i="10"/>
  <c r="AM206" i="5"/>
  <c r="AH179" i="5"/>
  <c r="AH207" i="5"/>
  <c r="AQ70" i="7"/>
  <c r="AA24" i="5"/>
  <c r="AA108" i="5"/>
  <c r="AA109" i="5" s="1"/>
  <c r="AA61" i="10"/>
  <c r="AA197" i="10"/>
  <c r="AA198" i="10" s="1"/>
  <c r="AA16" i="5"/>
  <c r="AA63" i="10" s="1"/>
  <c r="AA150" i="10"/>
  <c r="AO86" i="10"/>
  <c r="AO158" i="10"/>
  <c r="AV91" i="5"/>
  <c r="AV113" i="7"/>
  <c r="BB113" i="7"/>
  <c r="AV15" i="5"/>
  <c r="BI12" i="5"/>
  <c r="R107" i="10"/>
  <c r="S16" i="10"/>
  <c r="R159" i="10"/>
  <c r="AO102" i="10"/>
  <c r="J106" i="10"/>
  <c r="AM15" i="5"/>
  <c r="BE118" i="7"/>
  <c r="BC13" i="11"/>
  <c r="AK93" i="11"/>
  <c r="AK103" i="11" s="1"/>
  <c r="AK94" i="11"/>
  <c r="BF80" i="10"/>
  <c r="BF72" i="11"/>
  <c r="BF81" i="10"/>
  <c r="BF82" i="11"/>
  <c r="BC97" i="11"/>
  <c r="AE38" i="7" l="1"/>
  <c r="AK38" i="7"/>
  <c r="BS108" i="11"/>
  <c r="BC38" i="7"/>
  <c r="BA38" i="7"/>
  <c r="AU38" i="7"/>
  <c r="W38" i="7"/>
  <c r="Q38" i="7"/>
  <c r="AV38" i="7"/>
  <c r="BB38" i="7"/>
  <c r="O38" i="7"/>
  <c r="U38" i="7"/>
  <c r="BB109" i="7"/>
  <c r="BA109" i="7"/>
  <c r="R21" i="7"/>
  <c r="BA16" i="6"/>
  <c r="BA49" i="6" s="1"/>
  <c r="BA15" i="7" s="1"/>
  <c r="DD15" i="7" s="1"/>
  <c r="BC15" i="6"/>
  <c r="BC48" i="6" s="1"/>
  <c r="BC14" i="7" s="1"/>
  <c r="BC93" i="7" s="1"/>
  <c r="BC106" i="7" s="1"/>
  <c r="BG106" i="7"/>
  <c r="DG30" i="7"/>
  <c r="AY109" i="7"/>
  <c r="BR44" i="10"/>
  <c r="BQ207" i="10"/>
  <c r="BI161" i="10"/>
  <c r="BI214" i="10"/>
  <c r="BT37" i="10"/>
  <c r="BS208" i="10"/>
  <c r="AA199" i="10"/>
  <c r="W199" i="10"/>
  <c r="AH199" i="10"/>
  <c r="P199" i="10"/>
  <c r="O199" i="10"/>
  <c r="AW96" i="7"/>
  <c r="BE107" i="7"/>
  <c r="BK107" i="7"/>
  <c r="BF107" i="7"/>
  <c r="BC14" i="6"/>
  <c r="BC47" i="6" s="1"/>
  <c r="BH92" i="7"/>
  <c r="BH105" i="7" s="1"/>
  <c r="AP108" i="7"/>
  <c r="AV108" i="7"/>
  <c r="AV49" i="6"/>
  <c r="AU49" i="6"/>
  <c r="BB103" i="7"/>
  <c r="AV103" i="7"/>
  <c r="BG15" i="6"/>
  <c r="BM93" i="7" s="1"/>
  <c r="BM106" i="7" s="1"/>
  <c r="AN108" i="7"/>
  <c r="AT108" i="7"/>
  <c r="BC103" i="7"/>
  <c r="AW103" i="7"/>
  <c r="AM108" i="7"/>
  <c r="AS108" i="7"/>
  <c r="BH15" i="6"/>
  <c r="BH93" i="7"/>
  <c r="BH106" i="7" s="1"/>
  <c r="BO33" i="7"/>
  <c r="BO95" i="7"/>
  <c r="AW108" i="7"/>
  <c r="BC108" i="7"/>
  <c r="DF15" i="7"/>
  <c r="DJ30" i="7" s="1"/>
  <c r="BE32" i="7"/>
  <c r="BK32" i="7"/>
  <c r="DN13" i="7"/>
  <c r="DN28" i="7" s="1"/>
  <c r="BQ30" i="7"/>
  <c r="BW30" i="7"/>
  <c r="BR106" i="11"/>
  <c r="AZ214" i="5"/>
  <c r="BH113" i="5"/>
  <c r="BB231" i="5"/>
  <c r="Q52" i="10"/>
  <c r="X52" i="10"/>
  <c r="P52" i="10"/>
  <c r="CI31" i="13"/>
  <c r="CK15" i="13"/>
  <c r="CL15" i="13" s="1"/>
  <c r="CM15" i="13" s="1"/>
  <c r="CN15" i="13" s="1"/>
  <c r="CO15" i="13" s="1"/>
  <c r="CO31" i="13" s="1"/>
  <c r="CJ127" i="5"/>
  <c r="CK127" i="5" s="1"/>
  <c r="CL127" i="5" s="1"/>
  <c r="BF117" i="7"/>
  <c r="F160" i="10"/>
  <c r="BF257" i="5"/>
  <c r="AT215" i="5"/>
  <c r="AZ216" i="5" s="1"/>
  <c r="AT187" i="5"/>
  <c r="AZ186" i="5"/>
  <c r="AT19" i="5"/>
  <c r="AT16" i="5" s="1"/>
  <c r="D160" i="10"/>
  <c r="BG87" i="10"/>
  <c r="BG19" i="5"/>
  <c r="BG88" i="10"/>
  <c r="BG85" i="10"/>
  <c r="BG124" i="5"/>
  <c r="X106" i="10"/>
  <c r="BG72" i="11"/>
  <c r="BG113" i="5"/>
  <c r="BG81" i="10"/>
  <c r="X109" i="10"/>
  <c r="AT82" i="10"/>
  <c r="AZ83" i="11"/>
  <c r="BG82" i="11"/>
  <c r="BG84" i="11" s="1"/>
  <c r="BG80" i="10"/>
  <c r="Y105" i="10"/>
  <c r="Y106" i="10" s="1"/>
  <c r="BF113" i="5"/>
  <c r="V106" i="10"/>
  <c r="V117" i="10"/>
  <c r="BL85" i="5"/>
  <c r="BL89" i="5" s="1"/>
  <c r="BL13" i="5" s="1"/>
  <c r="V32" i="5"/>
  <c r="BF83" i="11"/>
  <c r="CZ27" i="7"/>
  <c r="AK75" i="7"/>
  <c r="AK74" i="7"/>
  <c r="AK70" i="7"/>
  <c r="BH257" i="5"/>
  <c r="X34" i="7"/>
  <c r="AK73" i="7"/>
  <c r="AD38" i="5"/>
  <c r="BL106" i="5"/>
  <c r="BL14" i="5" s="1"/>
  <c r="BG257" i="5"/>
  <c r="X6" i="7"/>
  <c r="AE140" i="6"/>
  <c r="BL18" i="6"/>
  <c r="BL60" i="6"/>
  <c r="BL45" i="6"/>
  <c r="BL46" i="6" s="1"/>
  <c r="BL57" i="6" s="1"/>
  <c r="BL17" i="7" s="1"/>
  <c r="BL21" i="7" s="1"/>
  <c r="BL38" i="7" s="1"/>
  <c r="BL68" i="5"/>
  <c r="BL52" i="5" s="1"/>
  <c r="BL56" i="5" s="1"/>
  <c r="BL11" i="5" s="1"/>
  <c r="BL187" i="5"/>
  <c r="AD7" i="10"/>
  <c r="AF8" i="13"/>
  <c r="CC138" i="10"/>
  <c r="AD7" i="11"/>
  <c r="AD139" i="5"/>
  <c r="AD159" i="5"/>
  <c r="AD193" i="5"/>
  <c r="R119" i="7"/>
  <c r="BM213" i="5"/>
  <c r="BM186" i="5"/>
  <c r="BM146" i="5"/>
  <c r="BM156" i="5" s="1"/>
  <c r="AW144" i="6"/>
  <c r="BM187" i="5"/>
  <c r="BM144" i="5"/>
  <c r="BM154" i="5" s="1"/>
  <c r="BO54" i="5"/>
  <c r="BO55" i="5" s="1"/>
  <c r="BL186" i="5"/>
  <c r="BO185" i="5"/>
  <c r="BO212" i="5"/>
  <c r="BO213" i="5" s="1"/>
  <c r="BL213" i="5"/>
  <c r="BN179" i="5"/>
  <c r="BN208" i="5"/>
  <c r="BN178" i="5"/>
  <c r="BN207" i="5"/>
  <c r="BL146" i="5"/>
  <c r="BL156" i="5" s="1"/>
  <c r="BL55" i="5"/>
  <c r="BM179" i="5"/>
  <c r="BM207" i="5"/>
  <c r="BM178" i="5"/>
  <c r="BM208" i="5"/>
  <c r="BN186" i="5"/>
  <c r="BN187" i="5"/>
  <c r="BN214" i="5"/>
  <c r="BN213" i="5"/>
  <c r="BN146" i="5"/>
  <c r="BN156" i="5" s="1"/>
  <c r="BN55" i="5"/>
  <c r="BN51" i="5"/>
  <c r="BN144" i="5"/>
  <c r="BN154" i="5" s="1"/>
  <c r="AC197" i="10"/>
  <c r="AC198" i="10" s="1"/>
  <c r="AC108" i="5"/>
  <c r="AC109" i="5" s="1"/>
  <c r="AC61" i="10"/>
  <c r="AC150" i="10"/>
  <c r="AC153" i="10" s="1"/>
  <c r="AC154" i="10" s="1"/>
  <c r="AC155" i="10" s="1"/>
  <c r="AC24" i="5"/>
  <c r="AC16" i="5"/>
  <c r="AP19" i="5"/>
  <c r="R34" i="7"/>
  <c r="O60" i="10"/>
  <c r="CG127" i="5"/>
  <c r="AP183" i="5"/>
  <c r="CD130" i="5"/>
  <c r="CE130" i="5" s="1"/>
  <c r="CF130" i="5" s="1"/>
  <c r="CI130" i="5" s="1"/>
  <c r="U16" i="5"/>
  <c r="U24" i="5"/>
  <c r="U25" i="5" s="1"/>
  <c r="U26" i="5" s="1"/>
  <c r="U108" i="5"/>
  <c r="U109" i="5" s="1"/>
  <c r="U61" i="10"/>
  <c r="BC76" i="10"/>
  <c r="AV117" i="7"/>
  <c r="U197" i="10"/>
  <c r="U198" i="10" s="1"/>
  <c r="O153" i="10"/>
  <c r="O154" i="10" s="1"/>
  <c r="O155" i="10" s="1"/>
  <c r="O148" i="10" s="1"/>
  <c r="AP124" i="5"/>
  <c r="R96" i="7"/>
  <c r="R109" i="7" s="1"/>
  <c r="R40" i="5"/>
  <c r="M106" i="5"/>
  <c r="M107" i="5" s="1"/>
  <c r="AQ105" i="6"/>
  <c r="AQ102" i="6"/>
  <c r="R197" i="10"/>
  <c r="R198" i="10" s="1"/>
  <c r="AQ144" i="6"/>
  <c r="AQ109" i="6"/>
  <c r="AQ113" i="6"/>
  <c r="Y25" i="7"/>
  <c r="R108" i="5"/>
  <c r="R109" i="5" s="1"/>
  <c r="AY119" i="7"/>
  <c r="R150" i="10"/>
  <c r="R153" i="10" s="1"/>
  <c r="R154" i="10" s="1"/>
  <c r="R155" i="10" s="1"/>
  <c r="BG117" i="7"/>
  <c r="AD102" i="7"/>
  <c r="BA178" i="5"/>
  <c r="E107" i="5"/>
  <c r="R61" i="10"/>
  <c r="AI213" i="5"/>
  <c r="AE109" i="7"/>
  <c r="AP215" i="5"/>
  <c r="S57" i="5"/>
  <c r="AP88" i="10"/>
  <c r="AP85" i="10"/>
  <c r="AP87" i="10"/>
  <c r="P153" i="10"/>
  <c r="P154" i="10" s="1"/>
  <c r="P155" i="10" s="1"/>
  <c r="S113" i="5"/>
  <c r="S124" i="5"/>
  <c r="DB32" i="7"/>
  <c r="AE119" i="7"/>
  <c r="P25" i="5"/>
  <c r="P26" i="5" s="1"/>
  <c r="P33" i="5" s="1"/>
  <c r="W182" i="10"/>
  <c r="W184" i="10" s="1"/>
  <c r="W185" i="10" s="1"/>
  <c r="W181" i="10" s="1"/>
  <c r="W179" i="10" s="1"/>
  <c r="X108" i="5"/>
  <c r="X109" i="5" s="1"/>
  <c r="P112" i="5"/>
  <c r="AT186" i="5"/>
  <c r="AD109" i="7"/>
  <c r="W109" i="10"/>
  <c r="AE25" i="7"/>
  <c r="BR28" i="10"/>
  <c r="BS28" i="10" s="1"/>
  <c r="AE57" i="5"/>
  <c r="F14" i="5"/>
  <c r="L113" i="7" s="1"/>
  <c r="L117" i="7" s="1"/>
  <c r="AU123" i="5"/>
  <c r="AT214" i="5"/>
  <c r="AP182" i="5"/>
  <c r="P60" i="10"/>
  <c r="AP134" i="5"/>
  <c r="AP29" i="5" s="1"/>
  <c r="Y57" i="5"/>
  <c r="AU19" i="5"/>
  <c r="AN214" i="5"/>
  <c r="AN186" i="5"/>
  <c r="BK68" i="5"/>
  <c r="BK52" i="5" s="1"/>
  <c r="BK53" i="5" s="1"/>
  <c r="X61" i="10"/>
  <c r="X24" i="5"/>
  <c r="AE22" i="11"/>
  <c r="P63" i="10"/>
  <c r="X150" i="10"/>
  <c r="X153" i="10" s="1"/>
  <c r="X154" i="10" s="1"/>
  <c r="X155" i="10" s="1"/>
  <c r="G106" i="5"/>
  <c r="G107" i="5" s="1"/>
  <c r="AO117" i="7"/>
  <c r="X197" i="10"/>
  <c r="X198" i="10" s="1"/>
  <c r="AH70" i="6"/>
  <c r="AH6" i="7"/>
  <c r="AN193" i="5"/>
  <c r="AN139" i="5"/>
  <c r="AN6" i="6"/>
  <c r="AN38" i="5"/>
  <c r="AN7" i="11"/>
  <c r="AO8" i="5"/>
  <c r="AP8" i="13"/>
  <c r="AN159" i="5"/>
  <c r="AN7" i="10"/>
  <c r="AE113" i="5"/>
  <c r="AM70" i="6"/>
  <c r="AM6" i="7"/>
  <c r="AI7" i="10"/>
  <c r="AK8" i="13"/>
  <c r="AI139" i="5"/>
  <c r="AI6" i="6"/>
  <c r="AI159" i="5"/>
  <c r="AI38" i="5"/>
  <c r="AJ8" i="5"/>
  <c r="AI193" i="5"/>
  <c r="AI7" i="11"/>
  <c r="AU8" i="13"/>
  <c r="AT8" i="5"/>
  <c r="AS7" i="11"/>
  <c r="AS193" i="5"/>
  <c r="AS7" i="10"/>
  <c r="AS139" i="5"/>
  <c r="AS159" i="5"/>
  <c r="AS38" i="5"/>
  <c r="AY8" i="5"/>
  <c r="AS6" i="6"/>
  <c r="AJ134" i="5"/>
  <c r="AJ29" i="5" s="1"/>
  <c r="S20" i="10"/>
  <c r="S51" i="10" s="1"/>
  <c r="S52" i="10" s="1"/>
  <c r="R51" i="10"/>
  <c r="U43" i="11"/>
  <c r="Y43" i="11" s="1"/>
  <c r="BA117" i="7"/>
  <c r="BA208" i="5"/>
  <c r="BB108" i="5"/>
  <c r="R43" i="11"/>
  <c r="O43" i="11"/>
  <c r="AK132" i="5"/>
  <c r="AO134" i="5"/>
  <c r="AQ126" i="5"/>
  <c r="R104" i="10"/>
  <c r="AU207" i="5"/>
  <c r="BB16" i="5"/>
  <c r="BB60" i="10" s="1"/>
  <c r="K51" i="10"/>
  <c r="R109" i="10"/>
  <c r="AQ164" i="6"/>
  <c r="AE133" i="5"/>
  <c r="AN187" i="5"/>
  <c r="J51" i="10"/>
  <c r="K43" i="11"/>
  <c r="W104" i="10"/>
  <c r="W106" i="10"/>
  <c r="AI126" i="5"/>
  <c r="AU215" i="5"/>
  <c r="BA216" i="5" s="1"/>
  <c r="AI179" i="5"/>
  <c r="AY16" i="5"/>
  <c r="AY109" i="5"/>
  <c r="AY61" i="10"/>
  <c r="AY24" i="5"/>
  <c r="AY230" i="5"/>
  <c r="AY237" i="5" s="1"/>
  <c r="AY150" i="10"/>
  <c r="AY182" i="10" s="1"/>
  <c r="AY108" i="5"/>
  <c r="AU187" i="5"/>
  <c r="AE124" i="5"/>
  <c r="AQ177" i="6"/>
  <c r="AU214" i="5"/>
  <c r="BA214" i="5"/>
  <c r="AE61" i="10"/>
  <c r="BA186" i="5"/>
  <c r="AE24" i="5"/>
  <c r="AK109" i="7"/>
  <c r="BC190" i="5"/>
  <c r="AK25" i="7"/>
  <c r="AU186" i="5"/>
  <c r="AT182" i="5"/>
  <c r="AO208" i="5"/>
  <c r="AK109" i="6"/>
  <c r="AK113" i="6"/>
  <c r="AK105" i="6"/>
  <c r="D14" i="5"/>
  <c r="D107" i="5"/>
  <c r="AK144" i="6"/>
  <c r="BH85" i="10"/>
  <c r="BH88" i="10"/>
  <c r="BH87" i="10"/>
  <c r="AP117" i="7"/>
  <c r="AU178" i="5"/>
  <c r="BK60" i="6"/>
  <c r="BB61" i="10"/>
  <c r="AO207" i="5"/>
  <c r="AK76" i="10"/>
  <c r="BH19" i="5"/>
  <c r="O25" i="7"/>
  <c r="AZ16" i="5"/>
  <c r="AZ230" i="5"/>
  <c r="AZ237" i="5" s="1"/>
  <c r="AZ24" i="5"/>
  <c r="AZ109" i="5"/>
  <c r="AZ61" i="10"/>
  <c r="AZ150" i="10"/>
  <c r="AZ182" i="10" s="1"/>
  <c r="AZ108" i="5"/>
  <c r="BH76" i="10"/>
  <c r="BK85" i="5"/>
  <c r="BK89" i="5" s="1"/>
  <c r="BK13" i="5" s="1"/>
  <c r="BB150" i="10"/>
  <c r="BB182" i="10" s="1"/>
  <c r="BB24" i="5"/>
  <c r="BB26" i="5" s="1"/>
  <c r="AO178" i="5"/>
  <c r="AU208" i="5"/>
  <c r="AK145" i="6"/>
  <c r="BB109" i="5"/>
  <c r="AP211" i="5"/>
  <c r="BH124" i="5"/>
  <c r="AI215" i="5"/>
  <c r="BK102" i="5"/>
  <c r="BK106" i="5" s="1"/>
  <c r="BK14" i="5" s="1"/>
  <c r="BI159" i="10"/>
  <c r="BW39" i="10"/>
  <c r="BX39" i="10" s="1"/>
  <c r="BY39" i="10" s="1"/>
  <c r="BZ39" i="10" s="1"/>
  <c r="BU39" i="10"/>
  <c r="BC106" i="11"/>
  <c r="BN204" i="10"/>
  <c r="BM166" i="10"/>
  <c r="AE16" i="5"/>
  <c r="AE62" i="10" s="1"/>
  <c r="AE150" i="10"/>
  <c r="AE153" i="10" s="1"/>
  <c r="AE154" i="10" s="1"/>
  <c r="AE155" i="10" s="1"/>
  <c r="AZ191" i="5"/>
  <c r="O34" i="7"/>
  <c r="O96" i="7"/>
  <c r="U34" i="7"/>
  <c r="O40" i="5"/>
  <c r="BK51" i="5"/>
  <c r="BO50" i="5"/>
  <c r="BO51" i="5" s="1"/>
  <c r="BK144" i="5"/>
  <c r="BL178" i="5"/>
  <c r="BL179" i="5"/>
  <c r="BL207" i="5"/>
  <c r="BL208" i="5"/>
  <c r="BL144" i="5"/>
  <c r="BL154" i="5" s="1"/>
  <c r="BL51" i="5"/>
  <c r="DF30" i="7"/>
  <c r="AK119" i="7"/>
  <c r="BK18" i="6"/>
  <c r="BK45" i="6"/>
  <c r="BK46" i="6" s="1"/>
  <c r="BK12" i="7" s="1"/>
  <c r="AT211" i="5"/>
  <c r="AN182" i="5"/>
  <c r="X88" i="10"/>
  <c r="BK208" i="5"/>
  <c r="BK207" i="5"/>
  <c r="BK179" i="5"/>
  <c r="BO206" i="5"/>
  <c r="BK178" i="5"/>
  <c r="BO177" i="5"/>
  <c r="BO67" i="5"/>
  <c r="AQ140" i="6"/>
  <c r="AK140" i="6"/>
  <c r="AM117" i="7"/>
  <c r="AN210" i="5"/>
  <c r="AN211" i="5"/>
  <c r="AS117" i="7"/>
  <c r="AQ76" i="10"/>
  <c r="AW118" i="7"/>
  <c r="AI183" i="5"/>
  <c r="AI210" i="5"/>
  <c r="AI24" i="5"/>
  <c r="AI150" i="10"/>
  <c r="AI61" i="10"/>
  <c r="AI148" i="5"/>
  <c r="AI108" i="5"/>
  <c r="AI109" i="5" s="1"/>
  <c r="AI16" i="5"/>
  <c r="AM88" i="10"/>
  <c r="D111" i="10"/>
  <c r="E110" i="10"/>
  <c r="AB24" i="5"/>
  <c r="AB197" i="10"/>
  <c r="AB198" i="10" s="1"/>
  <c r="AB61" i="10"/>
  <c r="AB108" i="5"/>
  <c r="AB109" i="5" s="1"/>
  <c r="AB150" i="10"/>
  <c r="AB16" i="5"/>
  <c r="Y19" i="5"/>
  <c r="Y124" i="5"/>
  <c r="Y113" i="5"/>
  <c r="AT208" i="5"/>
  <c r="AN208" i="5"/>
  <c r="AN179" i="5"/>
  <c r="AN207" i="5"/>
  <c r="AT178" i="5"/>
  <c r="AN178" i="5"/>
  <c r="AJ207" i="5"/>
  <c r="AJ179" i="5"/>
  <c r="AI106" i="10"/>
  <c r="AI104" i="10"/>
  <c r="AI109" i="10"/>
  <c r="BI91" i="5"/>
  <c r="BI113" i="7"/>
  <c r="BC124" i="5"/>
  <c r="BC85" i="10"/>
  <c r="BC113" i="5"/>
  <c r="BC87" i="10"/>
  <c r="BC88" i="10"/>
  <c r="X134" i="5"/>
  <c r="X29" i="5" s="1"/>
  <c r="AD6" i="7"/>
  <c r="AD70" i="6"/>
  <c r="AU13" i="11"/>
  <c r="AD134" i="5"/>
  <c r="AD29" i="5" s="1"/>
  <c r="AP25" i="11"/>
  <c r="AO157" i="10"/>
  <c r="AO162" i="10" s="1"/>
  <c r="AO74" i="10"/>
  <c r="AN88" i="10"/>
  <c r="CW12" i="7"/>
  <c r="DA27" i="7" s="1"/>
  <c r="AJ88" i="10"/>
  <c r="AJ85" i="10"/>
  <c r="AJ124" i="5"/>
  <c r="AJ113" i="5"/>
  <c r="AP113" i="5" s="1"/>
  <c r="AJ87" i="10"/>
  <c r="AJ19" i="5"/>
  <c r="AW113" i="7"/>
  <c r="AW91" i="5"/>
  <c r="DD33" i="7"/>
  <c r="BB191" i="5"/>
  <c r="BC31" i="11"/>
  <c r="P43" i="11"/>
  <c r="O51" i="10"/>
  <c r="S107" i="10"/>
  <c r="S159" i="10"/>
  <c r="BI57" i="5"/>
  <c r="BB117" i="7"/>
  <c r="BH117" i="7"/>
  <c r="AM178" i="5"/>
  <c r="AM207" i="5"/>
  <c r="AM179" i="5"/>
  <c r="AM208" i="5"/>
  <c r="AQ206" i="5"/>
  <c r="AD24" i="5"/>
  <c r="AD61" i="10"/>
  <c r="AD108" i="5"/>
  <c r="AD109" i="5" s="1"/>
  <c r="AD16" i="5"/>
  <c r="AD150" i="10"/>
  <c r="AD197" i="10"/>
  <c r="AD198" i="10" s="1"/>
  <c r="AO103" i="7"/>
  <c r="BI26" i="11"/>
  <c r="BI25" i="10"/>
  <c r="J113" i="5"/>
  <c r="J19" i="5"/>
  <c r="J124" i="5"/>
  <c r="O28" i="5"/>
  <c r="O33" i="5"/>
  <c r="O118" i="5"/>
  <c r="O32" i="5"/>
  <c r="BI79" i="11"/>
  <c r="AV119" i="7"/>
  <c r="BB119" i="7"/>
  <c r="O204" i="10"/>
  <c r="Q104" i="10"/>
  <c r="BF87" i="10"/>
  <c r="BF85" i="10"/>
  <c r="BF88" i="10"/>
  <c r="BF124" i="5"/>
  <c r="BF19" i="5"/>
  <c r="W28" i="5"/>
  <c r="W118" i="5"/>
  <c r="W33" i="5"/>
  <c r="K100" i="10"/>
  <c r="K109" i="10" s="1"/>
  <c r="M144" i="6"/>
  <c r="S144" i="6"/>
  <c r="AP102" i="10"/>
  <c r="AQ101" i="10"/>
  <c r="M16" i="10"/>
  <c r="L107" i="10"/>
  <c r="L159" i="10"/>
  <c r="BM224" i="5"/>
  <c r="S61" i="10"/>
  <c r="S24" i="5"/>
  <c r="S150" i="10"/>
  <c r="S16" i="5"/>
  <c r="S108" i="5"/>
  <c r="S109" i="5" s="1"/>
  <c r="AU182" i="5"/>
  <c r="F126" i="5"/>
  <c r="F117" i="10"/>
  <c r="G105" i="10"/>
  <c r="G106" i="10" s="1"/>
  <c r="AT45" i="10"/>
  <c r="AT209" i="10" s="1"/>
  <c r="V109" i="10"/>
  <c r="V104" i="10"/>
  <c r="AT117" i="7"/>
  <c r="AZ117" i="7"/>
  <c r="CZ32" i="7"/>
  <c r="DD32" i="7"/>
  <c r="X117" i="10"/>
  <c r="AH28" i="5"/>
  <c r="AH118" i="5"/>
  <c r="AH33" i="5"/>
  <c r="AH32" i="5"/>
  <c r="X118" i="10"/>
  <c r="X46" i="11" s="1"/>
  <c r="AH117" i="10"/>
  <c r="U119" i="10"/>
  <c r="V114" i="10" s="1"/>
  <c r="U161" i="10"/>
  <c r="K119" i="10"/>
  <c r="K161" i="10"/>
  <c r="J166" i="10"/>
  <c r="AO25" i="11"/>
  <c r="AN157" i="10"/>
  <c r="AN162" i="10" s="1"/>
  <c r="AN74" i="10"/>
  <c r="AB134" i="5"/>
  <c r="AB29" i="5" s="1"/>
  <c r="BI15" i="5"/>
  <c r="BI113" i="5" s="1"/>
  <c r="J134" i="5"/>
  <c r="J29" i="5" s="1"/>
  <c r="L100" i="10"/>
  <c r="AH157" i="10"/>
  <c r="AI25" i="11"/>
  <c r="AH74" i="10"/>
  <c r="I91" i="5"/>
  <c r="I113" i="7"/>
  <c r="I117" i="7" s="1"/>
  <c r="O113" i="7"/>
  <c r="I15" i="5"/>
  <c r="AS214" i="5"/>
  <c r="AY214" i="5"/>
  <c r="AS186" i="5"/>
  <c r="AY186" i="5"/>
  <c r="AW212" i="5"/>
  <c r="AS187" i="5"/>
  <c r="AS215" i="5"/>
  <c r="AS213" i="5"/>
  <c r="AE117" i="7"/>
  <c r="AN26" i="11"/>
  <c r="AM164" i="10"/>
  <c r="AM26" i="11"/>
  <c r="AM75" i="10"/>
  <c r="O160" i="10"/>
  <c r="AG124" i="5"/>
  <c r="AG113" i="5"/>
  <c r="AG19" i="5"/>
  <c r="AA86" i="10"/>
  <c r="AA158" i="10"/>
  <c r="BB81" i="11"/>
  <c r="BB33" i="11"/>
  <c r="AW16" i="6"/>
  <c r="R113" i="7"/>
  <c r="L91" i="5"/>
  <c r="L15" i="5"/>
  <c r="Y88" i="10"/>
  <c r="AN215" i="5"/>
  <c r="O88" i="10"/>
  <c r="AM215" i="5"/>
  <c r="BI30" i="10"/>
  <c r="S118" i="7"/>
  <c r="AC126" i="5"/>
  <c r="C91" i="5"/>
  <c r="C15" i="5"/>
  <c r="AO106" i="10"/>
  <c r="AO109" i="10"/>
  <c r="BA81" i="10"/>
  <c r="BA82" i="11"/>
  <c r="AQ8" i="7"/>
  <c r="AQ87" i="7" s="1"/>
  <c r="AQ38" i="6"/>
  <c r="AQ10" i="7" s="1"/>
  <c r="AQ89" i="7" s="1"/>
  <c r="AQ17" i="7"/>
  <c r="AQ21" i="7" s="1"/>
  <c r="AQ38" i="7" s="1"/>
  <c r="V119" i="5"/>
  <c r="V125" i="5"/>
  <c r="F159" i="10"/>
  <c r="F107" i="10"/>
  <c r="G16" i="10"/>
  <c r="AV179" i="5"/>
  <c r="AV208" i="5"/>
  <c r="BB208" i="5"/>
  <c r="AV178" i="5"/>
  <c r="BB178" i="5"/>
  <c r="AV207" i="5"/>
  <c r="U88" i="10"/>
  <c r="AO124" i="5"/>
  <c r="AO19" i="5"/>
  <c r="AJ213" i="5"/>
  <c r="AJ187" i="5"/>
  <c r="AJ215" i="5"/>
  <c r="AC106" i="10"/>
  <c r="AC104" i="10"/>
  <c r="AC109" i="10"/>
  <c r="AW28" i="7"/>
  <c r="K166" i="10"/>
  <c r="K22" i="11"/>
  <c r="AD15" i="10"/>
  <c r="AD86" i="10"/>
  <c r="AD158" i="10"/>
  <c r="AE13" i="10"/>
  <c r="U182" i="10"/>
  <c r="U184" i="10" s="1"/>
  <c r="U185" i="10" s="1"/>
  <c r="U181" i="10" s="1"/>
  <c r="U179" i="10" s="1"/>
  <c r="U153" i="10"/>
  <c r="U154" i="10" s="1"/>
  <c r="U155" i="10" s="1"/>
  <c r="S122" i="10"/>
  <c r="O122" i="10"/>
  <c r="O124" i="10" s="1"/>
  <c r="AG213" i="5"/>
  <c r="AG215" i="5"/>
  <c r="AG187" i="5"/>
  <c r="AK212" i="5"/>
  <c r="V117" i="7"/>
  <c r="AM214" i="5"/>
  <c r="AA182" i="10"/>
  <c r="AA184" i="10" s="1"/>
  <c r="AA185" i="10" s="1"/>
  <c r="AA181" i="10" s="1"/>
  <c r="AA179" i="10" s="1"/>
  <c r="AA153" i="10"/>
  <c r="AA154" i="10" s="1"/>
  <c r="AA155" i="10" s="1"/>
  <c r="BA72" i="11"/>
  <c r="BA80" i="10"/>
  <c r="AU45" i="10"/>
  <c r="AU209" i="10" s="1"/>
  <c r="AE105" i="10"/>
  <c r="AU117" i="7"/>
  <c r="BI32" i="10"/>
  <c r="BH50" i="10"/>
  <c r="BH202" i="10" s="1"/>
  <c r="R106" i="10"/>
  <c r="DA32" i="7"/>
  <c r="DE32" i="7"/>
  <c r="AO104" i="7"/>
  <c r="X16" i="5"/>
  <c r="Q117" i="10"/>
  <c r="BE109" i="5"/>
  <c r="BE230" i="5"/>
  <c r="BE237" i="5" s="1"/>
  <c r="BE16" i="5"/>
  <c r="BE61" i="10"/>
  <c r="BE108" i="5"/>
  <c r="BE24" i="5"/>
  <c r="BE150" i="10"/>
  <c r="E107" i="10"/>
  <c r="E159" i="10"/>
  <c r="AP208" i="5"/>
  <c r="AQ40" i="6"/>
  <c r="BC113" i="7"/>
  <c r="Q114" i="10"/>
  <c r="Q118" i="10" s="1"/>
  <c r="AJ24" i="11"/>
  <c r="AI156" i="10"/>
  <c r="AI73" i="10"/>
  <c r="AI15" i="10"/>
  <c r="BC118" i="7"/>
  <c r="M25" i="7"/>
  <c r="M24" i="7"/>
  <c r="O107" i="10"/>
  <c r="P100" i="10" s="1"/>
  <c r="O159" i="10"/>
  <c r="E204" i="10"/>
  <c r="F204" i="10"/>
  <c r="D204" i="10"/>
  <c r="L204" i="10"/>
  <c r="E91" i="5"/>
  <c r="E15" i="5"/>
  <c r="AH24" i="11"/>
  <c r="AG156" i="10"/>
  <c r="AG15" i="10"/>
  <c r="AG73" i="10"/>
  <c r="AA88" i="10"/>
  <c r="AB117" i="10"/>
  <c r="AB118" i="10"/>
  <c r="AB46" i="11" s="1"/>
  <c r="AI157" i="10"/>
  <c r="AJ25" i="11"/>
  <c r="AI74" i="10"/>
  <c r="CW11" i="7"/>
  <c r="DA26" i="7" s="1"/>
  <c r="AV28" i="7"/>
  <c r="AJ183" i="5"/>
  <c r="AJ210" i="5"/>
  <c r="S105" i="10"/>
  <c r="Y161" i="10"/>
  <c r="AO214" i="5"/>
  <c r="AO187" i="5"/>
  <c r="AO215" i="5"/>
  <c r="AO186" i="5"/>
  <c r="AO213" i="5"/>
  <c r="AO164" i="10"/>
  <c r="AO26" i="11"/>
  <c r="AP26" i="11"/>
  <c r="AO75" i="10"/>
  <c r="AK113" i="7"/>
  <c r="AK117" i="7" s="1"/>
  <c r="AK91" i="5"/>
  <c r="AK15" i="5"/>
  <c r="AH118" i="10"/>
  <c r="AH46" i="11" s="1"/>
  <c r="AZ79" i="10"/>
  <c r="AC86" i="10"/>
  <c r="AC158" i="10"/>
  <c r="AV215" i="5"/>
  <c r="AV213" i="5"/>
  <c r="AV186" i="5"/>
  <c r="AV214" i="5"/>
  <c r="AV187" i="5"/>
  <c r="BB186" i="5"/>
  <c r="BB214" i="5"/>
  <c r="BA109" i="5"/>
  <c r="BA108" i="5"/>
  <c r="BA230" i="5"/>
  <c r="BA237" i="5" s="1"/>
  <c r="BA16" i="5"/>
  <c r="BA61" i="10"/>
  <c r="BA150" i="10"/>
  <c r="BA24" i="5"/>
  <c r="BC19" i="5"/>
  <c r="AZ84" i="11"/>
  <c r="AZ82" i="10"/>
  <c r="AQ212" i="5"/>
  <c r="BI27" i="11"/>
  <c r="BI26" i="10"/>
  <c r="Q119" i="5"/>
  <c r="Q125" i="5"/>
  <c r="AM113" i="5"/>
  <c r="AS113" i="5" s="1"/>
  <c r="AM124" i="5"/>
  <c r="AM19" i="5"/>
  <c r="AV87" i="10"/>
  <c r="AV85" i="10"/>
  <c r="AV88" i="10"/>
  <c r="AV18" i="5"/>
  <c r="AV13" i="11" s="1"/>
  <c r="AV19" i="5"/>
  <c r="AV123" i="5"/>
  <c r="AA25" i="5"/>
  <c r="AA26" i="5" s="1"/>
  <c r="AN23" i="10"/>
  <c r="Q126" i="5"/>
  <c r="Q16" i="5"/>
  <c r="K126" i="5"/>
  <c r="AS182" i="5"/>
  <c r="AW209" i="5"/>
  <c r="AS211" i="5"/>
  <c r="AY211" i="5"/>
  <c r="AS210" i="5"/>
  <c r="AY182" i="5"/>
  <c r="AS183" i="5"/>
  <c r="AM23" i="10"/>
  <c r="BI190" i="5"/>
  <c r="BI157" i="5"/>
  <c r="AU119" i="7"/>
  <c r="BA119" i="7"/>
  <c r="M57" i="5"/>
  <c r="J119" i="10"/>
  <c r="J161" i="10"/>
  <c r="AV210" i="5"/>
  <c r="AV182" i="5"/>
  <c r="BB211" i="5"/>
  <c r="AV183" i="5"/>
  <c r="AV211" i="5"/>
  <c r="BB182" i="5"/>
  <c r="AN117" i="10"/>
  <c r="AN118" i="10"/>
  <c r="AN46" i="11" s="1"/>
  <c r="BE191" i="5"/>
  <c r="AN164" i="10"/>
  <c r="AN75" i="10"/>
  <c r="R25" i="5"/>
  <c r="R26" i="5" s="1"/>
  <c r="DE27" i="7"/>
  <c r="AK95" i="11"/>
  <c r="AQ91" i="11" s="1"/>
  <c r="AQ93" i="11" s="1"/>
  <c r="AA60" i="10"/>
  <c r="AA112" i="5"/>
  <c r="AD88" i="10"/>
  <c r="AE27" i="10"/>
  <c r="Q34" i="7"/>
  <c r="W34" i="7"/>
  <c r="Q40" i="5"/>
  <c r="Q96" i="7"/>
  <c r="BM14" i="6"/>
  <c r="AO183" i="5"/>
  <c r="AO210" i="5"/>
  <c r="AO182" i="5"/>
  <c r="AO211" i="5"/>
  <c r="C134" i="5"/>
  <c r="C29" i="5" s="1"/>
  <c r="AK57" i="5"/>
  <c r="BI25" i="11"/>
  <c r="BI12" i="10"/>
  <c r="BH187" i="10"/>
  <c r="AE11" i="10"/>
  <c r="AD156" i="10"/>
  <c r="AG24" i="11"/>
  <c r="AD73" i="10"/>
  <c r="U22" i="11"/>
  <c r="U166" i="10"/>
  <c r="V22" i="11"/>
  <c r="AG207" i="5"/>
  <c r="AG179" i="5"/>
  <c r="AK206" i="5"/>
  <c r="D134" i="5"/>
  <c r="D29" i="5" s="1"/>
  <c r="BC191" i="5"/>
  <c r="AP214" i="5"/>
  <c r="BR94" i="10"/>
  <c r="BS54" i="11"/>
  <c r="AW57" i="6"/>
  <c r="AW40" i="5"/>
  <c r="BC34" i="7"/>
  <c r="U52" i="10"/>
  <c r="AQ85" i="10"/>
  <c r="AQ87" i="10"/>
  <c r="AQ113" i="5"/>
  <c r="AQ88" i="10"/>
  <c r="AQ124" i="5"/>
  <c r="BH191" i="5"/>
  <c r="D107" i="10"/>
  <c r="D159" i="10"/>
  <c r="K106" i="10"/>
  <c r="AK100" i="10"/>
  <c r="AG109" i="10"/>
  <c r="AG104" i="10"/>
  <c r="AP178" i="5"/>
  <c r="AQ24" i="11"/>
  <c r="AM104" i="7"/>
  <c r="BB16" i="6"/>
  <c r="BH14" i="6"/>
  <c r="AM210" i="5"/>
  <c r="AM211" i="5"/>
  <c r="AQ209" i="5"/>
  <c r="AM182" i="5"/>
  <c r="AM183" i="5"/>
  <c r="AW15" i="5"/>
  <c r="DE33" i="7"/>
  <c r="DI33" i="7"/>
  <c r="AI88" i="10"/>
  <c r="S22" i="7"/>
  <c r="AW33" i="7"/>
  <c r="AY178" i="5"/>
  <c r="AS208" i="5"/>
  <c r="AS207" i="5"/>
  <c r="AS179" i="5"/>
  <c r="AW206" i="5"/>
  <c r="AY208" i="5"/>
  <c r="AS178" i="5"/>
  <c r="R119" i="10"/>
  <c r="R161" i="10"/>
  <c r="S18" i="10"/>
  <c r="S35" i="10"/>
  <c r="S204" i="10" s="1"/>
  <c r="R22" i="11"/>
  <c r="R166" i="10"/>
  <c r="AM74" i="10"/>
  <c r="AM157" i="10"/>
  <c r="AM162" i="10" s="1"/>
  <c r="AM25" i="11"/>
  <c r="AN25" i="11"/>
  <c r="BI118" i="7"/>
  <c r="J117" i="10"/>
  <c r="AG157" i="10"/>
  <c r="AH25" i="11"/>
  <c r="AG74" i="10"/>
  <c r="BI117" i="10"/>
  <c r="K107" i="5"/>
  <c r="K14" i="5"/>
  <c r="CW16" i="7"/>
  <c r="DA31" i="7" s="1"/>
  <c r="AV33" i="7"/>
  <c r="AQ113" i="7"/>
  <c r="AQ91" i="5"/>
  <c r="AY117" i="7"/>
  <c r="BE117" i="7"/>
  <c r="S27" i="10"/>
  <c r="R88" i="10"/>
  <c r="AO15" i="10"/>
  <c r="AM103" i="7"/>
  <c r="CA130" i="5"/>
  <c r="Y166" i="10"/>
  <c r="AI24" i="11"/>
  <c r="AH73" i="10"/>
  <c r="AH15" i="10"/>
  <c r="AH156" i="10"/>
  <c r="AA62" i="10"/>
  <c r="AG210" i="5"/>
  <c r="AK209" i="5"/>
  <c r="AG183" i="5"/>
  <c r="AH88" i="10"/>
  <c r="AB158" i="10"/>
  <c r="AB86" i="10"/>
  <c r="BH31" i="10"/>
  <c r="AA100" i="10"/>
  <c r="Y108" i="10"/>
  <c r="AN24" i="5"/>
  <c r="AN16" i="5"/>
  <c r="AN108" i="5"/>
  <c r="AN109" i="5" s="1"/>
  <c r="AN110" i="5" s="1"/>
  <c r="AN150" i="10"/>
  <c r="AN61" i="10"/>
  <c r="AN230" i="5"/>
  <c r="AN148" i="5"/>
  <c r="I134" i="5"/>
  <c r="AS108" i="5"/>
  <c r="AS61" i="10"/>
  <c r="AS230" i="5"/>
  <c r="AS237" i="5" s="1"/>
  <c r="AS24" i="5"/>
  <c r="AS16" i="5"/>
  <c r="AS150" i="10"/>
  <c r="AM186" i="5"/>
  <c r="BI97" i="11"/>
  <c r="BF82" i="10"/>
  <c r="BF84" i="11"/>
  <c r="BF79" i="10"/>
  <c r="BS106" i="11" l="1"/>
  <c r="BQ58" i="6"/>
  <c r="BQ24" i="7" s="1"/>
  <c r="X38" i="7"/>
  <c r="R38" i="7"/>
  <c r="AW38" i="7"/>
  <c r="BA60" i="6"/>
  <c r="BI15" i="6"/>
  <c r="BI48" i="6" s="1"/>
  <c r="BI14" i="7" s="1"/>
  <c r="BS44" i="10"/>
  <c r="BR207" i="10"/>
  <c r="AU216" i="10"/>
  <c r="AU215" i="10"/>
  <c r="AT215" i="10"/>
  <c r="AT216" i="10"/>
  <c r="BT208" i="10"/>
  <c r="BU37" i="10"/>
  <c r="BU208" i="10" s="1"/>
  <c r="BW37" i="10"/>
  <c r="AS197" i="10"/>
  <c r="AS198" i="10" s="1"/>
  <c r="AN197" i="10"/>
  <c r="AN198" i="10" s="1"/>
  <c r="AD199" i="10"/>
  <c r="AB199" i="10"/>
  <c r="AI197" i="10"/>
  <c r="AI198" i="10" s="1"/>
  <c r="R199" i="10"/>
  <c r="AC199" i="10"/>
  <c r="X199" i="10"/>
  <c r="U199" i="10"/>
  <c r="BM15" i="6"/>
  <c r="BS93" i="7" s="1"/>
  <c r="BS106" i="7" s="1"/>
  <c r="BG16" i="6"/>
  <c r="BM94" i="7" s="1"/>
  <c r="BC109" i="7"/>
  <c r="BI14" i="6"/>
  <c r="BI47" i="6" s="1"/>
  <c r="BN92" i="7"/>
  <c r="BN105" i="7" s="1"/>
  <c r="BN15" i="6"/>
  <c r="BT93" i="7" s="1"/>
  <c r="BN93" i="7"/>
  <c r="BN106" i="7" s="1"/>
  <c r="BA94" i="7"/>
  <c r="BA107" i="7" s="1"/>
  <c r="BC16" i="6"/>
  <c r="BC49" i="6" s="1"/>
  <c r="BH94" i="7"/>
  <c r="BK29" i="7"/>
  <c r="BK91" i="7"/>
  <c r="BK104" i="7" s="1"/>
  <c r="BO108" i="7"/>
  <c r="BC13" i="7"/>
  <c r="BC92" i="7" s="1"/>
  <c r="BC105" i="7" s="1"/>
  <c r="BL34" i="7"/>
  <c r="BL96" i="7"/>
  <c r="BL109" i="7" s="1"/>
  <c r="BS13" i="7"/>
  <c r="BS92" i="7" s="1"/>
  <c r="BS105" i="7" s="1"/>
  <c r="BG79" i="10"/>
  <c r="BG82" i="10"/>
  <c r="BH150" i="10"/>
  <c r="BH182" i="10" s="1"/>
  <c r="AN237" i="5"/>
  <c r="BA231" i="5"/>
  <c r="AZ231" i="5"/>
  <c r="BE231" i="5"/>
  <c r="AS231" i="5"/>
  <c r="AY231" i="5"/>
  <c r="CM127" i="5"/>
  <c r="K52" i="10"/>
  <c r="R52" i="10"/>
  <c r="J52" i="10"/>
  <c r="CJ130" i="5"/>
  <c r="CK130" i="5" s="1"/>
  <c r="CL130" i="5" s="1"/>
  <c r="AT108" i="5"/>
  <c r="AT61" i="10"/>
  <c r="AT150" i="10"/>
  <c r="AT182" i="10" s="1"/>
  <c r="AT184" i="10" s="1"/>
  <c r="AT185" i="10" s="1"/>
  <c r="AT181" i="10" s="1"/>
  <c r="AT179" i="10" s="1"/>
  <c r="AT230" i="5"/>
  <c r="AT237" i="5" s="1"/>
  <c r="AT24" i="5"/>
  <c r="BG108" i="5"/>
  <c r="BG61" i="10"/>
  <c r="BG109" i="5"/>
  <c r="BG150" i="10"/>
  <c r="BG182" i="10" s="1"/>
  <c r="BG24" i="5"/>
  <c r="BG230" i="5"/>
  <c r="BG237" i="5" s="1"/>
  <c r="BG16" i="5"/>
  <c r="L109" i="10"/>
  <c r="BL75" i="10"/>
  <c r="BR75" i="10" s="1"/>
  <c r="BX75" i="10" s="1"/>
  <c r="CD75" i="10" s="1"/>
  <c r="CJ75" i="10" s="1"/>
  <c r="BL74" i="10"/>
  <c r="BR74" i="10" s="1"/>
  <c r="BX74" i="10" s="1"/>
  <c r="CD74" i="10" s="1"/>
  <c r="CJ74" i="10" s="1"/>
  <c r="BG83" i="11"/>
  <c r="V16" i="5"/>
  <c r="V126" i="5"/>
  <c r="V134" i="5" s="1"/>
  <c r="BL122" i="6"/>
  <c r="BL74" i="6"/>
  <c r="BL102" i="6"/>
  <c r="BL73" i="6"/>
  <c r="BL124" i="6"/>
  <c r="BL76" i="6"/>
  <c r="BL72" i="6"/>
  <c r="BL123" i="6"/>
  <c r="BL75" i="6"/>
  <c r="BL71" i="6"/>
  <c r="V118" i="10"/>
  <c r="V46" i="11" s="1"/>
  <c r="BR28" i="11"/>
  <c r="BL53" i="5"/>
  <c r="BL56" i="6"/>
  <c r="BL10" i="5"/>
  <c r="BR58" i="6"/>
  <c r="BR24" i="7" s="1"/>
  <c r="AW34" i="7"/>
  <c r="BL12" i="7"/>
  <c r="BL209" i="5"/>
  <c r="BL182" i="5" s="1"/>
  <c r="BL145" i="5"/>
  <c r="BL155" i="5" s="1"/>
  <c r="BL72" i="5"/>
  <c r="BL12" i="5" s="1"/>
  <c r="BL181" i="5"/>
  <c r="X119" i="7"/>
  <c r="CD138" i="10"/>
  <c r="BK123" i="6"/>
  <c r="BK124" i="6"/>
  <c r="BK122" i="6"/>
  <c r="X109" i="7"/>
  <c r="AC63" i="10"/>
  <c r="BO186" i="5"/>
  <c r="BO187" i="5"/>
  <c r="BO146" i="5"/>
  <c r="BO156" i="5" s="1"/>
  <c r="BO214" i="5"/>
  <c r="AC25" i="5"/>
  <c r="AC26" i="5" s="1"/>
  <c r="AC33" i="5" s="1"/>
  <c r="BK102" i="6"/>
  <c r="BK72" i="6"/>
  <c r="BK71" i="6"/>
  <c r="BK74" i="6"/>
  <c r="BK73" i="6"/>
  <c r="BK76" i="6"/>
  <c r="BK75" i="6"/>
  <c r="CA39" i="10"/>
  <c r="CC39" i="10"/>
  <c r="CD39" i="10" s="1"/>
  <c r="CE39" i="10" s="1"/>
  <c r="CF39" i="10" s="1"/>
  <c r="AP16" i="5"/>
  <c r="AP112" i="5" s="1"/>
  <c r="AM31" i="10"/>
  <c r="AC182" i="10"/>
  <c r="AC184" i="10" s="1"/>
  <c r="AC185" i="10" s="1"/>
  <c r="AC181" i="10" s="1"/>
  <c r="AC179" i="10" s="1"/>
  <c r="R182" i="10"/>
  <c r="R184" i="10" s="1"/>
  <c r="R185" i="10" s="1"/>
  <c r="R181" i="10" s="1"/>
  <c r="R179" i="10" s="1"/>
  <c r="S179" i="10" s="1"/>
  <c r="AP61" i="10"/>
  <c r="U60" i="10"/>
  <c r="AP150" i="10"/>
  <c r="AP182" i="10" s="1"/>
  <c r="AP184" i="10" s="1"/>
  <c r="AP185" i="10" s="1"/>
  <c r="AP181" i="10" s="1"/>
  <c r="AP179" i="10" s="1"/>
  <c r="AC62" i="10"/>
  <c r="AC60" i="10"/>
  <c r="AC112" i="5"/>
  <c r="U112" i="5"/>
  <c r="AP108" i="5"/>
  <c r="AP109" i="5" s="1"/>
  <c r="AP110" i="5" s="1"/>
  <c r="AP230" i="5"/>
  <c r="AP237" i="5" s="1"/>
  <c r="AP148" i="5"/>
  <c r="U63" i="10"/>
  <c r="AP24" i="5"/>
  <c r="U62" i="10"/>
  <c r="CG130" i="5"/>
  <c r="AO87" i="10"/>
  <c r="P28" i="5"/>
  <c r="P30" i="5" s="1"/>
  <c r="P32" i="5"/>
  <c r="AP216" i="5"/>
  <c r="AW123" i="5"/>
  <c r="AW124" i="5" s="1"/>
  <c r="G14" i="5"/>
  <c r="BB116" i="5"/>
  <c r="X182" i="10"/>
  <c r="X184" i="10" s="1"/>
  <c r="X185" i="10" s="1"/>
  <c r="X181" i="10" s="1"/>
  <c r="X179" i="10" s="1"/>
  <c r="Y179" i="10" s="1"/>
  <c r="P118" i="5"/>
  <c r="X25" i="5"/>
  <c r="X26" i="5" s="1"/>
  <c r="F15" i="5"/>
  <c r="F113" i="5" s="1"/>
  <c r="F91" i="5"/>
  <c r="AS109" i="5"/>
  <c r="AW19" i="5"/>
  <c r="AW108" i="5" s="1"/>
  <c r="AW109" i="5" s="1"/>
  <c r="AU24" i="5"/>
  <c r="BK56" i="5"/>
  <c r="BK11" i="5" s="1"/>
  <c r="AB88" i="10"/>
  <c r="AU61" i="10"/>
  <c r="AU108" i="5"/>
  <c r="AU230" i="5"/>
  <c r="AU237" i="5" s="1"/>
  <c r="BK72" i="5"/>
  <c r="BK189" i="5" s="1"/>
  <c r="AU150" i="10"/>
  <c r="AU182" i="10" s="1"/>
  <c r="AU184" i="10" s="1"/>
  <c r="AU185" i="10" s="1"/>
  <c r="AU181" i="10" s="1"/>
  <c r="AU179" i="10" s="1"/>
  <c r="BK181" i="5"/>
  <c r="BB63" i="10"/>
  <c r="S25" i="5"/>
  <c r="BB112" i="5"/>
  <c r="BB62" i="10"/>
  <c r="AQ94" i="11"/>
  <c r="AQ95" i="11" s="1"/>
  <c r="AW91" i="11" s="1"/>
  <c r="AJ159" i="5"/>
  <c r="AJ139" i="5"/>
  <c r="AJ7" i="11"/>
  <c r="AJ38" i="5"/>
  <c r="AL8" i="13"/>
  <c r="AJ7" i="10"/>
  <c r="AJ193" i="5"/>
  <c r="AJ6" i="6"/>
  <c r="AO193" i="5"/>
  <c r="AP8" i="5"/>
  <c r="AQ8" i="13"/>
  <c r="AO7" i="10"/>
  <c r="AO7" i="11"/>
  <c r="AO159" i="5"/>
  <c r="AO139" i="5"/>
  <c r="AO38" i="5"/>
  <c r="AO6" i="6"/>
  <c r="AS6" i="7"/>
  <c r="AS70" i="6"/>
  <c r="AV8" i="13"/>
  <c r="AT7" i="11"/>
  <c r="AT7" i="10"/>
  <c r="AU8" i="5"/>
  <c r="AT139" i="5"/>
  <c r="AT6" i="6"/>
  <c r="AT38" i="5"/>
  <c r="AT159" i="5"/>
  <c r="AT193" i="5"/>
  <c r="AN6" i="7"/>
  <c r="AN70" i="6"/>
  <c r="BA8" i="13"/>
  <c r="AY139" i="5"/>
  <c r="AY6" i="6"/>
  <c r="AY6" i="7" s="1"/>
  <c r="AY7" i="10"/>
  <c r="BE8" i="5"/>
  <c r="AY38" i="5"/>
  <c r="AY7" i="11"/>
  <c r="AY159" i="5"/>
  <c r="AZ8" i="5"/>
  <c r="AY193" i="5"/>
  <c r="AI6" i="7"/>
  <c r="AI70" i="6"/>
  <c r="AN231" i="5"/>
  <c r="W126" i="5"/>
  <c r="W16" i="5"/>
  <c r="F51" i="10"/>
  <c r="F52" i="10" s="1"/>
  <c r="G20" i="10"/>
  <c r="G51" i="10" s="1"/>
  <c r="G52" i="10" s="1"/>
  <c r="Y129" i="5"/>
  <c r="Y16" i="5" s="1"/>
  <c r="W32" i="5"/>
  <c r="AI134" i="5"/>
  <c r="AK134" i="5" s="1"/>
  <c r="AK126" i="5"/>
  <c r="D51" i="10"/>
  <c r="D52" i="10" s="1"/>
  <c r="E43" i="11"/>
  <c r="W118" i="10"/>
  <c r="W46" i="11" s="1"/>
  <c r="W117" i="10"/>
  <c r="Y116" i="10"/>
  <c r="Y117" i="10" s="1"/>
  <c r="AO29" i="5"/>
  <c r="AQ134" i="5"/>
  <c r="AQ29" i="5" s="1"/>
  <c r="E51" i="10"/>
  <c r="E52" i="10" s="1"/>
  <c r="F43" i="11"/>
  <c r="AO76" i="10"/>
  <c r="AO216" i="5"/>
  <c r="L43" i="11"/>
  <c r="M20" i="10"/>
  <c r="M51" i="10" s="1"/>
  <c r="M52" i="10" s="1"/>
  <c r="L51" i="10"/>
  <c r="AY62" i="10"/>
  <c r="AY63" i="10"/>
  <c r="AY60" i="10"/>
  <c r="AY112" i="5"/>
  <c r="AY26" i="5"/>
  <c r="AY116" i="5"/>
  <c r="AM76" i="10"/>
  <c r="AN76" i="10"/>
  <c r="BK209" i="5"/>
  <c r="BK211" i="5" s="1"/>
  <c r="AE182" i="10"/>
  <c r="AE184" i="10" s="1"/>
  <c r="AE185" i="10" s="1"/>
  <c r="AE181" i="10" s="1"/>
  <c r="AU216" i="5"/>
  <c r="BK145" i="5"/>
  <c r="BK147" i="5" s="1"/>
  <c r="J113" i="7"/>
  <c r="D91" i="5"/>
  <c r="D15" i="5"/>
  <c r="BH230" i="5"/>
  <c r="BH237" i="5" s="1"/>
  <c r="AN31" i="10"/>
  <c r="AN70" i="10" s="1"/>
  <c r="AZ112" i="5"/>
  <c r="AZ60" i="10"/>
  <c r="AZ62" i="10"/>
  <c r="AZ63" i="10"/>
  <c r="AH162" i="10"/>
  <c r="AE112" i="5"/>
  <c r="BH61" i="10"/>
  <c r="AZ116" i="5"/>
  <c r="AZ26" i="5"/>
  <c r="BI19" i="5"/>
  <c r="BH108" i="5"/>
  <c r="BH24" i="5"/>
  <c r="BH26" i="5" s="1"/>
  <c r="AE63" i="10"/>
  <c r="AE60" i="10"/>
  <c r="BH16" i="5"/>
  <c r="BH109" i="5"/>
  <c r="BH110" i="5" s="1"/>
  <c r="BK57" i="6"/>
  <c r="BK17" i="7" s="1"/>
  <c r="BB60" i="6"/>
  <c r="BK10" i="5"/>
  <c r="BO10" i="10"/>
  <c r="BO34" i="10"/>
  <c r="BO19" i="10"/>
  <c r="BN166" i="10"/>
  <c r="BO35" i="10"/>
  <c r="BM160" i="10"/>
  <c r="AQ117" i="7"/>
  <c r="BK56" i="6"/>
  <c r="BC117" i="7"/>
  <c r="BK154" i="5"/>
  <c r="BO144" i="5"/>
  <c r="BO154" i="5" s="1"/>
  <c r="U109" i="7"/>
  <c r="O109" i="7"/>
  <c r="AT112" i="5"/>
  <c r="AT60" i="10"/>
  <c r="AT63" i="10"/>
  <c r="AT62" i="10"/>
  <c r="BO179" i="5"/>
  <c r="BO207" i="5"/>
  <c r="BO178" i="5"/>
  <c r="BO208" i="5"/>
  <c r="O119" i="7"/>
  <c r="U119" i="7"/>
  <c r="AW18" i="5"/>
  <c r="AI182" i="10"/>
  <c r="AI184" i="10" s="1"/>
  <c r="AI185" i="10" s="1"/>
  <c r="AI181" i="10" s="1"/>
  <c r="AI179" i="10" s="1"/>
  <c r="AI153" i="10"/>
  <c r="AI154" i="10" s="1"/>
  <c r="AI155" i="10" s="1"/>
  <c r="AQ26" i="11"/>
  <c r="AI63" i="10"/>
  <c r="AI60" i="10"/>
  <c r="AI62" i="10"/>
  <c r="AI112" i="5"/>
  <c r="AI25" i="5"/>
  <c r="AI26" i="5" s="1"/>
  <c r="AO30" i="11"/>
  <c r="AO85" i="10"/>
  <c r="AN182" i="10"/>
  <c r="AN184" i="10" s="1"/>
  <c r="AN185" i="10" s="1"/>
  <c r="AN181" i="10" s="1"/>
  <c r="AN179" i="10" s="1"/>
  <c r="AN153" i="10"/>
  <c r="AN154" i="10" s="1"/>
  <c r="AN155" i="10" s="1"/>
  <c r="AB47" i="11"/>
  <c r="AB49" i="11" s="1"/>
  <c r="C160" i="10"/>
  <c r="K113" i="7"/>
  <c r="K117" i="7" s="1"/>
  <c r="K91" i="5"/>
  <c r="Q113" i="7"/>
  <c r="K15" i="5"/>
  <c r="AW87" i="10"/>
  <c r="AW88" i="10"/>
  <c r="AW85" i="10"/>
  <c r="E100" i="10"/>
  <c r="E109" i="10" s="1"/>
  <c r="X47" i="11"/>
  <c r="X49" i="11" s="1"/>
  <c r="R117" i="10"/>
  <c r="AW211" i="5"/>
  <c r="AW183" i="5"/>
  <c r="AW210" i="5"/>
  <c r="AW182" i="5"/>
  <c r="BC211" i="5"/>
  <c r="BC182" i="5"/>
  <c r="D166" i="10"/>
  <c r="P109" i="10"/>
  <c r="P104" i="10"/>
  <c r="BE62" i="10"/>
  <c r="BE112" i="5"/>
  <c r="BE63" i="10"/>
  <c r="BE60" i="10"/>
  <c r="BI144" i="10"/>
  <c r="BI142" i="10"/>
  <c r="BI143" i="10" s="1"/>
  <c r="W86" i="10"/>
  <c r="W158" i="10"/>
  <c r="AQ103" i="7"/>
  <c r="BI124" i="5"/>
  <c r="S153" i="10"/>
  <c r="S154" i="10" s="1"/>
  <c r="S155" i="10" s="1"/>
  <c r="S148" i="10" s="1"/>
  <c r="S182" i="10"/>
  <c r="S184" i="10" s="1"/>
  <c r="S185" i="10" s="1"/>
  <c r="S181" i="10" s="1"/>
  <c r="BF16" i="5"/>
  <c r="BF108" i="5"/>
  <c r="BF109" i="5"/>
  <c r="BF150" i="10"/>
  <c r="BF230" i="5"/>
  <c r="BF237" i="5" s="1"/>
  <c r="BF61" i="10"/>
  <c r="BF24" i="5"/>
  <c r="L106" i="10"/>
  <c r="U100" i="10"/>
  <c r="S108" i="10"/>
  <c r="BB238" i="5"/>
  <c r="AS182" i="10"/>
  <c r="AS184" i="10" s="1"/>
  <c r="AS185" i="10" s="1"/>
  <c r="AS181" i="10" s="1"/>
  <c r="AS179" i="10" s="1"/>
  <c r="AS153" i="10"/>
  <c r="AS154" i="10" s="1"/>
  <c r="AS155" i="10" s="1"/>
  <c r="AS148" i="10" s="1"/>
  <c r="BI27" i="10"/>
  <c r="BI88" i="10" s="1"/>
  <c r="AS60" i="10"/>
  <c r="AS112" i="5"/>
  <c r="AS63" i="10"/>
  <c r="AS62" i="10"/>
  <c r="AH23" i="10"/>
  <c r="AQ25" i="11"/>
  <c r="Q109" i="7"/>
  <c r="W109" i="7"/>
  <c r="AO117" i="10"/>
  <c r="AO118" i="10"/>
  <c r="AO46" i="11" s="1"/>
  <c r="D43" i="11"/>
  <c r="C51" i="10"/>
  <c r="Q60" i="10"/>
  <c r="Q112" i="5"/>
  <c r="Q63" i="10"/>
  <c r="AA28" i="5"/>
  <c r="AA32" i="5"/>
  <c r="AA33" i="5"/>
  <c r="AA118" i="5"/>
  <c r="BA182" i="10"/>
  <c r="BL113" i="7"/>
  <c r="BL117" i="7" s="1"/>
  <c r="E19" i="5"/>
  <c r="E113" i="5"/>
  <c r="E124" i="5"/>
  <c r="E22" i="11"/>
  <c r="E166" i="10"/>
  <c r="AI162" i="10"/>
  <c r="BT108" i="11"/>
  <c r="BT106" i="11"/>
  <c r="BU106" i="11" s="1"/>
  <c r="BU87" i="11"/>
  <c r="BU108" i="11" s="1"/>
  <c r="BA79" i="10"/>
  <c r="S124" i="10"/>
  <c r="S125" i="10" s="1"/>
  <c r="Y13" i="10"/>
  <c r="X158" i="10"/>
  <c r="X86" i="10"/>
  <c r="AB15" i="10"/>
  <c r="BT28" i="10"/>
  <c r="BS28" i="11"/>
  <c r="AP30" i="11"/>
  <c r="AO88" i="10"/>
  <c r="G107" i="10"/>
  <c r="I100" i="10" s="1"/>
  <c r="G159" i="10"/>
  <c r="AN216" i="5"/>
  <c r="AT216" i="5"/>
  <c r="L19" i="5"/>
  <c r="L113" i="5"/>
  <c r="L124" i="5"/>
  <c r="AS25" i="5"/>
  <c r="AS26" i="5" s="1"/>
  <c r="I29" i="5"/>
  <c r="AN25" i="5"/>
  <c r="AN26" i="5" s="1"/>
  <c r="I160" i="10"/>
  <c r="AO23" i="10"/>
  <c r="AA73" i="10"/>
  <c r="AA156" i="10"/>
  <c r="S166" i="10"/>
  <c r="S62" i="10"/>
  <c r="S161" i="10"/>
  <c r="R118" i="10"/>
  <c r="R46" i="11" s="1"/>
  <c r="AQ183" i="5"/>
  <c r="AQ210" i="5"/>
  <c r="AQ182" i="5"/>
  <c r="AQ211" i="5"/>
  <c r="M105" i="10"/>
  <c r="AE110" i="10" s="1"/>
  <c r="BC119" i="7"/>
  <c r="BS94" i="10"/>
  <c r="BT54" i="11"/>
  <c r="BU54" i="11" s="1"/>
  <c r="V120" i="5"/>
  <c r="Y22" i="11"/>
  <c r="AG26" i="11"/>
  <c r="AG164" i="10"/>
  <c r="AG75" i="10"/>
  <c r="AG76" i="10" s="1"/>
  <c r="J43" i="11"/>
  <c r="I51" i="10"/>
  <c r="I43" i="11"/>
  <c r="AE106" i="10"/>
  <c r="K114" i="10"/>
  <c r="K118" i="10" s="1"/>
  <c r="AP106" i="10"/>
  <c r="AP104" i="10"/>
  <c r="K117" i="10"/>
  <c r="Q134" i="5"/>
  <c r="Q29" i="5" s="1"/>
  <c r="Q30" i="5" s="1"/>
  <c r="BC24" i="5"/>
  <c r="BC108" i="5"/>
  <c r="BC61" i="10"/>
  <c r="BC150" i="10"/>
  <c r="BC109" i="5"/>
  <c r="BC16" i="5"/>
  <c r="AG23" i="10"/>
  <c r="L22" i="11"/>
  <c r="M35" i="10"/>
  <c r="M204" i="10" s="1"/>
  <c r="L166" i="10"/>
  <c r="E161" i="10"/>
  <c r="AQ104" i="7"/>
  <c r="E126" i="5"/>
  <c r="G129" i="5"/>
  <c r="AD106" i="10"/>
  <c r="AD104" i="10"/>
  <c r="AD109" i="10"/>
  <c r="AU64" i="10"/>
  <c r="AU46" i="10"/>
  <c r="AU47" i="10" s="1"/>
  <c r="AQ105" i="10"/>
  <c r="AQ109" i="10" s="1"/>
  <c r="V158" i="10"/>
  <c r="V86" i="10"/>
  <c r="AE86" i="10"/>
  <c r="AE158" i="10"/>
  <c r="AE12" i="10"/>
  <c r="AE15" i="10" s="1"/>
  <c r="AD157" i="10"/>
  <c r="AD162" i="10" s="1"/>
  <c r="AG25" i="11"/>
  <c r="AK25" i="11" s="1"/>
  <c r="AD74" i="10"/>
  <c r="AC15" i="10"/>
  <c r="AQ40" i="5"/>
  <c r="AQ96" i="7"/>
  <c r="AQ109" i="7" s="1"/>
  <c r="AQ57" i="6"/>
  <c r="AQ34" i="7"/>
  <c r="AQ119" i="7"/>
  <c r="BB80" i="10"/>
  <c r="BB72" i="11"/>
  <c r="AG24" i="5"/>
  <c r="AG148" i="5"/>
  <c r="AG61" i="10"/>
  <c r="AG108" i="5"/>
  <c r="AG109" i="5" s="1"/>
  <c r="AG16" i="5"/>
  <c r="AG150" i="10"/>
  <c r="AK19" i="5"/>
  <c r="U117" i="7"/>
  <c r="O117" i="7"/>
  <c r="M14" i="5"/>
  <c r="K104" i="10"/>
  <c r="L114" i="10"/>
  <c r="S60" i="10"/>
  <c r="S112" i="5"/>
  <c r="S63" i="10"/>
  <c r="M107" i="10"/>
  <c r="O100" i="10" s="1"/>
  <c r="M159" i="10"/>
  <c r="AP109" i="10"/>
  <c r="S43" i="11"/>
  <c r="W125" i="5"/>
  <c r="W119" i="5"/>
  <c r="I204" i="10"/>
  <c r="AI117" i="10"/>
  <c r="AI118" i="10"/>
  <c r="AI46" i="11" s="1"/>
  <c r="AI26" i="11"/>
  <c r="AJ26" i="11"/>
  <c r="AI164" i="10"/>
  <c r="AI75" i="10"/>
  <c r="AI76" i="10" s="1"/>
  <c r="L126" i="5"/>
  <c r="M116" i="10"/>
  <c r="M117" i="10" s="1"/>
  <c r="BC81" i="11"/>
  <c r="BC33" i="11"/>
  <c r="AP104" i="7"/>
  <c r="BI117" i="7"/>
  <c r="AB25" i="5"/>
  <c r="AB26" i="5" s="1"/>
  <c r="AA104" i="10"/>
  <c r="AE100" i="10"/>
  <c r="AE109" i="10" s="1"/>
  <c r="AA109" i="10"/>
  <c r="O119" i="10"/>
  <c r="P114" i="10" s="1"/>
  <c r="P118" i="10" s="1"/>
  <c r="O161" i="10"/>
  <c r="AQ215" i="5"/>
  <c r="AQ214" i="5"/>
  <c r="AQ213" i="5"/>
  <c r="AQ187" i="5"/>
  <c r="AQ186" i="5"/>
  <c r="BA62" i="10"/>
  <c r="BA60" i="10"/>
  <c r="BA112" i="5"/>
  <c r="BA63" i="10"/>
  <c r="AV216" i="5"/>
  <c r="BB216" i="5"/>
  <c r="S106" i="10"/>
  <c r="AP103" i="7"/>
  <c r="AI23" i="10"/>
  <c r="AO24" i="5"/>
  <c r="AO108" i="5"/>
  <c r="AO109" i="5" s="1"/>
  <c r="AO110" i="5" s="1"/>
  <c r="AO16" i="5"/>
  <c r="AO230" i="5"/>
  <c r="AO61" i="10"/>
  <c r="AO150" i="10"/>
  <c r="AO148" i="5"/>
  <c r="BB81" i="10"/>
  <c r="BB82" i="11"/>
  <c r="AG88" i="10"/>
  <c r="AS216" i="5"/>
  <c r="AY216" i="5"/>
  <c r="AJ106" i="10"/>
  <c r="AJ104" i="10"/>
  <c r="AJ109" i="10"/>
  <c r="O22" i="11"/>
  <c r="O166" i="10"/>
  <c r="P22" i="11"/>
  <c r="BH36" i="10"/>
  <c r="AD25" i="5"/>
  <c r="AB63" i="10"/>
  <c r="AB60" i="10"/>
  <c r="AB112" i="5"/>
  <c r="AB62" i="10"/>
  <c r="E111" i="10"/>
  <c r="F110" i="10"/>
  <c r="S116" i="10"/>
  <c r="S117" i="10" s="1"/>
  <c r="BN14" i="6"/>
  <c r="AC117" i="10"/>
  <c r="AC118" i="10"/>
  <c r="AC46" i="11" s="1"/>
  <c r="AK207" i="5"/>
  <c r="AK179" i="5"/>
  <c r="AK24" i="11"/>
  <c r="AE156" i="10"/>
  <c r="AE73" i="10"/>
  <c r="R126" i="5"/>
  <c r="R16" i="5"/>
  <c r="BI187" i="10"/>
  <c r="BI157" i="10"/>
  <c r="BI162" i="10" s="1"/>
  <c r="BI74" i="10"/>
  <c r="Q119" i="7"/>
  <c r="W119" i="7"/>
  <c r="AE88" i="10"/>
  <c r="AN47" i="11"/>
  <c r="AN49" i="11" s="1"/>
  <c r="S129" i="5"/>
  <c r="AV24" i="5"/>
  <c r="AV150" i="10"/>
  <c r="AV230" i="5"/>
  <c r="AV237" i="5" s="1"/>
  <c r="AV108" i="5"/>
  <c r="AV61" i="10"/>
  <c r="BI87" i="10"/>
  <c r="BA116" i="5"/>
  <c r="BA26" i="5"/>
  <c r="BC230" i="5"/>
  <c r="BC237" i="5" s="1"/>
  <c r="F22" i="11"/>
  <c r="G35" i="10"/>
  <c r="G204" i="10" s="1"/>
  <c r="F166" i="10"/>
  <c r="F119" i="10"/>
  <c r="F161" i="10"/>
  <c r="G18" i="10"/>
  <c r="F100" i="10"/>
  <c r="F109" i="10" s="1"/>
  <c r="BE116" i="5"/>
  <c r="BE26" i="5"/>
  <c r="X112" i="5"/>
  <c r="X60" i="10"/>
  <c r="X63" i="10"/>
  <c r="X62" i="10"/>
  <c r="BI50" i="10"/>
  <c r="BI202" i="10" s="1"/>
  <c r="AH26" i="11"/>
  <c r="AH164" i="10"/>
  <c r="AH75" i="10"/>
  <c r="AH76" i="10" s="1"/>
  <c r="C88" i="10"/>
  <c r="U86" i="10"/>
  <c r="U158" i="10"/>
  <c r="AA15" i="10"/>
  <c r="C107" i="10"/>
  <c r="C159" i="10"/>
  <c r="AN87" i="10"/>
  <c r="AQ100" i="7"/>
  <c r="AW100" i="7"/>
  <c r="C124" i="5"/>
  <c r="C113" i="5"/>
  <c r="C19" i="5"/>
  <c r="AC134" i="5"/>
  <c r="AE134" i="5" s="1"/>
  <c r="AE126" i="5"/>
  <c r="BI85" i="10"/>
  <c r="R117" i="7"/>
  <c r="X117" i="7"/>
  <c r="V88" i="10"/>
  <c r="AB24" i="11"/>
  <c r="AC24" i="11"/>
  <c r="AB73" i="10"/>
  <c r="AB156" i="10"/>
  <c r="AH30" i="5"/>
  <c r="AH125" i="5"/>
  <c r="AH136" i="5" s="1"/>
  <c r="AH31" i="5" s="1"/>
  <c r="AH119" i="5"/>
  <c r="AK116" i="10"/>
  <c r="BB33" i="5"/>
  <c r="BB118" i="5"/>
  <c r="BB55" i="10"/>
  <c r="BB32" i="5"/>
  <c r="BB56" i="10"/>
  <c r="BB28" i="5"/>
  <c r="BB86" i="11" s="1"/>
  <c r="AT64" i="10"/>
  <c r="AT46" i="10"/>
  <c r="AT47" i="10" s="1"/>
  <c r="F134" i="5"/>
  <c r="F29" i="5" s="1"/>
  <c r="L104" i="10"/>
  <c r="AN30" i="11"/>
  <c r="AN85" i="10"/>
  <c r="AN165" i="10"/>
  <c r="AN167" i="10" s="1"/>
  <c r="AN169" i="10" s="1"/>
  <c r="AO170" i="10" s="1"/>
  <c r="Q46" i="11"/>
  <c r="AA24" i="11"/>
  <c r="X156" i="10"/>
  <c r="Y11" i="10"/>
  <c r="X73" i="10"/>
  <c r="O30" i="5"/>
  <c r="O119" i="5"/>
  <c r="O125" i="5"/>
  <c r="O136" i="5" s="1"/>
  <c r="O31" i="5" s="1"/>
  <c r="J24" i="5"/>
  <c r="J61" i="10"/>
  <c r="J150" i="10"/>
  <c r="J197" i="10"/>
  <c r="J198" i="10" s="1"/>
  <c r="J16" i="5"/>
  <c r="J108" i="5"/>
  <c r="J109" i="5" s="1"/>
  <c r="BH188" i="10"/>
  <c r="BI188" i="10" s="1"/>
  <c r="AD153" i="10"/>
  <c r="AD154" i="10" s="1"/>
  <c r="AD155" i="10" s="1"/>
  <c r="AD182" i="10"/>
  <c r="AD184" i="10" s="1"/>
  <c r="AD185" i="10" s="1"/>
  <c r="AD181" i="10" s="1"/>
  <c r="AD179" i="10" s="1"/>
  <c r="O52" i="10"/>
  <c r="O63" i="10"/>
  <c r="AW13" i="11"/>
  <c r="AE25" i="10"/>
  <c r="AD164" i="10"/>
  <c r="AD75" i="10"/>
  <c r="AB182" i="10"/>
  <c r="AB184" i="10" s="1"/>
  <c r="AB185" i="10" s="1"/>
  <c r="AB181" i="10" s="1"/>
  <c r="AB179" i="10" s="1"/>
  <c r="AB153" i="10"/>
  <c r="AB154" i="10" s="1"/>
  <c r="AB155" i="10" s="1"/>
  <c r="AH47" i="11"/>
  <c r="AH49" i="11" s="1"/>
  <c r="AW178" i="5"/>
  <c r="AW208" i="5"/>
  <c r="AW207" i="5"/>
  <c r="AW179" i="5"/>
  <c r="BC208" i="5"/>
  <c r="BC178" i="5"/>
  <c r="R28" i="5"/>
  <c r="R32" i="5"/>
  <c r="R33" i="5"/>
  <c r="R118" i="5"/>
  <c r="BI191" i="5"/>
  <c r="U28" i="5"/>
  <c r="U33" i="5"/>
  <c r="U118" i="5"/>
  <c r="U32" i="5"/>
  <c r="AK87" i="10"/>
  <c r="AK85" i="10"/>
  <c r="AK113" i="5"/>
  <c r="AK88" i="10"/>
  <c r="AK124" i="5"/>
  <c r="AG162" i="10"/>
  <c r="D161" i="10"/>
  <c r="BE182" i="10"/>
  <c r="X15" i="10"/>
  <c r="I107" i="10"/>
  <c r="J100" i="10" s="1"/>
  <c r="I159" i="10"/>
  <c r="AQ102" i="7"/>
  <c r="AW102" i="7"/>
  <c r="AD26" i="11"/>
  <c r="AK210" i="5"/>
  <c r="AK183" i="5"/>
  <c r="S88" i="10"/>
  <c r="AN112" i="5"/>
  <c r="AN60" i="10"/>
  <c r="AN63" i="10"/>
  <c r="AN62" i="10"/>
  <c r="AC156" i="10"/>
  <c r="AC73" i="10"/>
  <c r="BH16" i="6"/>
  <c r="BB49" i="6"/>
  <c r="BB15" i="7" s="1"/>
  <c r="BB94" i="7" s="1"/>
  <c r="BB107" i="7" s="1"/>
  <c r="AD23" i="10"/>
  <c r="AD24" i="11"/>
  <c r="DK17" i="7"/>
  <c r="DK32" i="7" s="1"/>
  <c r="BL40" i="5"/>
  <c r="K134" i="5"/>
  <c r="K29" i="5" s="1"/>
  <c r="AM24" i="5"/>
  <c r="AM230" i="5"/>
  <c r="AM237" i="5" s="1"/>
  <c r="AM150" i="10"/>
  <c r="AM16" i="5"/>
  <c r="AM148" i="5"/>
  <c r="AM61" i="10"/>
  <c r="AQ19" i="5"/>
  <c r="AM108" i="5"/>
  <c r="AM109" i="5" s="1"/>
  <c r="AM110" i="5" s="1"/>
  <c r="M18" i="10"/>
  <c r="L119" i="10"/>
  <c r="L161" i="10"/>
  <c r="AK215" i="5"/>
  <c r="AK187" i="5"/>
  <c r="AK213" i="5"/>
  <c r="BL114" i="7"/>
  <c r="BL118" i="7" s="1"/>
  <c r="BA82" i="10"/>
  <c r="BA84" i="11"/>
  <c r="AM216" i="5"/>
  <c r="AW215" i="5"/>
  <c r="AW186" i="5"/>
  <c r="AW214" i="5"/>
  <c r="AW213" i="5"/>
  <c r="AW187" i="5"/>
  <c r="BC214" i="5"/>
  <c r="BC186" i="5"/>
  <c r="I124" i="5"/>
  <c r="I113" i="5"/>
  <c r="I19" i="5"/>
  <c r="AC88" i="10"/>
  <c r="BO34" i="5"/>
  <c r="BN224" i="5"/>
  <c r="BO224" i="5" s="1"/>
  <c r="AQ102" i="10"/>
  <c r="AM30" i="11"/>
  <c r="AM85" i="10"/>
  <c r="W120" i="5"/>
  <c r="DJ12" i="7"/>
  <c r="DJ27" i="7" s="1"/>
  <c r="BI164" i="10"/>
  <c r="BI75" i="10"/>
  <c r="AD60" i="10"/>
  <c r="AD63" i="10"/>
  <c r="AD112" i="5"/>
  <c r="AD62" i="10"/>
  <c r="AQ207" i="5"/>
  <c r="AQ208" i="5"/>
  <c r="AQ179" i="5"/>
  <c r="AQ178" i="5"/>
  <c r="AW117" i="7"/>
  <c r="AJ24" i="5"/>
  <c r="AJ61" i="10"/>
  <c r="AJ150" i="10"/>
  <c r="AJ148" i="5"/>
  <c r="AJ16" i="5"/>
  <c r="AJ108" i="5"/>
  <c r="AJ109" i="5" s="1"/>
  <c r="AK105" i="10"/>
  <c r="Y150" i="10"/>
  <c r="Y108" i="5"/>
  <c r="Y109" i="5" s="1"/>
  <c r="Y61" i="10"/>
  <c r="Y24" i="5"/>
  <c r="AQ103" i="11"/>
  <c r="BO97" i="11"/>
  <c r="BK21" i="7" l="1"/>
  <c r="BC60" i="6"/>
  <c r="BO204" i="10"/>
  <c r="BG60" i="6"/>
  <c r="D22" i="11"/>
  <c r="G22" i="11" s="1"/>
  <c r="C204" i="10"/>
  <c r="BQ204" i="10"/>
  <c r="BG49" i="6"/>
  <c r="BG15" i="7" s="1"/>
  <c r="BG94" i="7" s="1"/>
  <c r="BM107" i="7" s="1"/>
  <c r="BM16" i="6"/>
  <c r="BS94" i="7" s="1"/>
  <c r="BS107" i="7" s="1"/>
  <c r="BT44" i="10"/>
  <c r="BS207" i="10"/>
  <c r="BO166" i="10"/>
  <c r="BX37" i="10"/>
  <c r="BW208" i="10"/>
  <c r="AM197" i="10"/>
  <c r="AM198" i="10" s="1"/>
  <c r="J199" i="10"/>
  <c r="AV197" i="10"/>
  <c r="AV198" i="10" s="1"/>
  <c r="AU197" i="10"/>
  <c r="AU198" i="10" s="1"/>
  <c r="AP197" i="10"/>
  <c r="AP198" i="10" s="1"/>
  <c r="AT197" i="10"/>
  <c r="AT198" i="10" s="1"/>
  <c r="AJ197" i="10"/>
  <c r="AJ198" i="10" s="1"/>
  <c r="AO197" i="10"/>
  <c r="AO198" i="10" s="1"/>
  <c r="AG197" i="10"/>
  <c r="AG198" i="10" s="1"/>
  <c r="AI199" i="10"/>
  <c r="AN199" i="10"/>
  <c r="AS199" i="10"/>
  <c r="AS219" i="10"/>
  <c r="AS57" i="10" s="1"/>
  <c r="AS218" i="10"/>
  <c r="BT106" i="7"/>
  <c r="BO15" i="6"/>
  <c r="AW109" i="7"/>
  <c r="BI13" i="7"/>
  <c r="BC15" i="7"/>
  <c r="BC94" i="7" s="1"/>
  <c r="BC107" i="7" s="1"/>
  <c r="BT13" i="7"/>
  <c r="BT92" i="7" s="1"/>
  <c r="BT105" i="7" s="1"/>
  <c r="BL29" i="7"/>
  <c r="BL91" i="7"/>
  <c r="BL104" i="7" s="1"/>
  <c r="BH107" i="7"/>
  <c r="BN16" i="6"/>
  <c r="BN94" i="7"/>
  <c r="BN107" i="7" s="1"/>
  <c r="BI31" i="7"/>
  <c r="BI93" i="7"/>
  <c r="BK34" i="7"/>
  <c r="BK96" i="7"/>
  <c r="BK109" i="7" s="1"/>
  <c r="DE15" i="7"/>
  <c r="DI30" i="7" s="1"/>
  <c r="BH32" i="7"/>
  <c r="DP13" i="7"/>
  <c r="DP28" i="7" s="1"/>
  <c r="BS30" i="7"/>
  <c r="BY30" i="7"/>
  <c r="AT109" i="5"/>
  <c r="AO237" i="5"/>
  <c r="AM231" i="5"/>
  <c r="BE242" i="5"/>
  <c r="BG231" i="5"/>
  <c r="AT231" i="5"/>
  <c r="BH231" i="5"/>
  <c r="AU231" i="5"/>
  <c r="AP231" i="5"/>
  <c r="AY242" i="5"/>
  <c r="BC231" i="5"/>
  <c r="BB242" i="5"/>
  <c r="BF231" i="5"/>
  <c r="L52" i="10"/>
  <c r="CG39" i="10"/>
  <c r="CI39" i="10"/>
  <c r="CJ39" i="10" s="1"/>
  <c r="CK39" i="10" s="1"/>
  <c r="CL39" i="10" s="1"/>
  <c r="CM39" i="10" s="1"/>
  <c r="BO14" i="6"/>
  <c r="CM130" i="5"/>
  <c r="AT25" i="5"/>
  <c r="AT26" i="5" s="1"/>
  <c r="BG63" i="10"/>
  <c r="AT153" i="10"/>
  <c r="AT154" i="10" s="1"/>
  <c r="AT155" i="10" s="1"/>
  <c r="AT148" i="10" s="1"/>
  <c r="BG116" i="5"/>
  <c r="AZ242" i="5"/>
  <c r="BG26" i="5"/>
  <c r="BG112" i="5"/>
  <c r="BG60" i="10"/>
  <c r="BG62" i="10"/>
  <c r="BL73" i="10"/>
  <c r="BR73" i="10" s="1"/>
  <c r="BX73" i="10" s="1"/>
  <c r="CD73" i="10" s="1"/>
  <c r="BL149" i="10"/>
  <c r="BL86" i="10"/>
  <c r="BR86" i="10" s="1"/>
  <c r="BX86" i="10" s="1"/>
  <c r="CD86" i="10" s="1"/>
  <c r="CJ86" i="10" s="1"/>
  <c r="BL102" i="10"/>
  <c r="BL105" i="10"/>
  <c r="BL109" i="10" s="1"/>
  <c r="BO35" i="5"/>
  <c r="V63" i="10"/>
  <c r="V62" i="10"/>
  <c r="V112" i="5"/>
  <c r="V60" i="10"/>
  <c r="BL77" i="6"/>
  <c r="BL144" i="6" s="1"/>
  <c r="BL121" i="6"/>
  <c r="BL211" i="5"/>
  <c r="BL90" i="5"/>
  <c r="BL91" i="5"/>
  <c r="BL19" i="6"/>
  <c r="BL241" i="5"/>
  <c r="BL39" i="5"/>
  <c r="BL74" i="5"/>
  <c r="BL107" i="5"/>
  <c r="BL147" i="5"/>
  <c r="BL190" i="5" s="1"/>
  <c r="DK12" i="7"/>
  <c r="DK27" i="7" s="1"/>
  <c r="BL210" i="5"/>
  <c r="BL183" i="5"/>
  <c r="BL215" i="5"/>
  <c r="BL216" i="5" s="1"/>
  <c r="BL73" i="5"/>
  <c r="BL189" i="5"/>
  <c r="BK73" i="10"/>
  <c r="BK86" i="10"/>
  <c r="BK102" i="10"/>
  <c r="BK105" i="10"/>
  <c r="AO165" i="10"/>
  <c r="AO167" i="10" s="1"/>
  <c r="AO169" i="10" s="1"/>
  <c r="AP170" i="10" s="1"/>
  <c r="X118" i="5"/>
  <c r="BK75" i="10"/>
  <c r="BK74" i="10"/>
  <c r="CE138" i="10"/>
  <c r="BK121" i="6"/>
  <c r="AC118" i="5"/>
  <c r="AC28" i="5"/>
  <c r="AC119" i="5" s="1"/>
  <c r="AO27" i="11"/>
  <c r="AO23" i="11" s="1"/>
  <c r="AC32" i="5"/>
  <c r="AP63" i="10"/>
  <c r="AP153" i="10"/>
  <c r="AP154" i="10" s="1"/>
  <c r="AP155" i="10" s="1"/>
  <c r="AN27" i="11"/>
  <c r="AN23" i="11" s="1"/>
  <c r="AM165" i="10"/>
  <c r="AM167" i="10" s="1"/>
  <c r="AM169" i="10" s="1"/>
  <c r="AN170" i="10" s="1"/>
  <c r="AM27" i="11"/>
  <c r="AM23" i="11" s="1"/>
  <c r="AM87" i="10"/>
  <c r="AP62" i="10"/>
  <c r="BK77" i="6"/>
  <c r="BK144" i="6" s="1"/>
  <c r="AP60" i="10"/>
  <c r="AP25" i="5"/>
  <c r="AP26" i="5" s="1"/>
  <c r="AP118" i="5" s="1"/>
  <c r="AE179" i="10"/>
  <c r="AP27" i="11"/>
  <c r="AP23" i="11" s="1"/>
  <c r="AO31" i="10"/>
  <c r="AO70" i="10" s="1"/>
  <c r="X28" i="5"/>
  <c r="AW61" i="10"/>
  <c r="P125" i="5"/>
  <c r="P136" i="5" s="1"/>
  <c r="P31" i="5" s="1"/>
  <c r="G15" i="5"/>
  <c r="G124" i="5" s="1"/>
  <c r="P119" i="5"/>
  <c r="G91" i="5"/>
  <c r="Y25" i="5"/>
  <c r="Y26" i="5" s="1"/>
  <c r="BB226" i="5"/>
  <c r="BB196" i="10" s="1"/>
  <c r="BB197" i="10" s="1"/>
  <c r="BB198" i="10" s="1"/>
  <c r="BB219" i="5"/>
  <c r="BB152" i="10" s="1"/>
  <c r="BB153" i="10" s="1"/>
  <c r="BB154" i="10" s="1"/>
  <c r="BB155" i="10" s="1"/>
  <c r="BB148" i="10" s="1"/>
  <c r="X32" i="5"/>
  <c r="X33" i="5"/>
  <c r="AW24" i="5"/>
  <c r="AW150" i="10"/>
  <c r="AW182" i="10" s="1"/>
  <c r="F19" i="5"/>
  <c r="F24" i="5" s="1"/>
  <c r="F124" i="5"/>
  <c r="AU153" i="10"/>
  <c r="AU154" i="10" s="1"/>
  <c r="AU155" i="10" s="1"/>
  <c r="AU148" i="10" s="1"/>
  <c r="BA242" i="5"/>
  <c r="AV109" i="5"/>
  <c r="BK12" i="5"/>
  <c r="AU109" i="5"/>
  <c r="AU25" i="5"/>
  <c r="AU26" i="5" s="1"/>
  <c r="AU118" i="5" s="1"/>
  <c r="BH116" i="5"/>
  <c r="S116" i="5"/>
  <c r="S26" i="5"/>
  <c r="BK182" i="5"/>
  <c r="BK183" i="5"/>
  <c r="BI150" i="10"/>
  <c r="BI182" i="10" s="1"/>
  <c r="BH62" i="10"/>
  <c r="BI109" i="5"/>
  <c r="BI110" i="5" s="1"/>
  <c r="AS242" i="5"/>
  <c r="BK241" i="5"/>
  <c r="G12" i="11"/>
  <c r="BK39" i="5"/>
  <c r="AI29" i="5"/>
  <c r="BE6" i="6"/>
  <c r="BE6" i="7" s="1"/>
  <c r="BF8" i="5"/>
  <c r="BE193" i="5"/>
  <c r="BE139" i="5"/>
  <c r="BE159" i="5"/>
  <c r="BE38" i="5"/>
  <c r="BE7" i="11"/>
  <c r="BE7" i="10"/>
  <c r="BK8" i="5"/>
  <c r="BG8" i="13"/>
  <c r="AT70" i="6"/>
  <c r="AT6" i="7"/>
  <c r="AU38" i="5"/>
  <c r="AU7" i="10"/>
  <c r="AU7" i="11"/>
  <c r="AU139" i="5"/>
  <c r="AW8" i="13"/>
  <c r="AV8" i="5"/>
  <c r="AU193" i="5"/>
  <c r="AU159" i="5"/>
  <c r="AU6" i="6"/>
  <c r="AJ6" i="7"/>
  <c r="AJ70" i="6"/>
  <c r="AO6" i="7"/>
  <c r="AO70" i="6"/>
  <c r="S110" i="10"/>
  <c r="S111" i="10" s="1"/>
  <c r="BK156" i="10"/>
  <c r="AZ7" i="11"/>
  <c r="AZ139" i="5"/>
  <c r="BA8" i="5"/>
  <c r="AZ159" i="5"/>
  <c r="AZ193" i="5"/>
  <c r="AZ6" i="6"/>
  <c r="AZ6" i="7" s="1"/>
  <c r="BB8" i="13"/>
  <c r="AZ38" i="5"/>
  <c r="AZ7" i="10"/>
  <c r="AP193" i="5"/>
  <c r="AP6" i="6"/>
  <c r="AP159" i="5"/>
  <c r="AR8" i="13"/>
  <c r="AP38" i="5"/>
  <c r="AP7" i="10"/>
  <c r="AP7" i="11"/>
  <c r="AP139" i="5"/>
  <c r="AW230" i="5"/>
  <c r="AW237" i="5" s="1"/>
  <c r="AV231" i="5"/>
  <c r="BK107" i="5"/>
  <c r="AK29" i="5"/>
  <c r="AW113" i="5"/>
  <c r="BK149" i="10"/>
  <c r="Y110" i="10"/>
  <c r="Y111" i="10" s="1"/>
  <c r="BH112" i="5"/>
  <c r="BH60" i="10"/>
  <c r="W60" i="10"/>
  <c r="W63" i="10"/>
  <c r="W62" i="10"/>
  <c r="W112" i="5"/>
  <c r="AO231" i="5"/>
  <c r="BI16" i="5"/>
  <c r="AE104" i="10"/>
  <c r="AM67" i="10"/>
  <c r="W47" i="11"/>
  <c r="W49" i="11" s="1"/>
  <c r="V29" i="5"/>
  <c r="V30" i="5" s="1"/>
  <c r="V136" i="5"/>
  <c r="V31" i="5" s="1"/>
  <c r="W134" i="5"/>
  <c r="W29" i="5" s="1"/>
  <c r="W30" i="5" s="1"/>
  <c r="W117" i="5" s="1"/>
  <c r="Y126" i="5"/>
  <c r="M129" i="5"/>
  <c r="BK155" i="5"/>
  <c r="BK210" i="5"/>
  <c r="BK215" i="5"/>
  <c r="BK216" i="5" s="1"/>
  <c r="BI108" i="5"/>
  <c r="AY55" i="10"/>
  <c r="AY32" i="5"/>
  <c r="AY56" i="10"/>
  <c r="AY28" i="5"/>
  <c r="AY86" i="11" s="1"/>
  <c r="AY33" i="5"/>
  <c r="AY118" i="5"/>
  <c r="AY238" i="5"/>
  <c r="AY226" i="5"/>
  <c r="AY196" i="10" s="1"/>
  <c r="AY197" i="10" s="1"/>
  <c r="AY198" i="10" s="1"/>
  <c r="AY219" i="5"/>
  <c r="AY152" i="10" s="1"/>
  <c r="AY153" i="10" s="1"/>
  <c r="S23" i="7"/>
  <c r="P17" i="7"/>
  <c r="P21" i="7" s="1"/>
  <c r="P25" i="7"/>
  <c r="BI24" i="5"/>
  <c r="BI61" i="10"/>
  <c r="AM68" i="10"/>
  <c r="DJ17" i="7"/>
  <c r="DJ32" i="7" s="1"/>
  <c r="AM36" i="10"/>
  <c r="AN69" i="10"/>
  <c r="AN67" i="10"/>
  <c r="BI230" i="5"/>
  <c r="BI237" i="5" s="1"/>
  <c r="D19" i="5"/>
  <c r="D113" i="5"/>
  <c r="D124" i="5"/>
  <c r="J117" i="7"/>
  <c r="P117" i="7"/>
  <c r="AM69" i="10"/>
  <c r="AN36" i="10"/>
  <c r="AM70" i="10"/>
  <c r="BK40" i="5"/>
  <c r="AN68" i="10"/>
  <c r="AZ219" i="5"/>
  <c r="AZ152" i="10" s="1"/>
  <c r="AZ153" i="10" s="1"/>
  <c r="AZ226" i="5"/>
  <c r="AZ196" i="10" s="1"/>
  <c r="AZ197" i="10" s="1"/>
  <c r="AZ198" i="10" s="1"/>
  <c r="AZ238" i="5"/>
  <c r="AZ118" i="5"/>
  <c r="AZ55" i="10"/>
  <c r="AZ56" i="10"/>
  <c r="AZ32" i="5"/>
  <c r="AZ28" i="5"/>
  <c r="AZ86" i="11" s="1"/>
  <c r="AZ33" i="5"/>
  <c r="BK90" i="5"/>
  <c r="BK73" i="5"/>
  <c r="BK19" i="6"/>
  <c r="S22" i="11"/>
  <c r="K46" i="11"/>
  <c r="AW94" i="11"/>
  <c r="AW93" i="11"/>
  <c r="BO29" i="10"/>
  <c r="BR35" i="10"/>
  <c r="BR19" i="10"/>
  <c r="BR34" i="10"/>
  <c r="BN160" i="10"/>
  <c r="BO21" i="10"/>
  <c r="BO160" i="10" s="1"/>
  <c r="BO42" i="10"/>
  <c r="BQ95" i="10" s="1"/>
  <c r="BR10" i="10"/>
  <c r="BO20" i="10"/>
  <c r="BI31" i="10"/>
  <c r="BI165" i="10"/>
  <c r="BI167" i="10" s="1"/>
  <c r="BI169" i="10" s="1"/>
  <c r="BI16" i="6"/>
  <c r="AD76" i="10"/>
  <c r="AQ216" i="5"/>
  <c r="AE25" i="5"/>
  <c r="AI28" i="5"/>
  <c r="AI32" i="5"/>
  <c r="AI118" i="5"/>
  <c r="AI33" i="5"/>
  <c r="AI120" i="5" s="1"/>
  <c r="BI76" i="10"/>
  <c r="AK117" i="10"/>
  <c r="AA23" i="10"/>
  <c r="Y122" i="10"/>
  <c r="U122" i="10"/>
  <c r="U124" i="10" s="1"/>
  <c r="Y153" i="10"/>
  <c r="Y154" i="10" s="1"/>
  <c r="Y155" i="10" s="1"/>
  <c r="Y182" i="10"/>
  <c r="Y184" i="10" s="1"/>
  <c r="Y185" i="10" s="1"/>
  <c r="Y181" i="10" s="1"/>
  <c r="AJ25" i="5"/>
  <c r="AJ26" i="5" s="1"/>
  <c r="M12" i="11"/>
  <c r="AM60" i="10"/>
  <c r="AM112" i="5"/>
  <c r="AM63" i="10"/>
  <c r="AM62" i="10"/>
  <c r="AC23" i="10"/>
  <c r="R125" i="5"/>
  <c r="R119" i="5"/>
  <c r="J112" i="5"/>
  <c r="J60" i="10"/>
  <c r="J63" i="10"/>
  <c r="X23" i="10"/>
  <c r="D100" i="10"/>
  <c r="C100" i="10"/>
  <c r="AV25" i="5"/>
  <c r="AV26" i="5" s="1"/>
  <c r="AI79" i="11"/>
  <c r="AI47" i="11"/>
  <c r="AI49" i="11" s="1"/>
  <c r="M113" i="7"/>
  <c r="M117" i="7" s="1"/>
  <c r="M91" i="5"/>
  <c r="S113" i="7"/>
  <c r="M15" i="5"/>
  <c r="AG182" i="10"/>
  <c r="AG184" i="10" s="1"/>
  <c r="AG185" i="10" s="1"/>
  <c r="AG181" i="10" s="1"/>
  <c r="AG179" i="10" s="1"/>
  <c r="AG153" i="10"/>
  <c r="AG154" i="10" s="1"/>
  <c r="AG155" i="10" s="1"/>
  <c r="BH28" i="5"/>
  <c r="BH33" i="5"/>
  <c r="BH32" i="5"/>
  <c r="BH118" i="5"/>
  <c r="BC116" i="5"/>
  <c r="BC26" i="5"/>
  <c r="AQ104" i="10"/>
  <c r="X24" i="11"/>
  <c r="W156" i="10"/>
  <c r="W73" i="10"/>
  <c r="AN28" i="5"/>
  <c r="AN118" i="5"/>
  <c r="AN32" i="5"/>
  <c r="AN33" i="5"/>
  <c r="AN56" i="10"/>
  <c r="BH23" i="11"/>
  <c r="BI30" i="11"/>
  <c r="BI23" i="11" s="1"/>
  <c r="AD117" i="10"/>
  <c r="AD118" i="10"/>
  <c r="AD46" i="11" s="1"/>
  <c r="I119" i="10"/>
  <c r="J114" i="10" s="1"/>
  <c r="J118" i="10" s="1"/>
  <c r="I161" i="10"/>
  <c r="BB110" i="5"/>
  <c r="P8" i="11"/>
  <c r="P11" i="11" s="1"/>
  <c r="P93" i="10"/>
  <c r="P117" i="5"/>
  <c r="AJ112" i="5"/>
  <c r="AJ63" i="10"/>
  <c r="AJ62" i="10"/>
  <c r="AJ60" i="10"/>
  <c r="R156" i="10"/>
  <c r="U24" i="11"/>
  <c r="R73" i="10"/>
  <c r="S11" i="10"/>
  <c r="AQ30" i="11"/>
  <c r="P88" i="10"/>
  <c r="AC47" i="11"/>
  <c r="AC49" i="11" s="1"/>
  <c r="Q86" i="10"/>
  <c r="Q158" i="10"/>
  <c r="M161" i="10"/>
  <c r="AC26" i="11"/>
  <c r="AC164" i="10"/>
  <c r="AC75" i="10"/>
  <c r="AE164" i="10"/>
  <c r="AE75" i="10"/>
  <c r="J25" i="5"/>
  <c r="J26" i="5" s="1"/>
  <c r="O8" i="11"/>
  <c r="O117" i="5"/>
  <c r="O93" i="10"/>
  <c r="Y73" i="10"/>
  <c r="Y156" i="10"/>
  <c r="V47" i="11"/>
  <c r="V49" i="11" s="1"/>
  <c r="C24" i="5"/>
  <c r="C150" i="10"/>
  <c r="C197" i="10"/>
  <c r="C198" i="10" s="1"/>
  <c r="C108" i="5"/>
  <c r="C109" i="5" s="1"/>
  <c r="C61" i="10"/>
  <c r="C16" i="5"/>
  <c r="C63" i="10" s="1"/>
  <c r="BE219" i="5"/>
  <c r="BE152" i="10" s="1"/>
  <c r="BE153" i="10" s="1"/>
  <c r="BE226" i="5"/>
  <c r="BE196" i="10" s="1"/>
  <c r="BE197" i="10" s="1"/>
  <c r="BE198" i="10" s="1"/>
  <c r="R60" i="10"/>
  <c r="R112" i="5"/>
  <c r="R63" i="10"/>
  <c r="AB85" i="10"/>
  <c r="AD26" i="5"/>
  <c r="AO63" i="10"/>
  <c r="AO112" i="5"/>
  <c r="AO60" i="10"/>
  <c r="AO62" i="10"/>
  <c r="BC81" i="10"/>
  <c r="BC82" i="11"/>
  <c r="L134" i="5"/>
  <c r="M134" i="5" s="1"/>
  <c r="I22" i="11"/>
  <c r="I166" i="10"/>
  <c r="J22" i="11"/>
  <c r="W88" i="10"/>
  <c r="AK150" i="10"/>
  <c r="AK108" i="5"/>
  <c r="AK109" i="5" s="1"/>
  <c r="AK110" i="5" s="1"/>
  <c r="AK24" i="5"/>
  <c r="AK16" i="5"/>
  <c r="AK148" i="5"/>
  <c r="AK61" i="10"/>
  <c r="AE157" i="10"/>
  <c r="AE162" i="10" s="1"/>
  <c r="AE74" i="10"/>
  <c r="V15" i="10"/>
  <c r="Y86" i="10"/>
  <c r="Y158" i="10"/>
  <c r="BE238" i="5"/>
  <c r="C52" i="10"/>
  <c r="C161" i="10"/>
  <c r="U104" i="10"/>
  <c r="Y104" i="10" s="1"/>
  <c r="Y100" i="10"/>
  <c r="Y109" i="10" s="1"/>
  <c r="U109" i="10"/>
  <c r="P46" i="11"/>
  <c r="AA26" i="11"/>
  <c r="AA164" i="10"/>
  <c r="AA75" i="10"/>
  <c r="P158" i="10"/>
  <c r="P86" i="10"/>
  <c r="AM25" i="5"/>
  <c r="Q47" i="11"/>
  <c r="Q49" i="11" s="1"/>
  <c r="G161" i="10"/>
  <c r="R134" i="5"/>
  <c r="S134" i="5" s="1"/>
  <c r="G110" i="10"/>
  <c r="F111" i="10"/>
  <c r="AH30" i="11"/>
  <c r="AS32" i="5"/>
  <c r="AS33" i="5"/>
  <c r="AS28" i="5"/>
  <c r="AS86" i="11" s="1"/>
  <c r="AS55" i="10"/>
  <c r="AS118" i="5"/>
  <c r="AS56" i="10"/>
  <c r="M27" i="10"/>
  <c r="L88" i="10"/>
  <c r="AA30" i="5"/>
  <c r="AA125" i="5"/>
  <c r="AA136" i="5" s="1"/>
  <c r="AA31" i="5" s="1"/>
  <c r="AA119" i="5"/>
  <c r="W117" i="7"/>
  <c r="Q117" i="7"/>
  <c r="Y112" i="5"/>
  <c r="Y60" i="10"/>
  <c r="Y63" i="10"/>
  <c r="Y62" i="10"/>
  <c r="AK106" i="10"/>
  <c r="AK110" i="10"/>
  <c r="AJ182" i="10"/>
  <c r="AJ184" i="10" s="1"/>
  <c r="AJ185" i="10" s="1"/>
  <c r="AJ181" i="10" s="1"/>
  <c r="AJ179" i="10" s="1"/>
  <c r="AJ153" i="10"/>
  <c r="AJ154" i="10" s="1"/>
  <c r="AJ155" i="10" s="1"/>
  <c r="BL57" i="5"/>
  <c r="I24" i="5"/>
  <c r="I197" i="10"/>
  <c r="I198" i="10" s="1"/>
  <c r="I61" i="10"/>
  <c r="I108" i="5"/>
  <c r="I109" i="5" s="1"/>
  <c r="I16" i="5"/>
  <c r="I63" i="10" s="1"/>
  <c r="I150" i="10"/>
  <c r="V156" i="10"/>
  <c r="V73" i="10"/>
  <c r="W24" i="11"/>
  <c r="AQ24" i="5"/>
  <c r="AQ150" i="10"/>
  <c r="AQ108" i="5"/>
  <c r="AQ109" i="5" s="1"/>
  <c r="AQ110" i="5" s="1"/>
  <c r="AQ61" i="10"/>
  <c r="AQ148" i="5"/>
  <c r="AQ16" i="5"/>
  <c r="AM182" i="10"/>
  <c r="AM184" i="10" s="1"/>
  <c r="AM185" i="10" s="1"/>
  <c r="AM181" i="10" s="1"/>
  <c r="AM179" i="10" s="1"/>
  <c r="AM153" i="10"/>
  <c r="AM154" i="10" s="1"/>
  <c r="AM155" i="10" s="1"/>
  <c r="AM148" i="10" s="1"/>
  <c r="X74" i="10"/>
  <c r="AA25" i="11"/>
  <c r="Y12" i="10"/>
  <c r="X157" i="10"/>
  <c r="X162" i="10" s="1"/>
  <c r="U120" i="5"/>
  <c r="AE24" i="11"/>
  <c r="BB119" i="5"/>
  <c r="BB30" i="5"/>
  <c r="BB85" i="11" s="1"/>
  <c r="BB125" i="5"/>
  <c r="BB136" i="5" s="1"/>
  <c r="BB31" i="5" s="1"/>
  <c r="AH8" i="11"/>
  <c r="AH11" i="11" s="1"/>
  <c r="AH117" i="5"/>
  <c r="AH93" i="10"/>
  <c r="AB23" i="10"/>
  <c r="AE29" i="5"/>
  <c r="AB25" i="11"/>
  <c r="AA74" i="10"/>
  <c r="AA157" i="10"/>
  <c r="AA162" i="10" s="1"/>
  <c r="G119" i="10"/>
  <c r="F115" i="10"/>
  <c r="BA219" i="5"/>
  <c r="BA152" i="10" s="1"/>
  <c r="BA153" i="10" s="1"/>
  <c r="BA226" i="5"/>
  <c r="BA196" i="10" s="1"/>
  <c r="BA197" i="10" s="1"/>
  <c r="BA198" i="10" s="1"/>
  <c r="AP117" i="10"/>
  <c r="AP118" i="10"/>
  <c r="AP46" i="11" s="1"/>
  <c r="AQ116" i="10"/>
  <c r="BH189" i="10"/>
  <c r="G17" i="5"/>
  <c r="AI85" i="10"/>
  <c r="AI30" i="11"/>
  <c r="AJ30" i="11"/>
  <c r="AB28" i="5"/>
  <c r="AB118" i="5"/>
  <c r="AB32" i="5"/>
  <c r="AB33" i="5"/>
  <c r="O104" i="10"/>
  <c r="S100" i="10"/>
  <c r="S109" i="10" s="1"/>
  <c r="O109" i="10"/>
  <c r="L118" i="10"/>
  <c r="L46" i="11" s="1"/>
  <c r="AG60" i="10"/>
  <c r="AG112" i="5"/>
  <c r="AG62" i="10"/>
  <c r="AG63" i="10"/>
  <c r="AG25" i="5"/>
  <c r="AG26" i="5" s="1"/>
  <c r="AC157" i="10"/>
  <c r="AC162" i="10" s="1"/>
  <c r="AD25" i="11"/>
  <c r="AC74" i="10"/>
  <c r="BQ21" i="13"/>
  <c r="BS37" i="13" s="1"/>
  <c r="E134" i="5"/>
  <c r="G134" i="5" s="1"/>
  <c r="G126" i="5"/>
  <c r="M166" i="10"/>
  <c r="AH56" i="10"/>
  <c r="BC182" i="10"/>
  <c r="AE111" i="10"/>
  <c r="AG110" i="10"/>
  <c r="M43" i="11"/>
  <c r="BW54" i="11"/>
  <c r="BT94" i="10"/>
  <c r="M106" i="10"/>
  <c r="M110" i="10"/>
  <c r="R47" i="11"/>
  <c r="R49" i="11" s="1"/>
  <c r="L24" i="5"/>
  <c r="L61" i="10"/>
  <c r="L150" i="10"/>
  <c r="L108" i="5"/>
  <c r="L109" i="5" s="1"/>
  <c r="L197" i="10"/>
  <c r="L198" i="10" s="1"/>
  <c r="BW28" i="10"/>
  <c r="BU28" i="10"/>
  <c r="BT28" i="11"/>
  <c r="BU28" i="11" s="1"/>
  <c r="Q136" i="5"/>
  <c r="Q31" i="5" s="1"/>
  <c r="AA120" i="5"/>
  <c r="G43" i="11"/>
  <c r="AK109" i="10"/>
  <c r="M126" i="5"/>
  <c r="O158" i="10"/>
  <c r="O86" i="10"/>
  <c r="X26" i="11"/>
  <c r="J109" i="10"/>
  <c r="J104" i="10"/>
  <c r="AI165" i="10"/>
  <c r="AI167" i="10" s="1"/>
  <c r="AI169" i="10" s="1"/>
  <c r="AJ170" i="10" s="1"/>
  <c r="G166" i="10"/>
  <c r="BA33" i="5"/>
  <c r="BA55" i="10"/>
  <c r="BA32" i="5"/>
  <c r="BA28" i="5"/>
  <c r="BA86" i="11" s="1"/>
  <c r="BA56" i="10"/>
  <c r="BA118" i="5"/>
  <c r="AC120" i="5"/>
  <c r="I52" i="10"/>
  <c r="AW119" i="7"/>
  <c r="BW106" i="11"/>
  <c r="BW108" i="11"/>
  <c r="AI56" i="10"/>
  <c r="BF116" i="5"/>
  <c r="BF26" i="5"/>
  <c r="BF182" i="10"/>
  <c r="X164" i="10"/>
  <c r="Y25" i="10"/>
  <c r="X75" i="10"/>
  <c r="BK114" i="7"/>
  <c r="BK118" i="7" s="1"/>
  <c r="BK74" i="5"/>
  <c r="I88" i="10"/>
  <c r="AW216" i="5"/>
  <c r="BC216" i="5"/>
  <c r="S13" i="10"/>
  <c r="R158" i="10"/>
  <c r="R86" i="10"/>
  <c r="AQ230" i="5"/>
  <c r="U30" i="5"/>
  <c r="U125" i="5"/>
  <c r="U136" i="5" s="1"/>
  <c r="U31" i="5" s="1"/>
  <c r="U119" i="5"/>
  <c r="V24" i="11"/>
  <c r="U73" i="10"/>
  <c r="U156" i="10"/>
  <c r="AH165" i="10"/>
  <c r="AH167" i="10" s="1"/>
  <c r="AH169" i="10" s="1"/>
  <c r="AI170" i="10" s="1"/>
  <c r="J153" i="10"/>
  <c r="J154" i="10" s="1"/>
  <c r="J155" i="10" s="1"/>
  <c r="J182" i="10"/>
  <c r="J184" i="10" s="1"/>
  <c r="J185" i="10" s="1"/>
  <c r="J181" i="10" s="1"/>
  <c r="J179" i="10" s="1"/>
  <c r="AJ117" i="10"/>
  <c r="AJ118" i="10"/>
  <c r="AJ46" i="11" s="1"/>
  <c r="AC29" i="5"/>
  <c r="U15" i="10"/>
  <c r="BE28" i="5"/>
  <c r="BE86" i="11" s="1"/>
  <c r="BE33" i="5"/>
  <c r="BE118" i="5"/>
  <c r="BE55" i="10"/>
  <c r="BE56" i="10"/>
  <c r="BE32" i="5"/>
  <c r="E104" i="10"/>
  <c r="E46" i="11" s="1"/>
  <c r="AS106" i="10"/>
  <c r="AS104" i="10"/>
  <c r="AS109" i="10"/>
  <c r="BA238" i="5"/>
  <c r="AV182" i="10"/>
  <c r="AV153" i="10"/>
  <c r="AV183" i="10" s="1"/>
  <c r="AW183" i="10" s="1"/>
  <c r="BI189" i="10"/>
  <c r="AE23" i="10"/>
  <c r="BH60" i="6"/>
  <c r="AH85" i="10"/>
  <c r="AC85" i="10"/>
  <c r="AC30" i="11"/>
  <c r="BB84" i="11"/>
  <c r="BB82" i="10"/>
  <c r="AO182" i="10"/>
  <c r="AO184" i="10" s="1"/>
  <c r="AO185" i="10" s="1"/>
  <c r="AO181" i="10" s="1"/>
  <c r="AO179" i="10" s="1"/>
  <c r="AO153" i="10"/>
  <c r="AO154" i="10" s="1"/>
  <c r="AO155" i="10" s="1"/>
  <c r="AO148" i="10" s="1"/>
  <c r="AO25" i="5"/>
  <c r="BK190" i="5"/>
  <c r="BK157" i="5"/>
  <c r="BC80" i="10"/>
  <c r="BC78" i="11"/>
  <c r="BC72" i="11"/>
  <c r="L117" i="10"/>
  <c r="C166" i="10"/>
  <c r="BB79" i="10"/>
  <c r="AQ106" i="10"/>
  <c r="AQ110" i="10"/>
  <c r="BC112" i="5"/>
  <c r="BC60" i="10"/>
  <c r="BC62" i="10"/>
  <c r="BC63" i="10"/>
  <c r="S126" i="5"/>
  <c r="Q8" i="11"/>
  <c r="Q11" i="11" s="1"/>
  <c r="Q93" i="10"/>
  <c r="Q117" i="5"/>
  <c r="AK26" i="11"/>
  <c r="BK91" i="5"/>
  <c r="BK113" i="7"/>
  <c r="BK117" i="7" s="1"/>
  <c r="I104" i="10"/>
  <c r="M100" i="10"/>
  <c r="M109" i="10" s="1"/>
  <c r="I109" i="10"/>
  <c r="AB157" i="10"/>
  <c r="AB162" i="10" s="1"/>
  <c r="AC25" i="11"/>
  <c r="AB74" i="10"/>
  <c r="AB26" i="11"/>
  <c r="AB164" i="10"/>
  <c r="AB75" i="10"/>
  <c r="E24" i="5"/>
  <c r="E61" i="10"/>
  <c r="E108" i="5"/>
  <c r="E109" i="5" s="1"/>
  <c r="E16" i="5"/>
  <c r="E197" i="10"/>
  <c r="E198" i="10" s="1"/>
  <c r="E150" i="10"/>
  <c r="AO47" i="11"/>
  <c r="AO49" i="11" s="1"/>
  <c r="AK104" i="10"/>
  <c r="AS238" i="5"/>
  <c r="BF62" i="10"/>
  <c r="BF112" i="5"/>
  <c r="BF63" i="10"/>
  <c r="BF60" i="10"/>
  <c r="F104" i="10"/>
  <c r="K113" i="5"/>
  <c r="K19" i="5"/>
  <c r="K124" i="5"/>
  <c r="AE116" i="10"/>
  <c r="AE117" i="10" s="1"/>
  <c r="BU97" i="11"/>
  <c r="CD76" i="10" l="1"/>
  <c r="CJ73" i="10"/>
  <c r="CJ76" i="10" s="1"/>
  <c r="BK38" i="7"/>
  <c r="P38" i="7"/>
  <c r="V38" i="7"/>
  <c r="BM32" i="7"/>
  <c r="BG32" i="7"/>
  <c r="BG107" i="7"/>
  <c r="BM60" i="6"/>
  <c r="BT94" i="7"/>
  <c r="BT107" i="7" s="1"/>
  <c r="BN60" i="6"/>
  <c r="DH15" i="7"/>
  <c r="BR204" i="10"/>
  <c r="BT207" i="10"/>
  <c r="BW44" i="10"/>
  <c r="BU44" i="10"/>
  <c r="BU207" i="10" s="1"/>
  <c r="BY37" i="10"/>
  <c r="BX208" i="10"/>
  <c r="C199" i="10"/>
  <c r="BA199" i="10"/>
  <c r="BA219" i="10"/>
  <c r="BA57" i="10" s="1"/>
  <c r="BA218" i="10"/>
  <c r="BB199" i="10"/>
  <c r="BB219" i="10"/>
  <c r="BB57" i="10" s="1"/>
  <c r="BB218" i="10"/>
  <c r="AG199" i="10"/>
  <c r="AO199" i="10"/>
  <c r="AJ199" i="10"/>
  <c r="AJ219" i="10"/>
  <c r="AJ57" i="10" s="1"/>
  <c r="AJ218" i="10"/>
  <c r="AM199" i="10"/>
  <c r="E199" i="10"/>
  <c r="L199" i="10"/>
  <c r="I199" i="10"/>
  <c r="S197" i="10"/>
  <c r="S198" i="10" s="1"/>
  <c r="BE199" i="10"/>
  <c r="BE219" i="10"/>
  <c r="BE57" i="10" s="1"/>
  <c r="BE218" i="10"/>
  <c r="AZ199" i="10"/>
  <c r="AZ219" i="10"/>
  <c r="AZ57" i="10" s="1"/>
  <c r="AZ218" i="10"/>
  <c r="AY199" i="10"/>
  <c r="AY219" i="10"/>
  <c r="AY57" i="10" s="1"/>
  <c r="AY218" i="10"/>
  <c r="AT199" i="10"/>
  <c r="AT219" i="10"/>
  <c r="AT57" i="10" s="1"/>
  <c r="AT218" i="10"/>
  <c r="AP199" i="10"/>
  <c r="AP219" i="10"/>
  <c r="AP57" i="10" s="1"/>
  <c r="AP218" i="10"/>
  <c r="AU199" i="10"/>
  <c r="AU219" i="10"/>
  <c r="AU57" i="10" s="1"/>
  <c r="AU218" i="10"/>
  <c r="AV199" i="10"/>
  <c r="AV219" i="10"/>
  <c r="AV57" i="10" s="1"/>
  <c r="AV218" i="10"/>
  <c r="BO16" i="6"/>
  <c r="BI106" i="7"/>
  <c r="BI49" i="6"/>
  <c r="BI30" i="7"/>
  <c r="BI92" i="7"/>
  <c r="BI105" i="7" s="1"/>
  <c r="DQ13" i="7"/>
  <c r="DQ28" i="7" s="1"/>
  <c r="BT30" i="7"/>
  <c r="BZ30" i="7"/>
  <c r="BB111" i="5"/>
  <c r="AQ237" i="5"/>
  <c r="AY111" i="5"/>
  <c r="BE111" i="5"/>
  <c r="BG242" i="5"/>
  <c r="BA240" i="5"/>
  <c r="AZ240" i="5"/>
  <c r="BI231" i="5"/>
  <c r="AY240" i="5"/>
  <c r="BB240" i="5"/>
  <c r="BF242" i="5"/>
  <c r="BH238" i="5"/>
  <c r="AM238" i="5"/>
  <c r="BE240" i="5"/>
  <c r="AW231" i="5"/>
  <c r="AU238" i="5"/>
  <c r="AS240" i="5"/>
  <c r="AN238" i="5"/>
  <c r="BG55" i="10"/>
  <c r="CF138" i="10"/>
  <c r="BO36" i="5"/>
  <c r="CM97" i="11"/>
  <c r="BG33" i="5"/>
  <c r="BG56" i="10"/>
  <c r="BG28" i="5"/>
  <c r="BG32" i="5"/>
  <c r="BG118" i="5"/>
  <c r="AZ111" i="5"/>
  <c r="BL76" i="10"/>
  <c r="BG226" i="5"/>
  <c r="BG196" i="10" s="1"/>
  <c r="BG197" i="10" s="1"/>
  <c r="BG198" i="10" s="1"/>
  <c r="BG219" i="5"/>
  <c r="BG152" i="10" s="1"/>
  <c r="BG153" i="10" s="1"/>
  <c r="BG154" i="10" s="1"/>
  <c r="BG155" i="10" s="1"/>
  <c r="BG148" i="10" s="1"/>
  <c r="BG238" i="5"/>
  <c r="AS111" i="5"/>
  <c r="BA111" i="5"/>
  <c r="BL116" i="10"/>
  <c r="BR76" i="10"/>
  <c r="BK116" i="10"/>
  <c r="BL78" i="6"/>
  <c r="BL22" i="7"/>
  <c r="DK18" i="7" s="1"/>
  <c r="DK33" i="7" s="1"/>
  <c r="BL15" i="5"/>
  <c r="BL157" i="5"/>
  <c r="BL119" i="7"/>
  <c r="BL41" i="5"/>
  <c r="AP148" i="10"/>
  <c r="BK76" i="10"/>
  <c r="AC125" i="5"/>
  <c r="AC136" i="5" s="1"/>
  <c r="AC31" i="5" s="1"/>
  <c r="AC30" i="5"/>
  <c r="CG97" i="11"/>
  <c r="AP28" i="5"/>
  <c r="AP119" i="5" s="1"/>
  <c r="AN148" i="10"/>
  <c r="X119" i="5"/>
  <c r="X125" i="5"/>
  <c r="X136" i="5" s="1"/>
  <c r="X31" i="5" s="1"/>
  <c r="AP32" i="5"/>
  <c r="AP33" i="5"/>
  <c r="AP56" i="10"/>
  <c r="BK78" i="6"/>
  <c r="X30" i="5"/>
  <c r="X117" i="5" s="1"/>
  <c r="AQ27" i="11"/>
  <c r="AQ23" i="11" s="1"/>
  <c r="AO69" i="10"/>
  <c r="AO67" i="10"/>
  <c r="AO68" i="10"/>
  <c r="AO36" i="10"/>
  <c r="AO41" i="10" s="1"/>
  <c r="AO43" i="10" s="1"/>
  <c r="BH226" i="5"/>
  <c r="BH196" i="10" s="1"/>
  <c r="BH197" i="10" s="1"/>
  <c r="BH198" i="10" s="1"/>
  <c r="BB183" i="10"/>
  <c r="BB184" i="10" s="1"/>
  <c r="BB185" i="10" s="1"/>
  <c r="BB181" i="10" s="1"/>
  <c r="G113" i="5"/>
  <c r="Y116" i="5"/>
  <c r="G19" i="5"/>
  <c r="X120" i="5"/>
  <c r="S33" i="5"/>
  <c r="BI112" i="5"/>
  <c r="AU28" i="5"/>
  <c r="AU30" i="5" s="1"/>
  <c r="F61" i="10"/>
  <c r="F150" i="10"/>
  <c r="F182" i="10" s="1"/>
  <c r="F184" i="10" s="1"/>
  <c r="F185" i="10" s="1"/>
  <c r="F181" i="10" s="1"/>
  <c r="F179" i="10" s="1"/>
  <c r="F88" i="10"/>
  <c r="F108" i="5"/>
  <c r="F109" i="5" s="1"/>
  <c r="F197" i="10"/>
  <c r="F198" i="10" s="1"/>
  <c r="G27" i="10"/>
  <c r="G88" i="10" s="1"/>
  <c r="F16" i="5"/>
  <c r="AU242" i="5"/>
  <c r="AU32" i="5"/>
  <c r="S32" i="5"/>
  <c r="BH219" i="5"/>
  <c r="BH152" i="10" s="1"/>
  <c r="BH153" i="10" s="1"/>
  <c r="BH154" i="10" s="1"/>
  <c r="BH155" i="10" s="1"/>
  <c r="BH148" i="10" s="1"/>
  <c r="S118" i="5"/>
  <c r="S28" i="5"/>
  <c r="S119" i="5" s="1"/>
  <c r="AU56" i="10"/>
  <c r="AU55" i="10"/>
  <c r="BK57" i="5"/>
  <c r="AU33" i="5"/>
  <c r="BC242" i="5"/>
  <c r="BK170" i="10"/>
  <c r="BK126" i="5"/>
  <c r="BK22" i="7"/>
  <c r="W93" i="10"/>
  <c r="W8" i="11"/>
  <c r="W11" i="11" s="1"/>
  <c r="BI116" i="5"/>
  <c r="AA110" i="10"/>
  <c r="AA111" i="10" s="1"/>
  <c r="M22" i="11"/>
  <c r="K47" i="11"/>
  <c r="K49" i="11" s="1"/>
  <c r="U110" i="10"/>
  <c r="V110" i="10" s="1"/>
  <c r="BI60" i="10"/>
  <c r="AP70" i="6"/>
  <c r="AP6" i="7"/>
  <c r="F46" i="11"/>
  <c r="BI36" i="10"/>
  <c r="BI62" i="10"/>
  <c r="AW95" i="11"/>
  <c r="BM8" i="13"/>
  <c r="BK7" i="11"/>
  <c r="BL8" i="5"/>
  <c r="BK6" i="6"/>
  <c r="BK139" i="5"/>
  <c r="BK159" i="5"/>
  <c r="BQ8" i="5"/>
  <c r="BK193" i="5"/>
  <c r="BK38" i="5"/>
  <c r="BK7" i="10"/>
  <c r="BF38" i="5"/>
  <c r="BF159" i="5"/>
  <c r="BF139" i="5"/>
  <c r="BF193" i="5"/>
  <c r="BF7" i="11"/>
  <c r="BF6" i="6"/>
  <c r="BF6" i="7" s="1"/>
  <c r="BG8" i="5"/>
  <c r="BH8" i="13"/>
  <c r="BF7" i="10"/>
  <c r="AU70" i="6"/>
  <c r="AU6" i="7"/>
  <c r="AX8" i="13"/>
  <c r="AV6" i="6"/>
  <c r="AV7" i="10"/>
  <c r="AV159" i="5"/>
  <c r="AV7" i="11"/>
  <c r="AV38" i="5"/>
  <c r="AV139" i="5"/>
  <c r="AV193" i="5"/>
  <c r="BA159" i="5"/>
  <c r="BC8" i="13"/>
  <c r="BA193" i="5"/>
  <c r="BB8" i="5"/>
  <c r="BA6" i="6"/>
  <c r="BA6" i="7" s="1"/>
  <c r="BA7" i="11"/>
  <c r="BA7" i="10"/>
  <c r="BA38" i="5"/>
  <c r="BA139" i="5"/>
  <c r="Y134" i="5"/>
  <c r="Y29" i="5" s="1"/>
  <c r="W136" i="5"/>
  <c r="W31" i="5" s="1"/>
  <c r="V93" i="10"/>
  <c r="V8" i="11"/>
  <c r="V11" i="11" s="1"/>
  <c r="V117" i="5"/>
  <c r="AQ231" i="5"/>
  <c r="R29" i="5"/>
  <c r="R30" i="5" s="1"/>
  <c r="R8" i="11" s="1"/>
  <c r="BI26" i="5"/>
  <c r="BI118" i="5" s="1"/>
  <c r="AN41" i="10"/>
  <c r="AN43" i="10" s="1"/>
  <c r="AE116" i="5"/>
  <c r="E29" i="5"/>
  <c r="AY183" i="10"/>
  <c r="AY184" i="10" s="1"/>
  <c r="AY185" i="10" s="1"/>
  <c r="AY181" i="10" s="1"/>
  <c r="AY154" i="10"/>
  <c r="AY155" i="10" s="1"/>
  <c r="AY148" i="10" s="1"/>
  <c r="AY110" i="5"/>
  <c r="AY30" i="5"/>
  <c r="AY85" i="11" s="1"/>
  <c r="AY125" i="5"/>
  <c r="AY136" i="5" s="1"/>
  <c r="AY31" i="5" s="1"/>
  <c r="AY119" i="5"/>
  <c r="M88" i="10"/>
  <c r="AM41" i="10"/>
  <c r="AM43" i="10" s="1"/>
  <c r="P96" i="7"/>
  <c r="P34" i="7"/>
  <c r="V34" i="7"/>
  <c r="P40" i="5"/>
  <c r="S17" i="7"/>
  <c r="S21" i="7" s="1"/>
  <c r="S25" i="7"/>
  <c r="AW25" i="5"/>
  <c r="AC76" i="10"/>
  <c r="BK158" i="10"/>
  <c r="D24" i="5"/>
  <c r="D108" i="5"/>
  <c r="D109" i="5" s="1"/>
  <c r="D197" i="10"/>
  <c r="D198" i="10" s="1"/>
  <c r="D150" i="10"/>
  <c r="D61" i="10"/>
  <c r="D16" i="5"/>
  <c r="K88" i="10"/>
  <c r="AZ183" i="10"/>
  <c r="AZ184" i="10" s="1"/>
  <c r="AZ185" i="10" s="1"/>
  <c r="AZ181" i="10" s="1"/>
  <c r="AZ154" i="10"/>
  <c r="AZ155" i="10" s="1"/>
  <c r="AZ148" i="10" s="1"/>
  <c r="AZ125" i="5"/>
  <c r="AZ136" i="5" s="1"/>
  <c r="AZ31" i="5" s="1"/>
  <c r="AZ119" i="5"/>
  <c r="AZ30" i="5"/>
  <c r="AZ85" i="11" s="1"/>
  <c r="AZ110" i="5"/>
  <c r="BI60" i="6"/>
  <c r="AB56" i="10"/>
  <c r="AE76" i="10"/>
  <c r="BR20" i="10"/>
  <c r="BR42" i="10"/>
  <c r="BR21" i="10"/>
  <c r="BS34" i="10"/>
  <c r="BR29" i="10"/>
  <c r="BS10" i="10"/>
  <c r="BS19" i="10"/>
  <c r="BR166" i="10"/>
  <c r="BS35" i="10"/>
  <c r="AA76" i="10"/>
  <c r="AE26" i="5"/>
  <c r="AT28" i="5"/>
  <c r="AT86" i="11" s="1"/>
  <c r="AT55" i="10"/>
  <c r="AT33" i="5"/>
  <c r="AT120" i="5" s="1"/>
  <c r="AT32" i="5"/>
  <c r="AT56" i="10"/>
  <c r="AT118" i="5"/>
  <c r="L29" i="5"/>
  <c r="AV154" i="10"/>
  <c r="AV155" i="10" s="1"/>
  <c r="AV148" i="10" s="1"/>
  <c r="AW184" i="10"/>
  <c r="AW185" i="10" s="1"/>
  <c r="AW181" i="10" s="1"/>
  <c r="AI125" i="5"/>
  <c r="AI136" i="5" s="1"/>
  <c r="AI31" i="5" s="1"/>
  <c r="AI30" i="5"/>
  <c r="AI119" i="5"/>
  <c r="L47" i="11"/>
  <c r="L49" i="11" s="1"/>
  <c r="AJ28" i="5"/>
  <c r="AJ32" i="5"/>
  <c r="AJ118" i="5"/>
  <c r="AJ56" i="10"/>
  <c r="AJ33" i="5"/>
  <c r="AP47" i="11"/>
  <c r="AP49" i="11" s="1"/>
  <c r="J28" i="5"/>
  <c r="J32" i="5"/>
  <c r="J118" i="5"/>
  <c r="J33" i="5"/>
  <c r="AD47" i="11"/>
  <c r="AD49" i="11" s="1"/>
  <c r="BK191" i="5"/>
  <c r="U23" i="10"/>
  <c r="L153" i="10"/>
  <c r="L154" i="10" s="1"/>
  <c r="L155" i="10" s="1"/>
  <c r="L182" i="10"/>
  <c r="L184" i="10" s="1"/>
  <c r="L185" i="10" s="1"/>
  <c r="L181" i="10" s="1"/>
  <c r="L179" i="10" s="1"/>
  <c r="BA183" i="10"/>
  <c r="BA154" i="10"/>
  <c r="BA155" i="10" s="1"/>
  <c r="BA148" i="10" s="1"/>
  <c r="AE26" i="10"/>
  <c r="AD87" i="10"/>
  <c r="AD31" i="10"/>
  <c r="AQ179" i="10"/>
  <c r="I158" i="10"/>
  <c r="I86" i="10"/>
  <c r="AM110" i="10"/>
  <c r="AK111" i="10"/>
  <c r="AA8" i="11"/>
  <c r="AA117" i="5"/>
  <c r="AA93" i="10"/>
  <c r="AK60" i="10"/>
  <c r="AK112" i="5"/>
  <c r="AK62" i="10"/>
  <c r="AK63" i="10"/>
  <c r="BC82" i="10"/>
  <c r="BC84" i="11"/>
  <c r="I24" i="11"/>
  <c r="BC238" i="5"/>
  <c r="M17" i="5"/>
  <c r="AS110" i="5"/>
  <c r="E112" i="5"/>
  <c r="E60" i="10"/>
  <c r="E63" i="10"/>
  <c r="W74" i="10"/>
  <c r="X25" i="11"/>
  <c r="W157" i="10"/>
  <c r="W162" i="10" s="1"/>
  <c r="AI148" i="10"/>
  <c r="AV184" i="10"/>
  <c r="AV185" i="10" s="1"/>
  <c r="AV181" i="10" s="1"/>
  <c r="BA110" i="5"/>
  <c r="Q24" i="11"/>
  <c r="P73" i="10"/>
  <c r="P156" i="10"/>
  <c r="R26" i="11"/>
  <c r="L25" i="5"/>
  <c r="L26" i="5" s="1"/>
  <c r="R24" i="11"/>
  <c r="Q73" i="10"/>
  <c r="Q156" i="10"/>
  <c r="BX54" i="11"/>
  <c r="BW94" i="10"/>
  <c r="BQ37" i="13"/>
  <c r="AG28" i="5"/>
  <c r="AG118" i="5"/>
  <c r="AG56" i="10"/>
  <c r="AG33" i="5"/>
  <c r="AG32" i="5"/>
  <c r="X76" i="10"/>
  <c r="K86" i="10"/>
  <c r="K158" i="10"/>
  <c r="I60" i="10"/>
  <c r="I112" i="5"/>
  <c r="AY120" i="5"/>
  <c r="AG85" i="10"/>
  <c r="AG165" i="10"/>
  <c r="AG167" i="10" s="1"/>
  <c r="AG169" i="10" s="1"/>
  <c r="AH170" i="10" s="1"/>
  <c r="AG30" i="11"/>
  <c r="AK30" i="11" s="1"/>
  <c r="BF238" i="5"/>
  <c r="V157" i="10"/>
  <c r="V162" i="10" s="1"/>
  <c r="W25" i="11"/>
  <c r="V74" i="10"/>
  <c r="AK182" i="10"/>
  <c r="AK184" i="10" s="1"/>
  <c r="AK185" i="10" s="1"/>
  <c r="AK181" i="10" s="1"/>
  <c r="V85" i="10"/>
  <c r="BE183" i="10"/>
  <c r="BE154" i="10"/>
  <c r="BE155" i="10" s="1"/>
  <c r="BE148" i="10" s="1"/>
  <c r="C60" i="10"/>
  <c r="C112" i="5"/>
  <c r="O11" i="11"/>
  <c r="Y24" i="11"/>
  <c r="S25" i="10"/>
  <c r="R164" i="10"/>
  <c r="R75" i="10"/>
  <c r="AN120" i="5"/>
  <c r="AN30" i="5"/>
  <c r="AN119" i="5"/>
  <c r="AN125" i="5"/>
  <c r="AN136" i="5" s="1"/>
  <c r="AN31" i="5" s="1"/>
  <c r="BH120" i="5"/>
  <c r="M113" i="5"/>
  <c r="M19" i="5"/>
  <c r="M124" i="5"/>
  <c r="Q88" i="10"/>
  <c r="D109" i="10"/>
  <c r="D104" i="10"/>
  <c r="Y124" i="10"/>
  <c r="Y125" i="10" s="1"/>
  <c r="BE119" i="5"/>
  <c r="BE125" i="5"/>
  <c r="BE136" i="5" s="1"/>
  <c r="BE31" i="5" s="1"/>
  <c r="BE30" i="5"/>
  <c r="BE85" i="11" s="1"/>
  <c r="O15" i="10"/>
  <c r="U8" i="11"/>
  <c r="U93" i="10"/>
  <c r="U117" i="5"/>
  <c r="R74" i="10"/>
  <c r="U25" i="11"/>
  <c r="R157" i="10"/>
  <c r="R162" i="10" s="1"/>
  <c r="S12" i="10"/>
  <c r="S15" i="10" s="1"/>
  <c r="G11" i="10"/>
  <c r="F73" i="10"/>
  <c r="F156" i="10"/>
  <c r="AI27" i="11"/>
  <c r="AJ27" i="11"/>
  <c r="AJ23" i="11" s="1"/>
  <c r="AI87" i="10"/>
  <c r="AI31" i="10"/>
  <c r="Y157" i="10"/>
  <c r="Y162" i="10" s="1"/>
  <c r="Y74" i="10"/>
  <c r="L158" i="10"/>
  <c r="L86" i="10"/>
  <c r="M13" i="10"/>
  <c r="V23" i="10"/>
  <c r="AQ25" i="5"/>
  <c r="AQ26" i="5" s="1"/>
  <c r="AD165" i="10"/>
  <c r="AD167" i="10" s="1"/>
  <c r="AD169" i="10" s="1"/>
  <c r="AD85" i="10"/>
  <c r="AE30" i="10"/>
  <c r="AD30" i="11"/>
  <c r="Y15" i="10"/>
  <c r="BC55" i="10"/>
  <c r="BC118" i="5"/>
  <c r="BC33" i="5"/>
  <c r="BC32" i="5"/>
  <c r="BC56" i="10"/>
  <c r="BC28" i="5"/>
  <c r="D88" i="10"/>
  <c r="K24" i="5"/>
  <c r="K197" i="10"/>
  <c r="K198" i="10" s="1"/>
  <c r="K108" i="5"/>
  <c r="K109" i="5" s="1"/>
  <c r="K61" i="10"/>
  <c r="K150" i="10"/>
  <c r="K16" i="5"/>
  <c r="E182" i="10"/>
  <c r="E184" i="10" s="1"/>
  <c r="E185" i="10" s="1"/>
  <c r="E181" i="10" s="1"/>
  <c r="E179" i="10" s="1"/>
  <c r="E153" i="10"/>
  <c r="E154" i="10" s="1"/>
  <c r="E155" i="10" s="1"/>
  <c r="AB76" i="10"/>
  <c r="AT104" i="10"/>
  <c r="AT109" i="10"/>
  <c r="AT106" i="10"/>
  <c r="BM85" i="5"/>
  <c r="BM102" i="5"/>
  <c r="BM45" i="6"/>
  <c r="BM46" i="6" s="1"/>
  <c r="BM68" i="5"/>
  <c r="BM52" i="5" s="1"/>
  <c r="BM18" i="6"/>
  <c r="E47" i="11"/>
  <c r="E49" i="11" s="1"/>
  <c r="BE120" i="5"/>
  <c r="F25" i="5"/>
  <c r="F26" i="5" s="1"/>
  <c r="L15" i="10"/>
  <c r="M11" i="10"/>
  <c r="L156" i="10"/>
  <c r="O24" i="11"/>
  <c r="L73" i="10"/>
  <c r="BF219" i="5"/>
  <c r="BF152" i="10" s="1"/>
  <c r="BF153" i="10" s="1"/>
  <c r="BF226" i="5"/>
  <c r="BF196" i="10" s="1"/>
  <c r="BF197" i="10" s="1"/>
  <c r="BF198" i="10" s="1"/>
  <c r="BX106" i="11"/>
  <c r="BX108" i="11"/>
  <c r="BA125" i="5"/>
  <c r="BA136" i="5" s="1"/>
  <c r="BA31" i="5" s="1"/>
  <c r="BA30" i="5"/>
  <c r="BA85" i="11" s="1"/>
  <c r="BA119" i="5"/>
  <c r="J46" i="11"/>
  <c r="L16" i="5"/>
  <c r="O110" i="10"/>
  <c r="M111" i="10"/>
  <c r="G29" i="5"/>
  <c r="AK25" i="5"/>
  <c r="AK26" i="5" s="1"/>
  <c r="AB120" i="5"/>
  <c r="AH120" i="5"/>
  <c r="AQ117" i="10"/>
  <c r="I114" i="10"/>
  <c r="I118" i="10" s="1"/>
  <c r="M118" i="10" s="1"/>
  <c r="M114" i="10"/>
  <c r="BB117" i="5"/>
  <c r="BB93" i="10"/>
  <c r="BB96" i="10" s="1"/>
  <c r="AE25" i="11"/>
  <c r="J158" i="10"/>
  <c r="J86" i="10"/>
  <c r="I25" i="5"/>
  <c r="I26" i="5" s="1"/>
  <c r="BQ224" i="5"/>
  <c r="BR34" i="5"/>
  <c r="BR35" i="5" s="1"/>
  <c r="AJ148" i="10"/>
  <c r="AM26" i="5"/>
  <c r="BE110" i="5"/>
  <c r="AD28" i="5"/>
  <c r="AD33" i="5"/>
  <c r="AD118" i="5"/>
  <c r="AD32" i="5"/>
  <c r="AD56" i="10"/>
  <c r="BK47" i="11"/>
  <c r="BK49" i="11" s="1"/>
  <c r="C182" i="10"/>
  <c r="C184" i="10" s="1"/>
  <c r="C185" i="10" s="1"/>
  <c r="C181" i="10" s="1"/>
  <c r="C179" i="10" s="1"/>
  <c r="C153" i="10"/>
  <c r="C154" i="10" s="1"/>
  <c r="C155" i="10" s="1"/>
  <c r="C148" i="10" s="1"/>
  <c r="P24" i="11"/>
  <c r="O156" i="10"/>
  <c r="O73" i="10"/>
  <c r="R15" i="10"/>
  <c r="W15" i="10"/>
  <c r="BC219" i="5"/>
  <c r="BC152" i="10" s="1"/>
  <c r="BC153" i="10" s="1"/>
  <c r="BC154" i="10" s="1"/>
  <c r="BC155" i="10" s="1"/>
  <c r="BC148" i="10" s="1"/>
  <c r="BC226" i="5"/>
  <c r="BC196" i="10" s="1"/>
  <c r="BC197" i="10" s="1"/>
  <c r="BC198" i="10" s="1"/>
  <c r="BH30" i="5"/>
  <c r="BH125" i="5"/>
  <c r="BH136" i="5" s="1"/>
  <c r="BH31" i="5" s="1"/>
  <c r="BH119" i="5"/>
  <c r="S117" i="7"/>
  <c r="Y117" i="7"/>
  <c r="E88" i="10"/>
  <c r="AV28" i="5"/>
  <c r="AV55" i="10"/>
  <c r="AV118" i="5"/>
  <c r="AV33" i="5"/>
  <c r="AV32" i="5"/>
  <c r="AV56" i="10"/>
  <c r="J88" i="10"/>
  <c r="Y28" i="5"/>
  <c r="Y33" i="5"/>
  <c r="Y32" i="5"/>
  <c r="Y118" i="5"/>
  <c r="BC79" i="10"/>
  <c r="AJ79" i="11"/>
  <c r="AJ47" i="11"/>
  <c r="AJ49" i="11" s="1"/>
  <c r="M29" i="5"/>
  <c r="S104" i="10"/>
  <c r="AQ182" i="10"/>
  <c r="AQ184" i="10" s="1"/>
  <c r="AQ185" i="10" s="1"/>
  <c r="AQ181" i="10" s="1"/>
  <c r="C25" i="5"/>
  <c r="C26" i="5" s="1"/>
  <c r="E25" i="5"/>
  <c r="E26" i="5" s="1"/>
  <c r="M104" i="10"/>
  <c r="S29" i="5"/>
  <c r="AS110" i="10"/>
  <c r="AQ111" i="10"/>
  <c r="AO26" i="5"/>
  <c r="U74" i="10"/>
  <c r="V25" i="11"/>
  <c r="U157" i="10"/>
  <c r="U162" i="10" s="1"/>
  <c r="AH27" i="11"/>
  <c r="AH23" i="11" s="1"/>
  <c r="AH87" i="10"/>
  <c r="AH31" i="10"/>
  <c r="S86" i="10"/>
  <c r="S158" i="10"/>
  <c r="Y164" i="10"/>
  <c r="Y75" i="10"/>
  <c r="BF33" i="5"/>
  <c r="BF118" i="5"/>
  <c r="BF56" i="10"/>
  <c r="BF55" i="10"/>
  <c r="BF32" i="5"/>
  <c r="BF28" i="5"/>
  <c r="BF86" i="11" s="1"/>
  <c r="W164" i="10"/>
  <c r="W75" i="10"/>
  <c r="BX28" i="10"/>
  <c r="BW28" i="11"/>
  <c r="BU94" i="10"/>
  <c r="AG111" i="10"/>
  <c r="AH110" i="10"/>
  <c r="AB30" i="5"/>
  <c r="AB125" i="5"/>
  <c r="AB136" i="5" s="1"/>
  <c r="AB31" i="5" s="1"/>
  <c r="AB119" i="5"/>
  <c r="BH190" i="10"/>
  <c r="BI190" i="10"/>
  <c r="AC56" i="10"/>
  <c r="AQ63" i="10"/>
  <c r="AQ60" i="10"/>
  <c r="AQ112" i="5"/>
  <c r="AQ62" i="10"/>
  <c r="I153" i="10"/>
  <c r="I154" i="10" s="1"/>
  <c r="I155" i="10" s="1"/>
  <c r="I148" i="10" s="1"/>
  <c r="I182" i="10"/>
  <c r="I184" i="10" s="1"/>
  <c r="I185" i="10" s="1"/>
  <c r="I181" i="10" s="1"/>
  <c r="I179" i="10" s="1"/>
  <c r="U164" i="10"/>
  <c r="U75" i="10"/>
  <c r="U26" i="11"/>
  <c r="AS30" i="5"/>
  <c r="AS85" i="11" s="1"/>
  <c r="AS119" i="5"/>
  <c r="AS125" i="5"/>
  <c r="AS136" i="5" s="1"/>
  <c r="AS31" i="5" s="1"/>
  <c r="G111" i="10"/>
  <c r="I110" i="10"/>
  <c r="AE26" i="11"/>
  <c r="P47" i="11"/>
  <c r="P49" i="11" s="1"/>
  <c r="W26" i="11"/>
  <c r="V164" i="10"/>
  <c r="V26" i="11"/>
  <c r="V75" i="10"/>
  <c r="W85" i="10"/>
  <c r="W30" i="11"/>
  <c r="BN68" i="5"/>
  <c r="BN52" i="5" s="1"/>
  <c r="AG27" i="11"/>
  <c r="AG87" i="10"/>
  <c r="AG31" i="10"/>
  <c r="S73" i="10"/>
  <c r="S156" i="10"/>
  <c r="AK179" i="10"/>
  <c r="G100" i="10"/>
  <c r="G109" i="10" s="1"/>
  <c r="C109" i="10"/>
  <c r="R136" i="5"/>
  <c r="R31" i="5" s="1"/>
  <c r="AW103" i="11"/>
  <c r="CA97" i="11"/>
  <c r="BG86" i="11" l="1"/>
  <c r="BC86" i="11"/>
  <c r="S38" i="7"/>
  <c r="Y38" i="7"/>
  <c r="BK117" i="10"/>
  <c r="BS204" i="10"/>
  <c r="BN106" i="5"/>
  <c r="BN45" i="6"/>
  <c r="BN46" i="6" s="1"/>
  <c r="BN12" i="7" s="1"/>
  <c r="BO13" i="6"/>
  <c r="BO50" i="6" s="1"/>
  <c r="BO58" i="6" s="1"/>
  <c r="BO24" i="7" s="1"/>
  <c r="BT50" i="6"/>
  <c r="DH30" i="7"/>
  <c r="DL30" i="7"/>
  <c r="BX44" i="10"/>
  <c r="BW207" i="10"/>
  <c r="BZ37" i="10"/>
  <c r="BY208" i="10"/>
  <c r="BG199" i="10"/>
  <c r="BG219" i="10"/>
  <c r="BG57" i="10" s="1"/>
  <c r="BG218" i="10"/>
  <c r="D199" i="10"/>
  <c r="AE197" i="10"/>
  <c r="AE198" i="10" s="1"/>
  <c r="Y197" i="10"/>
  <c r="Y198" i="10" s="1"/>
  <c r="BH199" i="10"/>
  <c r="S199" i="10"/>
  <c r="BF199" i="10"/>
  <c r="BF219" i="10"/>
  <c r="BF57" i="10" s="1"/>
  <c r="BF218" i="10"/>
  <c r="K199" i="10"/>
  <c r="F199" i="10"/>
  <c r="BC199" i="10"/>
  <c r="BC219" i="10"/>
  <c r="BC57" i="10" s="1"/>
  <c r="BC218" i="10"/>
  <c r="BN18" i="6"/>
  <c r="BN85" i="5"/>
  <c r="BN89" i="5" s="1"/>
  <c r="BN13" i="5" s="1"/>
  <c r="BI15" i="7"/>
  <c r="BG30" i="5"/>
  <c r="BF111" i="5"/>
  <c r="BX76" i="10"/>
  <c r="BG119" i="5"/>
  <c r="BG111" i="5"/>
  <c r="AV242" i="5"/>
  <c r="BG240" i="5"/>
  <c r="AT242" i="5"/>
  <c r="AT238" i="5"/>
  <c r="AM240" i="5"/>
  <c r="BH240" i="5"/>
  <c r="AP238" i="5"/>
  <c r="AN240" i="5"/>
  <c r="BF240" i="5"/>
  <c r="AO238" i="5"/>
  <c r="BC240" i="5"/>
  <c r="AU110" i="5"/>
  <c r="AU240" i="5"/>
  <c r="CI138" i="10"/>
  <c r="BG120" i="5"/>
  <c r="BG183" i="10"/>
  <c r="BG184" i="10" s="1"/>
  <c r="BG185" i="10" s="1"/>
  <c r="BG181" i="10" s="1"/>
  <c r="BG125" i="5"/>
  <c r="BG136" i="5" s="1"/>
  <c r="BG31" i="5" s="1"/>
  <c r="BG110" i="5"/>
  <c r="BC111" i="5"/>
  <c r="AU111" i="5"/>
  <c r="BM122" i="6"/>
  <c r="BM71" i="6"/>
  <c r="BM75" i="6"/>
  <c r="BM123" i="6"/>
  <c r="BM72" i="6"/>
  <c r="BM76" i="6"/>
  <c r="BM73" i="6"/>
  <c r="BM102" i="6"/>
  <c r="BM74" i="6"/>
  <c r="BM124" i="6"/>
  <c r="BL118" i="10"/>
  <c r="BL117" i="10"/>
  <c r="BL88" i="10"/>
  <c r="BR88" i="10" s="1"/>
  <c r="BX88" i="10" s="1"/>
  <c r="CD88" i="10" s="1"/>
  <c r="CJ88" i="10" s="1"/>
  <c r="BL87" i="10"/>
  <c r="BR87" i="10" s="1"/>
  <c r="BX87" i="10" s="1"/>
  <c r="CD87" i="10" s="1"/>
  <c r="CJ87" i="10" s="1"/>
  <c r="BL85" i="10"/>
  <c r="BR85" i="10" s="1"/>
  <c r="BX85" i="10" s="1"/>
  <c r="CD85" i="10" s="1"/>
  <c r="CJ85" i="10" s="1"/>
  <c r="BL113" i="5"/>
  <c r="BL124" i="5"/>
  <c r="BL19" i="5"/>
  <c r="BL108" i="5" s="1"/>
  <c r="BL25" i="7"/>
  <c r="BL191" i="5"/>
  <c r="BL47" i="11"/>
  <c r="BL49" i="11" s="1"/>
  <c r="AC93" i="10"/>
  <c r="AC8" i="11"/>
  <c r="AC11" i="11" s="1"/>
  <c r="AC117" i="5"/>
  <c r="AP125" i="5"/>
  <c r="AP136" i="5" s="1"/>
  <c r="AP31" i="5" s="1"/>
  <c r="AP30" i="5"/>
  <c r="AU119" i="5"/>
  <c r="G150" i="10"/>
  <c r="G182" i="10" s="1"/>
  <c r="G184" i="10" s="1"/>
  <c r="G185" i="10" s="1"/>
  <c r="G181" i="10" s="1"/>
  <c r="AP120" i="5"/>
  <c r="X8" i="11"/>
  <c r="X11" i="11" s="1"/>
  <c r="X93" i="10"/>
  <c r="Y93" i="10" s="1"/>
  <c r="G16" i="5"/>
  <c r="G60" i="10" s="1"/>
  <c r="G108" i="5"/>
  <c r="G109" i="5" s="1"/>
  <c r="G24" i="5"/>
  <c r="G61" i="10"/>
  <c r="AU125" i="5"/>
  <c r="AU136" i="5" s="1"/>
  <c r="AU31" i="5" s="1"/>
  <c r="BK41" i="5"/>
  <c r="F153" i="10"/>
  <c r="F154" i="10" s="1"/>
  <c r="F155" i="10" s="1"/>
  <c r="F112" i="5"/>
  <c r="F60" i="10"/>
  <c r="F63" i="10"/>
  <c r="F47" i="11"/>
  <c r="F49" i="11" s="1"/>
  <c r="S125" i="5"/>
  <c r="S136" i="5" s="1"/>
  <c r="S31" i="5" s="1"/>
  <c r="BI226" i="5"/>
  <c r="BI196" i="10" s="1"/>
  <c r="BI197" i="10" s="1"/>
  <c r="BI198" i="10" s="1"/>
  <c r="BK15" i="5"/>
  <c r="S30" i="5"/>
  <c r="S117" i="5" s="1"/>
  <c r="U111" i="10"/>
  <c r="BK119" i="7"/>
  <c r="BI219" i="5"/>
  <c r="BI152" i="10" s="1"/>
  <c r="BI153" i="10" s="1"/>
  <c r="BI154" i="10" s="1"/>
  <c r="BI155" i="10" s="1"/>
  <c r="BI148" i="10" s="1"/>
  <c r="BH183" i="10"/>
  <c r="BH184" i="10" s="1"/>
  <c r="BH185" i="10" s="1"/>
  <c r="BH181" i="10" s="1"/>
  <c r="AB110" i="10"/>
  <c r="AB111" i="10" s="1"/>
  <c r="BA120" i="5"/>
  <c r="BI238" i="5"/>
  <c r="AV238" i="5"/>
  <c r="BI33" i="5"/>
  <c r="BI28" i="5"/>
  <c r="R11" i="11"/>
  <c r="S8" i="11"/>
  <c r="S11" i="11" s="1"/>
  <c r="BI32" i="5"/>
  <c r="R93" i="10"/>
  <c r="S93" i="10" s="1"/>
  <c r="R117" i="5"/>
  <c r="DJ18" i="7"/>
  <c r="DJ33" i="7" s="1"/>
  <c r="BK25" i="7"/>
  <c r="AW242" i="5"/>
  <c r="I46" i="11"/>
  <c r="I47" i="11" s="1"/>
  <c r="I49" i="11" s="1"/>
  <c r="AW238" i="5"/>
  <c r="BB139" i="5"/>
  <c r="BB38" i="5"/>
  <c r="BB6" i="6"/>
  <c r="BB6" i="7" s="1"/>
  <c r="BB159" i="5"/>
  <c r="BB7" i="10"/>
  <c r="BD8" i="13"/>
  <c r="BB193" i="5"/>
  <c r="BB7" i="11"/>
  <c r="AE32" i="5"/>
  <c r="BK6" i="7"/>
  <c r="BI8" i="13"/>
  <c r="BG159" i="5"/>
  <c r="BG193" i="5"/>
  <c r="BH8" i="5"/>
  <c r="BG139" i="5"/>
  <c r="BG7" i="11"/>
  <c r="BG6" i="6"/>
  <c r="BG6" i="7" s="1"/>
  <c r="BG7" i="10"/>
  <c r="BG38" i="5"/>
  <c r="BR8" i="5"/>
  <c r="BQ7" i="10"/>
  <c r="BQ6" i="6"/>
  <c r="BW8" i="5"/>
  <c r="CC8" i="5" s="1"/>
  <c r="CI8" i="5" s="1"/>
  <c r="BS8" i="13"/>
  <c r="BQ7" i="11"/>
  <c r="BQ193" i="5"/>
  <c r="BQ139" i="5"/>
  <c r="BQ159" i="5"/>
  <c r="BQ38" i="5"/>
  <c r="M119" i="10"/>
  <c r="S114" i="10" s="1"/>
  <c r="BM8" i="5"/>
  <c r="BL159" i="5"/>
  <c r="BL7" i="11"/>
  <c r="BL7" i="10"/>
  <c r="BN8" i="13"/>
  <c r="BL38" i="5"/>
  <c r="BL6" i="6"/>
  <c r="BL139" i="5"/>
  <c r="BL193" i="5"/>
  <c r="AV70" i="6"/>
  <c r="AV6" i="7"/>
  <c r="AW116" i="5"/>
  <c r="AY93" i="10"/>
  <c r="AY96" i="10" s="1"/>
  <c r="AY117" i="5"/>
  <c r="AE118" i="5"/>
  <c r="AE28" i="5"/>
  <c r="AE33" i="5"/>
  <c r="P119" i="7"/>
  <c r="V119" i="7"/>
  <c r="P109" i="7"/>
  <c r="V109" i="7"/>
  <c r="S40" i="5"/>
  <c r="S96" i="7"/>
  <c r="S34" i="7"/>
  <c r="Y34" i="7"/>
  <c r="AW26" i="5"/>
  <c r="AW118" i="5" s="1"/>
  <c r="R76" i="10"/>
  <c r="D25" i="5"/>
  <c r="G25" i="5" s="1"/>
  <c r="D60" i="10"/>
  <c r="D63" i="10"/>
  <c r="D112" i="5"/>
  <c r="D182" i="10"/>
  <c r="D184" i="10" s="1"/>
  <c r="D185" i="10" s="1"/>
  <c r="D181" i="10" s="1"/>
  <c r="D179" i="10" s="1"/>
  <c r="G179" i="10" s="1"/>
  <c r="D153" i="10"/>
  <c r="D154" i="10" s="1"/>
  <c r="D155" i="10" s="1"/>
  <c r="BC110" i="5"/>
  <c r="AG23" i="11"/>
  <c r="AZ117" i="5"/>
  <c r="AZ93" i="10"/>
  <c r="AZ96" i="10" s="1"/>
  <c r="BM145" i="5"/>
  <c r="BM147" i="5" s="1"/>
  <c r="BS166" i="10"/>
  <c r="BT35" i="10"/>
  <c r="BT10" i="10"/>
  <c r="BR160" i="10"/>
  <c r="BS21" i="10"/>
  <c r="BS42" i="10"/>
  <c r="BR95" i="10"/>
  <c r="BT19" i="10"/>
  <c r="BS29" i="10"/>
  <c r="BT34" i="10"/>
  <c r="BS20" i="10"/>
  <c r="AT125" i="5"/>
  <c r="AT136" i="5" s="1"/>
  <c r="AT31" i="5" s="1"/>
  <c r="AT119" i="5"/>
  <c r="AT30" i="5"/>
  <c r="AT85" i="11" s="1"/>
  <c r="AZ120" i="5"/>
  <c r="AI93" i="10"/>
  <c r="AI8" i="11"/>
  <c r="AI11" i="11" s="1"/>
  <c r="AI117" i="5"/>
  <c r="S23" i="10"/>
  <c r="BN181" i="5"/>
  <c r="BN72" i="5"/>
  <c r="BN12" i="5" s="1"/>
  <c r="Y26" i="11"/>
  <c r="E86" i="10"/>
  <c r="E158" i="10"/>
  <c r="AB8" i="11"/>
  <c r="AB11" i="11" s="1"/>
  <c r="AB93" i="10"/>
  <c r="AB117" i="5"/>
  <c r="AI110" i="10"/>
  <c r="AH111" i="10"/>
  <c r="AC27" i="11"/>
  <c r="AC23" i="11" s="1"/>
  <c r="AC87" i="10"/>
  <c r="AC31" i="10"/>
  <c r="AC165" i="10"/>
  <c r="AC167" i="10" s="1"/>
  <c r="AC169" i="10" s="1"/>
  <c r="AD170" i="10" s="1"/>
  <c r="BF125" i="5"/>
  <c r="BF136" i="5" s="1"/>
  <c r="BF31" i="5" s="1"/>
  <c r="BF30" i="5"/>
  <c r="BF85" i="11" s="1"/>
  <c r="BF119" i="5"/>
  <c r="BF120" i="5"/>
  <c r="AA122" i="10"/>
  <c r="AA124" i="10" s="1"/>
  <c r="AE122" i="10"/>
  <c r="Y120" i="5"/>
  <c r="AV120" i="5"/>
  <c r="BB120" i="5"/>
  <c r="R23" i="10"/>
  <c r="O23" i="10"/>
  <c r="P85" i="10"/>
  <c r="AD120" i="5"/>
  <c r="AA165" i="10"/>
  <c r="AA167" i="10" s="1"/>
  <c r="AA169" i="10" s="1"/>
  <c r="AB170" i="10" s="1"/>
  <c r="AA85" i="10"/>
  <c r="AA30" i="11"/>
  <c r="AB30" i="11"/>
  <c r="AQ33" i="5"/>
  <c r="AQ28" i="5"/>
  <c r="AQ32" i="5"/>
  <c r="AQ118" i="5"/>
  <c r="AQ55" i="10"/>
  <c r="AQ56" i="10"/>
  <c r="J47" i="11"/>
  <c r="J49" i="11" s="1"/>
  <c r="L23" i="10"/>
  <c r="S24" i="11"/>
  <c r="M156" i="10"/>
  <c r="M73" i="10"/>
  <c r="L157" i="10"/>
  <c r="L162" i="10" s="1"/>
  <c r="O25" i="11"/>
  <c r="M12" i="10"/>
  <c r="M15" i="10" s="1"/>
  <c r="L74" i="10"/>
  <c r="BM181" i="5"/>
  <c r="BM209" i="5"/>
  <c r="BM72" i="5"/>
  <c r="BO68" i="5"/>
  <c r="BM106" i="5"/>
  <c r="BO102" i="5"/>
  <c r="K15" i="10"/>
  <c r="E15" i="10"/>
  <c r="K60" i="10"/>
  <c r="K112" i="5"/>
  <c r="K63" i="10"/>
  <c r="K25" i="5"/>
  <c r="K26" i="5" s="1"/>
  <c r="AU8" i="11"/>
  <c r="AU117" i="5"/>
  <c r="AU93" i="10"/>
  <c r="AU96" i="10" s="1"/>
  <c r="M86" i="10"/>
  <c r="M158" i="10"/>
  <c r="G156" i="10"/>
  <c r="G73" i="10"/>
  <c r="O74" i="10"/>
  <c r="P25" i="11"/>
  <c r="O157" i="10"/>
  <c r="O162" i="10" s="1"/>
  <c r="BE184" i="10"/>
  <c r="BE185" i="10" s="1"/>
  <c r="BE181" i="10" s="1"/>
  <c r="V76" i="10"/>
  <c r="BF110" i="5"/>
  <c r="AH148" i="10"/>
  <c r="L26" i="11"/>
  <c r="F26" i="11"/>
  <c r="AB27" i="11"/>
  <c r="AB87" i="10"/>
  <c r="AB31" i="10"/>
  <c r="AB165" i="10"/>
  <c r="AB167" i="10" s="1"/>
  <c r="AB169" i="10" s="1"/>
  <c r="AC170" i="10" s="1"/>
  <c r="BA184" i="10"/>
  <c r="BA185" i="10" s="1"/>
  <c r="BA181" i="10" s="1"/>
  <c r="BC183" i="10"/>
  <c r="BC184" i="10" s="1"/>
  <c r="BC185" i="10" s="1"/>
  <c r="BC181" i="10" s="1"/>
  <c r="AU17" i="5"/>
  <c r="V56" i="10"/>
  <c r="J30" i="5"/>
  <c r="J125" i="5"/>
  <c r="J136" i="5" s="1"/>
  <c r="J31" i="5" s="1"/>
  <c r="J119" i="5"/>
  <c r="AJ120" i="5"/>
  <c r="AJ30" i="5"/>
  <c r="AJ119" i="5"/>
  <c r="AJ125" i="5"/>
  <c r="AJ136" i="5" s="1"/>
  <c r="AJ31" i="5" s="1"/>
  <c r="BN56" i="6"/>
  <c r="BN14" i="5"/>
  <c r="AS93" i="10"/>
  <c r="AS117" i="5"/>
  <c r="C158" i="10"/>
  <c r="C86" i="10"/>
  <c r="E73" i="10"/>
  <c r="F24" i="11"/>
  <c r="E156" i="10"/>
  <c r="BX28" i="11"/>
  <c r="BY28" i="10"/>
  <c r="X27" i="11"/>
  <c r="J156" i="10"/>
  <c r="J73" i="10"/>
  <c r="K24" i="11"/>
  <c r="AO28" i="5"/>
  <c r="AO32" i="5"/>
  <c r="AO33" i="5"/>
  <c r="AO56" i="10"/>
  <c r="AO118" i="5"/>
  <c r="C28" i="5"/>
  <c r="C118" i="5"/>
  <c r="C32" i="5"/>
  <c r="C33" i="5"/>
  <c r="Q85" i="10"/>
  <c r="Q30" i="11"/>
  <c r="BK29" i="5"/>
  <c r="O111" i="10"/>
  <c r="P110" i="10"/>
  <c r="BY108" i="11"/>
  <c r="BY106" i="11"/>
  <c r="F74" i="10"/>
  <c r="F157" i="10"/>
  <c r="G12" i="10"/>
  <c r="BM53" i="5"/>
  <c r="BM56" i="5"/>
  <c r="BM11" i="5" s="1"/>
  <c r="BO52" i="5"/>
  <c r="BM89" i="5"/>
  <c r="W110" i="10"/>
  <c r="V111" i="10"/>
  <c r="Q74" i="10"/>
  <c r="Q157" i="10"/>
  <c r="Q162" i="10" s="1"/>
  <c r="R25" i="11"/>
  <c r="BC119" i="5"/>
  <c r="BC125" i="5"/>
  <c r="BC136" i="5" s="1"/>
  <c r="BC30" i="5"/>
  <c r="BC85" i="11" s="1"/>
  <c r="AE165" i="10"/>
  <c r="AE167" i="10" s="1"/>
  <c r="AE169" i="10" s="1"/>
  <c r="AE85" i="10"/>
  <c r="AI36" i="10"/>
  <c r="AI69" i="10"/>
  <c r="AI68" i="10"/>
  <c r="AI70" i="10"/>
  <c r="AI67" i="10"/>
  <c r="AK27" i="11"/>
  <c r="AK23" i="11" s="1"/>
  <c r="AI23" i="11"/>
  <c r="F15" i="10"/>
  <c r="Y25" i="11"/>
  <c r="C15" i="10"/>
  <c r="AO55" i="10"/>
  <c r="AO45" i="10"/>
  <c r="AO209" i="10" s="1"/>
  <c r="AP55" i="10"/>
  <c r="P26" i="11"/>
  <c r="P75" i="10"/>
  <c r="P164" i="10"/>
  <c r="AG30" i="5"/>
  <c r="AG125" i="5"/>
  <c r="AG119" i="5"/>
  <c r="BT21" i="13"/>
  <c r="BX94" i="10"/>
  <c r="BY54" i="11"/>
  <c r="AA11" i="11"/>
  <c r="AE87" i="10"/>
  <c r="AE31" i="10"/>
  <c r="L164" i="10"/>
  <c r="L75" i="10"/>
  <c r="M25" i="10"/>
  <c r="BN53" i="5"/>
  <c r="BN56" i="5"/>
  <c r="AK32" i="5"/>
  <c r="AK118" i="5"/>
  <c r="AK33" i="5"/>
  <c r="AK28" i="5"/>
  <c r="AK56" i="10"/>
  <c r="P74" i="10"/>
  <c r="Q25" i="11"/>
  <c r="P157" i="10"/>
  <c r="P162" i="10" s="1"/>
  <c r="F158" i="10"/>
  <c r="G13" i="10"/>
  <c r="F86" i="10"/>
  <c r="AU106" i="10"/>
  <c r="AV106" i="10" s="1"/>
  <c r="AV105" i="10" s="1"/>
  <c r="AU104" i="10"/>
  <c r="AU46" i="11" s="1"/>
  <c r="AU109" i="10"/>
  <c r="L24" i="11"/>
  <c r="K156" i="10"/>
  <c r="K73" i="10"/>
  <c r="D73" i="10"/>
  <c r="E24" i="11"/>
  <c r="D156" i="10"/>
  <c r="U76" i="10"/>
  <c r="Y125" i="5"/>
  <c r="Y136" i="5" s="1"/>
  <c r="Y31" i="5" s="1"/>
  <c r="Y30" i="5"/>
  <c r="Y117" i="5" s="1"/>
  <c r="Y119" i="5"/>
  <c r="AV30" i="5"/>
  <c r="AV125" i="5"/>
  <c r="AV136" i="5" s="1"/>
  <c r="AV31" i="5" s="1"/>
  <c r="AV119" i="5"/>
  <c r="W23" i="10"/>
  <c r="AD30" i="5"/>
  <c r="AD125" i="5"/>
  <c r="AD136" i="5" s="1"/>
  <c r="AD31" i="5" s="1"/>
  <c r="AD119" i="5"/>
  <c r="BS34" i="5"/>
  <c r="BR224" i="5"/>
  <c r="I28" i="5"/>
  <c r="I118" i="5"/>
  <c r="I32" i="5"/>
  <c r="I33" i="5"/>
  <c r="L112" i="5"/>
  <c r="L60" i="10"/>
  <c r="L63" i="10"/>
  <c r="BF183" i="10"/>
  <c r="BF184" i="10" s="1"/>
  <c r="BF185" i="10" s="1"/>
  <c r="BF181" i="10" s="1"/>
  <c r="BF154" i="10"/>
  <c r="BF155" i="10" s="1"/>
  <c r="BF148" i="10" s="1"/>
  <c r="F28" i="5"/>
  <c r="F32" i="5"/>
  <c r="F118" i="5"/>
  <c r="F33" i="5"/>
  <c r="BO45" i="6"/>
  <c r="AN55" i="10"/>
  <c r="AM45" i="10"/>
  <c r="AM209" i="10" s="1"/>
  <c r="S74" i="10"/>
  <c r="S157" i="10"/>
  <c r="S162" i="10" s="1"/>
  <c r="BE93" i="10"/>
  <c r="BE117" i="5"/>
  <c r="G104" i="10"/>
  <c r="D46" i="11"/>
  <c r="M108" i="5"/>
  <c r="M109" i="5" s="1"/>
  <c r="M61" i="10"/>
  <c r="M24" i="5"/>
  <c r="M150" i="10"/>
  <c r="M16" i="5"/>
  <c r="AN8" i="11"/>
  <c r="AN11" i="11" s="1"/>
  <c r="AN31" i="11" s="1"/>
  <c r="AN117" i="5"/>
  <c r="AN93" i="10"/>
  <c r="AN96" i="10" s="1"/>
  <c r="S164" i="10"/>
  <c r="S75" i="10"/>
  <c r="Q15" i="10"/>
  <c r="L28" i="5"/>
  <c r="L118" i="5"/>
  <c r="L33" i="5"/>
  <c r="L32" i="5"/>
  <c r="W76" i="10"/>
  <c r="C156" i="10"/>
  <c r="D24" i="11"/>
  <c r="C73" i="10"/>
  <c r="AD36" i="10"/>
  <c r="AD69" i="10"/>
  <c r="AD68" i="10"/>
  <c r="AD70" i="10"/>
  <c r="AD67" i="10"/>
  <c r="AD27" i="11"/>
  <c r="AD23" i="11" s="1"/>
  <c r="F164" i="10"/>
  <c r="F75" i="10"/>
  <c r="G25" i="10"/>
  <c r="AG36" i="10"/>
  <c r="AG69" i="10"/>
  <c r="AG68" i="10"/>
  <c r="AG70" i="10"/>
  <c r="AG67" i="10"/>
  <c r="D15" i="10"/>
  <c r="I111" i="10"/>
  <c r="J110" i="10"/>
  <c r="D86" i="10"/>
  <c r="D158" i="10"/>
  <c r="X87" i="10"/>
  <c r="Y26" i="10"/>
  <c r="X31" i="10"/>
  <c r="AH36" i="10"/>
  <c r="AH69" i="10"/>
  <c r="AH68" i="10"/>
  <c r="AH70" i="10"/>
  <c r="AH67" i="10"/>
  <c r="AS111" i="10"/>
  <c r="AT110" i="10"/>
  <c r="E28" i="5"/>
  <c r="E32" i="5"/>
  <c r="E118" i="5"/>
  <c r="E33" i="5"/>
  <c r="BH117" i="5"/>
  <c r="BH93" i="10"/>
  <c r="X30" i="11"/>
  <c r="X85" i="10"/>
  <c r="X165" i="10"/>
  <c r="X167" i="10" s="1"/>
  <c r="X169" i="10" s="1"/>
  <c r="Y30" i="10"/>
  <c r="AM28" i="5"/>
  <c r="AM33" i="5"/>
  <c r="AM32" i="5"/>
  <c r="AM118" i="5"/>
  <c r="AM56" i="10"/>
  <c r="AM55" i="10"/>
  <c r="AH31" i="11"/>
  <c r="AK116" i="5"/>
  <c r="AN45" i="10"/>
  <c r="AN209" i="10" s="1"/>
  <c r="BA117" i="5"/>
  <c r="BA93" i="10"/>
  <c r="BM10" i="5"/>
  <c r="BM56" i="6"/>
  <c r="BS58" i="6"/>
  <c r="BS24" i="7" s="1"/>
  <c r="BM57" i="6"/>
  <c r="BM17" i="7" s="1"/>
  <c r="BM21" i="7" s="1"/>
  <c r="BM12" i="7"/>
  <c r="K153" i="10"/>
  <c r="K154" i="10" s="1"/>
  <c r="K155" i="10" s="1"/>
  <c r="K182" i="10"/>
  <c r="K184" i="10" s="1"/>
  <c r="K185" i="10" s="1"/>
  <c r="K181" i="10" s="1"/>
  <c r="K179" i="10" s="1"/>
  <c r="M179" i="10" s="1"/>
  <c r="Y23" i="10"/>
  <c r="AQ116" i="5"/>
  <c r="Y76" i="10"/>
  <c r="U11" i="11"/>
  <c r="AA27" i="11"/>
  <c r="AA87" i="10"/>
  <c r="AA31" i="10"/>
  <c r="O75" i="10"/>
  <c r="O164" i="10"/>
  <c r="O26" i="11"/>
  <c r="AG120" i="5"/>
  <c r="Q164" i="10"/>
  <c r="Q75" i="10"/>
  <c r="Q26" i="11"/>
  <c r="P15" i="10"/>
  <c r="I156" i="10"/>
  <c r="I73" i="10"/>
  <c r="J24" i="11"/>
  <c r="AN110" i="10"/>
  <c r="AM111" i="10"/>
  <c r="P120" i="5"/>
  <c r="BI125" i="5" l="1"/>
  <c r="BI136" i="5" s="1"/>
  <c r="BM38" i="7"/>
  <c r="BN122" i="6"/>
  <c r="BN71" i="6"/>
  <c r="BN75" i="6"/>
  <c r="BN76" i="6"/>
  <c r="BN123" i="6"/>
  <c r="BN72" i="6"/>
  <c r="BN124" i="6"/>
  <c r="BN73" i="6"/>
  <c r="BN102" i="6"/>
  <c r="BN74" i="6"/>
  <c r="BQ6" i="7"/>
  <c r="BO46" i="6"/>
  <c r="BO60" i="6"/>
  <c r="BO51" i="6"/>
  <c r="BO49" i="6" s="1"/>
  <c r="BO18" i="6"/>
  <c r="BN57" i="6"/>
  <c r="BO85" i="5"/>
  <c r="BO86" i="5" s="1"/>
  <c r="BN145" i="5"/>
  <c r="BN155" i="5" s="1"/>
  <c r="BN209" i="5"/>
  <c r="BO209" i="5" s="1"/>
  <c r="BY44" i="10"/>
  <c r="BX207" i="10"/>
  <c r="BT204" i="10"/>
  <c r="BZ208" i="10"/>
  <c r="CC37" i="10"/>
  <c r="CA37" i="10"/>
  <c r="CA208" i="10" s="1"/>
  <c r="AN215" i="10"/>
  <c r="AN218" i="10" s="1"/>
  <c r="AN216" i="10"/>
  <c r="AN219" i="10" s="1"/>
  <c r="AN57" i="10" s="1"/>
  <c r="AM216" i="10"/>
  <c r="AM219" i="10" s="1"/>
  <c r="AM57" i="10" s="1"/>
  <c r="AM215" i="10"/>
  <c r="AM218" i="10" s="1"/>
  <c r="BI199" i="10"/>
  <c r="Y199" i="10"/>
  <c r="AE199" i="10"/>
  <c r="AO215" i="10"/>
  <c r="AO218" i="10" s="1"/>
  <c r="AO216" i="10"/>
  <c r="AO219" i="10" s="1"/>
  <c r="AO57" i="10" s="1"/>
  <c r="BT58" i="6"/>
  <c r="BT24" i="7" s="1"/>
  <c r="BN10" i="5"/>
  <c r="BN91" i="5" s="1"/>
  <c r="BG93" i="10"/>
  <c r="BG96" i="10" s="1"/>
  <c r="BG117" i="5"/>
  <c r="BG85" i="11"/>
  <c r="BN91" i="7"/>
  <c r="BN104" i="7" s="1"/>
  <c r="BM29" i="7"/>
  <c r="BM91" i="7"/>
  <c r="BM104" i="7" s="1"/>
  <c r="BI32" i="7"/>
  <c r="BI94" i="7"/>
  <c r="BI107" i="7" s="1"/>
  <c r="BM34" i="7"/>
  <c r="BM96" i="7"/>
  <c r="BM109" i="7" s="1"/>
  <c r="BN29" i="7"/>
  <c r="AV240" i="5"/>
  <c r="AT240" i="5"/>
  <c r="AT110" i="5"/>
  <c r="AP240" i="5"/>
  <c r="AW240" i="5"/>
  <c r="BI240" i="5"/>
  <c r="AQ238" i="5"/>
  <c r="AT111" i="5"/>
  <c r="AV111" i="5"/>
  <c r="AO240" i="5"/>
  <c r="BM86" i="10"/>
  <c r="BS86" i="10" s="1"/>
  <c r="BY86" i="10" s="1"/>
  <c r="CE86" i="10" s="1"/>
  <c r="CK86" i="10" s="1"/>
  <c r="BM73" i="10"/>
  <c r="BS73" i="10" s="1"/>
  <c r="BY73" i="10" s="1"/>
  <c r="CE73" i="10" s="1"/>
  <c r="BM102" i="10"/>
  <c r="BM105" i="10"/>
  <c r="BM74" i="10"/>
  <c r="BS74" i="10" s="1"/>
  <c r="BY74" i="10" s="1"/>
  <c r="CE74" i="10" s="1"/>
  <c r="CK74" i="10" s="1"/>
  <c r="BM75" i="10"/>
  <c r="BS75" i="10" s="1"/>
  <c r="BY75" i="10" s="1"/>
  <c r="CE75" i="10" s="1"/>
  <c r="CK75" i="10" s="1"/>
  <c r="CJ138" i="10"/>
  <c r="CI7" i="11"/>
  <c r="CI7" i="10"/>
  <c r="CI193" i="5"/>
  <c r="CI38" i="5"/>
  <c r="CI6" i="6"/>
  <c r="CI6" i="7" s="1"/>
  <c r="CI139" i="5"/>
  <c r="CI159" i="5"/>
  <c r="CJ8" i="5"/>
  <c r="CK8" i="13"/>
  <c r="AW111" i="5"/>
  <c r="BM77" i="6"/>
  <c r="BM121" i="6"/>
  <c r="BL150" i="10"/>
  <c r="BL61" i="10"/>
  <c r="BL230" i="5"/>
  <c r="BL109" i="5"/>
  <c r="BL110" i="5" s="1"/>
  <c r="M46" i="11"/>
  <c r="BL6" i="7"/>
  <c r="BL31" i="10"/>
  <c r="AC31" i="11"/>
  <c r="BK124" i="5"/>
  <c r="BK87" i="10"/>
  <c r="BK85" i="10"/>
  <c r="BK88" i="10"/>
  <c r="BK113" i="5"/>
  <c r="CC108" i="11"/>
  <c r="CC106" i="11"/>
  <c r="AC110" i="10"/>
  <c r="AD110" i="10" s="1"/>
  <c r="AD111" i="10" s="1"/>
  <c r="AP93" i="10"/>
  <c r="AP96" i="10" s="1"/>
  <c r="AP117" i="5"/>
  <c r="AP8" i="11"/>
  <c r="AP11" i="11" s="1"/>
  <c r="AP31" i="11" s="1"/>
  <c r="G153" i="10"/>
  <c r="G154" i="10" s="1"/>
  <c r="G155" i="10" s="1"/>
  <c r="G148" i="10" s="1"/>
  <c r="BK19" i="5"/>
  <c r="Y8" i="11"/>
  <c r="Y11" i="11" s="1"/>
  <c r="G63" i="10"/>
  <c r="G112" i="5"/>
  <c r="G26" i="5"/>
  <c r="G33" i="5" s="1"/>
  <c r="G62" i="10"/>
  <c r="CD8" i="5"/>
  <c r="CE8" i="13"/>
  <c r="CC6" i="6"/>
  <c r="CC6" i="7" s="1"/>
  <c r="CC7" i="11"/>
  <c r="CC7" i="10"/>
  <c r="CC139" i="5"/>
  <c r="CC193" i="5"/>
  <c r="CC159" i="5"/>
  <c r="CC38" i="5"/>
  <c r="BK157" i="10"/>
  <c r="BK164" i="10"/>
  <c r="BI120" i="5"/>
  <c r="AV110" i="5"/>
  <c r="BI30" i="5"/>
  <c r="BI119" i="5"/>
  <c r="AE119" i="5"/>
  <c r="O114" i="10"/>
  <c r="O118" i="10" s="1"/>
  <c r="O46" i="11" s="1"/>
  <c r="BM19" i="6"/>
  <c r="BM241" i="5"/>
  <c r="AW56" i="10"/>
  <c r="BW7" i="11"/>
  <c r="BX8" i="5"/>
  <c r="BW193" i="5"/>
  <c r="BY8" i="13"/>
  <c r="BW7" i="10"/>
  <c r="BW6" i="6"/>
  <c r="BW6" i="7" s="1"/>
  <c r="BW139" i="5"/>
  <c r="BW159" i="5"/>
  <c r="BW38" i="5"/>
  <c r="BM193" i="5"/>
  <c r="BN8" i="5"/>
  <c r="BO8" i="13"/>
  <c r="BM139" i="5"/>
  <c r="BM38" i="5"/>
  <c r="BM159" i="5"/>
  <c r="BM7" i="11"/>
  <c r="BM7" i="10"/>
  <c r="BM6" i="6"/>
  <c r="BR7" i="10"/>
  <c r="BR38" i="5"/>
  <c r="BT8" i="13"/>
  <c r="BR159" i="5"/>
  <c r="BR6" i="6"/>
  <c r="BR6" i="7" s="1"/>
  <c r="BR7" i="11"/>
  <c r="BR193" i="5"/>
  <c r="BS8" i="5"/>
  <c r="BR139" i="5"/>
  <c r="BH7" i="10"/>
  <c r="BH159" i="5"/>
  <c r="BH139" i="5"/>
  <c r="BH6" i="6"/>
  <c r="BH6" i="7" s="1"/>
  <c r="BH38" i="5"/>
  <c r="BH7" i="11"/>
  <c r="BH193" i="5"/>
  <c r="BJ8" i="13"/>
  <c r="AW55" i="10"/>
  <c r="AW28" i="5"/>
  <c r="AW226" i="5"/>
  <c r="AW196" i="10" s="1"/>
  <c r="AW197" i="10" s="1"/>
  <c r="AW198" i="10" s="1"/>
  <c r="AW32" i="5"/>
  <c r="AW33" i="5"/>
  <c r="BC120" i="5" s="1"/>
  <c r="AW219" i="5"/>
  <c r="AW152" i="10" s="1"/>
  <c r="AW153" i="10" s="1"/>
  <c r="AW154" i="10" s="1"/>
  <c r="AW155" i="10" s="1"/>
  <c r="AW148" i="10" s="1"/>
  <c r="AE30" i="5"/>
  <c r="AE117" i="5" s="1"/>
  <c r="AE125" i="5"/>
  <c r="AE136" i="5" s="1"/>
  <c r="AE31" i="5" s="1"/>
  <c r="AE120" i="5"/>
  <c r="M25" i="5"/>
  <c r="S119" i="7"/>
  <c r="Y119" i="7"/>
  <c r="S109" i="7"/>
  <c r="Y109" i="7"/>
  <c r="BM155" i="5"/>
  <c r="AB23" i="11"/>
  <c r="AB31" i="11" s="1"/>
  <c r="D26" i="5"/>
  <c r="M24" i="11"/>
  <c r="P76" i="10"/>
  <c r="BT20" i="10"/>
  <c r="BW34" i="10"/>
  <c r="BU34" i="10"/>
  <c r="BW19" i="10"/>
  <c r="BU19" i="10"/>
  <c r="BT21" i="10"/>
  <c r="BS160" i="10"/>
  <c r="BW35" i="10"/>
  <c r="BT166" i="10"/>
  <c r="BU35" i="10"/>
  <c r="BT29" i="10"/>
  <c r="BT42" i="10"/>
  <c r="BS95" i="10"/>
  <c r="BW10" i="10"/>
  <c r="BU10" i="10"/>
  <c r="X23" i="11"/>
  <c r="AT117" i="5"/>
  <c r="AT93" i="10"/>
  <c r="AT96" i="10" s="1"/>
  <c r="G15" i="10"/>
  <c r="AE30" i="11"/>
  <c r="Q76" i="10"/>
  <c r="BI183" i="10"/>
  <c r="BI184" i="10" s="1"/>
  <c r="BI185" i="10" s="1"/>
  <c r="BI181" i="10" s="1"/>
  <c r="AA56" i="10"/>
  <c r="AE56" i="10"/>
  <c r="BA96" i="10"/>
  <c r="BC96" i="10" s="1"/>
  <c r="BC93" i="10"/>
  <c r="G24" i="11"/>
  <c r="BE96" i="10"/>
  <c r="K23" i="10"/>
  <c r="I157" i="10"/>
  <c r="I162" i="10" s="1"/>
  <c r="I74" i="10"/>
  <c r="J25" i="11"/>
  <c r="AJ8" i="11"/>
  <c r="AJ11" i="11" s="1"/>
  <c r="AJ31" i="11" s="1"/>
  <c r="AJ117" i="5"/>
  <c r="AJ93" i="10"/>
  <c r="C75" i="10"/>
  <c r="C164" i="10"/>
  <c r="K28" i="5"/>
  <c r="K32" i="5"/>
  <c r="K118" i="5"/>
  <c r="K33" i="5"/>
  <c r="BF93" i="10"/>
  <c r="BF96" i="10" s="1"/>
  <c r="BF117" i="5"/>
  <c r="DL12" i="7"/>
  <c r="DL27" i="7" s="1"/>
  <c r="AN64" i="10"/>
  <c r="AN46" i="10"/>
  <c r="AN47" i="10" s="1"/>
  <c r="AH81" i="11"/>
  <c r="AH33" i="11"/>
  <c r="AM30" i="5"/>
  <c r="AM125" i="5"/>
  <c r="AM136" i="5" s="1"/>
  <c r="AM31" i="5" s="1"/>
  <c r="AM119" i="5"/>
  <c r="BH11" i="11"/>
  <c r="BI8" i="11"/>
  <c r="Y87" i="10"/>
  <c r="Y31" i="10"/>
  <c r="C23" i="10"/>
  <c r="AN33" i="11"/>
  <c r="AN81" i="11"/>
  <c r="AN86" i="11" s="1"/>
  <c r="M153" i="10"/>
  <c r="M154" i="10" s="1"/>
  <c r="M155" i="10" s="1"/>
  <c r="M148" i="10" s="1"/>
  <c r="M182" i="10"/>
  <c r="M184" i="10" s="1"/>
  <c r="M185" i="10" s="1"/>
  <c r="M181" i="10" s="1"/>
  <c r="S76" i="10"/>
  <c r="BM190" i="5"/>
  <c r="BM157" i="5"/>
  <c r="K85" i="10"/>
  <c r="K30" i="11"/>
  <c r="AU47" i="11"/>
  <c r="AU49" i="11" s="1"/>
  <c r="AW46" i="11"/>
  <c r="AE69" i="10"/>
  <c r="AE36" i="10"/>
  <c r="AE68" i="10"/>
  <c r="AE67" i="10"/>
  <c r="AE70" i="10"/>
  <c r="AO64" i="10"/>
  <c r="AO46" i="10"/>
  <c r="AO47" i="10" s="1"/>
  <c r="F23" i="10"/>
  <c r="AG170" i="10"/>
  <c r="AK170" i="10"/>
  <c r="BC31" i="5"/>
  <c r="F76" i="10"/>
  <c r="C30" i="5"/>
  <c r="C119" i="5"/>
  <c r="C125" i="5"/>
  <c r="C136" i="5" s="1"/>
  <c r="C31" i="5" s="1"/>
  <c r="R27" i="11"/>
  <c r="AB36" i="10"/>
  <c r="AB69" i="10"/>
  <c r="AB68" i="10"/>
  <c r="AB67" i="10"/>
  <c r="AB70" i="10"/>
  <c r="I26" i="11"/>
  <c r="I164" i="10"/>
  <c r="I75" i="10"/>
  <c r="L25" i="11"/>
  <c r="K157" i="10"/>
  <c r="K162" i="10" s="1"/>
  <c r="K74" i="10"/>
  <c r="BO69" i="5"/>
  <c r="BO181" i="5"/>
  <c r="BO72" i="5"/>
  <c r="S25" i="11"/>
  <c r="AD148" i="10"/>
  <c r="BN189" i="5"/>
  <c r="Y56" i="10"/>
  <c r="U56" i="10"/>
  <c r="AK226" i="5"/>
  <c r="AK196" i="10" s="1"/>
  <c r="AK197" i="10" s="1"/>
  <c r="AK198" i="10" s="1"/>
  <c r="AK199" i="10" s="1"/>
  <c r="AK219" i="5"/>
  <c r="AK152" i="10" s="1"/>
  <c r="AK153" i="10" s="1"/>
  <c r="AK154" i="10" s="1"/>
  <c r="AK155" i="10" s="1"/>
  <c r="AG41" i="10"/>
  <c r="I120" i="5"/>
  <c r="O120" i="5"/>
  <c r="BS35" i="5"/>
  <c r="BT34" i="5"/>
  <c r="BS224" i="5"/>
  <c r="R31" i="10"/>
  <c r="S30" i="10"/>
  <c r="R85" i="10"/>
  <c r="R30" i="11"/>
  <c r="R165" i="10"/>
  <c r="R167" i="10" s="1"/>
  <c r="R169" i="10" s="1"/>
  <c r="X56" i="10"/>
  <c r="AK120" i="5"/>
  <c r="BZ54" i="11"/>
  <c r="BY94" i="10"/>
  <c r="P111" i="10"/>
  <c r="Q110" i="10"/>
  <c r="BM12" i="5"/>
  <c r="BM189" i="5"/>
  <c r="BM73" i="5"/>
  <c r="M157" i="10"/>
  <c r="M162" i="10" s="1"/>
  <c r="M74" i="10"/>
  <c r="AC36" i="10"/>
  <c r="AC69" i="10"/>
  <c r="AC68" i="10"/>
  <c r="AC70" i="10"/>
  <c r="AC67" i="10"/>
  <c r="AJ110" i="10"/>
  <c r="AJ111" i="10" s="1"/>
  <c r="AI111" i="10"/>
  <c r="I15" i="10"/>
  <c r="S26" i="11"/>
  <c r="AE27" i="11"/>
  <c r="AA23" i="11"/>
  <c r="AA31" i="11" s="1"/>
  <c r="AM120" i="5"/>
  <c r="AS120" i="5"/>
  <c r="E30" i="5"/>
  <c r="E125" i="5"/>
  <c r="E136" i="5" s="1"/>
  <c r="E31" i="5" s="1"/>
  <c r="E119" i="5"/>
  <c r="X36" i="10"/>
  <c r="X69" i="10"/>
  <c r="X68" i="10"/>
  <c r="X67" i="10"/>
  <c r="X70" i="10"/>
  <c r="J111" i="10"/>
  <c r="K110" i="10"/>
  <c r="D157" i="10"/>
  <c r="D162" i="10" s="1"/>
  <c r="D74" i="10"/>
  <c r="E25" i="11"/>
  <c r="AD41" i="10"/>
  <c r="L30" i="5"/>
  <c r="L119" i="5"/>
  <c r="L125" i="5"/>
  <c r="L136" i="5" s="1"/>
  <c r="L31" i="5" s="1"/>
  <c r="J75" i="10"/>
  <c r="J26" i="11"/>
  <c r="J164" i="10"/>
  <c r="G46" i="11"/>
  <c r="D47" i="11"/>
  <c r="D49" i="11" s="1"/>
  <c r="AM64" i="10"/>
  <c r="AM46" i="10"/>
  <c r="AM47" i="10" s="1"/>
  <c r="BO12" i="7"/>
  <c r="BO57" i="6"/>
  <c r="F30" i="5"/>
  <c r="F119" i="5"/>
  <c r="F125" i="5"/>
  <c r="F136" i="5" s="1"/>
  <c r="F31" i="5" s="1"/>
  <c r="I30" i="5"/>
  <c r="I125" i="5"/>
  <c r="I136" i="5" s="1"/>
  <c r="I31" i="5" s="1"/>
  <c r="I119" i="5"/>
  <c r="J85" i="10"/>
  <c r="G86" i="10"/>
  <c r="G158" i="10"/>
  <c r="BN114" i="7"/>
  <c r="BN118" i="7" s="1"/>
  <c r="V27" i="11"/>
  <c r="V87" i="10"/>
  <c r="V165" i="10"/>
  <c r="V167" i="10" s="1"/>
  <c r="V169" i="10" s="1"/>
  <c r="W170" i="10" s="1"/>
  <c r="V31" i="10"/>
  <c r="AG8" i="11"/>
  <c r="AG93" i="10"/>
  <c r="AG117" i="5"/>
  <c r="D25" i="11"/>
  <c r="C74" i="10"/>
  <c r="C157" i="10"/>
  <c r="C162" i="10" s="1"/>
  <c r="W56" i="10"/>
  <c r="BC117" i="5"/>
  <c r="BO53" i="5"/>
  <c r="BO56" i="5"/>
  <c r="G74" i="10"/>
  <c r="G157" i="10"/>
  <c r="CA87" i="11"/>
  <c r="CA108" i="11" s="1"/>
  <c r="BZ106" i="11"/>
  <c r="BZ108" i="11"/>
  <c r="AO120" i="5"/>
  <c r="AU120" i="5"/>
  <c r="AO30" i="5"/>
  <c r="AO125" i="5"/>
  <c r="AO136" i="5" s="1"/>
  <c r="AO31" i="5" s="1"/>
  <c r="AO119" i="5"/>
  <c r="BN113" i="7"/>
  <c r="BN117" i="7" s="1"/>
  <c r="K75" i="10"/>
  <c r="K26" i="11"/>
  <c r="K164" i="10"/>
  <c r="U87" i="10"/>
  <c r="U27" i="11"/>
  <c r="U31" i="10"/>
  <c r="O76" i="10"/>
  <c r="AU11" i="11"/>
  <c r="AU31" i="11" s="1"/>
  <c r="BM14" i="5"/>
  <c r="BM107" i="5"/>
  <c r="BM211" i="5"/>
  <c r="BM210" i="5"/>
  <c r="BM183" i="5"/>
  <c r="BM182" i="5"/>
  <c r="BM215" i="5"/>
  <c r="BM216" i="5" s="1"/>
  <c r="AQ30" i="5"/>
  <c r="AQ119" i="5"/>
  <c r="AQ125" i="5"/>
  <c r="AQ136" i="5" s="1"/>
  <c r="AB148" i="10"/>
  <c r="G116" i="5"/>
  <c r="G197" i="10" s="1"/>
  <c r="G198" i="10" s="1"/>
  <c r="R87" i="10"/>
  <c r="S26" i="10"/>
  <c r="S87" i="10" s="1"/>
  <c r="AN111" i="10"/>
  <c r="AO110" i="10"/>
  <c r="AQ219" i="5"/>
  <c r="AQ152" i="10" s="1"/>
  <c r="AQ153" i="10" s="1"/>
  <c r="AQ154" i="10" s="1"/>
  <c r="AQ155" i="10" s="1"/>
  <c r="AQ148" i="10" s="1"/>
  <c r="AQ226" i="5"/>
  <c r="AQ196" i="10" s="1"/>
  <c r="AQ197" i="10" s="1"/>
  <c r="AQ198" i="10" s="1"/>
  <c r="AQ199" i="10" s="1"/>
  <c r="DL17" i="7"/>
  <c r="DL32" i="7" s="1"/>
  <c r="BM40" i="5"/>
  <c r="K25" i="11"/>
  <c r="J74" i="10"/>
  <c r="J157" i="10"/>
  <c r="J162" i="10" s="1"/>
  <c r="D23" i="10"/>
  <c r="BT37" i="13"/>
  <c r="BU21" i="13"/>
  <c r="AI31" i="11"/>
  <c r="BM13" i="5"/>
  <c r="BM90" i="5"/>
  <c r="E23" i="10"/>
  <c r="J8" i="11"/>
  <c r="J11" i="11" s="1"/>
  <c r="J93" i="10"/>
  <c r="J117" i="5"/>
  <c r="E164" i="10"/>
  <c r="E75" i="10"/>
  <c r="E26" i="11"/>
  <c r="BO103" i="5"/>
  <c r="BO106" i="5"/>
  <c r="M23" i="10"/>
  <c r="P23" i="10"/>
  <c r="P56" i="10" s="1"/>
  <c r="AA36" i="10"/>
  <c r="AA69" i="10"/>
  <c r="AA68" i="10"/>
  <c r="AA67" i="10"/>
  <c r="AA70" i="10"/>
  <c r="BM39" i="5"/>
  <c r="BM149" i="10"/>
  <c r="Y85" i="10"/>
  <c r="Y165" i="10"/>
  <c r="Y167" i="10" s="1"/>
  <c r="Y169" i="10" s="1"/>
  <c r="AU110" i="10"/>
  <c r="AT111" i="10"/>
  <c r="AH41" i="10"/>
  <c r="DM12" i="7"/>
  <c r="DM27" i="7" s="1"/>
  <c r="G164" i="10"/>
  <c r="G75" i="10"/>
  <c r="L120" i="5"/>
  <c r="R120" i="5"/>
  <c r="Q23" i="10"/>
  <c r="D26" i="11"/>
  <c r="D75" i="10"/>
  <c r="D164" i="10"/>
  <c r="M112" i="5"/>
  <c r="M60" i="10"/>
  <c r="M63" i="10"/>
  <c r="M62" i="10"/>
  <c r="AD8" i="11"/>
  <c r="AD11" i="11" s="1"/>
  <c r="AD31" i="11" s="1"/>
  <c r="AD117" i="5"/>
  <c r="AD93" i="10"/>
  <c r="AE93" i="10" s="1"/>
  <c r="AV8" i="11"/>
  <c r="AV11" i="11" s="1"/>
  <c r="AV117" i="5"/>
  <c r="AV93" i="10"/>
  <c r="AV96" i="10" s="1"/>
  <c r="AV12" i="11"/>
  <c r="AV104" i="10"/>
  <c r="AW104" i="10" s="1"/>
  <c r="AV109" i="10"/>
  <c r="AK119" i="5"/>
  <c r="AK125" i="5"/>
  <c r="AK136" i="5" s="1"/>
  <c r="AK30" i="5"/>
  <c r="M164" i="10"/>
  <c r="M75" i="10"/>
  <c r="AI41" i="10"/>
  <c r="W111" i="10"/>
  <c r="X110" i="10"/>
  <c r="X111" i="10" s="1"/>
  <c r="I25" i="11"/>
  <c r="F162" i="10"/>
  <c r="U85" i="10"/>
  <c r="U165" i="10"/>
  <c r="U167" i="10" s="1"/>
  <c r="U169" i="10" s="1"/>
  <c r="V170" i="10" s="1"/>
  <c r="U30" i="11"/>
  <c r="V30" i="11"/>
  <c r="J15" i="10"/>
  <c r="W27" i="11"/>
  <c r="W23" i="11" s="1"/>
  <c r="W87" i="10"/>
  <c r="W31" i="10"/>
  <c r="W165" i="10"/>
  <c r="W167" i="10" s="1"/>
  <c r="W169" i="10" s="1"/>
  <c r="X170" i="10" s="1"/>
  <c r="BZ28" i="10"/>
  <c r="CC28" i="10" s="1"/>
  <c r="BY28" i="11"/>
  <c r="AS96" i="10"/>
  <c r="AU16" i="5"/>
  <c r="AC148" i="10"/>
  <c r="E157" i="10"/>
  <c r="E162" i="10" s="1"/>
  <c r="E74" i="10"/>
  <c r="F25" i="11"/>
  <c r="L76" i="10"/>
  <c r="AQ120" i="5"/>
  <c r="AE124" i="10"/>
  <c r="AE125" i="10" s="1"/>
  <c r="AW105" i="10"/>
  <c r="BC95" i="11"/>
  <c r="BI91" i="11" s="1"/>
  <c r="BE93" i="11"/>
  <c r="BF93" i="11"/>
  <c r="BG93" i="11"/>
  <c r="AY93" i="11"/>
  <c r="BH93" i="11"/>
  <c r="BN93" i="11"/>
  <c r="BZ93" i="11"/>
  <c r="BL93" i="11"/>
  <c r="AZ93" i="11"/>
  <c r="BY93" i="11"/>
  <c r="BS93" i="11"/>
  <c r="BT93" i="11"/>
  <c r="BX93" i="11"/>
  <c r="BA93" i="11"/>
  <c r="BC103" i="11"/>
  <c r="BQ93" i="11"/>
  <c r="BW93" i="11"/>
  <c r="BB93" i="11"/>
  <c r="BR93" i="11"/>
  <c r="BN182" i="5" l="1"/>
  <c r="AH85" i="11"/>
  <c r="AH86" i="11"/>
  <c r="CE76" i="10"/>
  <c r="CK73" i="10"/>
  <c r="CK76" i="10" s="1"/>
  <c r="BO48" i="6"/>
  <c r="BO14" i="7" s="1"/>
  <c r="BO31" i="7" s="1"/>
  <c r="BO47" i="6"/>
  <c r="BO17" i="7"/>
  <c r="BN17" i="7"/>
  <c r="DM17" i="7" s="1"/>
  <c r="BN105" i="10"/>
  <c r="BN102" i="10"/>
  <c r="BN73" i="10"/>
  <c r="BT73" i="10" s="1"/>
  <c r="BZ73" i="10" s="1"/>
  <c r="CF73" i="10" s="1"/>
  <c r="BN86" i="10"/>
  <c r="BT86" i="10" s="1"/>
  <c r="BZ86" i="10" s="1"/>
  <c r="CF86" i="10" s="1"/>
  <c r="CL86" i="10" s="1"/>
  <c r="BN121" i="6"/>
  <c r="BN77" i="6"/>
  <c r="BO59" i="6"/>
  <c r="BO23" i="7" s="1"/>
  <c r="BW204" i="10"/>
  <c r="BU204" i="10"/>
  <c r="BN74" i="5"/>
  <c r="BN149" i="10"/>
  <c r="BO145" i="5"/>
  <c r="BO147" i="5" s="1"/>
  <c r="BN147" i="5"/>
  <c r="BN157" i="5" s="1"/>
  <c r="BO10" i="5"/>
  <c r="BO56" i="6"/>
  <c r="BN107" i="5"/>
  <c r="BN19" i="6"/>
  <c r="BN39" i="5"/>
  <c r="BO89" i="5"/>
  <c r="BN210" i="5"/>
  <c r="BN211" i="5"/>
  <c r="BN215" i="5"/>
  <c r="BN216" i="5" s="1"/>
  <c r="BN183" i="5"/>
  <c r="BZ44" i="10"/>
  <c r="BY207" i="10"/>
  <c r="CD37" i="10"/>
  <c r="CC208" i="10"/>
  <c r="BU166" i="10"/>
  <c r="G199" i="10"/>
  <c r="AQ219" i="10"/>
  <c r="AQ57" i="10" s="1"/>
  <c r="AW219" i="10"/>
  <c r="AW57" i="10" s="1"/>
  <c r="AW199" i="10"/>
  <c r="AW218" i="10"/>
  <c r="AQ218" i="10"/>
  <c r="BN73" i="5"/>
  <c r="BN90" i="5"/>
  <c r="BN241" i="5"/>
  <c r="BO13" i="7"/>
  <c r="BO29" i="7"/>
  <c r="BO91" i="7"/>
  <c r="BO104" i="7" s="1"/>
  <c r="BO15" i="7"/>
  <c r="BO96" i="7"/>
  <c r="BN11" i="5"/>
  <c r="BL237" i="5"/>
  <c r="AW110" i="5"/>
  <c r="BM109" i="10"/>
  <c r="BM116" i="10"/>
  <c r="AN85" i="11"/>
  <c r="BM76" i="10"/>
  <c r="CK138" i="10"/>
  <c r="CL138" i="10"/>
  <c r="CJ7" i="11"/>
  <c r="CJ193" i="5"/>
  <c r="CJ139" i="5"/>
  <c r="CJ38" i="5"/>
  <c r="CL8" i="13"/>
  <c r="CJ159" i="5"/>
  <c r="CK8" i="5"/>
  <c r="CJ6" i="6"/>
  <c r="CJ6" i="7" s="1"/>
  <c r="CJ7" i="10"/>
  <c r="CA106" i="11"/>
  <c r="BM78" i="6"/>
  <c r="BM144" i="6"/>
  <c r="BL69" i="10"/>
  <c r="BL68" i="10"/>
  <c r="BM22" i="7"/>
  <c r="BM25" i="7" s="1"/>
  <c r="BM6" i="7"/>
  <c r="BL182" i="10"/>
  <c r="M47" i="11"/>
  <c r="M49" i="11" s="1"/>
  <c r="BX113" i="5"/>
  <c r="BS113" i="5"/>
  <c r="BR124" i="5"/>
  <c r="AP33" i="11"/>
  <c r="AC33" i="11"/>
  <c r="AC80" i="10" s="1"/>
  <c r="AB81" i="11"/>
  <c r="BL231" i="5"/>
  <c r="AP81" i="11"/>
  <c r="AP86" i="11" s="1"/>
  <c r="AC111" i="10"/>
  <c r="G118" i="5"/>
  <c r="AC81" i="11"/>
  <c r="AC86" i="11" s="1"/>
  <c r="BK61" i="10"/>
  <c r="BZ94" i="10"/>
  <c r="CC54" i="11"/>
  <c r="CD108" i="11"/>
  <c r="CD106" i="11"/>
  <c r="CD28" i="10"/>
  <c r="CC28" i="11"/>
  <c r="BK109" i="5"/>
  <c r="BK110" i="5" s="1"/>
  <c r="BK230" i="5"/>
  <c r="BK237" i="5" s="1"/>
  <c r="BK108" i="5"/>
  <c r="BK150" i="10"/>
  <c r="G28" i="5"/>
  <c r="G125" i="5" s="1"/>
  <c r="G136" i="5" s="1"/>
  <c r="G31" i="5" s="1"/>
  <c r="G32" i="5"/>
  <c r="CD139" i="5"/>
  <c r="CD7" i="10"/>
  <c r="CD6" i="6"/>
  <c r="CD6" i="7" s="1"/>
  <c r="CD38" i="5"/>
  <c r="CD193" i="5"/>
  <c r="CE8" i="5"/>
  <c r="CF8" i="13"/>
  <c r="CD159" i="5"/>
  <c r="CD7" i="11"/>
  <c r="BK165" i="10"/>
  <c r="BK167" i="10" s="1"/>
  <c r="BI117" i="5"/>
  <c r="BK31" i="10"/>
  <c r="BL23" i="11"/>
  <c r="BK16" i="5"/>
  <c r="BK188" i="10"/>
  <c r="S118" i="10"/>
  <c r="S119" i="10" s="1"/>
  <c r="Y114" i="10" s="1"/>
  <c r="G162" i="10"/>
  <c r="BI31" i="5"/>
  <c r="AW120" i="5"/>
  <c r="AW125" i="5"/>
  <c r="AW136" i="5" s="1"/>
  <c r="BN139" i="5"/>
  <c r="BN159" i="5"/>
  <c r="BN7" i="11"/>
  <c r="BN6" i="6"/>
  <c r="BN7" i="10"/>
  <c r="BP8" i="13"/>
  <c r="BN193" i="5"/>
  <c r="BN38" i="5"/>
  <c r="BZ8" i="13"/>
  <c r="BX193" i="5"/>
  <c r="BX7" i="10"/>
  <c r="BX7" i="11"/>
  <c r="BY8" i="5"/>
  <c r="BX159" i="5"/>
  <c r="BX139" i="5"/>
  <c r="BX6" i="6"/>
  <c r="BX6" i="7" s="1"/>
  <c r="BX38" i="5"/>
  <c r="BS7" i="10"/>
  <c r="BS139" i="5"/>
  <c r="BS7" i="11"/>
  <c r="BS193" i="5"/>
  <c r="BU8" i="13"/>
  <c r="BT8" i="5"/>
  <c r="BS38" i="5"/>
  <c r="BS159" i="5"/>
  <c r="BS6" i="6"/>
  <c r="BS6" i="7" s="1"/>
  <c r="M116" i="5"/>
  <c r="AW30" i="5"/>
  <c r="M26" i="5"/>
  <c r="M33" i="5" s="1"/>
  <c r="AW119" i="5"/>
  <c r="BI11" i="11"/>
  <c r="BI31" i="11" s="1"/>
  <c r="BI81" i="11" s="1"/>
  <c r="AK31" i="5"/>
  <c r="AQ31" i="5"/>
  <c r="C76" i="10"/>
  <c r="X31" i="11"/>
  <c r="D118" i="5"/>
  <c r="D28" i="5"/>
  <c r="D32" i="5"/>
  <c r="D33" i="5"/>
  <c r="AE8" i="11"/>
  <c r="AE11" i="11" s="1"/>
  <c r="R23" i="11"/>
  <c r="AE23" i="11"/>
  <c r="G23" i="10"/>
  <c r="G56" i="10" s="1"/>
  <c r="AK148" i="10"/>
  <c r="E76" i="10"/>
  <c r="AW96" i="10"/>
  <c r="AB33" i="11"/>
  <c r="AK93" i="10"/>
  <c r="BW42" i="10"/>
  <c r="BU42" i="10"/>
  <c r="BT95" i="10"/>
  <c r="BU95" i="10" s="1"/>
  <c r="BW29" i="10"/>
  <c r="BU29" i="10"/>
  <c r="BW166" i="10"/>
  <c r="BX35" i="10"/>
  <c r="BX10" i="10"/>
  <c r="BU21" i="10"/>
  <c r="BU160" i="10" s="1"/>
  <c r="BW21" i="10"/>
  <c r="BT160" i="10"/>
  <c r="BX19" i="10"/>
  <c r="BX34" i="10"/>
  <c r="BW20" i="10"/>
  <c r="BU20" i="10"/>
  <c r="BI99" i="11"/>
  <c r="BI100" i="11"/>
  <c r="AW93" i="10"/>
  <c r="J76" i="10"/>
  <c r="G26" i="11"/>
  <c r="Y30" i="11"/>
  <c r="AW107" i="10"/>
  <c r="BC100" i="10" s="1"/>
  <c r="BC109" i="10" s="1"/>
  <c r="AG122" i="10"/>
  <c r="AG124" i="10" s="1"/>
  <c r="AK122" i="10"/>
  <c r="AA81" i="11"/>
  <c r="AA33" i="11"/>
  <c r="J23" i="10"/>
  <c r="BT35" i="5"/>
  <c r="BU35" i="5" s="1"/>
  <c r="BT224" i="5"/>
  <c r="BU224" i="5" s="1"/>
  <c r="BU34" i="5"/>
  <c r="AW106" i="10"/>
  <c r="AW110" i="10"/>
  <c r="BC110" i="10"/>
  <c r="BI110" i="10"/>
  <c r="BK110" i="10" s="1"/>
  <c r="AW109" i="10"/>
  <c r="F87" i="10"/>
  <c r="G26" i="10"/>
  <c r="G87" i="10" s="1"/>
  <c r="BO13" i="10"/>
  <c r="BN158" i="10"/>
  <c r="CA28" i="10"/>
  <c r="BZ28" i="11"/>
  <c r="CA28" i="11" s="1"/>
  <c r="AV17" i="5"/>
  <c r="AW12" i="11"/>
  <c r="D85" i="10"/>
  <c r="AA41" i="10"/>
  <c r="S56" i="10"/>
  <c r="O56" i="10"/>
  <c r="BV21" i="13"/>
  <c r="BU37" i="13"/>
  <c r="BO183" i="5"/>
  <c r="BO182" i="5"/>
  <c r="BO211" i="5"/>
  <c r="BO210" i="5"/>
  <c r="BO215" i="5"/>
  <c r="BO216" i="5" s="1"/>
  <c r="AW8" i="11"/>
  <c r="U36" i="10"/>
  <c r="U69" i="10"/>
  <c r="U68" i="10"/>
  <c r="U70" i="10"/>
  <c r="U67" i="10"/>
  <c r="AO8" i="11"/>
  <c r="AO11" i="11" s="1"/>
  <c r="AO31" i="11" s="1"/>
  <c r="AO93" i="10"/>
  <c r="AO96" i="10" s="1"/>
  <c r="AO117" i="5"/>
  <c r="G76" i="10"/>
  <c r="G25" i="11"/>
  <c r="I8" i="11"/>
  <c r="I93" i="10"/>
  <c r="I117" i="5"/>
  <c r="BO40" i="5"/>
  <c r="L110" i="10"/>
  <c r="L111" i="10" s="1"/>
  <c r="K111" i="10"/>
  <c r="M76" i="10"/>
  <c r="CA54" i="11"/>
  <c r="AW79" i="11"/>
  <c r="AW47" i="11"/>
  <c r="AW49" i="11" s="1"/>
  <c r="AN80" i="10"/>
  <c r="I76" i="10"/>
  <c r="R56" i="10"/>
  <c r="AH96" i="10"/>
  <c r="AH43" i="10"/>
  <c r="BM158" i="10"/>
  <c r="Y27" i="11"/>
  <c r="U23" i="11"/>
  <c r="C8" i="11"/>
  <c r="C117" i="5"/>
  <c r="C93" i="10"/>
  <c r="O27" i="11"/>
  <c r="O87" i="10"/>
  <c r="O31" i="10"/>
  <c r="X148" i="10"/>
  <c r="W31" i="11"/>
  <c r="V148" i="10"/>
  <c r="M25" i="11"/>
  <c r="P87" i="10"/>
  <c r="P27" i="11"/>
  <c r="P31" i="10"/>
  <c r="P165" i="10"/>
  <c r="P167" i="10" s="1"/>
  <c r="P169" i="10" s="1"/>
  <c r="Q170" i="10" s="1"/>
  <c r="AV31" i="11"/>
  <c r="E30" i="11"/>
  <c r="E85" i="10"/>
  <c r="AD33" i="11"/>
  <c r="AD81" i="11"/>
  <c r="AA170" i="10"/>
  <c r="AE170" i="10"/>
  <c r="AE148" i="10" s="1"/>
  <c r="BM156" i="10"/>
  <c r="F56" i="10"/>
  <c r="BM114" i="7"/>
  <c r="BM118" i="7" s="1"/>
  <c r="BM74" i="5"/>
  <c r="BO13" i="5"/>
  <c r="V36" i="10"/>
  <c r="V69" i="10"/>
  <c r="V68" i="10"/>
  <c r="V70" i="10"/>
  <c r="V67" i="10"/>
  <c r="V23" i="11"/>
  <c r="X41" i="10"/>
  <c r="E8" i="11"/>
  <c r="E11" i="11" s="1"/>
  <c r="E93" i="10"/>
  <c r="E117" i="5"/>
  <c r="R110" i="10"/>
  <c r="R111" i="10" s="1"/>
  <c r="Q111" i="10"/>
  <c r="R36" i="10"/>
  <c r="R69" i="10"/>
  <c r="R68" i="10"/>
  <c r="R67" i="10"/>
  <c r="R70" i="10"/>
  <c r="AG43" i="10"/>
  <c r="BN57" i="5"/>
  <c r="BO189" i="5"/>
  <c r="K76" i="10"/>
  <c r="AB41" i="10"/>
  <c r="Q87" i="10"/>
  <c r="Q27" i="11"/>
  <c r="Q23" i="11" s="1"/>
  <c r="Q165" i="10"/>
  <c r="Q167" i="10" s="1"/>
  <c r="Q169" i="10" s="1"/>
  <c r="R170" i="10" s="1"/>
  <c r="Q31" i="10"/>
  <c r="D30" i="11"/>
  <c r="BM191" i="5"/>
  <c r="D56" i="10"/>
  <c r="C56" i="10"/>
  <c r="Y69" i="10"/>
  <c r="Y36" i="10"/>
  <c r="Y68" i="10"/>
  <c r="Y70" i="10"/>
  <c r="Y67" i="10"/>
  <c r="BH31" i="11"/>
  <c r="AH80" i="10"/>
  <c r="S46" i="11"/>
  <c r="O47" i="11"/>
  <c r="O49" i="11" s="1"/>
  <c r="AU60" i="10"/>
  <c r="AU112" i="5"/>
  <c r="AU62" i="10"/>
  <c r="AU63" i="10"/>
  <c r="F31" i="10"/>
  <c r="F165" i="10"/>
  <c r="F167" i="10" s="1"/>
  <c r="F169" i="10" s="1"/>
  <c r="F30" i="11"/>
  <c r="F85" i="10"/>
  <c r="G30" i="10"/>
  <c r="AO111" i="10"/>
  <c r="AP110" i="10"/>
  <c r="AP111" i="10" s="1"/>
  <c r="AU33" i="11"/>
  <c r="AU81" i="11"/>
  <c r="AU86" i="11" s="1"/>
  <c r="AK8" i="11"/>
  <c r="AK11" i="11" s="1"/>
  <c r="AK31" i="11" s="1"/>
  <c r="AG11" i="11"/>
  <c r="AG31" i="11" s="1"/>
  <c r="G47" i="11"/>
  <c r="G49" i="11" s="1"/>
  <c r="I23" i="10"/>
  <c r="AC41" i="10"/>
  <c r="AD96" i="10" s="1"/>
  <c r="BM57" i="5"/>
  <c r="S31" i="10"/>
  <c r="S85" i="10"/>
  <c r="S165" i="10"/>
  <c r="S167" i="10" s="1"/>
  <c r="S169" i="10" s="1"/>
  <c r="L27" i="11"/>
  <c r="AJ33" i="11"/>
  <c r="AJ81" i="11"/>
  <c r="L87" i="10"/>
  <c r="M26" i="10"/>
  <c r="L31" i="10"/>
  <c r="W69" i="10"/>
  <c r="W36" i="10"/>
  <c r="W68" i="10"/>
  <c r="W70" i="10"/>
  <c r="W67" i="10"/>
  <c r="AI43" i="10"/>
  <c r="AJ96" i="10"/>
  <c r="AI96" i="10"/>
  <c r="D165" i="10"/>
  <c r="D167" i="10" s="1"/>
  <c r="D169" i="10" s="1"/>
  <c r="E170" i="10" s="1"/>
  <c r="E148" i="10" s="1"/>
  <c r="AK117" i="5"/>
  <c r="M30" i="10"/>
  <c r="L165" i="10"/>
  <c r="L167" i="10" s="1"/>
  <c r="L169" i="10" s="1"/>
  <c r="L30" i="11"/>
  <c r="L85" i="10"/>
  <c r="AU111" i="10"/>
  <c r="AV110" i="10"/>
  <c r="AV111" i="10" s="1"/>
  <c r="Q56" i="10"/>
  <c r="AI33" i="11"/>
  <c r="AI81" i="11"/>
  <c r="E56" i="10"/>
  <c r="AQ117" i="5"/>
  <c r="BM113" i="7"/>
  <c r="BM117" i="7" s="1"/>
  <c r="BM91" i="5"/>
  <c r="BO14" i="5"/>
  <c r="W148" i="10"/>
  <c r="F8" i="11"/>
  <c r="F11" i="11" s="1"/>
  <c r="F93" i="10"/>
  <c r="F117" i="5"/>
  <c r="L8" i="11"/>
  <c r="L11" i="11" s="1"/>
  <c r="L93" i="10"/>
  <c r="L117" i="5"/>
  <c r="AE41" i="10"/>
  <c r="AE43" i="10" s="1"/>
  <c r="AD43" i="10"/>
  <c r="D76" i="10"/>
  <c r="M26" i="11"/>
  <c r="O85" i="10"/>
  <c r="O165" i="10"/>
  <c r="O167" i="10" s="1"/>
  <c r="O169" i="10" s="1"/>
  <c r="P170" i="10" s="1"/>
  <c r="O30" i="11"/>
  <c r="P30" i="11"/>
  <c r="AG148" i="10"/>
  <c r="AN82" i="11"/>
  <c r="AN81" i="10"/>
  <c r="AM8" i="11"/>
  <c r="AM93" i="10"/>
  <c r="AM117" i="5"/>
  <c r="AH81" i="10"/>
  <c r="AH82" i="11"/>
  <c r="K120" i="5"/>
  <c r="Q120" i="5"/>
  <c r="K30" i="5"/>
  <c r="K119" i="5"/>
  <c r="K125" i="5"/>
  <c r="K136" i="5" s="1"/>
  <c r="K31" i="5" s="1"/>
  <c r="L56" i="10"/>
  <c r="BI93" i="10"/>
  <c r="BI103" i="11"/>
  <c r="BN96" i="7" l="1"/>
  <c r="BO155" i="5"/>
  <c r="BO93" i="7"/>
  <c r="BO106" i="7" s="1"/>
  <c r="AJ85" i="11"/>
  <c r="AJ86" i="11"/>
  <c r="AA85" i="11"/>
  <c r="AA86" i="11"/>
  <c r="AB85" i="11"/>
  <c r="AB86" i="11"/>
  <c r="AI85" i="11"/>
  <c r="AI86" i="11"/>
  <c r="BI85" i="11"/>
  <c r="BI86" i="11"/>
  <c r="CL73" i="10"/>
  <c r="AD85" i="11"/>
  <c r="AD86" i="11"/>
  <c r="BN40" i="5"/>
  <c r="BN21" i="7"/>
  <c r="BN74" i="10"/>
  <c r="BT74" i="10" s="1"/>
  <c r="BZ74" i="10" s="1"/>
  <c r="CF74" i="10" s="1"/>
  <c r="CL74" i="10" s="1"/>
  <c r="BN75" i="10"/>
  <c r="BT75" i="10" s="1"/>
  <c r="BZ75" i="10" s="1"/>
  <c r="CF75" i="10" s="1"/>
  <c r="CL75" i="10" s="1"/>
  <c r="BN78" i="6"/>
  <c r="BN144" i="6"/>
  <c r="BN109" i="10"/>
  <c r="BN104" i="10"/>
  <c r="BN116" i="10"/>
  <c r="BO116" i="10" s="1"/>
  <c r="BO117" i="10" s="1"/>
  <c r="BO149" i="10"/>
  <c r="BO170" i="10" s="1"/>
  <c r="BO86" i="10"/>
  <c r="BO73" i="5"/>
  <c r="BO19" i="6"/>
  <c r="BO39" i="5"/>
  <c r="BO22" i="7" s="1"/>
  <c r="BO25" i="7" s="1"/>
  <c r="BO107" i="5"/>
  <c r="BO241" i="5"/>
  <c r="BO90" i="5"/>
  <c r="BN22" i="7"/>
  <c r="BN25" i="7" s="1"/>
  <c r="BO105" i="10"/>
  <c r="BO110" i="10" s="1"/>
  <c r="BN190" i="5"/>
  <c r="BO11" i="10"/>
  <c r="BO156" i="10" s="1"/>
  <c r="BN156" i="10"/>
  <c r="BO24" i="11"/>
  <c r="BX204" i="10"/>
  <c r="BZ207" i="10"/>
  <c r="CC44" i="10"/>
  <c r="CA44" i="10"/>
  <c r="CA207" i="10" s="1"/>
  <c r="CE37" i="10"/>
  <c r="CD208" i="10"/>
  <c r="M197" i="10"/>
  <c r="M198" i="10" s="1"/>
  <c r="BN47" i="11"/>
  <c r="BN49" i="11" s="1"/>
  <c r="BO102" i="10"/>
  <c r="BO32" i="7"/>
  <c r="BO94" i="7"/>
  <c r="BO107" i="7" s="1"/>
  <c r="BO30" i="7"/>
  <c r="BO92" i="7"/>
  <c r="BO105" i="7" s="1"/>
  <c r="BN6" i="7"/>
  <c r="DM18" i="7"/>
  <c r="DM33" i="7" s="1"/>
  <c r="BN15" i="5"/>
  <c r="BN41" i="5"/>
  <c r="BK231" i="5"/>
  <c r="BM118" i="10"/>
  <c r="BM117" i="10"/>
  <c r="AU85" i="11"/>
  <c r="BK111" i="10"/>
  <c r="BL110" i="10"/>
  <c r="BS76" i="10"/>
  <c r="CK7" i="11"/>
  <c r="CK193" i="5"/>
  <c r="CK139" i="5"/>
  <c r="CK6" i="6"/>
  <c r="CK6" i="7" s="1"/>
  <c r="CK7" i="10"/>
  <c r="CK159" i="5"/>
  <c r="CK38" i="5"/>
  <c r="CM8" i="13"/>
  <c r="CL8" i="5"/>
  <c r="CA94" i="10"/>
  <c r="DL18" i="7"/>
  <c r="DL33" i="7" s="1"/>
  <c r="AB82" i="11"/>
  <c r="AH83" i="11" s="1"/>
  <c r="BM15" i="5"/>
  <c r="AP80" i="10"/>
  <c r="BS124" i="5"/>
  <c r="BT113" i="5"/>
  <c r="CD113" i="5"/>
  <c r="CJ113" i="5" s="1"/>
  <c r="BY113" i="5"/>
  <c r="BX124" i="5"/>
  <c r="AB81" i="10"/>
  <c r="X33" i="11"/>
  <c r="X80" i="10" s="1"/>
  <c r="BL242" i="5"/>
  <c r="AP85" i="11"/>
  <c r="AC81" i="10"/>
  <c r="AC85" i="11"/>
  <c r="AN83" i="11"/>
  <c r="AT83" i="11"/>
  <c r="AP82" i="11"/>
  <c r="AP84" i="11" s="1"/>
  <c r="AP81" i="10"/>
  <c r="BK69" i="10"/>
  <c r="BK70" i="10"/>
  <c r="BK68" i="10"/>
  <c r="BK67" i="10"/>
  <c r="G30" i="5"/>
  <c r="G117" i="5" s="1"/>
  <c r="AC82" i="11"/>
  <c r="BK60" i="10"/>
  <c r="BK63" i="10"/>
  <c r="BK62" i="10"/>
  <c r="CD54" i="11"/>
  <c r="CC94" i="10"/>
  <c r="CE108" i="11"/>
  <c r="CE106" i="11"/>
  <c r="CE28" i="10"/>
  <c r="CD28" i="11"/>
  <c r="G119" i="5"/>
  <c r="BK182" i="10"/>
  <c r="CE193" i="5"/>
  <c r="CE7" i="11"/>
  <c r="CE7" i="10"/>
  <c r="CE139" i="5"/>
  <c r="CG8" i="13"/>
  <c r="CE159" i="5"/>
  <c r="CE38" i="5"/>
  <c r="CF8" i="5"/>
  <c r="CE6" i="6"/>
  <c r="CE6" i="7" s="1"/>
  <c r="U114" i="10"/>
  <c r="U118" i="10" s="1"/>
  <c r="U46" i="11" s="1"/>
  <c r="BK23" i="11"/>
  <c r="BK112" i="5"/>
  <c r="BI33" i="11"/>
  <c r="M118" i="5"/>
  <c r="M32" i="5"/>
  <c r="AW108" i="10"/>
  <c r="AW31" i="5"/>
  <c r="M56" i="10"/>
  <c r="R31" i="11"/>
  <c r="I56" i="10"/>
  <c r="AW117" i="5"/>
  <c r="BV8" i="13"/>
  <c r="BT139" i="5"/>
  <c r="BT159" i="5"/>
  <c r="BT7" i="11"/>
  <c r="BT193" i="5"/>
  <c r="BT38" i="5"/>
  <c r="BT6" i="6"/>
  <c r="BT6" i="7" s="1"/>
  <c r="BT7" i="10"/>
  <c r="BZ8" i="5"/>
  <c r="CA8" i="13"/>
  <c r="BY6" i="6"/>
  <c r="BY6" i="7" s="1"/>
  <c r="BY7" i="10"/>
  <c r="BY159" i="5"/>
  <c r="BY193" i="5"/>
  <c r="BY38" i="5"/>
  <c r="BY139" i="5"/>
  <c r="BY7" i="11"/>
  <c r="M28" i="5"/>
  <c r="M119" i="5" s="1"/>
  <c r="Y23" i="11"/>
  <c r="X81" i="11"/>
  <c r="X86" i="11" s="1"/>
  <c r="AY100" i="10"/>
  <c r="AY109" i="10" s="1"/>
  <c r="AW11" i="11"/>
  <c r="AW31" i="11" s="1"/>
  <c r="AE31" i="11"/>
  <c r="AE81" i="11" s="1"/>
  <c r="AE86" i="11" s="1"/>
  <c r="AB80" i="10"/>
  <c r="J120" i="5"/>
  <c r="D125" i="5"/>
  <c r="D136" i="5" s="1"/>
  <c r="D31" i="5" s="1"/>
  <c r="D119" i="5"/>
  <c r="D30" i="5"/>
  <c r="BX20" i="10"/>
  <c r="BY34" i="10"/>
  <c r="BY19" i="10"/>
  <c r="BW160" i="10"/>
  <c r="BX21" i="10"/>
  <c r="BY10" i="10"/>
  <c r="BY35" i="10"/>
  <c r="BX166" i="10"/>
  <c r="BX29" i="10"/>
  <c r="BX42" i="10"/>
  <c r="BW95" i="10"/>
  <c r="L23" i="11"/>
  <c r="L31" i="11" s="1"/>
  <c r="G30" i="11"/>
  <c r="AH82" i="10"/>
  <c r="AH84" i="11"/>
  <c r="E87" i="10"/>
  <c r="E27" i="11"/>
  <c r="E23" i="11" s="1"/>
  <c r="E31" i="11" s="1"/>
  <c r="G31" i="10"/>
  <c r="G85" i="10"/>
  <c r="G165" i="10"/>
  <c r="G167" i="10" s="1"/>
  <c r="G169" i="10" s="1"/>
  <c r="R41" i="10"/>
  <c r="AV33" i="11"/>
  <c r="AV81" i="11"/>
  <c r="AV86" i="11" s="1"/>
  <c r="BI111" i="10"/>
  <c r="M120" i="5"/>
  <c r="S120" i="5"/>
  <c r="AQ93" i="10"/>
  <c r="AM96" i="10"/>
  <c r="AQ96" i="10" s="1"/>
  <c r="AN82" i="10"/>
  <c r="AN84" i="11"/>
  <c r="P148" i="10"/>
  <c r="AE45" i="10"/>
  <c r="AE209" i="10" s="1"/>
  <c r="AG55" i="10"/>
  <c r="AK55" i="10"/>
  <c r="BM47" i="11"/>
  <c r="BM49" i="11" s="1"/>
  <c r="BO36" i="11"/>
  <c r="D87" i="10"/>
  <c r="D27" i="11"/>
  <c r="D31" i="10"/>
  <c r="AJ82" i="11"/>
  <c r="AJ81" i="10"/>
  <c r="K27" i="11"/>
  <c r="K23" i="11" s="1"/>
  <c r="K87" i="10"/>
  <c r="K165" i="10"/>
  <c r="K167" i="10" s="1"/>
  <c r="K169" i="10" s="1"/>
  <c r="L170" i="10" s="1"/>
  <c r="K31" i="10"/>
  <c r="AK81" i="11"/>
  <c r="AK86" i="11" s="1"/>
  <c r="AK33" i="11"/>
  <c r="BU36" i="5"/>
  <c r="BH96" i="10"/>
  <c r="BI96" i="10" s="1"/>
  <c r="BI41" i="10"/>
  <c r="I85" i="10"/>
  <c r="I165" i="10"/>
  <c r="I167" i="10" s="1"/>
  <c r="I169" i="10" s="1"/>
  <c r="J170" i="10" s="1"/>
  <c r="I30" i="11"/>
  <c r="J30" i="11"/>
  <c r="Q31" i="11"/>
  <c r="AG45" i="10"/>
  <c r="AG209" i="10" s="1"/>
  <c r="AH55" i="10"/>
  <c r="V41" i="10"/>
  <c r="AA148" i="10"/>
  <c r="E31" i="10"/>
  <c r="P36" i="10"/>
  <c r="P69" i="10"/>
  <c r="P68" i="10"/>
  <c r="P67" i="10"/>
  <c r="P70" i="10"/>
  <c r="W81" i="11"/>
  <c r="W33" i="11"/>
  <c r="AA80" i="10"/>
  <c r="AK124" i="10"/>
  <c r="AK125" i="10" s="1"/>
  <c r="M165" i="10"/>
  <c r="M167" i="10" s="1"/>
  <c r="M169" i="10" s="1"/>
  <c r="M85" i="10"/>
  <c r="U170" i="10"/>
  <c r="Y170" i="10"/>
  <c r="Y148" i="10" s="1"/>
  <c r="F36" i="10"/>
  <c r="F69" i="10"/>
  <c r="F68" i="10"/>
  <c r="F70" i="10"/>
  <c r="F67" i="10"/>
  <c r="I27" i="11"/>
  <c r="I87" i="10"/>
  <c r="I31" i="10"/>
  <c r="S47" i="11"/>
  <c r="S49" i="11" s="1"/>
  <c r="V31" i="11"/>
  <c r="BO114" i="7"/>
  <c r="BO118" i="7" s="1"/>
  <c r="BO74" i="5"/>
  <c r="E165" i="10"/>
  <c r="E167" i="10" s="1"/>
  <c r="E169" i="10" s="1"/>
  <c r="F170" i="10" s="1"/>
  <c r="F148" i="10" s="1"/>
  <c r="AV16" i="5"/>
  <c r="AW17" i="5"/>
  <c r="BO158" i="10"/>
  <c r="F27" i="11"/>
  <c r="F23" i="11" s="1"/>
  <c r="F31" i="11" s="1"/>
  <c r="K8" i="11"/>
  <c r="K11" i="11" s="1"/>
  <c r="K117" i="5"/>
  <c r="K93" i="10"/>
  <c r="M93" i="10" s="1"/>
  <c r="AQ8" i="11"/>
  <c r="AQ11" i="11" s="1"/>
  <c r="AM11" i="11"/>
  <c r="AM31" i="11" s="1"/>
  <c r="S30" i="11"/>
  <c r="AI80" i="10"/>
  <c r="BM41" i="5"/>
  <c r="BO11" i="5"/>
  <c r="BM119" i="7"/>
  <c r="W41" i="10"/>
  <c r="X96" i="10" s="1"/>
  <c r="BI82" i="11"/>
  <c r="BI81" i="10"/>
  <c r="AC43" i="10"/>
  <c r="AC96" i="10"/>
  <c r="J56" i="10"/>
  <c r="AU81" i="10"/>
  <c r="AU82" i="11"/>
  <c r="BO157" i="5"/>
  <c r="BO190" i="5"/>
  <c r="C87" i="10"/>
  <c r="C31" i="10"/>
  <c r="Q69" i="10"/>
  <c r="Q36" i="10"/>
  <c r="Q68" i="10"/>
  <c r="Q67" i="10"/>
  <c r="Q70" i="10"/>
  <c r="AD81" i="10"/>
  <c r="AD82" i="11"/>
  <c r="S27" i="11"/>
  <c r="O23" i="11"/>
  <c r="BN191" i="5"/>
  <c r="I11" i="11"/>
  <c r="AO33" i="11"/>
  <c r="AO81" i="11"/>
  <c r="AO86" i="11" s="1"/>
  <c r="AA43" i="10"/>
  <c r="BC111" i="10"/>
  <c r="BE110" i="10"/>
  <c r="K56" i="10"/>
  <c r="AI81" i="10"/>
  <c r="AI82" i="11"/>
  <c r="M87" i="10"/>
  <c r="M31" i="10"/>
  <c r="AJ80" i="10"/>
  <c r="C165" i="10"/>
  <c r="C167" i="10" s="1"/>
  <c r="C169" i="10" s="1"/>
  <c r="D170" i="10" s="1"/>
  <c r="D148" i="10" s="1"/>
  <c r="C85" i="10"/>
  <c r="P23" i="11"/>
  <c r="BV37" i="13"/>
  <c r="BW21" i="13"/>
  <c r="AA82" i="11"/>
  <c r="AA81" i="10"/>
  <c r="AD45" i="10"/>
  <c r="AD209" i="10" s="1"/>
  <c r="BO113" i="7"/>
  <c r="BO117" i="7" s="1"/>
  <c r="BO91" i="5"/>
  <c r="J27" i="11"/>
  <c r="J87" i="10"/>
  <c r="J31" i="10"/>
  <c r="J165" i="10"/>
  <c r="J167" i="10" s="1"/>
  <c r="J169" i="10" s="1"/>
  <c r="K170" i="10" s="1"/>
  <c r="AI45" i="10"/>
  <c r="AI209" i="10" s="1"/>
  <c r="AJ55" i="10"/>
  <c r="L36" i="10"/>
  <c r="L69" i="10"/>
  <c r="L68" i="10"/>
  <c r="L70" i="10"/>
  <c r="L67" i="10"/>
  <c r="S69" i="10"/>
  <c r="S36" i="10"/>
  <c r="S68" i="10"/>
  <c r="S70" i="10"/>
  <c r="S67" i="10"/>
  <c r="AG33" i="11"/>
  <c r="AG81" i="11"/>
  <c r="AU80" i="10"/>
  <c r="BH33" i="11"/>
  <c r="BH81" i="11"/>
  <c r="R148" i="10"/>
  <c r="AB43" i="10"/>
  <c r="AB96" i="10"/>
  <c r="AG96" i="10"/>
  <c r="AK96" i="10" s="1"/>
  <c r="X43" i="10"/>
  <c r="Y41" i="10"/>
  <c r="Y43" i="10" s="1"/>
  <c r="AD80" i="10"/>
  <c r="Q148" i="10"/>
  <c r="O36" i="10"/>
  <c r="O69" i="10"/>
  <c r="O68" i="10"/>
  <c r="O70" i="10"/>
  <c r="O67" i="10"/>
  <c r="C11" i="11"/>
  <c r="C31" i="11" s="1"/>
  <c r="U31" i="11"/>
  <c r="AH45" i="10"/>
  <c r="AH209" i="10" s="1"/>
  <c r="AI55" i="10"/>
  <c r="U41" i="10"/>
  <c r="AW111" i="10"/>
  <c r="AY110" i="10"/>
  <c r="BW34" i="5"/>
  <c r="BI64" i="11"/>
  <c r="BI67" i="11" s="1"/>
  <c r="BI95" i="11"/>
  <c r="BO91" i="11" s="1"/>
  <c r="AG85" i="11" l="1"/>
  <c r="AG86" i="11"/>
  <c r="CF76" i="10"/>
  <c r="BH85" i="11"/>
  <c r="BH86" i="11"/>
  <c r="W85" i="11"/>
  <c r="W86" i="11"/>
  <c r="CL76" i="10"/>
  <c r="BO21" i="7"/>
  <c r="BO73" i="10"/>
  <c r="BO15" i="5"/>
  <c r="BN87" i="10"/>
  <c r="BT87" i="10" s="1"/>
  <c r="BZ87" i="10" s="1"/>
  <c r="CF87" i="10" s="1"/>
  <c r="CL87" i="10" s="1"/>
  <c r="BN88" i="10"/>
  <c r="BT88" i="10" s="1"/>
  <c r="BZ88" i="10" s="1"/>
  <c r="CF88" i="10" s="1"/>
  <c r="CL88" i="10" s="1"/>
  <c r="BN85" i="10"/>
  <c r="BT85" i="10" s="1"/>
  <c r="BZ85" i="10" s="1"/>
  <c r="CF85" i="10" s="1"/>
  <c r="CL85" i="10" s="1"/>
  <c r="BT76" i="10"/>
  <c r="BN118" i="10"/>
  <c r="BN117" i="10"/>
  <c r="BN76" i="10"/>
  <c r="BO106" i="10"/>
  <c r="BY204" i="10"/>
  <c r="BT124" i="5"/>
  <c r="CD44" i="10"/>
  <c r="CC207" i="10"/>
  <c r="CF37" i="10"/>
  <c r="CE208" i="10"/>
  <c r="M199" i="10"/>
  <c r="AH216" i="10"/>
  <c r="AH219" i="10" s="1"/>
  <c r="AH57" i="10" s="1"/>
  <c r="AH215" i="10"/>
  <c r="AH218" i="10" s="1"/>
  <c r="AI216" i="10"/>
  <c r="AI219" i="10" s="1"/>
  <c r="AI57" i="10" s="1"/>
  <c r="AI215" i="10"/>
  <c r="AI218" i="10" s="1"/>
  <c r="AD215" i="10"/>
  <c r="AD218" i="10" s="1"/>
  <c r="AD216" i="10"/>
  <c r="AD219" i="10" s="1"/>
  <c r="AD57" i="10" s="1"/>
  <c r="AG215" i="10"/>
  <c r="AG216" i="10"/>
  <c r="AE216" i="10"/>
  <c r="AE215" i="10"/>
  <c r="BN164" i="10"/>
  <c r="BO25" i="10"/>
  <c r="BO75" i="10" s="1"/>
  <c r="BO26" i="11"/>
  <c r="BN157" i="10"/>
  <c r="BO12" i="10"/>
  <c r="BN19" i="5"/>
  <c r="BN61" i="10" s="1"/>
  <c r="BL111" i="5"/>
  <c r="BK242" i="5"/>
  <c r="BL238" i="5"/>
  <c r="AO85" i="11"/>
  <c r="AK85" i="11"/>
  <c r="AV85" i="11"/>
  <c r="BY76" i="10"/>
  <c r="BM87" i="10"/>
  <c r="BS87" i="10" s="1"/>
  <c r="BY87" i="10" s="1"/>
  <c r="CE87" i="10" s="1"/>
  <c r="CK87" i="10" s="1"/>
  <c r="BM85" i="10"/>
  <c r="BS85" i="10" s="1"/>
  <c r="BY85" i="10" s="1"/>
  <c r="CE85" i="10" s="1"/>
  <c r="CK85" i="10" s="1"/>
  <c r="BM88" i="10"/>
  <c r="BS88" i="10" s="1"/>
  <c r="BY88" i="10" s="1"/>
  <c r="CE88" i="10" s="1"/>
  <c r="CK88" i="10" s="1"/>
  <c r="BL111" i="10"/>
  <c r="BM110" i="10"/>
  <c r="CI106" i="11"/>
  <c r="CI108" i="11"/>
  <c r="BM113" i="5"/>
  <c r="CL7" i="11"/>
  <c r="CL159" i="5"/>
  <c r="CL193" i="5"/>
  <c r="CL7" i="10"/>
  <c r="CN8" i="13"/>
  <c r="CL139" i="5"/>
  <c r="CL6" i="6"/>
  <c r="CL6" i="7" s="1"/>
  <c r="CL38" i="5"/>
  <c r="CJ124" i="5"/>
  <c r="CK113" i="5"/>
  <c r="BM19" i="5"/>
  <c r="BM61" i="10" s="1"/>
  <c r="AB84" i="11"/>
  <c r="AB82" i="10"/>
  <c r="BZ113" i="5"/>
  <c r="BZ124" i="5" s="1"/>
  <c r="BY124" i="5"/>
  <c r="CE113" i="5"/>
  <c r="CD124" i="5"/>
  <c r="AJ83" i="11"/>
  <c r="AC82" i="10"/>
  <c r="R33" i="11"/>
  <c r="AI83" i="11"/>
  <c r="AE85" i="11"/>
  <c r="X85" i="11"/>
  <c r="AP82" i="10"/>
  <c r="BI83" i="11"/>
  <c r="BA83" i="11"/>
  <c r="AP83" i="11"/>
  <c r="Y118" i="10"/>
  <c r="Y119" i="10" s="1"/>
  <c r="AA114" i="10" s="1"/>
  <c r="AA118" i="10" s="1"/>
  <c r="BK238" i="5"/>
  <c r="AC84" i="11"/>
  <c r="CD94" i="10"/>
  <c r="CE54" i="11"/>
  <c r="CG87" i="11"/>
  <c r="CG108" i="11" s="1"/>
  <c r="CF108" i="11"/>
  <c r="CF106" i="11"/>
  <c r="CG106" i="11" s="1"/>
  <c r="CF28" i="10"/>
  <c r="CI28" i="10" s="1"/>
  <c r="CE28" i="11"/>
  <c r="CF7" i="11"/>
  <c r="CH8" i="13"/>
  <c r="CF139" i="5"/>
  <c r="CF159" i="5"/>
  <c r="CF7" i="10"/>
  <c r="CF38" i="5"/>
  <c r="CF193" i="5"/>
  <c r="CF6" i="6"/>
  <c r="CF6" i="7" s="1"/>
  <c r="BI72" i="11"/>
  <c r="BI79" i="10" s="1"/>
  <c r="BI80" i="10"/>
  <c r="R81" i="11"/>
  <c r="R86" i="11" s="1"/>
  <c r="BI78" i="11"/>
  <c r="M30" i="5"/>
  <c r="M117" i="5" s="1"/>
  <c r="M125" i="5"/>
  <c r="M136" i="5" s="1"/>
  <c r="M31" i="5" s="1"/>
  <c r="Y31" i="11"/>
  <c r="Y33" i="11" s="1"/>
  <c r="X81" i="10"/>
  <c r="AY104" i="10"/>
  <c r="BC104" i="10" s="1"/>
  <c r="BC107" i="10" s="1"/>
  <c r="BI100" i="10" s="1"/>
  <c r="BI109" i="10" s="1"/>
  <c r="AE81" i="10"/>
  <c r="AE82" i="11"/>
  <c r="BZ6" i="6"/>
  <c r="BZ6" i="7" s="1"/>
  <c r="BZ38" i="5"/>
  <c r="BZ7" i="10"/>
  <c r="BZ7" i="11"/>
  <c r="BZ139" i="5"/>
  <c r="BZ159" i="5"/>
  <c r="BZ193" i="5"/>
  <c r="CB8" i="13"/>
  <c r="X82" i="11"/>
  <c r="AD83" i="11" s="1"/>
  <c r="J23" i="11"/>
  <c r="AW33" i="11"/>
  <c r="AW80" i="10" s="1"/>
  <c r="AW81" i="11"/>
  <c r="AW86" i="11" s="1"/>
  <c r="AQ31" i="11"/>
  <c r="AQ33" i="11" s="1"/>
  <c r="AE33" i="11"/>
  <c r="AE80" i="10" s="1"/>
  <c r="D8" i="11"/>
  <c r="D117" i="5"/>
  <c r="D93" i="10"/>
  <c r="G93" i="10" s="1"/>
  <c r="S23" i="11"/>
  <c r="K31" i="11"/>
  <c r="BY42" i="10"/>
  <c r="BX95" i="10"/>
  <c r="BZ10" i="10"/>
  <c r="CC10" i="10" s="1"/>
  <c r="CD10" i="10" s="1"/>
  <c r="CE10" i="10" s="1"/>
  <c r="CF10" i="10" s="1"/>
  <c r="BZ19" i="10"/>
  <c r="CC19" i="10" s="1"/>
  <c r="CD19" i="10" s="1"/>
  <c r="CE19" i="10" s="1"/>
  <c r="CF19" i="10" s="1"/>
  <c r="BY29" i="10"/>
  <c r="BZ35" i="10"/>
  <c r="BY166" i="10"/>
  <c r="BY21" i="10"/>
  <c r="BX160" i="10"/>
  <c r="BZ34" i="10"/>
  <c r="CC34" i="10" s="1"/>
  <c r="CD34" i="10" s="1"/>
  <c r="CE34" i="10" s="1"/>
  <c r="CF34" i="10" s="1"/>
  <c r="BY20" i="10"/>
  <c r="M8" i="11"/>
  <c r="M11" i="11" s="1"/>
  <c r="X45" i="10"/>
  <c r="X209" i="10" s="1"/>
  <c r="BH81" i="10"/>
  <c r="BH82" i="11"/>
  <c r="BH83" i="11" s="1"/>
  <c r="AG81" i="10"/>
  <c r="AG82" i="11"/>
  <c r="AG83" i="11" s="1"/>
  <c r="AA82" i="10"/>
  <c r="AA84" i="11"/>
  <c r="P31" i="11"/>
  <c r="AO81" i="10"/>
  <c r="AO82" i="11"/>
  <c r="AO83" i="11" s="1"/>
  <c r="BI82" i="10"/>
  <c r="BI84" i="11"/>
  <c r="I36" i="10"/>
  <c r="I69" i="10"/>
  <c r="I68" i="10"/>
  <c r="I67" i="10"/>
  <c r="I70" i="10"/>
  <c r="AM122" i="10"/>
  <c r="AM124" i="10" s="1"/>
  <c r="AQ122" i="10"/>
  <c r="W80" i="10"/>
  <c r="J148" i="10"/>
  <c r="AK82" i="11"/>
  <c r="AK81" i="10"/>
  <c r="AE64" i="10"/>
  <c r="AE46" i="10"/>
  <c r="AE47" i="10" s="1"/>
  <c r="AV72" i="11"/>
  <c r="AV80" i="10"/>
  <c r="S41" i="10"/>
  <c r="S43" i="10" s="1"/>
  <c r="R43" i="10"/>
  <c r="G69" i="10"/>
  <c r="G36" i="10"/>
  <c r="G68" i="10"/>
  <c r="G70" i="10"/>
  <c r="G67" i="10"/>
  <c r="BW224" i="5"/>
  <c r="BX34" i="5"/>
  <c r="BW35" i="5"/>
  <c r="U43" i="10"/>
  <c r="AH64" i="10"/>
  <c r="AH46" i="10"/>
  <c r="AH47" i="10" s="1"/>
  <c r="AC55" i="10"/>
  <c r="AB45" i="10"/>
  <c r="AB209" i="10" s="1"/>
  <c r="BH80" i="10"/>
  <c r="AG80" i="10"/>
  <c r="K148" i="10"/>
  <c r="F81" i="11"/>
  <c r="F33" i="11"/>
  <c r="AI84" i="11"/>
  <c r="AI82" i="10"/>
  <c r="AA96" i="10"/>
  <c r="AE96" i="10" s="1"/>
  <c r="AO80" i="10"/>
  <c r="AD84" i="11"/>
  <c r="AD82" i="10"/>
  <c r="AD55" i="10"/>
  <c r="AC45" i="10"/>
  <c r="AC209" i="10" s="1"/>
  <c r="BO41" i="5"/>
  <c r="BO12" i="5"/>
  <c r="U148" i="10"/>
  <c r="W81" i="10"/>
  <c r="W82" i="11"/>
  <c r="AC83" i="11" s="1"/>
  <c r="P41" i="10"/>
  <c r="V43" i="10"/>
  <c r="V96" i="10"/>
  <c r="AG64" i="10"/>
  <c r="AG46" i="10"/>
  <c r="AG47" i="10" s="1"/>
  <c r="Q33" i="11"/>
  <c r="Q81" i="11"/>
  <c r="K36" i="10"/>
  <c r="K69" i="10"/>
  <c r="K68" i="10"/>
  <c r="K67" i="10"/>
  <c r="K70" i="10"/>
  <c r="D36" i="10"/>
  <c r="D69" i="10"/>
  <c r="D68" i="10"/>
  <c r="D70" i="10"/>
  <c r="D67" i="10"/>
  <c r="BO47" i="11"/>
  <c r="BO49" i="11" s="1"/>
  <c r="L81" i="11"/>
  <c r="L33" i="11"/>
  <c r="AZ110" i="10"/>
  <c r="AY111" i="10"/>
  <c r="U33" i="11"/>
  <c r="U81" i="11"/>
  <c r="C33" i="11"/>
  <c r="C81" i="11"/>
  <c r="O41" i="10"/>
  <c r="L41" i="10"/>
  <c r="J68" i="10"/>
  <c r="J36" i="10"/>
  <c r="J69" i="10"/>
  <c r="J70" i="10"/>
  <c r="J67" i="10"/>
  <c r="AD64" i="10"/>
  <c r="AD46" i="10"/>
  <c r="AD47" i="10" s="1"/>
  <c r="BW37" i="13"/>
  <c r="BY21" i="13"/>
  <c r="AA45" i="10"/>
  <c r="AA209" i="10" s="1"/>
  <c r="AB55" i="10"/>
  <c r="BO111" i="10"/>
  <c r="C69" i="10"/>
  <c r="C36" i="10"/>
  <c r="C68" i="10"/>
  <c r="C70" i="10"/>
  <c r="C67" i="10"/>
  <c r="BM157" i="10"/>
  <c r="AM33" i="11"/>
  <c r="AM81" i="11"/>
  <c r="AM86" i="11" s="1"/>
  <c r="AW16" i="5"/>
  <c r="V81" i="11"/>
  <c r="V33" i="11"/>
  <c r="E33" i="11"/>
  <c r="E81" i="11"/>
  <c r="M27" i="11"/>
  <c r="I23" i="11"/>
  <c r="I31" i="11" s="1"/>
  <c r="M30" i="11"/>
  <c r="L148" i="10"/>
  <c r="U47" i="11"/>
  <c r="U49" i="11" s="1"/>
  <c r="Y46" i="11"/>
  <c r="Y45" i="10"/>
  <c r="Y209" i="10" s="1"/>
  <c r="AA55" i="10"/>
  <c r="AE55" i="10"/>
  <c r="AI64" i="10"/>
  <c r="AI46" i="10"/>
  <c r="AI47" i="10" s="1"/>
  <c r="M36" i="10"/>
  <c r="M69" i="10"/>
  <c r="M68" i="10"/>
  <c r="M70" i="10"/>
  <c r="M67" i="10"/>
  <c r="BE111" i="10"/>
  <c r="BF110" i="10"/>
  <c r="O31" i="11"/>
  <c r="Q41" i="10"/>
  <c r="BO191" i="5"/>
  <c r="AU84" i="11"/>
  <c r="AU82" i="10"/>
  <c r="W96" i="10"/>
  <c r="W43" i="10"/>
  <c r="BM164" i="10"/>
  <c r="AV112" i="5"/>
  <c r="AV62" i="10"/>
  <c r="AV60" i="10"/>
  <c r="AV63" i="10"/>
  <c r="F41" i="10"/>
  <c r="E69" i="10"/>
  <c r="E36" i="10"/>
  <c r="E68" i="10"/>
  <c r="E70" i="10"/>
  <c r="E67" i="10"/>
  <c r="AK80" i="10"/>
  <c r="AK78" i="11"/>
  <c r="AJ84" i="11"/>
  <c r="AJ82" i="10"/>
  <c r="G27" i="11"/>
  <c r="G23" i="11" s="1"/>
  <c r="D23" i="11"/>
  <c r="AV82" i="11"/>
  <c r="AV81" i="10"/>
  <c r="BH64" i="11"/>
  <c r="BH67" i="11" s="1"/>
  <c r="BH72" i="11" s="1"/>
  <c r="BO93" i="11"/>
  <c r="BO103" i="11" s="1"/>
  <c r="BO94" i="11"/>
  <c r="U85" i="11" l="1"/>
  <c r="U86" i="11"/>
  <c r="Q85" i="11"/>
  <c r="Q86" i="11"/>
  <c r="V85" i="11"/>
  <c r="V86" i="11"/>
  <c r="C85" i="11"/>
  <c r="C86" i="11"/>
  <c r="L85" i="11"/>
  <c r="L86" i="11"/>
  <c r="F85" i="11"/>
  <c r="F86" i="11"/>
  <c r="E85" i="11"/>
  <c r="E86" i="11"/>
  <c r="BO74" i="10"/>
  <c r="BO76" i="10" s="1"/>
  <c r="BZ76" i="10"/>
  <c r="BM111" i="10"/>
  <c r="BN110" i="10"/>
  <c r="BN111" i="10" s="1"/>
  <c r="BO30" i="10"/>
  <c r="BO85" i="10" s="1"/>
  <c r="BZ204" i="10"/>
  <c r="CE44" i="10"/>
  <c r="CD207" i="10"/>
  <c r="BO157" i="10"/>
  <c r="CC35" i="10"/>
  <c r="CC204" i="10" s="1"/>
  <c r="CF208" i="10"/>
  <c r="CI37" i="10"/>
  <c r="CG37" i="10"/>
  <c r="CG208" i="10" s="1"/>
  <c r="Y216" i="10"/>
  <c r="Y215" i="10"/>
  <c r="AA216" i="10"/>
  <c r="AA215" i="10"/>
  <c r="AC216" i="10"/>
  <c r="AC219" i="10" s="1"/>
  <c r="AC57" i="10" s="1"/>
  <c r="AC215" i="10"/>
  <c r="AC218" i="10" s="1"/>
  <c r="AB216" i="10"/>
  <c r="AB219" i="10" s="1"/>
  <c r="AB57" i="10" s="1"/>
  <c r="AB215" i="10"/>
  <c r="AB218" i="10" s="1"/>
  <c r="AG219" i="10"/>
  <c r="AG57" i="10" s="1"/>
  <c r="AK219" i="10"/>
  <c r="AK57" i="10" s="1"/>
  <c r="X215" i="10"/>
  <c r="X218" i="10" s="1"/>
  <c r="X216" i="10"/>
  <c r="X219" i="10" s="1"/>
  <c r="X57" i="10" s="1"/>
  <c r="AG218" i="10"/>
  <c r="AK218" i="10"/>
  <c r="BN230" i="5"/>
  <c r="BN237" i="5" s="1"/>
  <c r="BO164" i="10"/>
  <c r="BN109" i="5"/>
  <c r="BN110" i="5" s="1"/>
  <c r="BO26" i="10"/>
  <c r="BO87" i="10" s="1"/>
  <c r="BO27" i="11"/>
  <c r="BN108" i="5"/>
  <c r="BN150" i="10"/>
  <c r="BN182" i="10" s="1"/>
  <c r="BN165" i="10"/>
  <c r="BN167" i="10" s="1"/>
  <c r="BO27" i="10"/>
  <c r="BO88" i="10" s="1"/>
  <c r="BN188" i="10"/>
  <c r="BO188" i="10" s="1"/>
  <c r="BN31" i="10"/>
  <c r="BL240" i="5"/>
  <c r="BK240" i="5"/>
  <c r="BK111" i="5"/>
  <c r="AM85" i="11"/>
  <c r="AW85" i="11"/>
  <c r="CJ28" i="10"/>
  <c r="CI28" i="11"/>
  <c r="CG19" i="10"/>
  <c r="CI19" i="10"/>
  <c r="CJ19" i="10" s="1"/>
  <c r="CK19" i="10" s="1"/>
  <c r="CL19" i="10" s="1"/>
  <c r="CM19" i="10" s="1"/>
  <c r="CG10" i="10"/>
  <c r="CI10" i="10"/>
  <c r="CJ10" i="10" s="1"/>
  <c r="CK10" i="10" s="1"/>
  <c r="CL10" i="10" s="1"/>
  <c r="CM10" i="10" s="1"/>
  <c r="CG34" i="10"/>
  <c r="CI34" i="10"/>
  <c r="CJ34" i="10" s="1"/>
  <c r="CK34" i="10" s="1"/>
  <c r="CL34" i="10" s="1"/>
  <c r="CM34" i="10" s="1"/>
  <c r="CJ108" i="11"/>
  <c r="CJ106" i="11"/>
  <c r="CL113" i="5"/>
  <c r="CK124" i="5"/>
  <c r="BM108" i="5"/>
  <c r="BM109" i="5"/>
  <c r="BM110" i="5" s="1"/>
  <c r="BM150" i="10"/>
  <c r="BM182" i="10" s="1"/>
  <c r="BM188" i="10"/>
  <c r="BM31" i="10"/>
  <c r="BM165" i="10"/>
  <c r="BM167" i="10" s="1"/>
  <c r="BO19" i="5"/>
  <c r="BM230" i="5"/>
  <c r="BM237" i="5" s="1"/>
  <c r="CE124" i="5"/>
  <c r="CF113" i="5"/>
  <c r="CF124" i="5" s="1"/>
  <c r="R80" i="10"/>
  <c r="AK83" i="11"/>
  <c r="K33" i="11"/>
  <c r="K80" i="10" s="1"/>
  <c r="X84" i="11"/>
  <c r="AE84" i="11"/>
  <c r="AE114" i="10"/>
  <c r="R82" i="11"/>
  <c r="R84" i="11" s="1"/>
  <c r="R85" i="11"/>
  <c r="AV83" i="11"/>
  <c r="BB83" i="11"/>
  <c r="AU83" i="11"/>
  <c r="CF54" i="11"/>
  <c r="CE94" i="10"/>
  <c r="AW82" i="11"/>
  <c r="CG28" i="10"/>
  <c r="CF28" i="11"/>
  <c r="CG28" i="11" s="1"/>
  <c r="R81" i="10"/>
  <c r="Y81" i="11"/>
  <c r="Y86" i="11" s="1"/>
  <c r="AE82" i="10"/>
  <c r="AW78" i="11"/>
  <c r="J31" i="11"/>
  <c r="BE100" i="10"/>
  <c r="BE109" i="10" s="1"/>
  <c r="BC108" i="10"/>
  <c r="X82" i="10"/>
  <c r="AQ81" i="11"/>
  <c r="AW81" i="10"/>
  <c r="K81" i="11"/>
  <c r="K86" i="11" s="1"/>
  <c r="S31" i="11"/>
  <c r="S33" i="11" s="1"/>
  <c r="D11" i="11"/>
  <c r="D31" i="11" s="1"/>
  <c r="G8" i="11"/>
  <c r="G11" i="11" s="1"/>
  <c r="G31" i="11" s="1"/>
  <c r="BZ20" i="10"/>
  <c r="CC20" i="10" s="1"/>
  <c r="CD20" i="10" s="1"/>
  <c r="CE20" i="10" s="1"/>
  <c r="CF20" i="10" s="1"/>
  <c r="BZ29" i="10"/>
  <c r="CA19" i="10"/>
  <c r="CA10" i="10"/>
  <c r="CA34" i="10"/>
  <c r="BZ21" i="10"/>
  <c r="CC21" i="10" s="1"/>
  <c r="BY160" i="10"/>
  <c r="BZ166" i="10"/>
  <c r="CA35" i="10"/>
  <c r="BZ42" i="10"/>
  <c r="CC42" i="10" s="1"/>
  <c r="BY95" i="10"/>
  <c r="U96" i="10"/>
  <c r="Y96" i="10" s="1"/>
  <c r="BO95" i="11"/>
  <c r="BU91" i="11" s="1"/>
  <c r="M23" i="11"/>
  <c r="M31" i="11" s="1"/>
  <c r="M81" i="11" s="1"/>
  <c r="I33" i="11"/>
  <c r="I81" i="11"/>
  <c r="W82" i="10"/>
  <c r="W84" i="11"/>
  <c r="BX224" i="5"/>
  <c r="BY34" i="5"/>
  <c r="BX35" i="5"/>
  <c r="S45" i="10"/>
  <c r="S209" i="10" s="1"/>
  <c r="Y55" i="10"/>
  <c r="U55" i="10"/>
  <c r="AK84" i="11"/>
  <c r="AK82" i="10"/>
  <c r="AQ124" i="10"/>
  <c r="AQ125" i="10" s="1"/>
  <c r="P81" i="11"/>
  <c r="P33" i="11"/>
  <c r="X64" i="10"/>
  <c r="X46" i="10"/>
  <c r="X47" i="10" s="1"/>
  <c r="AQ78" i="11"/>
  <c r="AQ80" i="10"/>
  <c r="AA64" i="10"/>
  <c r="AA46" i="10"/>
  <c r="AA47" i="10" s="1"/>
  <c r="C82" i="11"/>
  <c r="C81" i="10"/>
  <c r="Q80" i="10"/>
  <c r="U45" i="10"/>
  <c r="U209" i="10" s="1"/>
  <c r="V55" i="10"/>
  <c r="AG84" i="11"/>
  <c r="AG82" i="10"/>
  <c r="BH82" i="10"/>
  <c r="BH84" i="11"/>
  <c r="E41" i="10"/>
  <c r="Q43" i="10"/>
  <c r="Q96" i="10"/>
  <c r="E81" i="10"/>
  <c r="E82" i="11"/>
  <c r="AM81" i="10"/>
  <c r="AM82" i="11"/>
  <c r="BO25" i="11"/>
  <c r="C41" i="10"/>
  <c r="C43" i="10" s="1"/>
  <c r="L43" i="10"/>
  <c r="M41" i="10"/>
  <c r="M43" i="10" s="1"/>
  <c r="C57" i="11"/>
  <c r="C64" i="11" s="1"/>
  <c r="C67" i="11" s="1"/>
  <c r="C72" i="11" s="1"/>
  <c r="C80" i="10"/>
  <c r="AZ111" i="10"/>
  <c r="BA110" i="10"/>
  <c r="D41" i="10"/>
  <c r="K41" i="10"/>
  <c r="X55" i="10"/>
  <c r="W45" i="10"/>
  <c r="W209" i="10" s="1"/>
  <c r="O33" i="11"/>
  <c r="O81" i="11"/>
  <c r="BG110" i="10"/>
  <c r="BH110" i="10" s="1"/>
  <c r="BH111" i="10" s="1"/>
  <c r="BF111" i="10"/>
  <c r="E80" i="10"/>
  <c r="AM80" i="10"/>
  <c r="J41" i="10"/>
  <c r="U81" i="10"/>
  <c r="U82" i="11"/>
  <c r="L80" i="10"/>
  <c r="R96" i="10"/>
  <c r="AE118" i="10"/>
  <c r="AA46" i="11"/>
  <c r="Y80" i="10"/>
  <c r="AV82" i="10"/>
  <c r="AV84" i="11"/>
  <c r="Y64" i="10"/>
  <c r="Y46" i="10"/>
  <c r="Y47" i="10" s="1"/>
  <c r="V82" i="11"/>
  <c r="V81" i="10"/>
  <c r="AW112" i="5"/>
  <c r="AW63" i="10"/>
  <c r="AW62" i="10"/>
  <c r="AW60" i="10"/>
  <c r="V45" i="10"/>
  <c r="V209" i="10" s="1"/>
  <c r="W55" i="10"/>
  <c r="F81" i="10"/>
  <c r="F82" i="11"/>
  <c r="AB64" i="10"/>
  <c r="AB46" i="10"/>
  <c r="AB47" i="10" s="1"/>
  <c r="R45" i="10"/>
  <c r="R209" i="10" s="1"/>
  <c r="AO84" i="11"/>
  <c r="AO82" i="10"/>
  <c r="G41" i="10"/>
  <c r="G43" i="10" s="1"/>
  <c r="F43" i="10"/>
  <c r="Y47" i="11"/>
  <c r="Y49" i="11" s="1"/>
  <c r="V80" i="10"/>
  <c r="BZ21" i="13"/>
  <c r="BY37" i="13"/>
  <c r="O43" i="10"/>
  <c r="U80" i="10"/>
  <c r="L81" i="10"/>
  <c r="L82" i="11"/>
  <c r="Q82" i="11"/>
  <c r="W83" i="11" s="1"/>
  <c r="Q81" i="10"/>
  <c r="P96" i="10"/>
  <c r="P43" i="10"/>
  <c r="BO57" i="5"/>
  <c r="AC64" i="10"/>
  <c r="AC46" i="10"/>
  <c r="AC47" i="10" s="1"/>
  <c r="F80" i="10"/>
  <c r="AV79" i="10"/>
  <c r="I41" i="10"/>
  <c r="BH92" i="10"/>
  <c r="BI92" i="10" s="1"/>
  <c r="BH43" i="10"/>
  <c r="BI40" i="10"/>
  <c r="BH79" i="10"/>
  <c r="BU94" i="11" l="1"/>
  <c r="AQ86" i="11"/>
  <c r="I85" i="11"/>
  <c r="I86" i="11"/>
  <c r="P85" i="11"/>
  <c r="P86" i="11"/>
  <c r="O85" i="11"/>
  <c r="O86" i="11"/>
  <c r="M85" i="11"/>
  <c r="M86" i="11"/>
  <c r="BN69" i="10"/>
  <c r="BN68" i="10"/>
  <c r="BO109" i="5"/>
  <c r="BO110" i="5" s="1"/>
  <c r="CA204" i="10"/>
  <c r="CF44" i="10"/>
  <c r="CE207" i="10"/>
  <c r="CD35" i="10"/>
  <c r="CD204" i="10" s="1"/>
  <c r="CC166" i="10"/>
  <c r="CA166" i="10"/>
  <c r="CJ37" i="10"/>
  <c r="CI208" i="10"/>
  <c r="V215" i="10"/>
  <c r="V218" i="10" s="1"/>
  <c r="V216" i="10"/>
  <c r="V219" i="10" s="1"/>
  <c r="V57" i="10" s="1"/>
  <c r="W216" i="10"/>
  <c r="W219" i="10" s="1"/>
  <c r="W57" i="10" s="1"/>
  <c r="W215" i="10"/>
  <c r="W218" i="10" s="1"/>
  <c r="U216" i="10"/>
  <c r="U215" i="10"/>
  <c r="AA218" i="10"/>
  <c r="AE218" i="10"/>
  <c r="R216" i="10"/>
  <c r="R219" i="10" s="1"/>
  <c r="R57" i="10" s="1"/>
  <c r="R215" i="10"/>
  <c r="R218" i="10" s="1"/>
  <c r="S216" i="10"/>
  <c r="S215" i="10"/>
  <c r="AA219" i="10"/>
  <c r="AA57" i="10" s="1"/>
  <c r="AE219" i="10"/>
  <c r="AE57" i="10" s="1"/>
  <c r="BN231" i="5"/>
  <c r="BO165" i="10"/>
  <c r="BO167" i="10" s="1"/>
  <c r="BN23" i="11"/>
  <c r="BO31" i="10"/>
  <c r="BM231" i="5"/>
  <c r="BN242" i="5"/>
  <c r="AQ85" i="11"/>
  <c r="BM69" i="10"/>
  <c r="BM68" i="10"/>
  <c r="CK28" i="10"/>
  <c r="CJ28" i="11"/>
  <c r="CF94" i="10"/>
  <c r="CG94" i="10" s="1"/>
  <c r="CI54" i="11"/>
  <c r="CG20" i="10"/>
  <c r="CI20" i="10"/>
  <c r="CJ20" i="10" s="1"/>
  <c r="CK20" i="10" s="1"/>
  <c r="CL20" i="10" s="1"/>
  <c r="CM20" i="10" s="1"/>
  <c r="CK108" i="11"/>
  <c r="CK106" i="11"/>
  <c r="CM87" i="11"/>
  <c r="CM108" i="11" s="1"/>
  <c r="CL124" i="5"/>
  <c r="BO30" i="11"/>
  <c r="BO23" i="11" s="1"/>
  <c r="BO108" i="5"/>
  <c r="BM23" i="11"/>
  <c r="BO150" i="10"/>
  <c r="BO182" i="10" s="1"/>
  <c r="BO230" i="5"/>
  <c r="BO237" i="5" s="1"/>
  <c r="L83" i="11"/>
  <c r="R82" i="10"/>
  <c r="R83" i="11"/>
  <c r="AB83" i="11"/>
  <c r="AA83" i="11"/>
  <c r="J81" i="11"/>
  <c r="X83" i="11"/>
  <c r="AE119" i="10"/>
  <c r="AK114" i="10" s="1"/>
  <c r="K85" i="11"/>
  <c r="Y81" i="10"/>
  <c r="Y85" i="11"/>
  <c r="AM83" i="11"/>
  <c r="AS83" i="11"/>
  <c r="BC83" i="11"/>
  <c r="CG54" i="11"/>
  <c r="BI43" i="10"/>
  <c r="BK92" i="10"/>
  <c r="BO92" i="10" s="1"/>
  <c r="AW84" i="11"/>
  <c r="AW82" i="10"/>
  <c r="CC160" i="10"/>
  <c r="CD21" i="10"/>
  <c r="CD42" i="10"/>
  <c r="CC29" i="10"/>
  <c r="Y82" i="11"/>
  <c r="K81" i="10"/>
  <c r="S81" i="11"/>
  <c r="S86" i="11" s="1"/>
  <c r="J33" i="11"/>
  <c r="AQ82" i="11"/>
  <c r="AW83" i="11" s="1"/>
  <c r="AQ81" i="10"/>
  <c r="BE104" i="10"/>
  <c r="BI104" i="10" s="1"/>
  <c r="BI107" i="10" s="1"/>
  <c r="K82" i="11"/>
  <c r="BU93" i="11"/>
  <c r="BU103" i="11" s="1"/>
  <c r="BU52" i="11" s="1"/>
  <c r="G33" i="11"/>
  <c r="G80" i="10" s="1"/>
  <c r="G81" i="11"/>
  <c r="G86" i="11" s="1"/>
  <c r="O96" i="10"/>
  <c r="S96" i="10" s="1"/>
  <c r="M33" i="11"/>
  <c r="CA21" i="10"/>
  <c r="CA160" i="10" s="1"/>
  <c r="BZ160" i="10"/>
  <c r="CA42" i="10"/>
  <c r="CC95" i="10" s="1"/>
  <c r="BZ95" i="10"/>
  <c r="CA95" i="10" s="1"/>
  <c r="CA29" i="10"/>
  <c r="CA20" i="10"/>
  <c r="F96" i="10"/>
  <c r="E43" i="10"/>
  <c r="E96" i="10"/>
  <c r="U84" i="11"/>
  <c r="U82" i="10"/>
  <c r="O81" i="10"/>
  <c r="O82" i="11"/>
  <c r="U83" i="11" s="1"/>
  <c r="BA111" i="10"/>
  <c r="BB110" i="10"/>
  <c r="BB111" i="10" s="1"/>
  <c r="C75" i="11"/>
  <c r="C79" i="10"/>
  <c r="C97" i="10"/>
  <c r="C55" i="10"/>
  <c r="C45" i="10"/>
  <c r="C209" i="10" s="1"/>
  <c r="BY224" i="5"/>
  <c r="BZ34" i="5"/>
  <c r="BY35" i="5"/>
  <c r="F45" i="10"/>
  <c r="F209" i="10" s="1"/>
  <c r="F84" i="11"/>
  <c r="F82" i="10"/>
  <c r="I81" i="10"/>
  <c r="I82" i="11"/>
  <c r="I83" i="11" s="1"/>
  <c r="I43" i="10"/>
  <c r="I55" i="10" s="1"/>
  <c r="I96" i="10"/>
  <c r="Q82" i="10"/>
  <c r="Q84" i="11"/>
  <c r="CA21" i="13"/>
  <c r="BZ37" i="13"/>
  <c r="G55" i="10"/>
  <c r="G45" i="10"/>
  <c r="G209" i="10" s="1"/>
  <c r="M55" i="10"/>
  <c r="S80" i="10"/>
  <c r="BN238" i="5"/>
  <c r="AA47" i="11"/>
  <c r="AA49" i="11" s="1"/>
  <c r="AE46" i="11"/>
  <c r="J43" i="10"/>
  <c r="J96" i="10"/>
  <c r="D81" i="11"/>
  <c r="D33" i="11"/>
  <c r="O55" i="10"/>
  <c r="M45" i="10"/>
  <c r="M209" i="10" s="1"/>
  <c r="S55" i="10"/>
  <c r="P81" i="10"/>
  <c r="P82" i="11"/>
  <c r="I80" i="10"/>
  <c r="O80" i="10"/>
  <c r="D96" i="10"/>
  <c r="D43" i="10"/>
  <c r="AM82" i="10"/>
  <c r="AM84" i="11"/>
  <c r="Q45" i="10"/>
  <c r="Q209" i="10" s="1"/>
  <c r="R55" i="10"/>
  <c r="P80" i="10"/>
  <c r="S64" i="10"/>
  <c r="S46" i="10"/>
  <c r="S47" i="10" s="1"/>
  <c r="Q55" i="10"/>
  <c r="P45" i="10"/>
  <c r="P209" i="10" s="1"/>
  <c r="L84" i="11"/>
  <c r="L82" i="10"/>
  <c r="P55" i="10"/>
  <c r="O45" i="10"/>
  <c r="O209" i="10" s="1"/>
  <c r="R64" i="10"/>
  <c r="R46" i="10"/>
  <c r="R47" i="10" s="1"/>
  <c r="V64" i="10"/>
  <c r="V46" i="10"/>
  <c r="V47" i="10" s="1"/>
  <c r="V84" i="11"/>
  <c r="V82" i="10"/>
  <c r="BG111" i="10"/>
  <c r="W64" i="10"/>
  <c r="W46" i="10"/>
  <c r="W47" i="10" s="1"/>
  <c r="L96" i="10"/>
  <c r="K43" i="10"/>
  <c r="K96" i="10"/>
  <c r="L45" i="10"/>
  <c r="L209" i="10" s="1"/>
  <c r="E82" i="10"/>
  <c r="E84" i="11"/>
  <c r="U64" i="10"/>
  <c r="U46" i="10"/>
  <c r="U47" i="10" s="1"/>
  <c r="C84" i="11"/>
  <c r="C82" i="10"/>
  <c r="AW122" i="10"/>
  <c r="AS122" i="10"/>
  <c r="AS124" i="10" s="1"/>
  <c r="AW124" i="10" s="1"/>
  <c r="M82" i="11"/>
  <c r="M81" i="10"/>
  <c r="BH45" i="10"/>
  <c r="BH209" i="10" s="1"/>
  <c r="BH55" i="10"/>
  <c r="BU95" i="11" l="1"/>
  <c r="CA91" i="11" s="1"/>
  <c r="D85" i="11"/>
  <c r="D86" i="11"/>
  <c r="J85" i="11"/>
  <c r="J86" i="11"/>
  <c r="BK100" i="10"/>
  <c r="BK109" i="10" s="1"/>
  <c r="BO100" i="10"/>
  <c r="CE35" i="10"/>
  <c r="CE204" i="10" s="1"/>
  <c r="CD166" i="10"/>
  <c r="CF207" i="10"/>
  <c r="CG44" i="10"/>
  <c r="CG207" i="10" s="1"/>
  <c r="CI44" i="10"/>
  <c r="BH215" i="10"/>
  <c r="BH216" i="10"/>
  <c r="CK37" i="10"/>
  <c r="CJ208" i="10"/>
  <c r="O216" i="10"/>
  <c r="O215" i="10"/>
  <c r="P215" i="10"/>
  <c r="P218" i="10" s="1"/>
  <c r="P216" i="10"/>
  <c r="P219" i="10" s="1"/>
  <c r="P57" i="10" s="1"/>
  <c r="Q215" i="10"/>
  <c r="Q218" i="10" s="1"/>
  <c r="Q216" i="10"/>
  <c r="Q219" i="10" s="1"/>
  <c r="Q57" i="10" s="1"/>
  <c r="M215" i="10"/>
  <c r="M216" i="10"/>
  <c r="F215" i="10"/>
  <c r="F218" i="10" s="1"/>
  <c r="F216" i="10"/>
  <c r="F219" i="10" s="1"/>
  <c r="F57" i="10" s="1"/>
  <c r="C216" i="10"/>
  <c r="C215" i="10"/>
  <c r="U218" i="10"/>
  <c r="Y218" i="10"/>
  <c r="L215" i="10"/>
  <c r="L218" i="10" s="1"/>
  <c r="L216" i="10"/>
  <c r="L219" i="10" s="1"/>
  <c r="L57" i="10" s="1"/>
  <c r="G216" i="10"/>
  <c r="G215" i="10"/>
  <c r="U219" i="10"/>
  <c r="U57" i="10" s="1"/>
  <c r="Y219" i="10"/>
  <c r="Y57" i="10" s="1"/>
  <c r="BO231" i="5"/>
  <c r="BM242" i="5"/>
  <c r="BN240" i="5"/>
  <c r="BN111" i="5"/>
  <c r="CL28" i="10"/>
  <c r="CK28" i="11"/>
  <c r="CJ54" i="11"/>
  <c r="CI94" i="10"/>
  <c r="CL108" i="11"/>
  <c r="CL106" i="11"/>
  <c r="CM106" i="11" s="1"/>
  <c r="BM238" i="5"/>
  <c r="J81" i="10"/>
  <c r="AG114" i="10"/>
  <c r="AG118" i="10" s="1"/>
  <c r="AG46" i="11" s="1"/>
  <c r="J82" i="11"/>
  <c r="P83" i="11" s="1"/>
  <c r="V83" i="11"/>
  <c r="Y84" i="11"/>
  <c r="AE83" i="11"/>
  <c r="O83" i="11"/>
  <c r="K84" i="11"/>
  <c r="K83" i="11"/>
  <c r="Q83" i="11"/>
  <c r="S85" i="11"/>
  <c r="G85" i="11"/>
  <c r="BI45" i="10"/>
  <c r="AQ84" i="11"/>
  <c r="AQ83" i="11"/>
  <c r="BI55" i="10"/>
  <c r="BK104" i="10"/>
  <c r="CD95" i="10"/>
  <c r="CE42" i="10"/>
  <c r="CD160" i="10"/>
  <c r="CE21" i="10"/>
  <c r="CD29" i="10"/>
  <c r="J80" i="10"/>
  <c r="Y82" i="10"/>
  <c r="BI108" i="10"/>
  <c r="K82" i="10"/>
  <c r="S82" i="11"/>
  <c r="Y83" i="11" s="1"/>
  <c r="S81" i="10"/>
  <c r="AQ82" i="10"/>
  <c r="G81" i="10"/>
  <c r="G82" i="11"/>
  <c r="G82" i="10" s="1"/>
  <c r="G96" i="10"/>
  <c r="M80" i="10"/>
  <c r="M64" i="10"/>
  <c r="M46" i="10"/>
  <c r="M47" i="10" s="1"/>
  <c r="G64" i="10"/>
  <c r="G46" i="10"/>
  <c r="G47" i="10" s="1"/>
  <c r="CA37" i="13"/>
  <c r="CB21" i="13"/>
  <c r="C98" i="10"/>
  <c r="C91" i="10"/>
  <c r="G91" i="10" s="1"/>
  <c r="D91" i="10"/>
  <c r="D97" i="10" s="1"/>
  <c r="P64" i="10"/>
  <c r="P46" i="10"/>
  <c r="P47" i="10" s="1"/>
  <c r="D55" i="10"/>
  <c r="E55" i="10"/>
  <c r="D45" i="10"/>
  <c r="D209" i="10" s="1"/>
  <c r="D80" i="10"/>
  <c r="AE47" i="11"/>
  <c r="AE49" i="11" s="1"/>
  <c r="J55" i="10"/>
  <c r="I45" i="10"/>
  <c r="I209" i="10" s="1"/>
  <c r="D82" i="11"/>
  <c r="D81" i="10"/>
  <c r="J45" i="10"/>
  <c r="J209" i="10" s="1"/>
  <c r="K55" i="10"/>
  <c r="O64" i="10"/>
  <c r="O46" i="10"/>
  <c r="O47" i="10" s="1"/>
  <c r="Q64" i="10"/>
  <c r="Q46" i="10"/>
  <c r="Q47" i="10" s="1"/>
  <c r="P82" i="10"/>
  <c r="P84" i="11"/>
  <c r="C64" i="10"/>
  <c r="C46" i="10"/>
  <c r="C47" i="10" s="1"/>
  <c r="D74" i="11"/>
  <c r="C76" i="11"/>
  <c r="O82" i="10"/>
  <c r="O84" i="11"/>
  <c r="E45" i="10"/>
  <c r="E209" i="10" s="1"/>
  <c r="F55" i="10"/>
  <c r="M82" i="10"/>
  <c r="M84" i="11"/>
  <c r="I84" i="11"/>
  <c r="I82" i="10"/>
  <c r="AW125" i="10"/>
  <c r="L64" i="10"/>
  <c r="L46" i="10"/>
  <c r="L47" i="10" s="1"/>
  <c r="K45" i="10"/>
  <c r="K209" i="10" s="1"/>
  <c r="L55" i="10"/>
  <c r="M96" i="10"/>
  <c r="F64" i="10"/>
  <c r="F46" i="10"/>
  <c r="F47" i="10" s="1"/>
  <c r="CA34" i="5"/>
  <c r="BZ224" i="5"/>
  <c r="CA224" i="5" s="1"/>
  <c r="BZ35" i="5"/>
  <c r="BH64" i="10"/>
  <c r="BH46" i="10"/>
  <c r="CE166" i="10" l="1"/>
  <c r="CA94" i="11"/>
  <c r="CF35" i="10"/>
  <c r="CF204" i="10" s="1"/>
  <c r="CJ44" i="10"/>
  <c r="CI207" i="10"/>
  <c r="BH219" i="10"/>
  <c r="BH57" i="10" s="1"/>
  <c r="BI219" i="10"/>
  <c r="BI57" i="10" s="1"/>
  <c r="BI46" i="10"/>
  <c r="BI209" i="10"/>
  <c r="CL37" i="10"/>
  <c r="CK208" i="10"/>
  <c r="BH218" i="10"/>
  <c r="BI218" i="10"/>
  <c r="E216" i="10"/>
  <c r="E219" i="10" s="1"/>
  <c r="E57" i="10" s="1"/>
  <c r="E215" i="10"/>
  <c r="E218" i="10" s="1"/>
  <c r="C218" i="10"/>
  <c r="O218" i="10"/>
  <c r="S218" i="10"/>
  <c r="K216" i="10"/>
  <c r="K219" i="10" s="1"/>
  <c r="K57" i="10" s="1"/>
  <c r="K215" i="10"/>
  <c r="K218" i="10" s="1"/>
  <c r="J215" i="10"/>
  <c r="J218" i="10" s="1"/>
  <c r="J216" i="10"/>
  <c r="J219" i="10" s="1"/>
  <c r="J57" i="10" s="1"/>
  <c r="I215" i="10"/>
  <c r="I216" i="10"/>
  <c r="D216" i="10"/>
  <c r="D219" i="10" s="1"/>
  <c r="D57" i="10" s="1"/>
  <c r="D215" i="10"/>
  <c r="D218" i="10" s="1"/>
  <c r="C219" i="10"/>
  <c r="C57" i="10" s="1"/>
  <c r="O219" i="10"/>
  <c r="O57" i="10" s="1"/>
  <c r="S219" i="10"/>
  <c r="S57" i="10" s="1"/>
  <c r="BM111" i="5"/>
  <c r="BO242" i="5"/>
  <c r="BM240" i="5"/>
  <c r="CM28" i="10"/>
  <c r="CL28" i="11"/>
  <c r="CM28" i="11" s="1"/>
  <c r="CK54" i="11"/>
  <c r="CJ94" i="10"/>
  <c r="CC34" i="5"/>
  <c r="CD34" i="5" s="1"/>
  <c r="BO238" i="5"/>
  <c r="BI64" i="10"/>
  <c r="AK118" i="10"/>
  <c r="AK119" i="10" s="1"/>
  <c r="AM114" i="10" s="1"/>
  <c r="AM118" i="10" s="1"/>
  <c r="J82" i="10"/>
  <c r="J84" i="11"/>
  <c r="J83" i="11"/>
  <c r="S84" i="11"/>
  <c r="S83" i="11"/>
  <c r="M83" i="11"/>
  <c r="CF21" i="10"/>
  <c r="CI21" i="10" s="1"/>
  <c r="CE160" i="10"/>
  <c r="CF42" i="10"/>
  <c r="CI42" i="10" s="1"/>
  <c r="CE95" i="10"/>
  <c r="CE29" i="10"/>
  <c r="CA93" i="11"/>
  <c r="CA103" i="11" s="1"/>
  <c r="CA52" i="11" s="1"/>
  <c r="BX52" i="11" s="1"/>
  <c r="S82" i="10"/>
  <c r="BO109" i="10"/>
  <c r="G84" i="11"/>
  <c r="CA35" i="5"/>
  <c r="G97" i="10"/>
  <c r="G98" i="10" s="1"/>
  <c r="D64" i="10"/>
  <c r="D46" i="10"/>
  <c r="D47" i="10" s="1"/>
  <c r="AY122" i="10"/>
  <c r="AY124" i="10" s="1"/>
  <c r="BC124" i="10" s="1"/>
  <c r="BC122" i="10"/>
  <c r="D57" i="11"/>
  <c r="D64" i="11" s="1"/>
  <c r="D67" i="11" s="1"/>
  <c r="D72" i="11" s="1"/>
  <c r="J64" i="10"/>
  <c r="J46" i="10"/>
  <c r="J47" i="10" s="1"/>
  <c r="D84" i="11"/>
  <c r="D82" i="10"/>
  <c r="E91" i="10"/>
  <c r="E97" i="10" s="1"/>
  <c r="D98" i="10"/>
  <c r="CB37" i="13"/>
  <c r="CC21" i="13"/>
  <c r="CE21" i="13" s="1"/>
  <c r="AK46" i="11"/>
  <c r="AG47" i="11"/>
  <c r="AG49" i="11" s="1"/>
  <c r="AG79" i="11"/>
  <c r="I64" i="10"/>
  <c r="I46" i="10"/>
  <c r="I47" i="10" s="1"/>
  <c r="K64" i="10"/>
  <c r="K46" i="10"/>
  <c r="K47" i="10" s="1"/>
  <c r="E64" i="10"/>
  <c r="E46" i="10"/>
  <c r="E47" i="10" s="1"/>
  <c r="CA95" i="11" l="1"/>
  <c r="CG91" i="11" s="1"/>
  <c r="CG35" i="10"/>
  <c r="CG204" i="10" s="1"/>
  <c r="CF166" i="10"/>
  <c r="CI35" i="10"/>
  <c r="CI204" i="10" s="1"/>
  <c r="CK44" i="10"/>
  <c r="CJ207" i="10"/>
  <c r="CG166" i="10"/>
  <c r="G219" i="10"/>
  <c r="G57" i="10" s="1"/>
  <c r="CM37" i="10"/>
  <c r="CM208" i="10" s="1"/>
  <c r="CL208" i="10"/>
  <c r="I218" i="10"/>
  <c r="M218" i="10"/>
  <c r="I219" i="10"/>
  <c r="I57" i="10" s="1"/>
  <c r="M219" i="10"/>
  <c r="M57" i="10" s="1"/>
  <c r="G218" i="10"/>
  <c r="BO240" i="5"/>
  <c r="BO111" i="5"/>
  <c r="CJ42" i="10"/>
  <c r="CI160" i="10"/>
  <c r="CJ21" i="10"/>
  <c r="CL54" i="11"/>
  <c r="CL94" i="10" s="1"/>
  <c r="CK94" i="10"/>
  <c r="CC35" i="5"/>
  <c r="CC224" i="5"/>
  <c r="AQ114" i="10"/>
  <c r="BY52" i="11"/>
  <c r="CG42" i="10"/>
  <c r="CI95" i="10" s="1"/>
  <c r="CF95" i="10"/>
  <c r="CG95" i="10" s="1"/>
  <c r="CG21" i="10"/>
  <c r="CG160" i="10" s="1"/>
  <c r="CF160" i="10"/>
  <c r="CF21" i="13"/>
  <c r="CE37" i="13"/>
  <c r="BW52" i="11"/>
  <c r="BZ52" i="11"/>
  <c r="CF29" i="10"/>
  <c r="CD35" i="5"/>
  <c r="CD224" i="5"/>
  <c r="CE34" i="5"/>
  <c r="CA36" i="5"/>
  <c r="BC125" i="10"/>
  <c r="BI122" i="10" s="1"/>
  <c r="AK79" i="11"/>
  <c r="AK47" i="11"/>
  <c r="AK49" i="11" s="1"/>
  <c r="AQ118" i="10"/>
  <c r="AM46" i="11"/>
  <c r="BK159" i="10"/>
  <c r="CC37" i="13"/>
  <c r="D79" i="10"/>
  <c r="F91" i="10"/>
  <c r="F97" i="10" s="1"/>
  <c r="E98" i="10"/>
  <c r="D75" i="11"/>
  <c r="CJ35" i="10" l="1"/>
  <c r="CJ204" i="10" s="1"/>
  <c r="CI166" i="10"/>
  <c r="CL44" i="10"/>
  <c r="CK207" i="10"/>
  <c r="CM54" i="11"/>
  <c r="CM94" i="10"/>
  <c r="CI29" i="10"/>
  <c r="CJ160" i="10"/>
  <c r="CK21" i="10"/>
  <c r="CK42" i="10"/>
  <c r="CJ95" i="10"/>
  <c r="AQ119" i="10"/>
  <c r="AW114" i="10" s="1"/>
  <c r="CG93" i="11"/>
  <c r="CG103" i="11" s="1"/>
  <c r="CG52" i="11" s="1"/>
  <c r="CG94" i="11"/>
  <c r="CF37" i="13"/>
  <c r="CG21" i="13"/>
  <c r="CG29" i="10"/>
  <c r="CE224" i="5"/>
  <c r="CF34" i="5"/>
  <c r="CE35" i="5"/>
  <c r="BE122" i="10"/>
  <c r="BE124" i="10" s="1"/>
  <c r="BI124" i="10" s="1"/>
  <c r="BI125" i="10" s="1"/>
  <c r="E74" i="11"/>
  <c r="D76" i="11"/>
  <c r="AQ46" i="11"/>
  <c r="AM47" i="11"/>
  <c r="AM49" i="11" s="1"/>
  <c r="F98" i="10"/>
  <c r="I91" i="10"/>
  <c r="CJ166" i="10" l="1"/>
  <c r="CK35" i="10"/>
  <c r="CK204" i="10" s="1"/>
  <c r="BK122" i="10"/>
  <c r="BK124" i="10" s="1"/>
  <c r="BO124" i="10" s="1"/>
  <c r="BO122" i="10"/>
  <c r="CM44" i="10"/>
  <c r="CM207" i="10" s="1"/>
  <c r="CL207" i="10"/>
  <c r="CL42" i="10"/>
  <c r="CK95" i="10"/>
  <c r="CL21" i="10"/>
  <c r="CK160" i="10"/>
  <c r="CJ29" i="10"/>
  <c r="AS114" i="10"/>
  <c r="AS118" i="10" s="1"/>
  <c r="AW118" i="10" s="1"/>
  <c r="AW119" i="10" s="1"/>
  <c r="CG95" i="11"/>
  <c r="CM91" i="11" s="1"/>
  <c r="CE52" i="11"/>
  <c r="CC52" i="11"/>
  <c r="CF52" i="11"/>
  <c r="CD52" i="11"/>
  <c r="CG37" i="13"/>
  <c r="CH21" i="13"/>
  <c r="CF224" i="5"/>
  <c r="CG224" i="5" s="1"/>
  <c r="CG34" i="5"/>
  <c r="CF35" i="5"/>
  <c r="AQ47" i="11"/>
  <c r="AQ49" i="11" s="1"/>
  <c r="AQ79" i="11"/>
  <c r="M91" i="10"/>
  <c r="M97" i="10" s="1"/>
  <c r="M98" i="10" s="1"/>
  <c r="I97" i="10"/>
  <c r="E57" i="11"/>
  <c r="CL35" i="10" l="1"/>
  <c r="CL204" i="10" s="1"/>
  <c r="CK166" i="10"/>
  <c r="BO125" i="10"/>
  <c r="BQ122" i="10" s="1"/>
  <c r="BQ124" i="10" s="1"/>
  <c r="BU124" i="10" s="1"/>
  <c r="CM94" i="11"/>
  <c r="CM93" i="11"/>
  <c r="CM103" i="11" s="1"/>
  <c r="CM52" i="11" s="1"/>
  <c r="CK29" i="10"/>
  <c r="CM21" i="10"/>
  <c r="CM160" i="10" s="1"/>
  <c r="CL160" i="10"/>
  <c r="CL95" i="10"/>
  <c r="CM95" i="10" s="1"/>
  <c r="CM42" i="10"/>
  <c r="CI34" i="5"/>
  <c r="CG35" i="5"/>
  <c r="CH37" i="13"/>
  <c r="CI21" i="13"/>
  <c r="CK21" i="13" s="1"/>
  <c r="I98" i="10"/>
  <c r="J91" i="10"/>
  <c r="J97" i="10" s="1"/>
  <c r="E64" i="11"/>
  <c r="E67" i="11" s="1"/>
  <c r="E72" i="11" s="1"/>
  <c r="AY114" i="10"/>
  <c r="AY118" i="10" s="1"/>
  <c r="BC118" i="10" s="1"/>
  <c r="BC114" i="10"/>
  <c r="CL166" i="10" l="1"/>
  <c r="CM35" i="10"/>
  <c r="CM204" i="10" s="1"/>
  <c r="CG36" i="5"/>
  <c r="CM166" i="10"/>
  <c r="CM95" i="11"/>
  <c r="CK37" i="13"/>
  <c r="CL21" i="13"/>
  <c r="CK52" i="11"/>
  <c r="CJ52" i="11"/>
  <c r="CI52" i="11"/>
  <c r="CL52" i="11"/>
  <c r="CL29" i="10"/>
  <c r="CJ34" i="5"/>
  <c r="CI224" i="5"/>
  <c r="CI35" i="5"/>
  <c r="BU122" i="10"/>
  <c r="BU125" i="10" s="1"/>
  <c r="CI37" i="13"/>
  <c r="E79" i="10"/>
  <c r="E75" i="11"/>
  <c r="K91" i="10"/>
  <c r="K97" i="10" s="1"/>
  <c r="J98" i="10"/>
  <c r="BC119" i="10"/>
  <c r="CM21" i="13" l="1"/>
  <c r="CL37" i="13"/>
  <c r="CM29" i="10"/>
  <c r="CJ35" i="5"/>
  <c r="CK34" i="5"/>
  <c r="CJ224" i="5"/>
  <c r="BR122" i="10"/>
  <c r="BR125" i="10" s="1"/>
  <c r="CA122" i="10"/>
  <c r="CA125" i="10" s="1"/>
  <c r="BW122" i="10"/>
  <c r="BW125" i="10" s="1"/>
  <c r="E76" i="11"/>
  <c r="F74" i="11"/>
  <c r="K98" i="10"/>
  <c r="L91" i="10"/>
  <c r="L97" i="10" s="1"/>
  <c r="BI114" i="10"/>
  <c r="BE114" i="10"/>
  <c r="BE118" i="10" s="1"/>
  <c r="BI118" i="10" s="1"/>
  <c r="BO17" i="10" l="1"/>
  <c r="BO214" i="10" s="1"/>
  <c r="BN214" i="10"/>
  <c r="BQ214" i="10"/>
  <c r="CN21" i="13"/>
  <c r="CM37" i="13"/>
  <c r="CK35" i="5"/>
  <c r="CK224" i="5"/>
  <c r="CL34" i="5"/>
  <c r="CG122" i="10"/>
  <c r="CG125" i="10" s="1"/>
  <c r="CC122" i="10"/>
  <c r="CC125" i="10" s="1"/>
  <c r="BX122" i="10"/>
  <c r="BX125" i="10" s="1"/>
  <c r="BW17" i="10"/>
  <c r="BW214" i="10" s="1"/>
  <c r="BR17" i="10"/>
  <c r="BS122" i="10"/>
  <c r="BS125" i="10" s="1"/>
  <c r="BI119" i="10"/>
  <c r="BO114" i="10" s="1"/>
  <c r="F57" i="11"/>
  <c r="O91" i="10"/>
  <c r="L98" i="10"/>
  <c r="BR214" i="10" l="1"/>
  <c r="CN37" i="13"/>
  <c r="CO21" i="13"/>
  <c r="CI122" i="10"/>
  <c r="CI125" i="10" s="1"/>
  <c r="CM122" i="10"/>
  <c r="CM125" i="10" s="1"/>
  <c r="CL224" i="5"/>
  <c r="CM224" i="5" s="1"/>
  <c r="CM34" i="5"/>
  <c r="CL35" i="5"/>
  <c r="BK114" i="10"/>
  <c r="BK118" i="10" s="1"/>
  <c r="BO118" i="10" s="1"/>
  <c r="BO119" i="10" s="1"/>
  <c r="BY122" i="10"/>
  <c r="BY125" i="10" s="1"/>
  <c r="BX17" i="10"/>
  <c r="BX214" i="10" s="1"/>
  <c r="BS17" i="10"/>
  <c r="BT122" i="10"/>
  <c r="BT125" i="10" s="1"/>
  <c r="BT17" i="10" s="1"/>
  <c r="BT214" i="10" s="1"/>
  <c r="CD122" i="10"/>
  <c r="CD125" i="10" s="1"/>
  <c r="CC17" i="10"/>
  <c r="CC214" i="10" s="1"/>
  <c r="F64" i="11"/>
  <c r="F67" i="11" s="1"/>
  <c r="F72" i="11" s="1"/>
  <c r="G57" i="11"/>
  <c r="G64" i="11" s="1"/>
  <c r="G67" i="11" s="1"/>
  <c r="G72" i="11" s="1"/>
  <c r="S91" i="10"/>
  <c r="S97" i="10" s="1"/>
  <c r="S98" i="10" s="1"/>
  <c r="O97" i="10"/>
  <c r="BQ55" i="6"/>
  <c r="BQ23" i="7"/>
  <c r="BQ44" i="6"/>
  <c r="BQ42" i="6" s="1"/>
  <c r="BQ11" i="7" s="1"/>
  <c r="BQ51" i="6"/>
  <c r="BQ114" i="10" l="1"/>
  <c r="BQ90" i="7"/>
  <c r="BQ28" i="7"/>
  <c r="BW28" i="7"/>
  <c r="DN11" i="7"/>
  <c r="DN26" i="7" s="1"/>
  <c r="BS214" i="10"/>
  <c r="CM35" i="5"/>
  <c r="CM36" i="5" s="1"/>
  <c r="CO37" i="13"/>
  <c r="CJ122" i="10"/>
  <c r="CJ125" i="10" s="1"/>
  <c r="CI17" i="10"/>
  <c r="CI214" i="10" s="1"/>
  <c r="BU17" i="10"/>
  <c r="BU214" i="10" s="1"/>
  <c r="CE122" i="10"/>
  <c r="CE125" i="10" s="1"/>
  <c r="CD17" i="10"/>
  <c r="CD214" i="10" s="1"/>
  <c r="BY17" i="10"/>
  <c r="BY214" i="10" s="1"/>
  <c r="BZ122" i="10"/>
  <c r="BZ125" i="10" s="1"/>
  <c r="BZ17" i="10" s="1"/>
  <c r="BZ214" i="10" s="1"/>
  <c r="BR44" i="6"/>
  <c r="BR41" i="6" s="1"/>
  <c r="BR51" i="6"/>
  <c r="BR23" i="7"/>
  <c r="BR55" i="6"/>
  <c r="BR52" i="6" s="1"/>
  <c r="BQ15" i="6"/>
  <c r="BW93" i="7" s="1"/>
  <c r="BW106" i="7" s="1"/>
  <c r="BQ14" i="6"/>
  <c r="BW92" i="7" s="1"/>
  <c r="BW105" i="7" s="1"/>
  <c r="BQ16" i="6"/>
  <c r="BW94" i="7" s="1"/>
  <c r="BW107" i="7" s="1"/>
  <c r="P91" i="10"/>
  <c r="P97" i="10" s="1"/>
  <c r="O98" i="10"/>
  <c r="F79" i="10"/>
  <c r="F75" i="11"/>
  <c r="F76" i="11" s="1"/>
  <c r="G75" i="11"/>
  <c r="G79" i="10"/>
  <c r="BQ103" i="7" l="1"/>
  <c r="BW95" i="7"/>
  <c r="BW90" i="7"/>
  <c r="BW103" i="7" s="1"/>
  <c r="CK122" i="10"/>
  <c r="CK125" i="10" s="1"/>
  <c r="CJ17" i="10"/>
  <c r="CJ214" i="10" s="1"/>
  <c r="CE17" i="10"/>
  <c r="CE214" i="10" s="1"/>
  <c r="CF122" i="10"/>
  <c r="CF125" i="10" s="1"/>
  <c r="CF17" i="10" s="1"/>
  <c r="CA17" i="10"/>
  <c r="CA214" i="10" s="1"/>
  <c r="BK187" i="10"/>
  <c r="BK189" i="10" s="1"/>
  <c r="BL190" i="10" s="1"/>
  <c r="BK161" i="10"/>
  <c r="BK162" i="10" s="1"/>
  <c r="BK169" i="10" s="1"/>
  <c r="BL170" i="10" s="1"/>
  <c r="I74" i="11"/>
  <c r="G76" i="11"/>
  <c r="M74" i="11"/>
  <c r="BQ104" i="5"/>
  <c r="BQ87" i="5"/>
  <c r="BQ70" i="5"/>
  <c r="BQ54" i="5" s="1"/>
  <c r="BQ55" i="5" s="1"/>
  <c r="BR14" i="6"/>
  <c r="BX92" i="7" s="1"/>
  <c r="BX105" i="7" s="1"/>
  <c r="BR15" i="6"/>
  <c r="BX93" i="7" s="1"/>
  <c r="BX106" i="7" s="1"/>
  <c r="BR16" i="6"/>
  <c r="BX94" i="7" s="1"/>
  <c r="BX107" i="7" s="1"/>
  <c r="Q91" i="10"/>
  <c r="Q97" i="10" s="1"/>
  <c r="P98" i="10"/>
  <c r="BQ83" i="5"/>
  <c r="BQ66" i="5"/>
  <c r="BQ50" i="5" s="1"/>
  <c r="BQ100" i="5"/>
  <c r="BS55" i="6"/>
  <c r="BS52" i="6" s="1"/>
  <c r="BS17" i="6" s="1"/>
  <c r="BY95" i="7" s="1"/>
  <c r="BY108" i="7" s="1"/>
  <c r="BS23" i="7"/>
  <c r="BS44" i="6"/>
  <c r="BS41" i="6" s="1"/>
  <c r="BS12" i="6" s="1"/>
  <c r="BY90" i="7" s="1"/>
  <c r="BY103" i="7" s="1"/>
  <c r="BS51" i="6"/>
  <c r="BQ51" i="5" l="1"/>
  <c r="CG17" i="10"/>
  <c r="CG214" i="10" s="1"/>
  <c r="CF214" i="10"/>
  <c r="CL122" i="10"/>
  <c r="CL125" i="10" s="1"/>
  <c r="CL17" i="10" s="1"/>
  <c r="CK17" i="10"/>
  <c r="CK214" i="10" s="1"/>
  <c r="BS83" i="5"/>
  <c r="BS66" i="5"/>
  <c r="BS50" i="5" s="1"/>
  <c r="BS100" i="5"/>
  <c r="BT44" i="6"/>
  <c r="BT41" i="6" s="1"/>
  <c r="BT12" i="6" s="1"/>
  <c r="BT51" i="6"/>
  <c r="BT55" i="6"/>
  <c r="BT52" i="6" s="1"/>
  <c r="BT17" i="6" s="1"/>
  <c r="BT23" i="7"/>
  <c r="BK190" i="10"/>
  <c r="BS104" i="5"/>
  <c r="BS87" i="5"/>
  <c r="BS70" i="5"/>
  <c r="BS54" i="5" s="1"/>
  <c r="BQ45" i="6"/>
  <c r="BQ46" i="6" s="1"/>
  <c r="BQ85" i="5"/>
  <c r="BQ89" i="5" s="1"/>
  <c r="BQ13" i="5" s="1"/>
  <c r="BQ102" i="5"/>
  <c r="BQ106" i="5" s="1"/>
  <c r="BQ14" i="5" s="1"/>
  <c r="BQ60" i="6"/>
  <c r="BQ68" i="5"/>
  <c r="BS14" i="6"/>
  <c r="BY92" i="7" s="1"/>
  <c r="BY105" i="7" s="1"/>
  <c r="BS15" i="6"/>
  <c r="BY93" i="7" s="1"/>
  <c r="BY106" i="7" s="1"/>
  <c r="BS16" i="6"/>
  <c r="BY94" i="7" s="1"/>
  <c r="BY107" i="7" s="1"/>
  <c r="BQ18" i="6"/>
  <c r="BQ10" i="5" s="1"/>
  <c r="BQ177" i="5"/>
  <c r="BQ206" i="5"/>
  <c r="BQ146" i="5"/>
  <c r="BQ185" i="5"/>
  <c r="BQ212" i="5"/>
  <c r="I57" i="11"/>
  <c r="I64" i="11" s="1"/>
  <c r="I67" i="11" s="1"/>
  <c r="I72" i="11" s="1"/>
  <c r="I75" i="11" s="1"/>
  <c r="BQ144" i="5"/>
  <c r="BR13" i="6"/>
  <c r="BM170" i="10"/>
  <c r="Q98" i="10"/>
  <c r="R91" i="10"/>
  <c r="R97" i="10" s="1"/>
  <c r="BQ105" i="10" l="1"/>
  <c r="BQ86" i="10"/>
  <c r="BW86" i="10" s="1"/>
  <c r="CC86" i="10" s="1"/>
  <c r="CI86" i="10" s="1"/>
  <c r="BQ149" i="10"/>
  <c r="BQ73" i="10"/>
  <c r="BW73" i="10" s="1"/>
  <c r="CC73" i="10" s="1"/>
  <c r="CI73" i="10" s="1"/>
  <c r="BQ102" i="10"/>
  <c r="BQ39" i="5"/>
  <c r="BQ124" i="6"/>
  <c r="BQ123" i="6"/>
  <c r="BQ122" i="6"/>
  <c r="BQ102" i="6"/>
  <c r="BQ76" i="6"/>
  <c r="BQ72" i="6"/>
  <c r="BQ75" i="6"/>
  <c r="BQ71" i="6"/>
  <c r="BQ74" i="6"/>
  <c r="BQ73" i="6"/>
  <c r="BQ72" i="5"/>
  <c r="BQ12" i="5" s="1"/>
  <c r="BQ52" i="5"/>
  <c r="CM17" i="10"/>
  <c r="CM214" i="10" s="1"/>
  <c r="CL214" i="10"/>
  <c r="BZ90" i="7"/>
  <c r="BZ103" i="7" s="1"/>
  <c r="BZ95" i="7"/>
  <c r="BZ108" i="7" s="1"/>
  <c r="BL29" i="5"/>
  <c r="BL16" i="5"/>
  <c r="BQ189" i="5"/>
  <c r="BS55" i="5"/>
  <c r="BS146" i="5"/>
  <c r="BS156" i="5" s="1"/>
  <c r="BS51" i="5"/>
  <c r="BS144" i="5"/>
  <c r="BT15" i="6"/>
  <c r="BT16" i="6"/>
  <c r="BT14" i="6"/>
  <c r="I79" i="10"/>
  <c r="BQ156" i="5"/>
  <c r="BQ214" i="5"/>
  <c r="BQ187" i="5"/>
  <c r="BQ213" i="5"/>
  <c r="BQ186" i="5"/>
  <c r="BT87" i="5"/>
  <c r="BT70" i="5"/>
  <c r="BT104" i="5"/>
  <c r="BQ154" i="5"/>
  <c r="BQ56" i="6"/>
  <c r="BW58" i="6"/>
  <c r="BW24" i="7" s="1"/>
  <c r="BQ209" i="5"/>
  <c r="BQ181" i="5"/>
  <c r="BR68" i="5"/>
  <c r="BR52" i="5" s="1"/>
  <c r="BR85" i="5"/>
  <c r="BR102" i="5"/>
  <c r="BR60" i="6"/>
  <c r="BR45" i="6"/>
  <c r="BR46" i="6" s="1"/>
  <c r="I76" i="11"/>
  <c r="J74" i="11"/>
  <c r="BQ179" i="5"/>
  <c r="BQ208" i="5"/>
  <c r="BQ178" i="5"/>
  <c r="BQ207" i="5"/>
  <c r="BS13" i="6"/>
  <c r="BQ12" i="7"/>
  <c r="BS212" i="5"/>
  <c r="BS185" i="5"/>
  <c r="BT66" i="5"/>
  <c r="BT50" i="5" s="1"/>
  <c r="BT83" i="5"/>
  <c r="BT100" i="5"/>
  <c r="R98" i="10"/>
  <c r="U91" i="10"/>
  <c r="BS206" i="5"/>
  <c r="BS177" i="5"/>
  <c r="BQ121" i="6" l="1"/>
  <c r="BQ116" i="10"/>
  <c r="BQ110" i="10"/>
  <c r="BQ111" i="10" s="1"/>
  <c r="BQ57" i="5"/>
  <c r="BQ77" i="6"/>
  <c r="BQ53" i="5"/>
  <c r="BQ56" i="5"/>
  <c r="BU14" i="6"/>
  <c r="BZ92" i="7"/>
  <c r="BZ105" i="7" s="1"/>
  <c r="BU16" i="6"/>
  <c r="BZ94" i="7"/>
  <c r="BZ107" i="7" s="1"/>
  <c r="BU15" i="6"/>
  <c r="BZ93" i="7"/>
  <c r="BZ106" i="7" s="1"/>
  <c r="BQ29" i="7"/>
  <c r="BQ91" i="7"/>
  <c r="BQ104" i="7" s="1"/>
  <c r="BL60" i="10"/>
  <c r="BL63" i="10"/>
  <c r="BL62" i="10"/>
  <c r="BL112" i="5"/>
  <c r="BM126" i="5"/>
  <c r="BQ107" i="5"/>
  <c r="BQ241" i="5"/>
  <c r="BQ90" i="5"/>
  <c r="BQ19" i="6"/>
  <c r="DN12" i="7"/>
  <c r="DN27" i="7" s="1"/>
  <c r="BQ74" i="5"/>
  <c r="BQ114" i="7"/>
  <c r="BQ118" i="7" s="1"/>
  <c r="BS186" i="5"/>
  <c r="BS214" i="5"/>
  <c r="BS213" i="5"/>
  <c r="BS187" i="5"/>
  <c r="BR53" i="5"/>
  <c r="BT206" i="5"/>
  <c r="BT177" i="5"/>
  <c r="BW44" i="6"/>
  <c r="BW55" i="6"/>
  <c r="BW23" i="7"/>
  <c r="BW51" i="6"/>
  <c r="BS178" i="5"/>
  <c r="BS208" i="5"/>
  <c r="BS179" i="5"/>
  <c r="BS207" i="5"/>
  <c r="BT144" i="5"/>
  <c r="BS45" i="6"/>
  <c r="BS46" i="6" s="1"/>
  <c r="BS85" i="5"/>
  <c r="BS89" i="5" s="1"/>
  <c r="BS102" i="5"/>
  <c r="BS60" i="6"/>
  <c r="BS68" i="5"/>
  <c r="BS18" i="6"/>
  <c r="BQ91" i="5"/>
  <c r="BQ113" i="7"/>
  <c r="BQ117" i="7" s="1"/>
  <c r="BT51" i="5"/>
  <c r="BR12" i="7"/>
  <c r="BR91" i="7" s="1"/>
  <c r="BR104" i="7" s="1"/>
  <c r="BQ211" i="5"/>
  <c r="BQ183" i="5"/>
  <c r="BQ210" i="5"/>
  <c r="BQ182" i="5"/>
  <c r="BQ215" i="5"/>
  <c r="BQ216" i="5" s="1"/>
  <c r="BS154" i="5"/>
  <c r="BR145" i="5"/>
  <c r="BR181" i="5"/>
  <c r="BR209" i="5"/>
  <c r="BQ11" i="5"/>
  <c r="BT212" i="5"/>
  <c r="BT185" i="5"/>
  <c r="BQ145" i="5"/>
  <c r="BT13" i="6"/>
  <c r="U97" i="10"/>
  <c r="Y91" i="10"/>
  <c r="Y97" i="10" s="1"/>
  <c r="J57" i="11"/>
  <c r="J64" i="11" s="1"/>
  <c r="J67" i="11" s="1"/>
  <c r="J72" i="11" s="1"/>
  <c r="J75" i="11" s="1"/>
  <c r="BT54" i="5"/>
  <c r="BQ73" i="5"/>
  <c r="BQ117" i="10" l="1"/>
  <c r="BQ118" i="10"/>
  <c r="BU118" i="10" s="1"/>
  <c r="BQ74" i="10"/>
  <c r="BQ75" i="10"/>
  <c r="BW75" i="10" s="1"/>
  <c r="CC75" i="10" s="1"/>
  <c r="CI75" i="10" s="1"/>
  <c r="BQ78" i="6"/>
  <c r="BQ41" i="5"/>
  <c r="BQ15" i="5"/>
  <c r="BQ22" i="7"/>
  <c r="DN18" i="7" s="1"/>
  <c r="DN33" i="7" s="1"/>
  <c r="BU13" i="6"/>
  <c r="BU51" i="6" s="1"/>
  <c r="DO12" i="7"/>
  <c r="DO27" i="7" s="1"/>
  <c r="BR29" i="7"/>
  <c r="BM161" i="10"/>
  <c r="BM29" i="5"/>
  <c r="BX23" i="7"/>
  <c r="BX55" i="6"/>
  <c r="BX52" i="6" s="1"/>
  <c r="BX44" i="6"/>
  <c r="BX41" i="6" s="1"/>
  <c r="BX51" i="6"/>
  <c r="Y98" i="10"/>
  <c r="AA91" i="10"/>
  <c r="BR155" i="5"/>
  <c r="BS13" i="5"/>
  <c r="BW14" i="6"/>
  <c r="BW16" i="6"/>
  <c r="BW15" i="6"/>
  <c r="BT208" i="5"/>
  <c r="BT178" i="5"/>
  <c r="BT179" i="5"/>
  <c r="BT207" i="5"/>
  <c r="U98" i="10"/>
  <c r="V91" i="10"/>
  <c r="V97" i="10" s="1"/>
  <c r="BQ155" i="5"/>
  <c r="BQ147" i="5"/>
  <c r="BT186" i="5"/>
  <c r="BT187" i="5"/>
  <c r="BT214" i="5"/>
  <c r="BT213" i="5"/>
  <c r="BS10" i="5"/>
  <c r="BS241" i="5" s="1"/>
  <c r="BS56" i="6"/>
  <c r="BY58" i="6"/>
  <c r="BY24" i="7" s="1"/>
  <c r="K74" i="11"/>
  <c r="J76" i="11"/>
  <c r="BT85" i="5"/>
  <c r="BT68" i="5"/>
  <c r="BT52" i="5" s="1"/>
  <c r="BT53" i="5" s="1"/>
  <c r="BT45" i="6"/>
  <c r="BT46" i="6" s="1"/>
  <c r="BT102" i="5"/>
  <c r="BT106" i="5" s="1"/>
  <c r="BT60" i="6"/>
  <c r="BT18" i="6"/>
  <c r="BR182" i="5"/>
  <c r="BR210" i="5"/>
  <c r="BR211" i="5"/>
  <c r="BR183" i="5"/>
  <c r="BS12" i="7"/>
  <c r="BS91" i="7" s="1"/>
  <c r="BS104" i="7" s="1"/>
  <c r="BS57" i="6"/>
  <c r="BT55" i="5"/>
  <c r="BT146" i="5"/>
  <c r="J79" i="10"/>
  <c r="BS181" i="5"/>
  <c r="BS209" i="5"/>
  <c r="BS72" i="5"/>
  <c r="BS106" i="5"/>
  <c r="BS52" i="5"/>
  <c r="BW41" i="6"/>
  <c r="BW12" i="6" s="1"/>
  <c r="BW52" i="6"/>
  <c r="BW17" i="6" s="1"/>
  <c r="BT154" i="5"/>
  <c r="BQ76" i="10" l="1"/>
  <c r="BW74" i="10"/>
  <c r="CC74" i="10" s="1"/>
  <c r="BQ87" i="10"/>
  <c r="BW87" i="10" s="1"/>
  <c r="CC87" i="10" s="1"/>
  <c r="CI87" i="10" s="1"/>
  <c r="BQ88" i="10"/>
  <c r="BW88" i="10" s="1"/>
  <c r="CC88" i="10" s="1"/>
  <c r="CI88" i="10" s="1"/>
  <c r="BQ85" i="10"/>
  <c r="BW85" i="10" s="1"/>
  <c r="CC85" i="10" s="1"/>
  <c r="CI85" i="10" s="1"/>
  <c r="BS17" i="7"/>
  <c r="BQ19" i="5"/>
  <c r="BQ25" i="7"/>
  <c r="BU46" i="6"/>
  <c r="BU12" i="7" s="1"/>
  <c r="BU45" i="6"/>
  <c r="BU60" i="6"/>
  <c r="BU50" i="6"/>
  <c r="CC16" i="6"/>
  <c r="CC94" i="7"/>
  <c r="CC90" i="7"/>
  <c r="CC103" i="7" s="1"/>
  <c r="CC14" i="6"/>
  <c r="CI14" i="6" s="1"/>
  <c r="CC92" i="7"/>
  <c r="CC105" i="7" s="1"/>
  <c r="CC95" i="7"/>
  <c r="CC108" i="7" s="1"/>
  <c r="CC15" i="6"/>
  <c r="CC93" i="7"/>
  <c r="CC106" i="7" s="1"/>
  <c r="DP12" i="7"/>
  <c r="DP27" i="7" s="1"/>
  <c r="BS29" i="7"/>
  <c r="BO18" i="10"/>
  <c r="BN161" i="10"/>
  <c r="CC12" i="6"/>
  <c r="CI90" i="7" s="1"/>
  <c r="CC17" i="6"/>
  <c r="BS19" i="6"/>
  <c r="BU102" i="5"/>
  <c r="BU103" i="5" s="1"/>
  <c r="BS90" i="5"/>
  <c r="BY51" i="6"/>
  <c r="BY44" i="6"/>
  <c r="BY41" i="6" s="1"/>
  <c r="BY12" i="6" s="1"/>
  <c r="BY23" i="7"/>
  <c r="BY55" i="6"/>
  <c r="BY52" i="6" s="1"/>
  <c r="BY17" i="6" s="1"/>
  <c r="BS107" i="5"/>
  <c r="BS14" i="5"/>
  <c r="BT209" i="5"/>
  <c r="BU209" i="5" s="1"/>
  <c r="BT181" i="5"/>
  <c r="BT72" i="5"/>
  <c r="BU68" i="5"/>
  <c r="BW83" i="5"/>
  <c r="BW66" i="5"/>
  <c r="BW50" i="5" s="1"/>
  <c r="BW100" i="5"/>
  <c r="BS73" i="5"/>
  <c r="BS12" i="5"/>
  <c r="BS11" i="5" s="1"/>
  <c r="BS189" i="5"/>
  <c r="BT156" i="5"/>
  <c r="BT14" i="5"/>
  <c r="BT89" i="5"/>
  <c r="BU85" i="5"/>
  <c r="BU86" i="5" s="1"/>
  <c r="BS114" i="7"/>
  <c r="BS118" i="7" s="1"/>
  <c r="BS74" i="5"/>
  <c r="BQ49" i="11"/>
  <c r="BU48" i="6"/>
  <c r="BU14" i="7" s="1"/>
  <c r="BU49" i="6"/>
  <c r="BU47" i="6"/>
  <c r="BS53" i="5"/>
  <c r="BS56" i="5"/>
  <c r="BU52" i="5"/>
  <c r="BU53" i="5" s="1"/>
  <c r="BS145" i="5"/>
  <c r="BW87" i="5"/>
  <c r="BW70" i="5"/>
  <c r="BW54" i="5" s="1"/>
  <c r="BW104" i="5"/>
  <c r="BT56" i="6"/>
  <c r="BT10" i="5"/>
  <c r="BT241" i="5" s="1"/>
  <c r="BZ58" i="6"/>
  <c r="BZ24" i="7" s="1"/>
  <c r="BT145" i="5"/>
  <c r="BT12" i="7"/>
  <c r="BT91" i="7" s="1"/>
  <c r="BT104" i="7" s="1"/>
  <c r="BT57" i="6"/>
  <c r="K57" i="11"/>
  <c r="W91" i="10"/>
  <c r="W97" i="10" s="1"/>
  <c r="V98" i="10"/>
  <c r="BW13" i="6"/>
  <c r="BS211" i="5"/>
  <c r="BS210" i="5"/>
  <c r="BS183" i="5"/>
  <c r="BS182" i="5"/>
  <c r="BS215" i="5"/>
  <c r="BS216" i="5" s="1"/>
  <c r="BX14" i="6"/>
  <c r="BX15" i="6"/>
  <c r="BX16" i="6"/>
  <c r="BS149" i="10"/>
  <c r="BS11" i="10"/>
  <c r="BS105" i="10"/>
  <c r="BS39" i="5"/>
  <c r="BS22" i="7" s="1"/>
  <c r="BS101" i="10"/>
  <c r="BS13" i="10"/>
  <c r="BQ190" i="5"/>
  <c r="BQ157" i="5"/>
  <c r="AE91" i="10"/>
  <c r="AE97" i="10" s="1"/>
  <c r="AA97" i="10"/>
  <c r="BT56" i="5"/>
  <c r="CE95" i="7" l="1"/>
  <c r="CE108" i="7" s="1"/>
  <c r="BY70" i="5"/>
  <c r="BY104" i="5"/>
  <c r="CI95" i="7"/>
  <c r="CC70" i="5"/>
  <c r="CE90" i="7"/>
  <c r="CE103" i="7" s="1"/>
  <c r="BY66" i="5"/>
  <c r="BY50" i="5" s="1"/>
  <c r="BY100" i="5"/>
  <c r="DP17" i="7"/>
  <c r="DP32" i="7" s="1"/>
  <c r="CI74" i="10"/>
  <c r="CI76" i="10" s="1"/>
  <c r="CC76" i="10"/>
  <c r="BQ61" i="10"/>
  <c r="BQ150" i="10"/>
  <c r="BQ182" i="10" s="1"/>
  <c r="BW76" i="10"/>
  <c r="BS40" i="5"/>
  <c r="BS96" i="7"/>
  <c r="BS109" i="7" s="1"/>
  <c r="BS21" i="7"/>
  <c r="BS38" i="7" s="1"/>
  <c r="BS34" i="7"/>
  <c r="BT17" i="7"/>
  <c r="BQ109" i="5"/>
  <c r="BQ110" i="5" s="1"/>
  <c r="BQ108" i="5"/>
  <c r="BQ230" i="5"/>
  <c r="BQ237" i="5" s="1"/>
  <c r="BQ23" i="11"/>
  <c r="BQ31" i="10"/>
  <c r="CC13" i="6"/>
  <c r="CI103" i="7"/>
  <c r="CI92" i="7"/>
  <c r="CI105" i="7" s="1"/>
  <c r="CD14" i="6"/>
  <c r="CJ92" i="7" s="1"/>
  <c r="CD92" i="7"/>
  <c r="CD105" i="7" s="1"/>
  <c r="BU13" i="7"/>
  <c r="BU30" i="7" s="1"/>
  <c r="CC107" i="7"/>
  <c r="CD16" i="6"/>
  <c r="CD94" i="7"/>
  <c r="CD107" i="7" s="1"/>
  <c r="BU15" i="7"/>
  <c r="BU32" i="7" s="1"/>
  <c r="CI16" i="6"/>
  <c r="CI94" i="7"/>
  <c r="CI107" i="7" s="1"/>
  <c r="CD15" i="6"/>
  <c r="CD93" i="7"/>
  <c r="BU29" i="7"/>
  <c r="BU91" i="7"/>
  <c r="BU104" i="7" s="1"/>
  <c r="BU31" i="7"/>
  <c r="BU93" i="7"/>
  <c r="BU106" i="7" s="1"/>
  <c r="CI15" i="6"/>
  <c r="CI93" i="7"/>
  <c r="CI106" i="7" s="1"/>
  <c r="DQ12" i="7"/>
  <c r="DQ27" i="7" s="1"/>
  <c r="BT29" i="7"/>
  <c r="BS25" i="7"/>
  <c r="DP18" i="7"/>
  <c r="DP33" i="7" s="1"/>
  <c r="CI17" i="6"/>
  <c r="CI12" i="6"/>
  <c r="BN17" i="5"/>
  <c r="BO12" i="11"/>
  <c r="BN126" i="5"/>
  <c r="BN29" i="5" s="1"/>
  <c r="BO129" i="5"/>
  <c r="BO161" i="10"/>
  <c r="CC83" i="5"/>
  <c r="CC66" i="5"/>
  <c r="CC100" i="5"/>
  <c r="CE17" i="6"/>
  <c r="CC104" i="5"/>
  <c r="CC87" i="5"/>
  <c r="CE12" i="6"/>
  <c r="CK90" i="7" s="1"/>
  <c r="BT19" i="6"/>
  <c r="BW51" i="5"/>
  <c r="BW144" i="5"/>
  <c r="AA98" i="10"/>
  <c r="AB91" i="10"/>
  <c r="AB97" i="10" s="1"/>
  <c r="BU69" i="5"/>
  <c r="BU181" i="5"/>
  <c r="BS36" i="11"/>
  <c r="BS156" i="10"/>
  <c r="W98" i="10"/>
  <c r="X91" i="10"/>
  <c r="X97" i="10" s="1"/>
  <c r="X98" i="10" s="1"/>
  <c r="BT155" i="5"/>
  <c r="BT147" i="5"/>
  <c r="BT11" i="10"/>
  <c r="BT105" i="10"/>
  <c r="BT149" i="10"/>
  <c r="BT39" i="5"/>
  <c r="BT22" i="7" s="1"/>
  <c r="BT101" i="10"/>
  <c r="BT36" i="11" s="1"/>
  <c r="BT13" i="10"/>
  <c r="BW185" i="5"/>
  <c r="BW212" i="5"/>
  <c r="BZ23" i="7"/>
  <c r="BZ44" i="6"/>
  <c r="BZ41" i="6" s="1"/>
  <c r="BZ12" i="6" s="1"/>
  <c r="BZ51" i="6"/>
  <c r="BZ55" i="6"/>
  <c r="BZ52" i="6" s="1"/>
  <c r="BZ17" i="6" s="1"/>
  <c r="BT107" i="5"/>
  <c r="BS57" i="5"/>
  <c r="BT210" i="5"/>
  <c r="BT182" i="5"/>
  <c r="BT183" i="5"/>
  <c r="BT211" i="5"/>
  <c r="BT215" i="5"/>
  <c r="BT216" i="5" s="1"/>
  <c r="BY15" i="6"/>
  <c r="BY14" i="6"/>
  <c r="BY16" i="6"/>
  <c r="BS158" i="10"/>
  <c r="K64" i="11"/>
  <c r="K67" i="11" s="1"/>
  <c r="K72" i="11" s="1"/>
  <c r="BT113" i="7"/>
  <c r="BT117" i="7" s="1"/>
  <c r="BT91" i="5"/>
  <c r="AE98" i="10"/>
  <c r="AG91" i="10"/>
  <c r="BS12" i="10"/>
  <c r="BS41" i="5"/>
  <c r="BS25" i="10"/>
  <c r="BX13" i="6"/>
  <c r="BW55" i="5"/>
  <c r="BS119" i="7"/>
  <c r="BS15" i="5"/>
  <c r="BW206" i="5"/>
  <c r="BW177" i="5"/>
  <c r="BT73" i="5"/>
  <c r="BT12" i="5"/>
  <c r="BT11" i="5" s="1"/>
  <c r="BT189" i="5"/>
  <c r="BS113" i="7"/>
  <c r="BS117" i="7" s="1"/>
  <c r="BS91" i="5"/>
  <c r="BY87" i="5"/>
  <c r="BQ191" i="5"/>
  <c r="BW102" i="5"/>
  <c r="BW106" i="5" s="1"/>
  <c r="BW60" i="6"/>
  <c r="BW68" i="5"/>
  <c r="BW72" i="5" s="1"/>
  <c r="BW45" i="6"/>
  <c r="BW46" i="6" s="1"/>
  <c r="BW85" i="5"/>
  <c r="BW89" i="5" s="1"/>
  <c r="BW146" i="5"/>
  <c r="BS155" i="5"/>
  <c r="BS147" i="5"/>
  <c r="BU145" i="5"/>
  <c r="BT13" i="5"/>
  <c r="BT90" i="5"/>
  <c r="BW18" i="6"/>
  <c r="BY83" i="5"/>
  <c r="BU210" i="5"/>
  <c r="BU211" i="5"/>
  <c r="BU182" i="5"/>
  <c r="BU183" i="5"/>
  <c r="BQ69" i="10" l="1"/>
  <c r="BQ68" i="10"/>
  <c r="CI108" i="7"/>
  <c r="CF90" i="7"/>
  <c r="CF103" i="7" s="1"/>
  <c r="BZ66" i="5"/>
  <c r="BZ50" i="5" s="1"/>
  <c r="BZ100" i="5"/>
  <c r="CI70" i="5"/>
  <c r="CI185" i="5" s="1"/>
  <c r="CF95" i="7"/>
  <c r="CF108" i="7" s="1"/>
  <c r="BZ70" i="5"/>
  <c r="BZ104" i="5"/>
  <c r="CC68" i="5"/>
  <c r="BX68" i="5"/>
  <c r="BX52" i="5" s="1"/>
  <c r="BX53" i="5" s="1"/>
  <c r="BX102" i="5"/>
  <c r="CK95" i="7"/>
  <c r="CK108" i="7" s="1"/>
  <c r="CE70" i="5"/>
  <c r="BQ238" i="5"/>
  <c r="BQ36" i="10"/>
  <c r="BT96" i="7"/>
  <c r="BT109" i="7" s="1"/>
  <c r="BT21" i="7"/>
  <c r="BT38" i="7" s="1"/>
  <c r="BT40" i="5"/>
  <c r="DQ17" i="7"/>
  <c r="DQ32" i="7" s="1"/>
  <c r="BT34" i="7"/>
  <c r="BQ231" i="5"/>
  <c r="CC60" i="6"/>
  <c r="CC85" i="5"/>
  <c r="CC89" i="5" s="1"/>
  <c r="CC45" i="6"/>
  <c r="CC46" i="6" s="1"/>
  <c r="CC12" i="7" s="1"/>
  <c r="CC91" i="7" s="1"/>
  <c r="CK103" i="7"/>
  <c r="CC18" i="6"/>
  <c r="CC52" i="5"/>
  <c r="CC102" i="5"/>
  <c r="CC106" i="5" s="1"/>
  <c r="CJ14" i="6"/>
  <c r="BU92" i="7"/>
  <c r="BU105" i="7" s="1"/>
  <c r="CD13" i="6"/>
  <c r="CI13" i="6"/>
  <c r="CI68" i="5" s="1"/>
  <c r="CJ105" i="7"/>
  <c r="CE16" i="6"/>
  <c r="CE94" i="7"/>
  <c r="CE107" i="7" s="1"/>
  <c r="BU94" i="7"/>
  <c r="BU107" i="7" s="1"/>
  <c r="CE14" i="6"/>
  <c r="CK92" i="7" s="1"/>
  <c r="CE92" i="7"/>
  <c r="CE105" i="7" s="1"/>
  <c r="CJ16" i="6"/>
  <c r="CJ94" i="7"/>
  <c r="CJ107" i="7" s="1"/>
  <c r="CE15" i="6"/>
  <c r="CE93" i="7"/>
  <c r="CE106" i="7" s="1"/>
  <c r="CD106" i="7"/>
  <c r="CJ15" i="6"/>
  <c r="CJ93" i="7"/>
  <c r="CJ106" i="7" s="1"/>
  <c r="BT25" i="7"/>
  <c r="DQ18" i="7"/>
  <c r="DQ33" i="7" s="1"/>
  <c r="CK12" i="6"/>
  <c r="CI66" i="5"/>
  <c r="CI50" i="5" s="1"/>
  <c r="CI83" i="5"/>
  <c r="CI100" i="5"/>
  <c r="CK17" i="6"/>
  <c r="CI87" i="5"/>
  <c r="CI104" i="5"/>
  <c r="CC50" i="5"/>
  <c r="CC144" i="5" s="1"/>
  <c r="BO126" i="5"/>
  <c r="BO17" i="5"/>
  <c r="BU114" i="10"/>
  <c r="CC58" i="6"/>
  <c r="CC24" i="7" s="1"/>
  <c r="CF17" i="6"/>
  <c r="CC212" i="5"/>
  <c r="CC185" i="5"/>
  <c r="CF12" i="6"/>
  <c r="CL90" i="7" s="1"/>
  <c r="CE87" i="5"/>
  <c r="CE104" i="5"/>
  <c r="CC206" i="5"/>
  <c r="CC177" i="5"/>
  <c r="CE100" i="5"/>
  <c r="CE83" i="5"/>
  <c r="CE66" i="5"/>
  <c r="CC54" i="5"/>
  <c r="BY144" i="5"/>
  <c r="BY154" i="5" s="1"/>
  <c r="BW52" i="5"/>
  <c r="BW145" i="5" s="1"/>
  <c r="BW147" i="5" s="1"/>
  <c r="BT114" i="7"/>
  <c r="BT118" i="7" s="1"/>
  <c r="BT74" i="5"/>
  <c r="BT15" i="5"/>
  <c r="BT18" i="5" s="1"/>
  <c r="BW213" i="5"/>
  <c r="BW214" i="5"/>
  <c r="BW186" i="5"/>
  <c r="BW187" i="5"/>
  <c r="BW10" i="5"/>
  <c r="BW56" i="6"/>
  <c r="BY206" i="5"/>
  <c r="BY177" i="5"/>
  <c r="BW156" i="5"/>
  <c r="BW209" i="5"/>
  <c r="BW181" i="5"/>
  <c r="BT57" i="5"/>
  <c r="BW208" i="5"/>
  <c r="BW178" i="5"/>
  <c r="BW207" i="5"/>
  <c r="BW179" i="5"/>
  <c r="BS164" i="10"/>
  <c r="AG97" i="10"/>
  <c r="AK91" i="10"/>
  <c r="AK97" i="10" s="1"/>
  <c r="BZ83" i="5"/>
  <c r="BT24" i="11"/>
  <c r="BT156" i="10"/>
  <c r="BU11" i="10"/>
  <c r="BS47" i="11"/>
  <c r="BS49" i="11" s="1"/>
  <c r="BU155" i="5"/>
  <c r="BW189" i="5"/>
  <c r="BW12" i="5"/>
  <c r="BX85" i="5"/>
  <c r="BX45" i="6"/>
  <c r="BX46" i="6" s="1"/>
  <c r="BX60" i="6"/>
  <c r="BT158" i="10"/>
  <c r="BU13" i="10"/>
  <c r="AC91" i="10"/>
  <c r="AC97" i="10" s="1"/>
  <c r="AB98" i="10"/>
  <c r="BW14" i="5"/>
  <c r="BY13" i="6"/>
  <c r="BZ87" i="5"/>
  <c r="BT47" i="11"/>
  <c r="BT49" i="11" s="1"/>
  <c r="BT157" i="5"/>
  <c r="BT190" i="5"/>
  <c r="BW154" i="5"/>
  <c r="BY212" i="5"/>
  <c r="BY185" i="5"/>
  <c r="BW13" i="5"/>
  <c r="BS157" i="10"/>
  <c r="BT12" i="10"/>
  <c r="BT25" i="10"/>
  <c r="BT41" i="5"/>
  <c r="BS190" i="5"/>
  <c r="BS157" i="5"/>
  <c r="BS18" i="5"/>
  <c r="BS13" i="11" s="1"/>
  <c r="BS30" i="10"/>
  <c r="BS27" i="10"/>
  <c r="BS26" i="10"/>
  <c r="BS123" i="5"/>
  <c r="BS19" i="5"/>
  <c r="BY51" i="5"/>
  <c r="BW12" i="7"/>
  <c r="BW91" i="7" s="1"/>
  <c r="BW104" i="7" s="1"/>
  <c r="BW57" i="6"/>
  <c r="BW17" i="7" s="1"/>
  <c r="BW21" i="7" s="1"/>
  <c r="BY54" i="5"/>
  <c r="BT119" i="7"/>
  <c r="K79" i="10"/>
  <c r="K75" i="11"/>
  <c r="BZ16" i="6"/>
  <c r="CF94" i="7" s="1"/>
  <c r="CF107" i="7" s="1"/>
  <c r="BZ14" i="6"/>
  <c r="BZ15" i="6"/>
  <c r="CF93" i="7" s="1"/>
  <c r="CF106" i="7" s="1"/>
  <c r="CL95" i="7" l="1"/>
  <c r="CL108" i="7" s="1"/>
  <c r="CF70" i="5"/>
  <c r="CK70" i="5"/>
  <c r="CK185" i="5" s="1"/>
  <c r="CD68" i="5"/>
  <c r="BQ240" i="5"/>
  <c r="BY102" i="5"/>
  <c r="BY106" i="5" s="1"/>
  <c r="BY68" i="5"/>
  <c r="BW20" i="7"/>
  <c r="BW19" i="7"/>
  <c r="BW18" i="7"/>
  <c r="CC57" i="6"/>
  <c r="CC17" i="7" s="1"/>
  <c r="CD60" i="6"/>
  <c r="CD45" i="6"/>
  <c r="CD46" i="6" s="1"/>
  <c r="CD12" i="7" s="1"/>
  <c r="CD91" i="7" s="1"/>
  <c r="CD102" i="5"/>
  <c r="CK14" i="6"/>
  <c r="CD85" i="5"/>
  <c r="CL103" i="7"/>
  <c r="CI45" i="6"/>
  <c r="CI46" i="6" s="1"/>
  <c r="CI57" i="6" s="1"/>
  <c r="CI17" i="7" s="1"/>
  <c r="CC10" i="5"/>
  <c r="CC145" i="5"/>
  <c r="CC155" i="5" s="1"/>
  <c r="CC181" i="5"/>
  <c r="CC72" i="5"/>
  <c r="CC189" i="5" s="1"/>
  <c r="CC209" i="5"/>
  <c r="CC182" i="5" s="1"/>
  <c r="CC56" i="6"/>
  <c r="CI58" i="6"/>
  <c r="CI24" i="7" s="1"/>
  <c r="CK105" i="7"/>
  <c r="CJ13" i="6"/>
  <c r="CI60" i="6"/>
  <c r="CI18" i="6"/>
  <c r="CI85" i="5"/>
  <c r="CI89" i="5" s="1"/>
  <c r="CI13" i="5" s="1"/>
  <c r="CI102" i="5"/>
  <c r="CI106" i="5" s="1"/>
  <c r="CI52" i="5"/>
  <c r="CI53" i="5" s="1"/>
  <c r="CF14" i="6"/>
  <c r="CL14" i="6" s="1"/>
  <c r="CF92" i="7"/>
  <c r="CF105" i="7" s="1"/>
  <c r="CK16" i="6"/>
  <c r="CK94" i="7"/>
  <c r="CK107" i="7" s="1"/>
  <c r="CE13" i="6"/>
  <c r="CK15" i="6"/>
  <c r="CK93" i="7"/>
  <c r="CK106" i="7" s="1"/>
  <c r="CC104" i="7"/>
  <c r="BW96" i="7"/>
  <c r="CC29" i="7"/>
  <c r="BW29" i="7"/>
  <c r="CI177" i="5"/>
  <c r="CC56" i="5"/>
  <c r="CI144" i="5"/>
  <c r="CI154" i="5" s="1"/>
  <c r="CI54" i="5"/>
  <c r="CL17" i="6"/>
  <c r="CI51" i="5"/>
  <c r="CI206" i="5"/>
  <c r="CI178" i="5" s="1"/>
  <c r="CL12" i="6"/>
  <c r="CI212" i="5"/>
  <c r="CI186" i="5" s="1"/>
  <c r="CK87" i="5"/>
  <c r="CK104" i="5"/>
  <c r="CK66" i="5"/>
  <c r="CK177" i="5" s="1"/>
  <c r="CK83" i="5"/>
  <c r="CK100" i="5"/>
  <c r="CC53" i="5"/>
  <c r="CC51" i="5"/>
  <c r="CE50" i="5"/>
  <c r="CE144" i="5" s="1"/>
  <c r="CE154" i="5" s="1"/>
  <c r="BO134" i="5"/>
  <c r="BO29" i="5" s="1"/>
  <c r="BW155" i="5"/>
  <c r="CA15" i="6"/>
  <c r="CF15" i="6"/>
  <c r="CL93" i="7" s="1"/>
  <c r="CL106" i="7" s="1"/>
  <c r="CC187" i="5"/>
  <c r="CC213" i="5"/>
  <c r="CC214" i="5"/>
  <c r="CC186" i="5"/>
  <c r="CC178" i="5"/>
  <c r="CC207" i="5"/>
  <c r="CC208" i="5"/>
  <c r="CC179" i="5"/>
  <c r="CE212" i="5"/>
  <c r="CE185" i="5"/>
  <c r="CC14" i="5"/>
  <c r="CF87" i="5"/>
  <c r="CF104" i="5"/>
  <c r="CE206" i="5"/>
  <c r="CE177" i="5"/>
  <c r="CE54" i="5"/>
  <c r="CC13" i="5"/>
  <c r="CC154" i="5"/>
  <c r="CA16" i="6"/>
  <c r="CF16" i="6"/>
  <c r="CL94" i="7" s="1"/>
  <c r="CL107" i="7" s="1"/>
  <c r="CC146" i="5"/>
  <c r="CC55" i="5"/>
  <c r="CF100" i="5"/>
  <c r="CF83" i="5"/>
  <c r="CF66" i="5"/>
  <c r="BW11" i="10"/>
  <c r="BW241" i="5"/>
  <c r="BZ54" i="5"/>
  <c r="BZ55" i="5" s="1"/>
  <c r="BW90" i="5"/>
  <c r="BW107" i="5"/>
  <c r="BW56" i="5"/>
  <c r="BW53" i="5"/>
  <c r="BW73" i="5"/>
  <c r="BZ13" i="6"/>
  <c r="BS188" i="10"/>
  <c r="BT25" i="11"/>
  <c r="BW91" i="5"/>
  <c r="BW113" i="7"/>
  <c r="BW117" i="7" s="1"/>
  <c r="BU158" i="10"/>
  <c r="BZ51" i="5"/>
  <c r="L74" i="11"/>
  <c r="K76" i="11"/>
  <c r="BT26" i="11"/>
  <c r="BU25" i="10"/>
  <c r="BT164" i="10"/>
  <c r="BW74" i="5"/>
  <c r="BW114" i="7"/>
  <c r="BW118" i="7" s="1"/>
  <c r="BZ212" i="5"/>
  <c r="BZ185" i="5"/>
  <c r="BU156" i="10"/>
  <c r="BZ206" i="5"/>
  <c r="BZ177" i="5"/>
  <c r="AK98" i="10"/>
  <c r="AM91" i="10"/>
  <c r="BX12" i="7"/>
  <c r="AG98" i="10"/>
  <c r="AH91" i="10"/>
  <c r="AH97" i="10" s="1"/>
  <c r="BY85" i="5"/>
  <c r="BY89" i="5" s="1"/>
  <c r="BY45" i="6"/>
  <c r="BY46" i="6" s="1"/>
  <c r="BY60" i="6"/>
  <c r="BY18" i="6"/>
  <c r="BW57" i="5"/>
  <c r="BS31" i="10"/>
  <c r="BW182" i="5"/>
  <c r="BW211" i="5"/>
  <c r="BW210" i="5"/>
  <c r="BW183" i="5"/>
  <c r="BY207" i="5"/>
  <c r="BY208" i="5"/>
  <c r="BY178" i="5"/>
  <c r="BY179" i="5"/>
  <c r="BW39" i="5"/>
  <c r="BW22" i="7" s="1"/>
  <c r="BW25" i="7" s="1"/>
  <c r="BW11" i="5"/>
  <c r="BW149" i="10"/>
  <c r="BW105" i="10"/>
  <c r="BW101" i="10"/>
  <c r="BW13" i="10"/>
  <c r="BW215" i="5"/>
  <c r="BW216" i="5" s="1"/>
  <c r="BT30" i="10"/>
  <c r="BT27" i="10"/>
  <c r="BT26" i="10"/>
  <c r="BT13" i="11"/>
  <c r="BT123" i="5"/>
  <c r="BT19" i="5"/>
  <c r="CA14" i="6"/>
  <c r="BS191" i="5"/>
  <c r="AC98" i="10"/>
  <c r="AD91" i="10"/>
  <c r="AD97" i="10" s="1"/>
  <c r="AD98" i="10" s="1"/>
  <c r="BW40" i="5"/>
  <c r="BT157" i="10"/>
  <c r="BU12" i="10"/>
  <c r="BY55" i="5"/>
  <c r="BY146" i="5"/>
  <c r="BY156" i="5" s="1"/>
  <c r="BS108" i="5"/>
  <c r="BS230" i="5"/>
  <c r="BS237" i="5" s="1"/>
  <c r="BS150" i="10"/>
  <c r="BS109" i="5"/>
  <c r="BS110" i="5" s="1"/>
  <c r="BS165" i="10"/>
  <c r="BS167" i="10" s="1"/>
  <c r="BY186" i="5"/>
  <c r="BY213" i="5"/>
  <c r="BY214" i="5"/>
  <c r="BY187" i="5"/>
  <c r="BW190" i="5"/>
  <c r="BW157" i="5"/>
  <c r="BW191" i="5" s="1"/>
  <c r="BT191" i="5"/>
  <c r="BX209" i="5"/>
  <c r="BX181" i="5"/>
  <c r="BX145" i="5"/>
  <c r="BZ144" i="5"/>
  <c r="BW19" i="6"/>
  <c r="CI34" i="7" l="1"/>
  <c r="CL70" i="5"/>
  <c r="CL54" i="5" s="1"/>
  <c r="CL55" i="5" s="1"/>
  <c r="CJ60" i="6"/>
  <c r="CJ68" i="5"/>
  <c r="CJ181" i="5" s="1"/>
  <c r="CE68" i="5"/>
  <c r="BZ68" i="5"/>
  <c r="BZ72" i="5" s="1"/>
  <c r="BZ12" i="5" s="1"/>
  <c r="BZ102" i="5"/>
  <c r="BZ106" i="5" s="1"/>
  <c r="BZ14" i="5" s="1"/>
  <c r="CI20" i="7"/>
  <c r="CI21" i="7"/>
  <c r="CC20" i="7"/>
  <c r="CC37" i="7" s="1"/>
  <c r="CC21" i="7"/>
  <c r="CC38" i="7" s="1"/>
  <c r="CI19" i="7"/>
  <c r="CI18" i="7"/>
  <c r="CC96" i="7"/>
  <c r="CC19" i="7"/>
  <c r="CC36" i="7" s="1"/>
  <c r="CC18" i="7"/>
  <c r="CC35" i="7" s="1"/>
  <c r="CM14" i="6"/>
  <c r="CI12" i="7"/>
  <c r="CC40" i="5"/>
  <c r="CC34" i="7"/>
  <c r="CD52" i="5"/>
  <c r="CD53" i="5" s="1"/>
  <c r="CD181" i="5"/>
  <c r="CC215" i="5"/>
  <c r="CC216" i="5" s="1"/>
  <c r="CI40" i="5"/>
  <c r="CC147" i="5"/>
  <c r="CC190" i="5" s="1"/>
  <c r="CC183" i="5"/>
  <c r="CC12" i="5"/>
  <c r="CC11" i="10"/>
  <c r="CC73" i="5"/>
  <c r="CC241" i="5"/>
  <c r="CC105" i="10"/>
  <c r="CC107" i="5"/>
  <c r="CC149" i="10"/>
  <c r="CD209" i="5"/>
  <c r="CE85" i="5"/>
  <c r="CE89" i="5" s="1"/>
  <c r="CE13" i="5" s="1"/>
  <c r="CC90" i="5"/>
  <c r="CC13" i="10"/>
  <c r="CC158" i="10" s="1"/>
  <c r="CC19" i="6"/>
  <c r="CG14" i="6"/>
  <c r="CC39" i="5"/>
  <c r="CC22" i="7" s="1"/>
  <c r="CC25" i="7" s="1"/>
  <c r="CC101" i="10"/>
  <c r="CC36" i="11" s="1"/>
  <c r="CJ102" i="5"/>
  <c r="CI56" i="6"/>
  <c r="CI96" i="7"/>
  <c r="CC211" i="5"/>
  <c r="CC210" i="5"/>
  <c r="CE18" i="6"/>
  <c r="CE10" i="5" s="1"/>
  <c r="CJ85" i="5"/>
  <c r="CJ45" i="6"/>
  <c r="CJ46" i="6" s="1"/>
  <c r="CL92" i="7"/>
  <c r="CL105" i="7" s="1"/>
  <c r="CE102" i="5"/>
  <c r="CE60" i="6"/>
  <c r="CE45" i="6"/>
  <c r="CE46" i="6" s="1"/>
  <c r="CE12" i="7" s="1"/>
  <c r="CE91" i="7" s="1"/>
  <c r="CI10" i="5"/>
  <c r="CI72" i="5"/>
  <c r="CI189" i="5" s="1"/>
  <c r="CI209" i="5"/>
  <c r="CI210" i="5" s="1"/>
  <c r="CI181" i="5"/>
  <c r="CI145" i="5"/>
  <c r="CI155" i="5" s="1"/>
  <c r="CI56" i="5"/>
  <c r="CK13" i="6"/>
  <c r="CK68" i="5" s="1"/>
  <c r="CD29" i="7"/>
  <c r="BX91" i="7"/>
  <c r="BX29" i="7"/>
  <c r="CI208" i="5"/>
  <c r="CI14" i="5"/>
  <c r="BS231" i="5"/>
  <c r="CI146" i="5"/>
  <c r="CI55" i="5"/>
  <c r="CE51" i="5"/>
  <c r="CI214" i="5"/>
  <c r="CK212" i="5"/>
  <c r="CK213" i="5" s="1"/>
  <c r="CK50" i="5"/>
  <c r="CK54" i="5"/>
  <c r="CI213" i="5"/>
  <c r="CI187" i="5"/>
  <c r="CL87" i="5"/>
  <c r="CL104" i="5"/>
  <c r="CK206" i="5"/>
  <c r="CK208" i="5" s="1"/>
  <c r="CL83" i="5"/>
  <c r="CL66" i="5"/>
  <c r="CL177" i="5" s="1"/>
  <c r="CL100" i="5"/>
  <c r="CI179" i="5"/>
  <c r="CI207" i="5"/>
  <c r="CG15" i="6"/>
  <c r="CL15" i="6"/>
  <c r="CG16" i="6"/>
  <c r="CL16" i="6"/>
  <c r="CM16" i="6" s="1"/>
  <c r="CI114" i="7"/>
  <c r="CF50" i="5"/>
  <c r="CF54" i="5"/>
  <c r="BW15" i="5"/>
  <c r="BW27" i="10" s="1"/>
  <c r="BR114" i="10"/>
  <c r="BQ126" i="5"/>
  <c r="BQ17" i="5"/>
  <c r="CC113" i="7"/>
  <c r="CC117" i="7" s="1"/>
  <c r="CC91" i="5"/>
  <c r="CE58" i="6"/>
  <c r="CE24" i="7" s="1"/>
  <c r="CF206" i="5"/>
  <c r="CF177" i="5"/>
  <c r="CC114" i="7"/>
  <c r="CC118" i="7" s="1"/>
  <c r="CC74" i="5"/>
  <c r="CF13" i="6"/>
  <c r="CF68" i="5" s="1"/>
  <c r="CE187" i="5"/>
  <c r="CE186" i="5"/>
  <c r="CE213" i="5"/>
  <c r="CE214" i="5"/>
  <c r="CE208" i="5"/>
  <c r="CE207" i="5"/>
  <c r="CE178" i="5"/>
  <c r="CE179" i="5"/>
  <c r="CF212" i="5"/>
  <c r="CF185" i="5"/>
  <c r="CC156" i="5"/>
  <c r="CE55" i="5"/>
  <c r="CE146" i="5"/>
  <c r="CE156" i="5" s="1"/>
  <c r="BZ146" i="5"/>
  <c r="BZ156" i="5" s="1"/>
  <c r="BZ85" i="5"/>
  <c r="BZ89" i="5" s="1"/>
  <c r="BZ13" i="5" s="1"/>
  <c r="BZ18" i="6"/>
  <c r="CA13" i="6"/>
  <c r="BZ45" i="6"/>
  <c r="BZ46" i="6" s="1"/>
  <c r="BZ57" i="6" s="1"/>
  <c r="BZ17" i="7" s="1"/>
  <c r="BZ60" i="6"/>
  <c r="BT188" i="10"/>
  <c r="BU188" i="10" s="1"/>
  <c r="BW24" i="11"/>
  <c r="BW156" i="10"/>
  <c r="BY13" i="5"/>
  <c r="BZ154" i="5"/>
  <c r="BT109" i="5"/>
  <c r="BT110" i="5" s="1"/>
  <c r="BT150" i="10"/>
  <c r="BT108" i="5"/>
  <c r="BT230" i="5"/>
  <c r="BU27" i="10"/>
  <c r="BY52" i="5"/>
  <c r="BY12" i="7"/>
  <c r="BY57" i="6"/>
  <c r="BY17" i="7" s="1"/>
  <c r="AI91" i="10"/>
  <c r="AI97" i="10" s="1"/>
  <c r="AH98" i="10"/>
  <c r="BZ186" i="5"/>
  <c r="BZ214" i="5"/>
  <c r="BZ187" i="5"/>
  <c r="BZ213" i="5"/>
  <c r="BU164" i="10"/>
  <c r="BS182" i="10"/>
  <c r="BU30" i="10"/>
  <c r="BT165" i="10"/>
  <c r="BT167" i="10" s="1"/>
  <c r="BT30" i="11"/>
  <c r="BY14" i="5"/>
  <c r="BX182" i="5"/>
  <c r="BX183" i="5"/>
  <c r="BX210" i="5"/>
  <c r="BX211" i="5"/>
  <c r="BW158" i="10"/>
  <c r="AM97" i="10"/>
  <c r="AQ91" i="10"/>
  <c r="AQ97" i="10" s="1"/>
  <c r="BY56" i="6"/>
  <c r="BY10" i="5"/>
  <c r="BX155" i="5"/>
  <c r="BU157" i="10"/>
  <c r="BT27" i="11"/>
  <c r="BU26" i="10"/>
  <c r="BW36" i="11"/>
  <c r="BW12" i="10"/>
  <c r="BW25" i="10"/>
  <c r="BW41" i="5"/>
  <c r="BY181" i="5"/>
  <c r="BY209" i="5"/>
  <c r="BY72" i="5"/>
  <c r="BZ178" i="5"/>
  <c r="BZ179" i="5"/>
  <c r="BZ208" i="5"/>
  <c r="BZ207" i="5"/>
  <c r="BT31" i="10"/>
  <c r="L57" i="11"/>
  <c r="CG68" i="5" l="1"/>
  <c r="CE52" i="5"/>
  <c r="CE145" i="5" s="1"/>
  <c r="BY91" i="5"/>
  <c r="CI36" i="7"/>
  <c r="CI38" i="7"/>
  <c r="CI35" i="7"/>
  <c r="CI37" i="7"/>
  <c r="BY20" i="7"/>
  <c r="BY21" i="7"/>
  <c r="BY38" i="7" s="1"/>
  <c r="BZ20" i="7"/>
  <c r="BZ21" i="7"/>
  <c r="BZ38" i="7" s="1"/>
  <c r="BZ18" i="7"/>
  <c r="BZ19" i="7"/>
  <c r="BY19" i="7"/>
  <c r="BY18" i="7"/>
  <c r="CC109" i="7"/>
  <c r="CD145" i="5"/>
  <c r="CD155" i="5" s="1"/>
  <c r="CI29" i="7"/>
  <c r="CI91" i="7"/>
  <c r="CC11" i="5"/>
  <c r="CD183" i="5"/>
  <c r="CE181" i="5"/>
  <c r="CD211" i="5"/>
  <c r="CD182" i="5"/>
  <c r="CD210" i="5"/>
  <c r="CC57" i="5"/>
  <c r="CC156" i="10"/>
  <c r="CC157" i="5"/>
  <c r="CC191" i="5" s="1"/>
  <c r="CE72" i="5"/>
  <c r="CE189" i="5" s="1"/>
  <c r="CE57" i="6"/>
  <c r="CE17" i="7" s="1"/>
  <c r="CI12" i="5"/>
  <c r="CI11" i="5" s="1"/>
  <c r="CI109" i="7"/>
  <c r="CI241" i="5"/>
  <c r="CK85" i="5"/>
  <c r="CK89" i="5" s="1"/>
  <c r="CK13" i="5" s="1"/>
  <c r="CI113" i="7"/>
  <c r="CI117" i="7" s="1"/>
  <c r="CE56" i="6"/>
  <c r="CJ209" i="5"/>
  <c r="CJ183" i="5" s="1"/>
  <c r="CE209" i="5"/>
  <c r="CE210" i="5" s="1"/>
  <c r="CE19" i="6"/>
  <c r="CE105" i="10"/>
  <c r="CJ12" i="7"/>
  <c r="CE106" i="5"/>
  <c r="CE107" i="5" s="1"/>
  <c r="CK58" i="6"/>
  <c r="CK24" i="7" s="1"/>
  <c r="CI215" i="5"/>
  <c r="CI216" i="5" s="1"/>
  <c r="CI183" i="5"/>
  <c r="CJ52" i="5"/>
  <c r="CE149" i="10"/>
  <c r="CE13" i="10"/>
  <c r="CE158" i="10" s="1"/>
  <c r="CE101" i="10"/>
  <c r="CE36" i="11" s="1"/>
  <c r="CE47" i="11" s="1"/>
  <c r="CE49" i="11" s="1"/>
  <c r="CE11" i="10"/>
  <c r="CE90" i="5"/>
  <c r="CI90" i="5"/>
  <c r="CI13" i="10"/>
  <c r="CI158" i="10" s="1"/>
  <c r="CI105" i="10"/>
  <c r="CI74" i="5"/>
  <c r="CI73" i="5"/>
  <c r="CI101" i="10"/>
  <c r="CI36" i="11" s="1"/>
  <c r="CI47" i="11" s="1"/>
  <c r="CI49" i="11" s="1"/>
  <c r="CI11" i="10"/>
  <c r="CI149" i="10"/>
  <c r="CI39" i="5"/>
  <c r="CI22" i="7" s="1"/>
  <c r="CI25" i="7" s="1"/>
  <c r="CI19" i="6"/>
  <c r="CI107" i="5"/>
  <c r="CI147" i="5"/>
  <c r="CI157" i="5" s="1"/>
  <c r="CI191" i="5" s="1"/>
  <c r="CI211" i="5"/>
  <c r="CI182" i="5"/>
  <c r="CK102" i="5"/>
  <c r="CK106" i="5" s="1"/>
  <c r="CK14" i="5" s="1"/>
  <c r="CK18" i="6"/>
  <c r="CK45" i="6"/>
  <c r="CK46" i="6" s="1"/>
  <c r="CK12" i="7" s="1"/>
  <c r="CK60" i="6"/>
  <c r="BZ34" i="7"/>
  <c r="BZ96" i="7"/>
  <c r="BZ109" i="7" s="1"/>
  <c r="BY29" i="7"/>
  <c r="BY91" i="7"/>
  <c r="BY104" i="7" s="1"/>
  <c r="BY34" i="7"/>
  <c r="BY96" i="7"/>
  <c r="BY109" i="7" s="1"/>
  <c r="BX104" i="7"/>
  <c r="CD104" i="7"/>
  <c r="CE29" i="7"/>
  <c r="BT237" i="5"/>
  <c r="CK214" i="5"/>
  <c r="CI91" i="5"/>
  <c r="BS242" i="5"/>
  <c r="CI156" i="5"/>
  <c r="CK187" i="5"/>
  <c r="CF51" i="5"/>
  <c r="CK178" i="5"/>
  <c r="CF144" i="5"/>
  <c r="CF154" i="5" s="1"/>
  <c r="CF55" i="5"/>
  <c r="CL185" i="5"/>
  <c r="CK186" i="5"/>
  <c r="CL206" i="5"/>
  <c r="CL212" i="5"/>
  <c r="CL187" i="5" s="1"/>
  <c r="CK55" i="5"/>
  <c r="CK146" i="5"/>
  <c r="CL50" i="5"/>
  <c r="CK207" i="5"/>
  <c r="CK179" i="5"/>
  <c r="CL146" i="5"/>
  <c r="CL156" i="5" s="1"/>
  <c r="CK51" i="5"/>
  <c r="CK144" i="5"/>
  <c r="CM15" i="6"/>
  <c r="CL13" i="6"/>
  <c r="CI118" i="7"/>
  <c r="CF146" i="5"/>
  <c r="CF156" i="5" s="1"/>
  <c r="BW30" i="10"/>
  <c r="BW26" i="10"/>
  <c r="BW19" i="5"/>
  <c r="CA45" i="6"/>
  <c r="BQ29" i="5"/>
  <c r="BZ52" i="5"/>
  <c r="BZ53" i="5" s="1"/>
  <c r="BZ189" i="5"/>
  <c r="BZ181" i="5"/>
  <c r="CA68" i="5"/>
  <c r="CA181" i="5" s="1"/>
  <c r="CE241" i="5"/>
  <c r="CC47" i="11"/>
  <c r="CC49" i="11" s="1"/>
  <c r="CF214" i="5"/>
  <c r="CF213" i="5"/>
  <c r="CF186" i="5"/>
  <c r="CF187" i="5"/>
  <c r="CF45" i="6"/>
  <c r="CF46" i="6" s="1"/>
  <c r="CF102" i="5"/>
  <c r="CF85" i="5"/>
  <c r="CF60" i="6"/>
  <c r="CF18" i="6"/>
  <c r="CG13" i="6"/>
  <c r="CE114" i="7"/>
  <c r="CE74" i="5"/>
  <c r="BY241" i="5"/>
  <c r="CF58" i="6"/>
  <c r="CF24" i="7" s="1"/>
  <c r="CE39" i="5"/>
  <c r="CE22" i="7" s="1"/>
  <c r="CE25" i="7" s="1"/>
  <c r="CF208" i="5"/>
  <c r="CF207" i="5"/>
  <c r="CF178" i="5"/>
  <c r="CF179" i="5"/>
  <c r="BT231" i="5"/>
  <c r="BY107" i="5"/>
  <c r="BZ10" i="5"/>
  <c r="BZ91" i="5" s="1"/>
  <c r="BZ12" i="7"/>
  <c r="BZ91" i="7" s="1"/>
  <c r="BZ104" i="7" s="1"/>
  <c r="BZ56" i="6"/>
  <c r="BZ209" i="5"/>
  <c r="BZ215" i="5" s="1"/>
  <c r="BZ216" i="5" s="1"/>
  <c r="CA102" i="5"/>
  <c r="CA103" i="5" s="1"/>
  <c r="CA85" i="5"/>
  <c r="CA86" i="5" s="1"/>
  <c r="CA60" i="6"/>
  <c r="CA50" i="6"/>
  <c r="CA46" i="6"/>
  <c r="CA12" i="7" s="1"/>
  <c r="CA51" i="6"/>
  <c r="CA48" i="6" s="1"/>
  <c r="CA14" i="7" s="1"/>
  <c r="BU31" i="10"/>
  <c r="BW26" i="11"/>
  <c r="BW164" i="10"/>
  <c r="BY12" i="5"/>
  <c r="BY73" i="5"/>
  <c r="BY189" i="5"/>
  <c r="AM98" i="10"/>
  <c r="AN91" i="10"/>
  <c r="AN97" i="10" s="1"/>
  <c r="BU165" i="10"/>
  <c r="BU167" i="10" s="1"/>
  <c r="BY53" i="5"/>
  <c r="BY56" i="5"/>
  <c r="BY145" i="5"/>
  <c r="BY183" i="5"/>
  <c r="BY210" i="5"/>
  <c r="BY182" i="5"/>
  <c r="BY211" i="5"/>
  <c r="BY215" i="5"/>
  <c r="BY216" i="5" s="1"/>
  <c r="BY11" i="10"/>
  <c r="BY105" i="10"/>
  <c r="BY101" i="10"/>
  <c r="BY39" i="5"/>
  <c r="BY22" i="7" s="1"/>
  <c r="BY25" i="7" s="1"/>
  <c r="BY149" i="10"/>
  <c r="BY13" i="10"/>
  <c r="BZ113" i="7"/>
  <c r="BZ117" i="7" s="1"/>
  <c r="AI98" i="10"/>
  <c r="AJ91" i="10"/>
  <c r="AJ97" i="10" s="1"/>
  <c r="AJ98" i="10" s="1"/>
  <c r="BZ114" i="7"/>
  <c r="BZ118" i="7" s="1"/>
  <c r="BT23" i="11"/>
  <c r="BY40" i="5"/>
  <c r="BT182" i="10"/>
  <c r="BY74" i="5"/>
  <c r="BY114" i="7"/>
  <c r="BY118" i="7" s="1"/>
  <c r="L64" i="11"/>
  <c r="L67" i="11" s="1"/>
  <c r="L72" i="11" s="1"/>
  <c r="M57" i="11"/>
  <c r="M64" i="11" s="1"/>
  <c r="M67" i="11" s="1"/>
  <c r="M72" i="11" s="1"/>
  <c r="BW47" i="11"/>
  <c r="BW49" i="11" s="1"/>
  <c r="BZ40" i="5"/>
  <c r="BY90" i="5"/>
  <c r="BW157" i="10"/>
  <c r="BW25" i="11"/>
  <c r="BY19" i="6"/>
  <c r="AQ98" i="10"/>
  <c r="AS91" i="10"/>
  <c r="BY113" i="7"/>
  <c r="BY117" i="7" s="1"/>
  <c r="CG69" i="5" l="1"/>
  <c r="CE56" i="5"/>
  <c r="CE53" i="5"/>
  <c r="CL68" i="5"/>
  <c r="CM68" i="5" s="1"/>
  <c r="CE20" i="7"/>
  <c r="CE37" i="7" s="1"/>
  <c r="CE21" i="7"/>
  <c r="CE38" i="7" s="1"/>
  <c r="CE96" i="7"/>
  <c r="CE109" i="7" s="1"/>
  <c r="CE19" i="7"/>
  <c r="CE36" i="7" s="1"/>
  <c r="CE18" i="7"/>
  <c r="CE35" i="7" s="1"/>
  <c r="CJ210" i="5"/>
  <c r="CI104" i="7"/>
  <c r="CC15" i="5"/>
  <c r="CC12" i="10"/>
  <c r="CC119" i="7"/>
  <c r="CC25" i="10"/>
  <c r="CC164" i="10" s="1"/>
  <c r="CC41" i="5"/>
  <c r="CE12" i="5"/>
  <c r="CE11" i="5" s="1"/>
  <c r="CE73" i="5"/>
  <c r="CE182" i="5"/>
  <c r="CE40" i="5"/>
  <c r="CE34" i="7"/>
  <c r="CK114" i="7"/>
  <c r="CK118" i="7" s="1"/>
  <c r="CI57" i="5"/>
  <c r="CI15" i="5"/>
  <c r="CI27" i="10" s="1"/>
  <c r="CI41" i="5"/>
  <c r="CE14" i="5"/>
  <c r="CK91" i="7"/>
  <c r="CJ211" i="5"/>
  <c r="CI25" i="10"/>
  <c r="CE211" i="5"/>
  <c r="CE215" i="5"/>
  <c r="CE216" i="5" s="1"/>
  <c r="CI12" i="10"/>
  <c r="BW197" i="10"/>
  <c r="BW198" i="10" s="1"/>
  <c r="CJ182" i="5"/>
  <c r="CI156" i="10"/>
  <c r="CE104" i="7"/>
  <c r="CE183" i="5"/>
  <c r="CE156" i="10"/>
  <c r="CJ53" i="5"/>
  <c r="CJ145" i="5"/>
  <c r="CJ91" i="7"/>
  <c r="CJ29" i="7"/>
  <c r="CK29" i="7"/>
  <c r="CK57" i="6"/>
  <c r="CK17" i="7" s="1"/>
  <c r="CK34" i="7" s="1"/>
  <c r="CI190" i="5"/>
  <c r="CK209" i="5"/>
  <c r="CK183" i="5" s="1"/>
  <c r="CK10" i="5"/>
  <c r="CK56" i="6"/>
  <c r="CK72" i="5"/>
  <c r="CK181" i="5"/>
  <c r="CK52" i="5"/>
  <c r="CK56" i="5" s="1"/>
  <c r="CA31" i="7"/>
  <c r="CA93" i="7"/>
  <c r="CA106" i="7" s="1"/>
  <c r="CA29" i="7"/>
  <c r="CA91" i="7"/>
  <c r="CA104" i="7" s="1"/>
  <c r="BZ29" i="7"/>
  <c r="CL207" i="5"/>
  <c r="CL213" i="5"/>
  <c r="BS238" i="5"/>
  <c r="BS240" i="5" s="1"/>
  <c r="CL214" i="5"/>
  <c r="CL208" i="5"/>
  <c r="BT238" i="5"/>
  <c r="BS111" i="5"/>
  <c r="CL186" i="5"/>
  <c r="CL178" i="5"/>
  <c r="CL179" i="5"/>
  <c r="CK154" i="5"/>
  <c r="CL51" i="5"/>
  <c r="CL144" i="5"/>
  <c r="CL154" i="5" s="1"/>
  <c r="CK156" i="5"/>
  <c r="CL45" i="6"/>
  <c r="CL46" i="6" s="1"/>
  <c r="CL12" i="7" s="1"/>
  <c r="CL60" i="6"/>
  <c r="CL18" i="6"/>
  <c r="CL85" i="5"/>
  <c r="CL102" i="5"/>
  <c r="CM13" i="6"/>
  <c r="CM45" i="6" s="1"/>
  <c r="CL58" i="6"/>
  <c r="CL24" i="7" s="1"/>
  <c r="BW30" i="11"/>
  <c r="CF52" i="5"/>
  <c r="CF53" i="5" s="1"/>
  <c r="BW165" i="10"/>
  <c r="BW167" i="10" s="1"/>
  <c r="BW188" i="10"/>
  <c r="BW109" i="5"/>
  <c r="BW110" i="5" s="1"/>
  <c r="BW230" i="5"/>
  <c r="BW150" i="10"/>
  <c r="BW153" i="10" s="1"/>
  <c r="BW183" i="10" s="1"/>
  <c r="BW31" i="10"/>
  <c r="BW27" i="11"/>
  <c r="BW108" i="5"/>
  <c r="CA52" i="5"/>
  <c r="CA53" i="5" s="1"/>
  <c r="BZ145" i="5"/>
  <c r="BZ155" i="5" s="1"/>
  <c r="BZ56" i="5"/>
  <c r="CA69" i="5"/>
  <c r="BZ11" i="10"/>
  <c r="BY57" i="5"/>
  <c r="CG60" i="6"/>
  <c r="CG45" i="6"/>
  <c r="CG51" i="6"/>
  <c r="CG50" i="6"/>
  <c r="CG46" i="6"/>
  <c r="CG12" i="7" s="1"/>
  <c r="CG85" i="5"/>
  <c r="CF89" i="5"/>
  <c r="CF57" i="6"/>
  <c r="CF17" i="7" s="1"/>
  <c r="CF12" i="7"/>
  <c r="CE155" i="5"/>
  <c r="CE147" i="5"/>
  <c r="CF10" i="5"/>
  <c r="CF56" i="6"/>
  <c r="CF106" i="5"/>
  <c r="CG102" i="5"/>
  <c r="CG103" i="5" s="1"/>
  <c r="CE118" i="7"/>
  <c r="CF181" i="5"/>
  <c r="CF209" i="5"/>
  <c r="CF72" i="5"/>
  <c r="BZ74" i="5"/>
  <c r="BZ149" i="10"/>
  <c r="BZ90" i="5"/>
  <c r="BZ107" i="5"/>
  <c r="BZ19" i="6"/>
  <c r="BZ241" i="5"/>
  <c r="BZ13" i="10"/>
  <c r="CA13" i="10" s="1"/>
  <c r="BZ39" i="5"/>
  <c r="BZ22" i="7" s="1"/>
  <c r="BZ25" i="7" s="1"/>
  <c r="BZ73" i="5"/>
  <c r="BZ57" i="5"/>
  <c r="BZ105" i="10"/>
  <c r="BZ11" i="5"/>
  <c r="BZ101" i="10"/>
  <c r="BZ36" i="11" s="1"/>
  <c r="BZ183" i="5"/>
  <c r="CA49" i="6"/>
  <c r="BZ182" i="5"/>
  <c r="BZ211" i="5"/>
  <c r="CA209" i="5"/>
  <c r="CA211" i="5" s="1"/>
  <c r="BZ210" i="5"/>
  <c r="BY11" i="5"/>
  <c r="CA47" i="6"/>
  <c r="L79" i="10"/>
  <c r="L75" i="11"/>
  <c r="L76" i="11" s="1"/>
  <c r="AW91" i="10"/>
  <c r="AW97" i="10" s="1"/>
  <c r="AS97" i="10"/>
  <c r="M75" i="11"/>
  <c r="M79" i="10"/>
  <c r="BY155" i="5"/>
  <c r="BY147" i="5"/>
  <c r="BY158" i="10"/>
  <c r="BY36" i="11"/>
  <c r="BY156" i="10"/>
  <c r="AN98" i="10"/>
  <c r="AO91" i="10"/>
  <c r="AO97" i="10" s="1"/>
  <c r="CL52" i="5" l="1"/>
  <c r="CL53" i="5" s="1"/>
  <c r="CM69" i="5"/>
  <c r="CK20" i="7"/>
  <c r="CK37" i="7" s="1"/>
  <c r="CK21" i="7"/>
  <c r="CK38" i="7" s="1"/>
  <c r="CF20" i="7"/>
  <c r="CF37" i="7" s="1"/>
  <c r="CF21" i="7"/>
  <c r="CF38" i="7" s="1"/>
  <c r="CE25" i="10"/>
  <c r="CE41" i="5"/>
  <c r="CE12" i="10"/>
  <c r="CE157" i="10" s="1"/>
  <c r="CF18" i="7"/>
  <c r="CF35" i="7" s="1"/>
  <c r="CF19" i="7"/>
  <c r="CF36" i="7" s="1"/>
  <c r="CK19" i="7"/>
  <c r="CK36" i="7" s="1"/>
  <c r="CK18" i="7"/>
  <c r="CK35" i="7" s="1"/>
  <c r="BW237" i="5"/>
  <c r="CC26" i="10"/>
  <c r="CE57" i="5"/>
  <c r="CC30" i="10"/>
  <c r="CC27" i="10"/>
  <c r="CC19" i="5"/>
  <c r="CC197" i="10" s="1"/>
  <c r="CC198" i="10" s="1"/>
  <c r="CC157" i="10"/>
  <c r="CI119" i="7"/>
  <c r="CI30" i="10"/>
  <c r="CI164" i="10"/>
  <c r="CI26" i="10"/>
  <c r="CI19" i="5"/>
  <c r="CI108" i="5" s="1"/>
  <c r="CK113" i="7"/>
  <c r="CE15" i="5"/>
  <c r="CE26" i="10" s="1"/>
  <c r="CE91" i="5"/>
  <c r="CE113" i="7"/>
  <c r="CE117" i="7" s="1"/>
  <c r="CL91" i="7"/>
  <c r="CK96" i="7"/>
  <c r="CJ104" i="7"/>
  <c r="CK104" i="7"/>
  <c r="CK91" i="5"/>
  <c r="CI157" i="10"/>
  <c r="CK215" i="5"/>
  <c r="CK216" i="5" s="1"/>
  <c r="CK210" i="5"/>
  <c r="BW199" i="10"/>
  <c r="CK182" i="5"/>
  <c r="CK211" i="5"/>
  <c r="CK145" i="5"/>
  <c r="CJ155" i="5"/>
  <c r="CK40" i="5"/>
  <c r="CK53" i="5"/>
  <c r="CK11" i="10"/>
  <c r="CK39" i="5"/>
  <c r="CK22" i="7" s="1"/>
  <c r="CK25" i="7" s="1"/>
  <c r="CK19" i="6"/>
  <c r="CK101" i="10"/>
  <c r="CK36" i="11" s="1"/>
  <c r="CK105" i="10"/>
  <c r="CK13" i="10"/>
  <c r="CK158" i="10" s="1"/>
  <c r="CK241" i="5"/>
  <c r="CK149" i="10"/>
  <c r="CK74" i="5"/>
  <c r="CK90" i="5"/>
  <c r="CK12" i="5"/>
  <c r="CK189" i="5"/>
  <c r="CK73" i="5"/>
  <c r="CK107" i="5"/>
  <c r="CA13" i="7"/>
  <c r="CA92" i="7" s="1"/>
  <c r="CA105" i="7" s="1"/>
  <c r="CA15" i="7"/>
  <c r="CA32" i="7" s="1"/>
  <c r="CF29" i="7"/>
  <c r="CF91" i="7"/>
  <c r="CF34" i="7"/>
  <c r="CF96" i="7"/>
  <c r="CF109" i="7" s="1"/>
  <c r="CG29" i="7"/>
  <c r="CG91" i="7"/>
  <c r="CG104" i="7" s="1"/>
  <c r="CL29" i="7"/>
  <c r="CL181" i="5"/>
  <c r="BT240" i="5"/>
  <c r="BW231" i="5"/>
  <c r="BT242" i="5"/>
  <c r="BW23" i="11"/>
  <c r="CL57" i="6"/>
  <c r="CL17" i="7" s="1"/>
  <c r="CL34" i="7" s="1"/>
  <c r="CL10" i="5"/>
  <c r="CL56" i="6"/>
  <c r="CM46" i="6"/>
  <c r="CM12" i="7" s="1"/>
  <c r="CM51" i="6"/>
  <c r="CM50" i="6"/>
  <c r="CM60" i="6"/>
  <c r="CL72" i="5"/>
  <c r="CL189" i="5" s="1"/>
  <c r="CM181" i="5"/>
  <c r="CL209" i="5"/>
  <c r="CL106" i="5"/>
  <c r="CM102" i="5"/>
  <c r="CM52" i="5"/>
  <c r="CL89" i="5"/>
  <c r="CM85" i="5"/>
  <c r="CF145" i="5"/>
  <c r="CF155" i="5" s="1"/>
  <c r="CF56" i="5"/>
  <c r="CG52" i="5"/>
  <c r="CG53" i="5" s="1"/>
  <c r="BW182" i="10"/>
  <c r="BW184" i="10" s="1"/>
  <c r="BW185" i="10" s="1"/>
  <c r="CC24" i="11"/>
  <c r="BZ24" i="11"/>
  <c r="BZ147" i="5"/>
  <c r="BZ157" i="5" s="1"/>
  <c r="BZ191" i="5" s="1"/>
  <c r="CA145" i="5"/>
  <c r="CA155" i="5" s="1"/>
  <c r="BZ156" i="10"/>
  <c r="CA11" i="10"/>
  <c r="BZ15" i="5"/>
  <c r="BZ27" i="10" s="1"/>
  <c r="CA27" i="10" s="1"/>
  <c r="BZ47" i="11"/>
  <c r="BZ49" i="11" s="1"/>
  <c r="CF183" i="5"/>
  <c r="CF182" i="5"/>
  <c r="CF210" i="5"/>
  <c r="CF211" i="5"/>
  <c r="CF215" i="5"/>
  <c r="CG209" i="5"/>
  <c r="CF241" i="5"/>
  <c r="CF13" i="10"/>
  <c r="CF149" i="10"/>
  <c r="CF11" i="10"/>
  <c r="CF39" i="5"/>
  <c r="CF22" i="7" s="1"/>
  <c r="CF25" i="7" s="1"/>
  <c r="CF105" i="10"/>
  <c r="CF101" i="10"/>
  <c r="CE190" i="5"/>
  <c r="CE157" i="5"/>
  <c r="CE191" i="5" s="1"/>
  <c r="CF73" i="5"/>
  <c r="CF12" i="5"/>
  <c r="CF189" i="5"/>
  <c r="CF19" i="6"/>
  <c r="CF90" i="5"/>
  <c r="CF13" i="5"/>
  <c r="CF40" i="5"/>
  <c r="CG181" i="5"/>
  <c r="CF14" i="5"/>
  <c r="CF107" i="5"/>
  <c r="CG86" i="5"/>
  <c r="CG49" i="6"/>
  <c r="CG47" i="6"/>
  <c r="CG48" i="6"/>
  <c r="CG14" i="7" s="1"/>
  <c r="BZ158" i="10"/>
  <c r="BZ41" i="5"/>
  <c r="BZ25" i="10"/>
  <c r="BZ12" i="10"/>
  <c r="BZ119" i="7"/>
  <c r="CA183" i="5"/>
  <c r="CA210" i="5"/>
  <c r="CA182" i="5"/>
  <c r="BY25" i="10"/>
  <c r="BY15" i="5"/>
  <c r="BY18" i="5" s="1"/>
  <c r="BY13" i="11" s="1"/>
  <c r="BY12" i="10"/>
  <c r="BY41" i="5"/>
  <c r="BY119" i="7"/>
  <c r="S74" i="11"/>
  <c r="O74" i="11"/>
  <c r="M76" i="11"/>
  <c r="CA158" i="10"/>
  <c r="BY157" i="5"/>
  <c r="BY191" i="5" s="1"/>
  <c r="BY190" i="5"/>
  <c r="AT91" i="10"/>
  <c r="AT97" i="10" s="1"/>
  <c r="AS98" i="10"/>
  <c r="BY47" i="11"/>
  <c r="BY49" i="11" s="1"/>
  <c r="AP91" i="10"/>
  <c r="AP97" i="10" s="1"/>
  <c r="AP98" i="10" s="1"/>
  <c r="AO98" i="10"/>
  <c r="BW154" i="10"/>
  <c r="BW155" i="10" s="1"/>
  <c r="AW98" i="10"/>
  <c r="AY91" i="10"/>
  <c r="CL145" i="5" l="1"/>
  <c r="CL56" i="5"/>
  <c r="CE164" i="10"/>
  <c r="CL20" i="7"/>
  <c r="CL37" i="7" s="1"/>
  <c r="CL21" i="7"/>
  <c r="CL38" i="7" s="1"/>
  <c r="CL18" i="7"/>
  <c r="CL35" i="7" s="1"/>
  <c r="CL19" i="7"/>
  <c r="CL36" i="7" s="1"/>
  <c r="CC109" i="5"/>
  <c r="CC110" i="5" s="1"/>
  <c r="CC230" i="5"/>
  <c r="CC108" i="5"/>
  <c r="CC150" i="10"/>
  <c r="CC153" i="10" s="1"/>
  <c r="CC183" i="10" s="1"/>
  <c r="CC165" i="10"/>
  <c r="CC167" i="10" s="1"/>
  <c r="CC188" i="10"/>
  <c r="CC31" i="10"/>
  <c r="CE18" i="5"/>
  <c r="CE13" i="11" s="1"/>
  <c r="CE27" i="10"/>
  <c r="CE30" i="10"/>
  <c r="CE19" i="5"/>
  <c r="CE123" i="5"/>
  <c r="CI31" i="10"/>
  <c r="CK117" i="7"/>
  <c r="CI165" i="10"/>
  <c r="CI167" i="10" s="1"/>
  <c r="CI188" i="10"/>
  <c r="CI150" i="10"/>
  <c r="CI182" i="10" s="1"/>
  <c r="CI109" i="5"/>
  <c r="CI110" i="5" s="1"/>
  <c r="CI230" i="5"/>
  <c r="CI231" i="5" s="1"/>
  <c r="CL19" i="6"/>
  <c r="CM91" i="7"/>
  <c r="CL96" i="7"/>
  <c r="CK109" i="7"/>
  <c r="CK57" i="5"/>
  <c r="CI197" i="10"/>
  <c r="CI198" i="10" s="1"/>
  <c r="CK47" i="11"/>
  <c r="CK49" i="11" s="1"/>
  <c r="CC199" i="10"/>
  <c r="CK147" i="5"/>
  <c r="CK155" i="5"/>
  <c r="CA30" i="7"/>
  <c r="CK11" i="5"/>
  <c r="CK156" i="10"/>
  <c r="CG13" i="7"/>
  <c r="CG30" i="7" s="1"/>
  <c r="CA94" i="7"/>
  <c r="CA107" i="7" s="1"/>
  <c r="CG15" i="7"/>
  <c r="CG94" i="7" s="1"/>
  <c r="CL104" i="7"/>
  <c r="CF104" i="7"/>
  <c r="CG31" i="7"/>
  <c r="CG93" i="7"/>
  <c r="CG106" i="7" s="1"/>
  <c r="CM29" i="7"/>
  <c r="BW238" i="5"/>
  <c r="BT111" i="5"/>
  <c r="CL40" i="5"/>
  <c r="CG145" i="5"/>
  <c r="CG155" i="5" s="1"/>
  <c r="CF147" i="5"/>
  <c r="CF157" i="5" s="1"/>
  <c r="CF191" i="5" s="1"/>
  <c r="CL14" i="5"/>
  <c r="CL107" i="5"/>
  <c r="CM86" i="5"/>
  <c r="CL210" i="5"/>
  <c r="CL183" i="5"/>
  <c r="CL215" i="5"/>
  <c r="CL216" i="5" s="1"/>
  <c r="CM209" i="5"/>
  <c r="CM182" i="5" s="1"/>
  <c r="CL182" i="5"/>
  <c r="CL13" i="5"/>
  <c r="CL90" i="5"/>
  <c r="CM53" i="5"/>
  <c r="CL12" i="5"/>
  <c r="CL73" i="5"/>
  <c r="CM49" i="6"/>
  <c r="CM15" i="7" s="1"/>
  <c r="CM47" i="6"/>
  <c r="CM13" i="7" s="1"/>
  <c r="CM48" i="6"/>
  <c r="CM14" i="7" s="1"/>
  <c r="CL11" i="10"/>
  <c r="CL149" i="10"/>
  <c r="CL13" i="10"/>
  <c r="CL241" i="5"/>
  <c r="CL39" i="5"/>
  <c r="CL22" i="7" s="1"/>
  <c r="CL25" i="7" s="1"/>
  <c r="CL101" i="10"/>
  <c r="CL105" i="10"/>
  <c r="CI24" i="11"/>
  <c r="CF57" i="5"/>
  <c r="CL211" i="5"/>
  <c r="CL155" i="5"/>
  <c r="CL147" i="5"/>
  <c r="CL157" i="5" s="1"/>
  <c r="CL191" i="5" s="1"/>
  <c r="CM145" i="5"/>
  <c r="CM103" i="5"/>
  <c r="CF216" i="5"/>
  <c r="BW242" i="5"/>
  <c r="BZ190" i="5"/>
  <c r="CA156" i="10"/>
  <c r="BZ19" i="5"/>
  <c r="BZ26" i="10"/>
  <c r="CA26" i="10" s="1"/>
  <c r="BZ18" i="5"/>
  <c r="BZ13" i="11" s="1"/>
  <c r="BZ123" i="5"/>
  <c r="BZ30" i="10"/>
  <c r="BY157" i="10"/>
  <c r="CC26" i="11"/>
  <c r="CF11" i="5"/>
  <c r="CC25" i="11"/>
  <c r="CF36" i="11"/>
  <c r="CG210" i="5"/>
  <c r="CG183" i="5"/>
  <c r="CG182" i="5"/>
  <c r="CG211" i="5"/>
  <c r="CF113" i="7"/>
  <c r="CF117" i="7" s="1"/>
  <c r="CF91" i="5"/>
  <c r="CF156" i="10"/>
  <c r="CG11" i="10"/>
  <c r="CF24" i="11"/>
  <c r="CF114" i="7"/>
  <c r="CF118" i="7" s="1"/>
  <c r="CF74" i="5"/>
  <c r="CE119" i="7"/>
  <c r="CF158" i="10"/>
  <c r="CG13" i="10"/>
  <c r="CG158" i="10" s="1"/>
  <c r="BZ157" i="10"/>
  <c r="CA25" i="10"/>
  <c r="BZ164" i="10"/>
  <c r="CA12" i="10"/>
  <c r="BY19" i="5"/>
  <c r="BZ26" i="11"/>
  <c r="BY30" i="10"/>
  <c r="BY26" i="10"/>
  <c r="BY27" i="10"/>
  <c r="BY123" i="5"/>
  <c r="BY164" i="10"/>
  <c r="BZ25" i="11"/>
  <c r="O57" i="11"/>
  <c r="O64" i="11" s="1"/>
  <c r="O67" i="11" s="1"/>
  <c r="O72" i="11" s="1"/>
  <c r="O75" i="11" s="1"/>
  <c r="BC91" i="10"/>
  <c r="BC97" i="10" s="1"/>
  <c r="AY97" i="10"/>
  <c r="AT98" i="10"/>
  <c r="AU91" i="10"/>
  <c r="AU97" i="10" s="1"/>
  <c r="CC182" i="10" l="1"/>
  <c r="CC184" i="10" s="1"/>
  <c r="CC185" i="10" s="1"/>
  <c r="CC231" i="5"/>
  <c r="CC237" i="5"/>
  <c r="CL113" i="7"/>
  <c r="CL117" i="7" s="1"/>
  <c r="CE230" i="5"/>
  <c r="CE197" i="10"/>
  <c r="CE198" i="10" s="1"/>
  <c r="CE31" i="10"/>
  <c r="CE188" i="10"/>
  <c r="CE109" i="5"/>
  <c r="CE110" i="5" s="1"/>
  <c r="CE165" i="10"/>
  <c r="CE167" i="10" s="1"/>
  <c r="CE150" i="10"/>
  <c r="CE182" i="10" s="1"/>
  <c r="CE108" i="5"/>
  <c r="CI153" i="10"/>
  <c r="CI183" i="10" s="1"/>
  <c r="CI184" i="10" s="1"/>
  <c r="CI185" i="10" s="1"/>
  <c r="CI237" i="5"/>
  <c r="CI242" i="5" s="1"/>
  <c r="CG32" i="7"/>
  <c r="CM104" i="7"/>
  <c r="CL109" i="7"/>
  <c r="BY197" i="10"/>
  <c r="BY198" i="10" s="1"/>
  <c r="CI199" i="10"/>
  <c r="CL57" i="5"/>
  <c r="CK15" i="5"/>
  <c r="CK26" i="10" s="1"/>
  <c r="CK157" i="5"/>
  <c r="CK191" i="5" s="1"/>
  <c r="CK190" i="5"/>
  <c r="CK119" i="7"/>
  <c r="CK12" i="10"/>
  <c r="CK157" i="10" s="1"/>
  <c r="CK25" i="10"/>
  <c r="CK164" i="10" s="1"/>
  <c r="CK41" i="5"/>
  <c r="CG92" i="7"/>
  <c r="CG105" i="7" s="1"/>
  <c r="CG107" i="7"/>
  <c r="CM31" i="7"/>
  <c r="CM93" i="7"/>
  <c r="CM106" i="7" s="1"/>
  <c r="CM30" i="7"/>
  <c r="CM92" i="7"/>
  <c r="CM32" i="7"/>
  <c r="CM94" i="7"/>
  <c r="CM107" i="7" s="1"/>
  <c r="CF190" i="5"/>
  <c r="BW111" i="5"/>
  <c r="BW240" i="5"/>
  <c r="CM211" i="5"/>
  <c r="CL11" i="5"/>
  <c r="CL158" i="10"/>
  <c r="CM13" i="10"/>
  <c r="CL36" i="11"/>
  <c r="CL190" i="5"/>
  <c r="CL91" i="5"/>
  <c r="CM155" i="5"/>
  <c r="CM11" i="10"/>
  <c r="CL156" i="10"/>
  <c r="CL24" i="11"/>
  <c r="CL74" i="5"/>
  <c r="CL114" i="7"/>
  <c r="CL118" i="7" s="1"/>
  <c r="CM183" i="5"/>
  <c r="CM210" i="5"/>
  <c r="CF119" i="7"/>
  <c r="CG156" i="10"/>
  <c r="CF25" i="10"/>
  <c r="CF15" i="5"/>
  <c r="CF30" i="10" s="1"/>
  <c r="BZ165" i="10"/>
  <c r="BZ167" i="10" s="1"/>
  <c r="CA30" i="10"/>
  <c r="CA165" i="10" s="1"/>
  <c r="CC30" i="11"/>
  <c r="BZ188" i="10"/>
  <c r="CA188" i="10" s="1"/>
  <c r="CC27" i="11"/>
  <c r="BZ109" i="5"/>
  <c r="BZ110" i="5" s="1"/>
  <c r="BZ108" i="5"/>
  <c r="BZ150" i="10"/>
  <c r="BZ153" i="10" s="1"/>
  <c r="BZ183" i="10" s="1"/>
  <c r="BZ230" i="5"/>
  <c r="BZ27" i="11"/>
  <c r="BZ31" i="10"/>
  <c r="CF12" i="10"/>
  <c r="CF41" i="5"/>
  <c r="CC154" i="10"/>
  <c r="CC155" i="10" s="1"/>
  <c r="CF47" i="11"/>
  <c r="CF49" i="11" s="1"/>
  <c r="CA164" i="10"/>
  <c r="BY109" i="5"/>
  <c r="BY110" i="5" s="1"/>
  <c r="CA157" i="10"/>
  <c r="BY150" i="10"/>
  <c r="BY153" i="10" s="1"/>
  <c r="BY183" i="10" s="1"/>
  <c r="BY230" i="5"/>
  <c r="BY108" i="5"/>
  <c r="BY165" i="10"/>
  <c r="BY167" i="10" s="1"/>
  <c r="BY188" i="10"/>
  <c r="BY31" i="10"/>
  <c r="BZ30" i="11"/>
  <c r="O76" i="11"/>
  <c r="P74" i="11"/>
  <c r="AY98" i="10"/>
  <c r="AZ91" i="10"/>
  <c r="AZ97" i="10" s="1"/>
  <c r="AV91" i="10"/>
  <c r="AV97" i="10" s="1"/>
  <c r="AV98" i="10" s="1"/>
  <c r="AU98" i="10"/>
  <c r="BE91" i="10"/>
  <c r="BC98" i="10"/>
  <c r="O79" i="10"/>
  <c r="BZ237" i="5" l="1"/>
  <c r="CE237" i="5"/>
  <c r="CE231" i="5"/>
  <c r="CI238" i="5"/>
  <c r="CE153" i="10"/>
  <c r="CE183" i="10" s="1"/>
  <c r="CE184" i="10" s="1"/>
  <c r="CE185" i="10" s="1"/>
  <c r="CI154" i="10"/>
  <c r="CI155" i="10" s="1"/>
  <c r="CI111" i="5"/>
  <c r="CK30" i="10"/>
  <c r="CK19" i="5"/>
  <c r="CK27" i="10"/>
  <c r="CK123" i="5"/>
  <c r="CK18" i="5"/>
  <c r="CK13" i="11" s="1"/>
  <c r="CE199" i="10"/>
  <c r="BY199" i="10"/>
  <c r="BZ197" i="10"/>
  <c r="BZ198" i="10" s="1"/>
  <c r="CM156" i="10"/>
  <c r="CL12" i="10"/>
  <c r="CM12" i="10" s="1"/>
  <c r="CM105" i="7"/>
  <c r="BY237" i="5"/>
  <c r="CC242" i="5"/>
  <c r="BZ231" i="5"/>
  <c r="CL119" i="7"/>
  <c r="CL41" i="5"/>
  <c r="CL15" i="5"/>
  <c r="CL18" i="5" s="1"/>
  <c r="CL25" i="10"/>
  <c r="CM158" i="10"/>
  <c r="CL47" i="11"/>
  <c r="CL49" i="11" s="1"/>
  <c r="CC238" i="5"/>
  <c r="CF25" i="11"/>
  <c r="CI25" i="11"/>
  <c r="CF26" i="11"/>
  <c r="CI26" i="11"/>
  <c r="CG25" i="10"/>
  <c r="CF123" i="5"/>
  <c r="CF164" i="10"/>
  <c r="CF27" i="10"/>
  <c r="CG27" i="10" s="1"/>
  <c r="CA167" i="10"/>
  <c r="CF26" i="10"/>
  <c r="CI27" i="11" s="1"/>
  <c r="CF19" i="5"/>
  <c r="CF18" i="5"/>
  <c r="CF13" i="11" s="1"/>
  <c r="CA31" i="10"/>
  <c r="CC23" i="11"/>
  <c r="BZ23" i="11"/>
  <c r="BZ182" i="10"/>
  <c r="BZ184" i="10" s="1"/>
  <c r="BZ185" i="10" s="1"/>
  <c r="BZ154" i="10"/>
  <c r="BZ155" i="10" s="1"/>
  <c r="CG12" i="10"/>
  <c r="CF157" i="10"/>
  <c r="CG30" i="10"/>
  <c r="BY182" i="10"/>
  <c r="BY184" i="10" s="1"/>
  <c r="BY185" i="10" s="1"/>
  <c r="BY231" i="5"/>
  <c r="BY154" i="10"/>
  <c r="BY155" i="10" s="1"/>
  <c r="P57" i="11"/>
  <c r="P64" i="11" s="1"/>
  <c r="P67" i="11" s="1"/>
  <c r="P72" i="11" s="1"/>
  <c r="P75" i="11" s="1"/>
  <c r="AZ98" i="10"/>
  <c r="BA91" i="10"/>
  <c r="BA97" i="10" s="1"/>
  <c r="BE97" i="10"/>
  <c r="BI91" i="10"/>
  <c r="BI97" i="10" s="1"/>
  <c r="BK91" i="10" s="1"/>
  <c r="BO91" i="10" s="1"/>
  <c r="CE154" i="10" l="1"/>
  <c r="CE155" i="10" s="1"/>
  <c r="CI240" i="5"/>
  <c r="CK31" i="10"/>
  <c r="CL157" i="10"/>
  <c r="CL25" i="11"/>
  <c r="CK230" i="5"/>
  <c r="CK108" i="5"/>
  <c r="CK150" i="10"/>
  <c r="CK153" i="10" s="1"/>
  <c r="CK183" i="10" s="1"/>
  <c r="CK197" i="10"/>
  <c r="CK198" i="10" s="1"/>
  <c r="CK199" i="10" s="1"/>
  <c r="CK109" i="5"/>
  <c r="CK110" i="5" s="1"/>
  <c r="CK165" i="10"/>
  <c r="CK167" i="10" s="1"/>
  <c r="CK188" i="10"/>
  <c r="CL26" i="11"/>
  <c r="BZ199" i="10"/>
  <c r="CM157" i="10"/>
  <c r="CE238" i="5"/>
  <c r="CC240" i="5"/>
  <c r="CC111" i="5"/>
  <c r="CL30" i="10"/>
  <c r="CM30" i="10" s="1"/>
  <c r="CL164" i="10"/>
  <c r="CM25" i="10"/>
  <c r="CL19" i="5"/>
  <c r="CL26" i="10"/>
  <c r="CL27" i="11" s="1"/>
  <c r="CL123" i="5"/>
  <c r="CL27" i="10"/>
  <c r="CM27" i="10" s="1"/>
  <c r="CF230" i="5"/>
  <c r="CL13" i="11"/>
  <c r="CE242" i="5"/>
  <c r="CI30" i="11"/>
  <c r="CG157" i="10"/>
  <c r="CG164" i="10"/>
  <c r="CF30" i="11"/>
  <c r="CF188" i="10"/>
  <c r="CG188" i="10" s="1"/>
  <c r="CF150" i="10"/>
  <c r="CF182" i="10" s="1"/>
  <c r="CF165" i="10"/>
  <c r="CF167" i="10" s="1"/>
  <c r="CF27" i="11"/>
  <c r="CF108" i="5"/>
  <c r="CF31" i="10"/>
  <c r="CF109" i="5"/>
  <c r="CF110" i="5" s="1"/>
  <c r="CG26" i="10"/>
  <c r="BE98" i="10"/>
  <c r="BF91" i="10"/>
  <c r="BF97" i="10" s="1"/>
  <c r="P76" i="11"/>
  <c r="Q74" i="11"/>
  <c r="P79" i="10"/>
  <c r="BB91" i="10"/>
  <c r="BB97" i="10" s="1"/>
  <c r="BB98" i="10" s="1"/>
  <c r="BA98" i="10"/>
  <c r="BI98" i="10"/>
  <c r="CF237" i="5" l="1"/>
  <c r="CK231" i="5"/>
  <c r="CK182" i="10"/>
  <c r="CK184" i="10" s="1"/>
  <c r="CK185" i="10" s="1"/>
  <c r="CK237" i="5"/>
  <c r="CL197" i="10"/>
  <c r="CL198" i="10" s="1"/>
  <c r="CF197" i="10"/>
  <c r="CF198" i="10" s="1"/>
  <c r="CK154" i="10"/>
  <c r="CK155" i="10" s="1"/>
  <c r="CE240" i="5"/>
  <c r="CE111" i="5"/>
  <c r="BZ238" i="5"/>
  <c r="BZ242" i="5"/>
  <c r="BY242" i="5"/>
  <c r="BY238" i="5"/>
  <c r="CF231" i="5"/>
  <c r="CM26" i="10"/>
  <c r="CM31" i="10" s="1"/>
  <c r="CM164" i="10"/>
  <c r="CL30" i="11"/>
  <c r="CL23" i="11" s="1"/>
  <c r="CL230" i="5"/>
  <c r="CL109" i="5"/>
  <c r="CL110" i="5" s="1"/>
  <c r="CL31" i="10"/>
  <c r="CL108" i="5"/>
  <c r="CL150" i="10"/>
  <c r="CL153" i="10" s="1"/>
  <c r="CL183" i="10" s="1"/>
  <c r="CL165" i="10"/>
  <c r="CL167" i="10" s="1"/>
  <c r="CL188" i="10"/>
  <c r="CM188" i="10" s="1"/>
  <c r="CI23" i="11"/>
  <c r="CG165" i="10"/>
  <c r="CG167" i="10" s="1"/>
  <c r="CF153" i="10"/>
  <c r="CF183" i="10" s="1"/>
  <c r="CG31" i="10"/>
  <c r="CF23" i="11"/>
  <c r="Q57" i="11"/>
  <c r="BG91" i="10"/>
  <c r="BG97" i="10" s="1"/>
  <c r="BF98" i="10"/>
  <c r="CK242" i="5" l="1"/>
  <c r="CK111" i="5" s="1"/>
  <c r="CK238" i="5"/>
  <c r="CL199" i="10"/>
  <c r="CL237" i="5"/>
  <c r="CF199" i="10"/>
  <c r="CF242" i="5"/>
  <c r="BY111" i="5"/>
  <c r="BY240" i="5"/>
  <c r="BZ111" i="5"/>
  <c r="BZ240" i="5"/>
  <c r="CM165" i="10"/>
  <c r="CM167" i="10" s="1"/>
  <c r="CL182" i="10"/>
  <c r="CL184" i="10" s="1"/>
  <c r="CL185" i="10" s="1"/>
  <c r="CL231" i="5"/>
  <c r="CF238" i="5"/>
  <c r="CL154" i="10"/>
  <c r="CL155" i="10" s="1"/>
  <c r="CF154" i="10"/>
  <c r="CF155" i="10" s="1"/>
  <c r="CF184" i="10"/>
  <c r="CF185" i="10" s="1"/>
  <c r="BG98" i="10"/>
  <c r="BH91" i="10"/>
  <c r="BH97" i="10" s="1"/>
  <c r="BH98" i="10" s="1"/>
  <c r="Q64" i="11"/>
  <c r="Q67" i="11" s="1"/>
  <c r="Q72" i="11" s="1"/>
  <c r="CK240" i="5" l="1"/>
  <c r="CF240" i="5"/>
  <c r="CF111" i="5"/>
  <c r="Q79" i="10"/>
  <c r="Q75" i="11"/>
  <c r="CL238" i="5" l="1"/>
  <c r="CL242" i="5"/>
  <c r="R74" i="11"/>
  <c r="Q76" i="11"/>
  <c r="CL111" i="5" l="1"/>
  <c r="CL240" i="5"/>
  <c r="R57" i="11"/>
  <c r="R64" i="11" l="1"/>
  <c r="R67" i="11" s="1"/>
  <c r="R72" i="11" s="1"/>
  <c r="S57" i="11"/>
  <c r="S64" i="11" s="1"/>
  <c r="S67" i="11" s="1"/>
  <c r="S72" i="11" s="1"/>
  <c r="S79" i="10" l="1"/>
  <c r="S75" i="11"/>
  <c r="R79" i="10"/>
  <c r="R75" i="11"/>
  <c r="R76" i="11" s="1"/>
  <c r="Y74" i="11" l="1"/>
  <c r="U74" i="11"/>
  <c r="S76" i="11"/>
  <c r="U57" i="11" l="1"/>
  <c r="U64" i="11" s="1"/>
  <c r="U67" i="11" s="1"/>
  <c r="U72" i="11" s="1"/>
  <c r="U79" i="10" l="1"/>
  <c r="U75" i="11"/>
  <c r="U76" i="11" l="1"/>
  <c r="V74" i="11"/>
  <c r="V57" i="11" l="1"/>
  <c r="V64" i="11" l="1"/>
  <c r="V67" i="11" s="1"/>
  <c r="V72" i="11" s="1"/>
  <c r="V79" i="10" l="1"/>
  <c r="V75" i="11"/>
  <c r="V76" i="11" l="1"/>
  <c r="W74" i="11"/>
  <c r="W57" i="11" l="1"/>
  <c r="W64" i="11" l="1"/>
  <c r="W67" i="11" s="1"/>
  <c r="W72" i="11" s="1"/>
  <c r="W79" i="10" l="1"/>
  <c r="W75" i="11"/>
  <c r="W76" i="11" l="1"/>
  <c r="X74" i="11"/>
  <c r="X57" i="11" l="1"/>
  <c r="X64" i="11" l="1"/>
  <c r="X67" i="11" s="1"/>
  <c r="X72" i="11" s="1"/>
  <c r="Y57" i="11"/>
  <c r="Y64" i="11" s="1"/>
  <c r="Y67" i="11" s="1"/>
  <c r="Y72" i="11" s="1"/>
  <c r="Y79" i="10" l="1"/>
  <c r="Y75" i="11"/>
  <c r="X79" i="10"/>
  <c r="X75" i="11"/>
  <c r="X76" i="11" s="1"/>
  <c r="Y76" i="11" l="1"/>
  <c r="AE74" i="11"/>
  <c r="AA74" i="11"/>
  <c r="AA57" i="11" l="1"/>
  <c r="AA64" i="11" s="1"/>
  <c r="AA67" i="11" s="1"/>
  <c r="AA72" i="11" s="1"/>
  <c r="AA75" i="11" s="1"/>
  <c r="AA76" i="11" l="1"/>
  <c r="AB74" i="11"/>
  <c r="AA79" i="10"/>
  <c r="AB57" i="11" l="1"/>
  <c r="AB64" i="11" l="1"/>
  <c r="AB67" i="11" s="1"/>
  <c r="AB72" i="11" s="1"/>
  <c r="AB79" i="10" l="1"/>
  <c r="AB75" i="11"/>
  <c r="AB76" i="11" l="1"/>
  <c r="AC74" i="11"/>
  <c r="AC57" i="11" l="1"/>
  <c r="AC64" i="11" l="1"/>
  <c r="AC67" i="11" s="1"/>
  <c r="AC72" i="11" s="1"/>
  <c r="AC79" i="10" l="1"/>
  <c r="AC75" i="11"/>
  <c r="AD74" i="11" l="1"/>
  <c r="AC76" i="11"/>
  <c r="AD57" i="11" l="1"/>
  <c r="AD64" i="11" l="1"/>
  <c r="AD67" i="11" s="1"/>
  <c r="AD72" i="11" s="1"/>
  <c r="AE57" i="11"/>
  <c r="AE64" i="11" s="1"/>
  <c r="AE67" i="11" s="1"/>
  <c r="AE72" i="11" s="1"/>
  <c r="AE79" i="10" l="1"/>
  <c r="AE75" i="11"/>
  <c r="AD79" i="10"/>
  <c r="AD75" i="11"/>
  <c r="AD76" i="11" s="1"/>
  <c r="AK74" i="11" l="1"/>
  <c r="AE76" i="11"/>
  <c r="AG74" i="11"/>
  <c r="AG57" i="11" l="1"/>
  <c r="AG64" i="11" s="1"/>
  <c r="AG67" i="11" s="1"/>
  <c r="AG72" i="11" s="1"/>
  <c r="AG75" i="11" s="1"/>
  <c r="AG76" i="11" l="1"/>
  <c r="AH74" i="11"/>
  <c r="AG79" i="10"/>
  <c r="AH57" i="11" l="1"/>
  <c r="AH64" i="11" s="1"/>
  <c r="AH67" i="11" s="1"/>
  <c r="AH72" i="11" s="1"/>
  <c r="AH75" i="11" s="1"/>
  <c r="AI74" i="11" l="1"/>
  <c r="AH76" i="11"/>
  <c r="AH79" i="10"/>
  <c r="AI57" i="11" l="1"/>
  <c r="AI64" i="11" l="1"/>
  <c r="AI67" i="11" s="1"/>
  <c r="AI72" i="11" s="1"/>
  <c r="AI79" i="10" l="1"/>
  <c r="AI75" i="11"/>
  <c r="AJ74" i="11" l="1"/>
  <c r="AI76" i="11"/>
  <c r="AJ57" i="11" l="1"/>
  <c r="AJ64" i="11" l="1"/>
  <c r="AJ67" i="11" s="1"/>
  <c r="AJ72" i="11" s="1"/>
  <c r="AK57" i="11"/>
  <c r="AK64" i="11" s="1"/>
  <c r="AK67" i="11" s="1"/>
  <c r="AK72" i="11" s="1"/>
  <c r="AK75" i="11" l="1"/>
  <c r="AK79" i="10"/>
  <c r="AJ79" i="10"/>
  <c r="AJ75" i="11"/>
  <c r="AJ76" i="11" s="1"/>
  <c r="AQ74" i="11" l="1"/>
  <c r="AK76" i="11"/>
  <c r="AM74" i="11"/>
  <c r="AM57" i="11" l="1"/>
  <c r="AM64" i="11" s="1"/>
  <c r="AM67" i="11" s="1"/>
  <c r="AM72" i="11" s="1"/>
  <c r="AM75" i="11" s="1"/>
  <c r="AN74" i="11" l="1"/>
  <c r="AM76" i="11"/>
  <c r="AM79" i="10"/>
  <c r="AN57" i="11" l="1"/>
  <c r="AN64" i="11" s="1"/>
  <c r="AN67" i="11" s="1"/>
  <c r="AN72" i="11" s="1"/>
  <c r="AN75" i="11" s="1"/>
  <c r="AO74" i="11" l="1"/>
  <c r="AO57" i="11" s="1"/>
  <c r="AO64" i="11" s="1"/>
  <c r="AO67" i="11" s="1"/>
  <c r="AO72" i="11" s="1"/>
  <c r="AN76" i="11"/>
  <c r="AN79" i="10"/>
  <c r="AO79" i="10" l="1"/>
  <c r="AO75" i="11"/>
  <c r="AO76" i="11" l="1"/>
  <c r="AP74" i="11"/>
  <c r="AP57" i="11" l="1"/>
  <c r="AP64" i="11" l="1"/>
  <c r="AP67" i="11" s="1"/>
  <c r="AP72" i="11" s="1"/>
  <c r="AQ57" i="11"/>
  <c r="AQ64" i="11" s="1"/>
  <c r="AQ67" i="11" s="1"/>
  <c r="AQ72" i="11" s="1"/>
  <c r="AQ79" i="10" l="1"/>
  <c r="AQ75" i="11"/>
  <c r="AP79" i="10"/>
  <c r="AP75" i="11"/>
  <c r="AP76" i="11" s="1"/>
  <c r="AW74" i="11" l="1"/>
  <c r="AS74" i="11"/>
  <c r="AS75" i="11" s="1"/>
  <c r="AQ76" i="11"/>
  <c r="AT74" i="11" l="1"/>
  <c r="AT75" i="11" s="1"/>
  <c r="AS76" i="11"/>
  <c r="AT76" i="11" l="1"/>
  <c r="AU74" i="11"/>
  <c r="AU57" i="11" l="1"/>
  <c r="AW57" i="11" l="1"/>
  <c r="AW64" i="11" s="1"/>
  <c r="AW67" i="11" s="1"/>
  <c r="AW72" i="11" s="1"/>
  <c r="AU64" i="11"/>
  <c r="AU67" i="11" s="1"/>
  <c r="AU72" i="11" s="1"/>
  <c r="AU79" i="10" l="1"/>
  <c r="AU75" i="11"/>
  <c r="AW79" i="10"/>
  <c r="AW75" i="11"/>
  <c r="AY74" i="11" l="1"/>
  <c r="AY75" i="11" s="1"/>
  <c r="BC74" i="11"/>
  <c r="BC75" i="11" s="1"/>
  <c r="AW76" i="11"/>
  <c r="AV74" i="11"/>
  <c r="AV75" i="11" s="1"/>
  <c r="AV76" i="11" s="1"/>
  <c r="AU76" i="11"/>
  <c r="BE74" i="11" l="1"/>
  <c r="BE75" i="11" s="1"/>
  <c r="BC76" i="11"/>
  <c r="BI74" i="11"/>
  <c r="BI75" i="11" s="1"/>
  <c r="AZ74" i="11"/>
  <c r="AZ75" i="11" s="1"/>
  <c r="AY76" i="11"/>
  <c r="BA74" i="11" l="1"/>
  <c r="BA75" i="11" s="1"/>
  <c r="AZ76" i="11"/>
  <c r="BK74" i="11"/>
  <c r="BO74" i="11"/>
  <c r="BE76" i="11"/>
  <c r="BF74" i="11"/>
  <c r="BF75" i="11" s="1"/>
  <c r="BG74" i="11" l="1"/>
  <c r="BG75" i="11" s="1"/>
  <c r="BF76" i="11"/>
  <c r="BB74" i="11"/>
  <c r="BB75" i="11" s="1"/>
  <c r="BB76" i="11" s="1"/>
  <c r="BA76" i="11"/>
  <c r="BH74" i="11" l="1"/>
  <c r="BH75" i="11" s="1"/>
  <c r="BG76" i="11"/>
  <c r="BH76" i="11" l="1"/>
  <c r="BH68" i="10"/>
  <c r="BI9" i="10"/>
  <c r="BH51" i="10"/>
  <c r="BH52" i="10"/>
  <c r="BH69" i="10"/>
  <c r="BH15" i="10"/>
  <c r="BI212" i="10" l="1"/>
  <c r="BI216" i="10" s="1"/>
  <c r="BO135" i="10"/>
  <c r="BO137" i="10" s="1"/>
  <c r="BO138" i="10" s="1"/>
  <c r="BK135" i="10"/>
  <c r="BK137" i="10" s="1"/>
  <c r="BK138" i="10" s="1"/>
  <c r="BH63" i="10"/>
  <c r="BI15" i="10"/>
  <c r="BI69" i="10"/>
  <c r="BQ43" i="13"/>
  <c r="BI52" i="10"/>
  <c r="BI68" i="10"/>
  <c r="BI51" i="10"/>
  <c r="BI63" i="10" s="1"/>
  <c r="BI76" i="11"/>
  <c r="BH70" i="10"/>
  <c r="BH23" i="10"/>
  <c r="BH67" i="10"/>
  <c r="BI215" i="10" l="1"/>
  <c r="BI67" i="10"/>
  <c r="BI70" i="10"/>
  <c r="BI23" i="10"/>
  <c r="BH56" i="10"/>
  <c r="BH47" i="10"/>
  <c r="BI56" i="10" l="1"/>
  <c r="BI47" i="10"/>
  <c r="BJ26" i="13" l="1"/>
  <c r="BK10" i="13"/>
  <c r="BK26" i="13" s="1"/>
  <c r="BJ28" i="13" l="1"/>
  <c r="BK12" i="13"/>
  <c r="BK28" i="13" s="1"/>
  <c r="BJ29" i="13" l="1"/>
  <c r="BK13" i="13"/>
  <c r="BK29" i="13" l="1"/>
  <c r="BJ20" i="13" l="1"/>
  <c r="BJ22" i="13" s="1"/>
  <c r="BJ40" i="13"/>
  <c r="BK40" i="13" s="1"/>
  <c r="BJ30" i="13"/>
  <c r="BJ36" i="13" s="1"/>
  <c r="BK14" i="13"/>
  <c r="BK30" i="13" s="1"/>
  <c r="BK36" i="13" s="1"/>
  <c r="BM20" i="13" l="1"/>
  <c r="BM22" i="13" s="1"/>
  <c r="BJ38" i="13"/>
  <c r="BJ23" i="13"/>
  <c r="BK20" i="13"/>
  <c r="BK22" i="13" s="1"/>
  <c r="BM38" i="13" l="1"/>
  <c r="BK38" i="13"/>
  <c r="BK23" i="13"/>
  <c r="BK24" i="5" l="1"/>
  <c r="BK116" i="5" s="1"/>
  <c r="BK64" i="11"/>
  <c r="BK67" i="11" s="1"/>
  <c r="BK226" i="5" l="1"/>
  <c r="BK196" i="10" s="1"/>
  <c r="BK197" i="10" s="1"/>
  <c r="BK198" i="10" s="1"/>
  <c r="BK199" i="10" s="1"/>
  <c r="BK219" i="5"/>
  <c r="BK152" i="10" s="1"/>
  <c r="BK153" i="10" s="1"/>
  <c r="BK36" i="10"/>
  <c r="BM23" i="13"/>
  <c r="BL64" i="11"/>
  <c r="BL67" i="11" s="1"/>
  <c r="BK183" i="10" l="1"/>
  <c r="BK154" i="10"/>
  <c r="BK155" i="10" s="1"/>
  <c r="BK148" i="10" s="1"/>
  <c r="BK26" i="5"/>
  <c r="BL36" i="10"/>
  <c r="BK184" i="10" l="1"/>
  <c r="BK185" i="10" s="1"/>
  <c r="BK181" i="10" s="1"/>
  <c r="BK118" i="5"/>
  <c r="BK32" i="5"/>
  <c r="BK33" i="5"/>
  <c r="BK28" i="5"/>
  <c r="BK120" i="5" l="1"/>
  <c r="BK119" i="5"/>
  <c r="BK125" i="5"/>
  <c r="BK136" i="5" s="1"/>
  <c r="BK31" i="5" s="1"/>
  <c r="BK30" i="5"/>
  <c r="BK93" i="10" s="1"/>
  <c r="BK96" i="10" l="1"/>
  <c r="BK117" i="5"/>
  <c r="BK97" i="10" l="1"/>
  <c r="BL91" i="10" s="1"/>
  <c r="BK11" i="11"/>
  <c r="BK31" i="11" l="1"/>
  <c r="BK33" i="11" l="1"/>
  <c r="BK80" i="10" s="1"/>
  <c r="BK81" i="11"/>
  <c r="BK86" i="11" s="1"/>
  <c r="BK43" i="10"/>
  <c r="BK81" i="10" l="1"/>
  <c r="BK85" i="11"/>
  <c r="BK55" i="10"/>
  <c r="BK98" i="10"/>
  <c r="BK72" i="11"/>
  <c r="BK79" i="10" s="1"/>
  <c r="BK45" i="10"/>
  <c r="BK82" i="11"/>
  <c r="BK64" i="10" l="1"/>
  <c r="BK209" i="10"/>
  <c r="BK82" i="10"/>
  <c r="BK83" i="11"/>
  <c r="BK46" i="10"/>
  <c r="BK84" i="11"/>
  <c r="BK75" i="11"/>
  <c r="BK216" i="10" l="1"/>
  <c r="BK219" i="10" s="1"/>
  <c r="BK57" i="10" s="1"/>
  <c r="BK215" i="10"/>
  <c r="BK218" i="10" s="1"/>
  <c r="BL74" i="11"/>
  <c r="BK76" i="11" l="1"/>
  <c r="BK23" i="10" l="1"/>
  <c r="BK56" i="10" s="1"/>
  <c r="BK47" i="10" l="1"/>
  <c r="BL24" i="5" l="1"/>
  <c r="BL116" i="5" s="1"/>
  <c r="BL219" i="5" l="1"/>
  <c r="BL152" i="10" s="1"/>
  <c r="BL153" i="10" s="1"/>
  <c r="BL226" i="5"/>
  <c r="BL196" i="10" s="1"/>
  <c r="BL197" i="10" s="1"/>
  <c r="BL198" i="10" s="1"/>
  <c r="BL199" i="10" s="1"/>
  <c r="BL154" i="10" l="1"/>
  <c r="BL155" i="10" s="1"/>
  <c r="BL148" i="10" s="1"/>
  <c r="BL183" i="10"/>
  <c r="BL184" i="10" s="1"/>
  <c r="BL185" i="10" s="1"/>
  <c r="BL26" i="5"/>
  <c r="BL181" i="10" l="1"/>
  <c r="BL28" i="5"/>
  <c r="BL118" i="5"/>
  <c r="BL32" i="5"/>
  <c r="BL33" i="5"/>
  <c r="BL125" i="5" l="1"/>
  <c r="BL136" i="5" s="1"/>
  <c r="BL31" i="5" s="1"/>
  <c r="BL30" i="5"/>
  <c r="BL93" i="10" s="1"/>
  <c r="BL119" i="5"/>
  <c r="BL120" i="5"/>
  <c r="BL96" i="10" l="1"/>
  <c r="BL11" i="11"/>
  <c r="BL117" i="5"/>
  <c r="BL97" i="10" l="1"/>
  <c r="BM91" i="10" s="1"/>
  <c r="BL31" i="11"/>
  <c r="BL81" i="11" l="1"/>
  <c r="BL86" i="11" s="1"/>
  <c r="BL33" i="11"/>
  <c r="BL80" i="10" s="1"/>
  <c r="BL43" i="10"/>
  <c r="BL55" i="10" l="1"/>
  <c r="BL98" i="10"/>
  <c r="BL81" i="10"/>
  <c r="BL82" i="11"/>
  <c r="BL85" i="11"/>
  <c r="BL45" i="10"/>
  <c r="BL72" i="11"/>
  <c r="BL79" i="10" s="1"/>
  <c r="BL64" i="10" l="1"/>
  <c r="BL209" i="10"/>
  <c r="BL83" i="11"/>
  <c r="BL84" i="11"/>
  <c r="BL82" i="10"/>
  <c r="BL75" i="11"/>
  <c r="BL46" i="10"/>
  <c r="BL216" i="10" l="1"/>
  <c r="BL219" i="10" s="1"/>
  <c r="BL57" i="10" s="1"/>
  <c r="BL215" i="10"/>
  <c r="BL218" i="10" s="1"/>
  <c r="BL76" i="11"/>
  <c r="BM74" i="11"/>
  <c r="BL15" i="10" l="1"/>
  <c r="BL70" i="10" l="1"/>
  <c r="BL67" i="10"/>
  <c r="BL23" i="10"/>
  <c r="BL56" i="10" s="1"/>
  <c r="BL47" i="10" l="1"/>
  <c r="BL104" i="10" l="1"/>
  <c r="BM187" i="10" l="1"/>
  <c r="BM189" i="10" s="1"/>
  <c r="BM190" i="10" s="1"/>
  <c r="BM159" i="10"/>
  <c r="BM162" i="10" s="1"/>
  <c r="BM169" i="10" s="1"/>
  <c r="BN170" i="10" s="1"/>
  <c r="BQ11" i="13" l="1"/>
  <c r="BQ12" i="13"/>
  <c r="BQ13" i="13"/>
  <c r="BQ14" i="13" l="1"/>
  <c r="BQ28" i="13"/>
  <c r="BQ27" i="13"/>
  <c r="BQ29" i="13"/>
  <c r="BQ30" i="13" l="1"/>
  <c r="BQ10" i="13" l="1"/>
  <c r="BQ26" i="13" l="1"/>
  <c r="BO20" i="13" l="1"/>
  <c r="BO22" i="13" s="1"/>
  <c r="BP40" i="13" l="1"/>
  <c r="BP20" i="13"/>
  <c r="BP22" i="13" s="1"/>
  <c r="BP38" i="13" s="1"/>
  <c r="BQ19" i="13"/>
  <c r="BN20" i="13"/>
  <c r="BN22" i="13" s="1"/>
  <c r="BN38" i="13" s="1"/>
  <c r="BO38" i="13" l="1"/>
  <c r="BN23" i="13"/>
  <c r="BQ35" i="13"/>
  <c r="BQ36" i="13" s="1"/>
  <c r="BQ20" i="13"/>
  <c r="BQ22" i="13" s="1"/>
  <c r="BQ40" i="13"/>
  <c r="BO21" i="5"/>
  <c r="BM24" i="5"/>
  <c r="BM116" i="5" s="1"/>
  <c r="BN62" i="11"/>
  <c r="BQ41" i="13" l="1"/>
  <c r="BO61" i="10"/>
  <c r="BM226" i="5"/>
  <c r="BM196" i="10" s="1"/>
  <c r="BM197" i="10" s="1"/>
  <c r="BM198" i="10" s="1"/>
  <c r="BM199" i="10" s="1"/>
  <c r="BM219" i="5"/>
  <c r="BM152" i="10" s="1"/>
  <c r="BM153" i="10" s="1"/>
  <c r="BN64" i="11"/>
  <c r="BN67" i="11" s="1"/>
  <c r="BQ38" i="13"/>
  <c r="BO62" i="11"/>
  <c r="BM64" i="11"/>
  <c r="BM67" i="11" s="1"/>
  <c r="BT19" i="13"/>
  <c r="BM183" i="10" l="1"/>
  <c r="BM154" i="10"/>
  <c r="BM155" i="10" s="1"/>
  <c r="BM148" i="10" s="1"/>
  <c r="BU19" i="13"/>
  <c r="BM26" i="5"/>
  <c r="BM36" i="10"/>
  <c r="BO23" i="13"/>
  <c r="BO64" i="11"/>
  <c r="BO67" i="11" s="1"/>
  <c r="BO79" i="11"/>
  <c r="BM118" i="5" l="1"/>
  <c r="BM184" i="10"/>
  <c r="BM185" i="10" s="1"/>
  <c r="BM181" i="10" s="1"/>
  <c r="BV19" i="13"/>
  <c r="BN202" i="10"/>
  <c r="BN36" i="10"/>
  <c r="BO32" i="10"/>
  <c r="BO50" i="10" s="1"/>
  <c r="BP23" i="13"/>
  <c r="BM32" i="5"/>
  <c r="BM33" i="5"/>
  <c r="BM120" i="5" s="1"/>
  <c r="BM28" i="5"/>
  <c r="BM119" i="5" s="1"/>
  <c r="BQ64" i="11"/>
  <c r="BQ67" i="11" s="1"/>
  <c r="BQ202" i="10" l="1"/>
  <c r="BW19" i="13"/>
  <c r="BM125" i="5"/>
  <c r="BM136" i="5" s="1"/>
  <c r="BM31" i="5" s="1"/>
  <c r="BM30" i="5"/>
  <c r="BO36" i="10"/>
  <c r="BO202" i="10"/>
  <c r="BQ23" i="13"/>
  <c r="BM117" i="5" l="1"/>
  <c r="BM93" i="10"/>
  <c r="BW35" i="13"/>
  <c r="BY19" i="13"/>
  <c r="BM96" i="10" l="1"/>
  <c r="BM11" i="11"/>
  <c r="BZ19" i="13"/>
  <c r="BM97" i="10" l="1"/>
  <c r="BN91" i="10" s="1"/>
  <c r="CA19" i="13"/>
  <c r="CB19" i="13" l="1"/>
  <c r="CC19" i="13" l="1"/>
  <c r="CC35" i="13" l="1"/>
  <c r="CE19" i="13"/>
  <c r="CF19" i="13" l="1"/>
  <c r="CG19" i="13" l="1"/>
  <c r="CH19" i="13" l="1"/>
  <c r="CI19" i="13" l="1"/>
  <c r="CK19" i="13" s="1"/>
  <c r="CL19" i="13" l="1"/>
  <c r="CI35" i="13"/>
  <c r="CM19" i="13" l="1"/>
  <c r="CN19" i="13" l="1"/>
  <c r="CO19" i="13" l="1"/>
  <c r="CO35" i="13" l="1"/>
  <c r="BM16" i="5" l="1"/>
  <c r="BM112" i="5" l="1"/>
  <c r="BM60" i="10"/>
  <c r="BM62" i="10"/>
  <c r="BM63" i="10"/>
  <c r="BO13" i="11"/>
  <c r="BM31" i="11"/>
  <c r="BM43" i="10" l="1"/>
  <c r="BM81" i="11"/>
  <c r="BM33" i="11"/>
  <c r="BM80" i="10" s="1"/>
  <c r="BM81" i="10" l="1"/>
  <c r="BM86" i="11"/>
  <c r="BM55" i="10"/>
  <c r="BM98" i="10"/>
  <c r="BM45" i="10"/>
  <c r="BM72" i="11"/>
  <c r="BM79" i="10" s="1"/>
  <c r="BM85" i="11"/>
  <c r="BM82" i="11"/>
  <c r="BM82" i="10" s="1"/>
  <c r="BO40" i="10"/>
  <c r="BQ92" i="10" s="1"/>
  <c r="BM64" i="10" l="1"/>
  <c r="BM209" i="10"/>
  <c r="BM83" i="11"/>
  <c r="BM84" i="11"/>
  <c r="BM75" i="11"/>
  <c r="BN74" i="11" s="1"/>
  <c r="BM46" i="10"/>
  <c r="BM215" i="10" l="1"/>
  <c r="BM218" i="10" s="1"/>
  <c r="BM216" i="10"/>
  <c r="BM219" i="10" s="1"/>
  <c r="BM57" i="10" s="1"/>
  <c r="BM15" i="10" l="1"/>
  <c r="BP43" i="13"/>
  <c r="BM76" i="11"/>
  <c r="BQ44" i="13" l="1"/>
  <c r="BQ45" i="13" s="1"/>
  <c r="BP45" i="13"/>
  <c r="BM67" i="10"/>
  <c r="BM70" i="10"/>
  <c r="BM23" i="10"/>
  <c r="BM56" i="10" s="1"/>
  <c r="BM47" i="10" l="1"/>
  <c r="BO20" i="5" l="1"/>
  <c r="BN24" i="5"/>
  <c r="BN116" i="5" s="1"/>
  <c r="BN219" i="5" l="1"/>
  <c r="BN152" i="10" s="1"/>
  <c r="BN153" i="10" s="1"/>
  <c r="BN226" i="5"/>
  <c r="BN196" i="10" s="1"/>
  <c r="BN197" i="10" s="1"/>
  <c r="BN198" i="10" s="1"/>
  <c r="BN199" i="10" s="1"/>
  <c r="BO24" i="5"/>
  <c r="BN183" i="10" l="1"/>
  <c r="BN154" i="10"/>
  <c r="BN155" i="10" s="1"/>
  <c r="BN148" i="10" s="1"/>
  <c r="BO25" i="5"/>
  <c r="BO26" i="5" s="1"/>
  <c r="BN26" i="5"/>
  <c r="BN184" i="10" l="1"/>
  <c r="BN185" i="10" s="1"/>
  <c r="BO183" i="10"/>
  <c r="BO184" i="10" s="1"/>
  <c r="BO185" i="10" s="1"/>
  <c r="BN32" i="5"/>
  <c r="BN118" i="5"/>
  <c r="BN33" i="5"/>
  <c r="BN28" i="5"/>
  <c r="BO118" i="5"/>
  <c r="BO32" i="5"/>
  <c r="BO33" i="5"/>
  <c r="BO28" i="5"/>
  <c r="BO116" i="5"/>
  <c r="BO120" i="5" l="1"/>
  <c r="BO226" i="5"/>
  <c r="BO196" i="10" s="1"/>
  <c r="BO197" i="10" s="1"/>
  <c r="BO198" i="10" s="1"/>
  <c r="BO219" i="5"/>
  <c r="BO152" i="10" s="1"/>
  <c r="BO153" i="10" s="1"/>
  <c r="BO154" i="10" s="1"/>
  <c r="BO155" i="10" s="1"/>
  <c r="BO148" i="10" s="1"/>
  <c r="BO119" i="5"/>
  <c r="BO30" i="5"/>
  <c r="BO125" i="5"/>
  <c r="BO136" i="5" s="1"/>
  <c r="BO31" i="5" s="1"/>
  <c r="BN119" i="5"/>
  <c r="BN125" i="5"/>
  <c r="BN136" i="5" s="1"/>
  <c r="BN31" i="5" s="1"/>
  <c r="BN30" i="5"/>
  <c r="BN93" i="10" s="1"/>
  <c r="BN120" i="5"/>
  <c r="BN96" i="10" l="1"/>
  <c r="BO96" i="10" s="1"/>
  <c r="BO93" i="10"/>
  <c r="BO199" i="10"/>
  <c r="BN117" i="5"/>
  <c r="BO117" i="5"/>
  <c r="BN97" i="10" l="1"/>
  <c r="BO97" i="10"/>
  <c r="BQ91" i="10" s="1"/>
  <c r="BN11" i="11"/>
  <c r="BO8" i="11"/>
  <c r="BN31" i="11" l="1"/>
  <c r="BO11" i="11"/>
  <c r="BO31" i="11" s="1"/>
  <c r="BO81" i="11" s="1"/>
  <c r="BO81" i="10" l="1"/>
  <c r="BO86" i="11"/>
  <c r="BO33" i="11"/>
  <c r="BO80" i="10" s="1"/>
  <c r="BN33" i="11"/>
  <c r="BN80" i="10" s="1"/>
  <c r="BN81" i="11"/>
  <c r="BO41" i="10"/>
  <c r="BO43" i="10" s="1"/>
  <c r="BN43" i="10"/>
  <c r="BN81" i="10" l="1"/>
  <c r="BN86" i="11"/>
  <c r="BN55" i="10"/>
  <c r="BN98" i="10"/>
  <c r="BO55" i="10"/>
  <c r="BO98" i="10"/>
  <c r="BN45" i="10"/>
  <c r="BN72" i="11"/>
  <c r="BN79" i="10" s="1"/>
  <c r="BO85" i="11"/>
  <c r="BO82" i="11"/>
  <c r="BO82" i="10" s="1"/>
  <c r="BO45" i="10"/>
  <c r="BN85" i="11"/>
  <c r="BN82" i="11"/>
  <c r="BN82" i="10" s="1"/>
  <c r="BO78" i="11"/>
  <c r="BO72" i="11"/>
  <c r="BO79" i="10" s="1"/>
  <c r="BN209" i="10" l="1"/>
  <c r="BN64" i="10"/>
  <c r="BO209" i="10"/>
  <c r="BO64" i="10"/>
  <c r="BO75" i="11"/>
  <c r="BN84" i="11"/>
  <c r="BN83" i="11"/>
  <c r="BO46" i="10"/>
  <c r="BO83" i="11"/>
  <c r="BO84" i="11"/>
  <c r="BN75" i="11"/>
  <c r="BN46" i="10"/>
  <c r="BU91" i="10" l="1"/>
  <c r="BN212" i="10"/>
  <c r="BQ74" i="11"/>
  <c r="BU74" i="11"/>
  <c r="BN216" i="10" l="1"/>
  <c r="BN215" i="10"/>
  <c r="BN76" i="11"/>
  <c r="BN15" i="10"/>
  <c r="BO9" i="10"/>
  <c r="BQ135" i="10" s="1"/>
  <c r="BQ137" i="10" s="1"/>
  <c r="BQ138" i="10" s="1"/>
  <c r="BO212" i="10" l="1"/>
  <c r="BO215" i="10" s="1"/>
  <c r="BO52" i="10"/>
  <c r="BO68" i="10"/>
  <c r="BO69" i="10"/>
  <c r="BO51" i="10"/>
  <c r="BN67" i="10"/>
  <c r="BN70" i="10"/>
  <c r="BN218" i="10"/>
  <c r="BO218" i="10"/>
  <c r="BO216" i="10"/>
  <c r="BN219" i="10"/>
  <c r="BN57" i="10" s="1"/>
  <c r="BO219" i="10"/>
  <c r="BO57" i="10" s="1"/>
  <c r="BU135" i="10"/>
  <c r="BW43" i="13"/>
  <c r="BO15" i="10"/>
  <c r="BO76" i="11"/>
  <c r="BO70" i="10" l="1"/>
  <c r="BO67" i="10"/>
  <c r="BQ24" i="5" l="1"/>
  <c r="BQ116" i="5" l="1"/>
  <c r="BQ226" i="5" l="1"/>
  <c r="BQ196" i="10" s="1"/>
  <c r="BQ197" i="10" s="1"/>
  <c r="BQ198" i="10" s="1"/>
  <c r="BQ199" i="10" s="1"/>
  <c r="BR116" i="5"/>
  <c r="BQ219" i="5"/>
  <c r="BQ152" i="10" s="1"/>
  <c r="BQ153" i="10" s="1"/>
  <c r="BQ154" i="10" s="1"/>
  <c r="BQ155" i="10" s="1"/>
  <c r="BQ26" i="5"/>
  <c r="BR219" i="5" l="1"/>
  <c r="BR152" i="10" s="1"/>
  <c r="BR226" i="5"/>
  <c r="BR196" i="10" s="1"/>
  <c r="BS116" i="5"/>
  <c r="BS226" i="5" s="1"/>
  <c r="BS196" i="10" s="1"/>
  <c r="BS197" i="10" s="1"/>
  <c r="BS198" i="10" s="1"/>
  <c r="BS199" i="10" s="1"/>
  <c r="BQ183" i="10"/>
  <c r="BQ184" i="10" s="1"/>
  <c r="BQ185" i="10" s="1"/>
  <c r="BQ118" i="5"/>
  <c r="BQ33" i="5"/>
  <c r="BQ120" i="5" s="1"/>
  <c r="BQ32" i="5"/>
  <c r="BQ28" i="5"/>
  <c r="BS219" i="5" l="1"/>
  <c r="BS152" i="10" s="1"/>
  <c r="BS153" i="10" s="1"/>
  <c r="BS154" i="10" s="1"/>
  <c r="BS155" i="10" s="1"/>
  <c r="BT116" i="5"/>
  <c r="BT219" i="5" s="1"/>
  <c r="BT152" i="10" s="1"/>
  <c r="BT153" i="10" s="1"/>
  <c r="BQ125" i="5"/>
  <c r="BQ136" i="5" s="1"/>
  <c r="BQ31" i="5" s="1"/>
  <c r="BQ119" i="5"/>
  <c r="BQ30" i="5"/>
  <c r="BQ93" i="10" s="1"/>
  <c r="BQ96" i="10" s="1"/>
  <c r="BQ97" i="10" s="1"/>
  <c r="BS183" i="10" l="1"/>
  <c r="BS184" i="10" s="1"/>
  <c r="BS185" i="10" s="1"/>
  <c r="BT226" i="5"/>
  <c r="BT196" i="10" s="1"/>
  <c r="BT197" i="10" s="1"/>
  <c r="BT198" i="10" s="1"/>
  <c r="BT199" i="10" s="1"/>
  <c r="BQ117" i="5"/>
  <c r="BT183" i="10"/>
  <c r="BT184" i="10" s="1"/>
  <c r="BT185" i="10" s="1"/>
  <c r="BT154" i="10"/>
  <c r="BT155" i="10" s="1"/>
  <c r="BM124" i="5" l="1"/>
  <c r="BM104" i="10"/>
  <c r="BO104" i="10" s="1"/>
  <c r="BO107" i="10" s="1"/>
  <c r="BQ100" i="10" s="1"/>
  <c r="BQ109" i="10" s="1"/>
  <c r="BU100" i="10" l="1"/>
  <c r="BO108" i="10" l="1"/>
  <c r="BN23" i="10"/>
  <c r="BN56" i="10" s="1"/>
  <c r="BN187" i="10"/>
  <c r="BN159" i="10"/>
  <c r="BN162" i="10" s="1"/>
  <c r="BN169" i="10" s="1"/>
  <c r="BO16" i="10"/>
  <c r="BN47" i="10" l="1"/>
  <c r="BO23" i="10"/>
  <c r="BO159" i="10"/>
  <c r="BO162" i="10" s="1"/>
  <c r="BO169" i="10" s="1"/>
  <c r="BQ170" i="10" s="1"/>
  <c r="BQ148" i="10" s="1"/>
  <c r="BO187" i="10"/>
  <c r="BO189" i="10" s="1"/>
  <c r="BN189" i="10"/>
  <c r="BQ190" i="10" s="1"/>
  <c r="BQ181" i="10" s="1"/>
  <c r="BO56" i="10" l="1"/>
  <c r="BO47" i="10"/>
  <c r="BN190" i="10"/>
  <c r="BN181" i="10" s="1"/>
  <c r="BO190" i="10"/>
  <c r="BO181" i="10" s="1"/>
  <c r="BH11" i="7" l="1"/>
  <c r="BH41" i="6"/>
  <c r="BI42" i="6"/>
  <c r="BI57" i="6" s="1"/>
  <c r="BI17" i="7" s="1"/>
  <c r="BI21" i="7" s="1"/>
  <c r="BH57" i="6"/>
  <c r="BH17" i="7" s="1"/>
  <c r="BH21" i="7" s="1"/>
  <c r="BH38" i="7" l="1"/>
  <c r="BN38" i="7"/>
  <c r="BI38" i="7"/>
  <c r="BO38" i="7"/>
  <c r="BN28" i="7"/>
  <c r="BH90" i="7"/>
  <c r="BN103" i="7" s="1"/>
  <c r="BH28" i="7"/>
  <c r="BH40" i="5"/>
  <c r="BH242" i="5" s="1"/>
  <c r="BN34" i="7"/>
  <c r="BH96" i="7"/>
  <c r="BH34" i="7"/>
  <c r="DI17" i="7"/>
  <c r="BI34" i="7"/>
  <c r="BI40" i="5"/>
  <c r="BI242" i="5" s="1"/>
  <c r="BO34" i="7"/>
  <c r="BI96" i="7"/>
  <c r="DI11" i="7"/>
  <c r="BI11" i="7"/>
  <c r="BH103" i="7" l="1"/>
  <c r="DI32" i="7"/>
  <c r="DM32" i="7"/>
  <c r="DM26" i="7"/>
  <c r="DI26" i="7"/>
  <c r="BO28" i="7"/>
  <c r="BI90" i="7"/>
  <c r="BI28" i="7"/>
  <c r="BI109" i="7"/>
  <c r="BO109" i="7"/>
  <c r="BH111" i="5"/>
  <c r="BN109" i="7"/>
  <c r="BH109" i="7"/>
  <c r="BI111" i="5"/>
  <c r="BO119" i="7"/>
  <c r="BI119" i="7"/>
  <c r="BH119" i="7"/>
  <c r="BN119" i="7"/>
  <c r="BI103" i="7" l="1"/>
  <c r="BO103" i="7"/>
  <c r="BR11" i="7"/>
  <c r="BR12" i="6"/>
  <c r="BR66" i="5" s="1"/>
  <c r="BU12" i="6" l="1"/>
  <c r="BU44" i="6" s="1"/>
  <c r="BR28" i="7"/>
  <c r="BR90" i="7"/>
  <c r="BX12" i="6"/>
  <c r="BX28" i="7"/>
  <c r="DO11" i="7"/>
  <c r="DO26" i="7" s="1"/>
  <c r="BR177" i="5"/>
  <c r="BU66" i="5"/>
  <c r="BR50" i="5"/>
  <c r="BX90" i="7"/>
  <c r="BR100" i="5"/>
  <c r="BR83" i="5"/>
  <c r="BX66" i="5" l="1"/>
  <c r="CA66" i="5" s="1"/>
  <c r="BX100" i="5"/>
  <c r="CA100" i="5" s="1"/>
  <c r="CA12" i="6"/>
  <c r="CA41" i="6" s="1"/>
  <c r="BR103" i="7"/>
  <c r="BX83" i="5"/>
  <c r="CA83" i="5" s="1"/>
  <c r="BU42" i="6"/>
  <c r="BU11" i="7" s="1"/>
  <c r="CD12" i="6"/>
  <c r="CD90" i="7"/>
  <c r="BU41" i="6"/>
  <c r="BU43" i="6"/>
  <c r="BU50" i="5"/>
  <c r="BR51" i="5"/>
  <c r="BU83" i="5"/>
  <c r="CD83" i="5"/>
  <c r="BU100" i="5"/>
  <c r="BU67" i="5"/>
  <c r="BU177" i="5"/>
  <c r="BR144" i="5"/>
  <c r="BX103" i="7"/>
  <c r="BR206" i="5"/>
  <c r="CA42" i="6" l="1"/>
  <c r="CA11" i="7" s="1"/>
  <c r="CA28" i="7" s="1"/>
  <c r="CA44" i="6"/>
  <c r="CA43" i="6"/>
  <c r="CD100" i="5"/>
  <c r="CG100" i="5" s="1"/>
  <c r="CJ90" i="7"/>
  <c r="CJ103" i="7" s="1"/>
  <c r="BX50" i="5"/>
  <c r="CA50" i="5" s="1"/>
  <c r="BU28" i="7"/>
  <c r="BU90" i="7"/>
  <c r="BU103" i="7" s="1"/>
  <c r="CD103" i="7"/>
  <c r="CJ12" i="6"/>
  <c r="CD66" i="5"/>
  <c r="CD50" i="5" s="1"/>
  <c r="CG50" i="5" s="1"/>
  <c r="CG12" i="6"/>
  <c r="CG43" i="6" s="1"/>
  <c r="BX177" i="5"/>
  <c r="BX206" i="5"/>
  <c r="BX207" i="5" s="1"/>
  <c r="CA177" i="5"/>
  <c r="CA67" i="5"/>
  <c r="BR178" i="5"/>
  <c r="BR179" i="5"/>
  <c r="BR207" i="5"/>
  <c r="BR208" i="5"/>
  <c r="BU206" i="5"/>
  <c r="CA84" i="5"/>
  <c r="BR154" i="5"/>
  <c r="BU144" i="5"/>
  <c r="CA101" i="5"/>
  <c r="BU84" i="5"/>
  <c r="CG83" i="5"/>
  <c r="BU101" i="5"/>
  <c r="BU51" i="5"/>
  <c r="CA90" i="7" l="1"/>
  <c r="CJ100" i="5"/>
  <c r="CJ66" i="5"/>
  <c r="CJ177" i="5" s="1"/>
  <c r="CJ83" i="5"/>
  <c r="CM12" i="6"/>
  <c r="CM43" i="6" s="1"/>
  <c r="CG101" i="5"/>
  <c r="CD206" i="5"/>
  <c r="CD208" i="5" s="1"/>
  <c r="BX144" i="5"/>
  <c r="BX154" i="5" s="1"/>
  <c r="BX51" i="5"/>
  <c r="CG42" i="6"/>
  <c r="CG11" i="7" s="1"/>
  <c r="CG90" i="7" s="1"/>
  <c r="CG41" i="6"/>
  <c r="CD51" i="5"/>
  <c r="CG44" i="6"/>
  <c r="CG66" i="5"/>
  <c r="CG67" i="5" s="1"/>
  <c r="CD144" i="5"/>
  <c r="CG144" i="5" s="1"/>
  <c r="CD177" i="5"/>
  <c r="BX178" i="5"/>
  <c r="BX179" i="5"/>
  <c r="BX208" i="5"/>
  <c r="CA206" i="5"/>
  <c r="CA208" i="5" s="1"/>
  <c r="CM100" i="5"/>
  <c r="BU154" i="5"/>
  <c r="CG51" i="5"/>
  <c r="CA51" i="5"/>
  <c r="CG84" i="5"/>
  <c r="BU179" i="5"/>
  <c r="BU207" i="5"/>
  <c r="BU178" i="5"/>
  <c r="BU208" i="5"/>
  <c r="CA103" i="7"/>
  <c r="CD207" i="5" l="1"/>
  <c r="CD178" i="5"/>
  <c r="CM66" i="5"/>
  <c r="CM177" i="5" s="1"/>
  <c r="CD179" i="5"/>
  <c r="CM42" i="6"/>
  <c r="CM11" i="7" s="1"/>
  <c r="CM28" i="7" s="1"/>
  <c r="CJ206" i="5"/>
  <c r="CM206" i="5" s="1"/>
  <c r="CM101" i="5"/>
  <c r="CM41" i="6"/>
  <c r="CM44" i="6"/>
  <c r="CJ50" i="5"/>
  <c r="CM50" i="5" s="1"/>
  <c r="CG206" i="5"/>
  <c r="CG178" i="5" s="1"/>
  <c r="CM83" i="5"/>
  <c r="CM84" i="5" s="1"/>
  <c r="CA144" i="5"/>
  <c r="CA154" i="5" s="1"/>
  <c r="CD154" i="5"/>
  <c r="CG28" i="7"/>
  <c r="CG177" i="5"/>
  <c r="CA179" i="5"/>
  <c r="CA207" i="5"/>
  <c r="CA178" i="5"/>
  <c r="CG103" i="7"/>
  <c r="CG154" i="5"/>
  <c r="CJ207" i="5" l="1"/>
  <c r="CJ179" i="5"/>
  <c r="CG179" i="5"/>
  <c r="CM90" i="7"/>
  <c r="CG207" i="5"/>
  <c r="CM67" i="5"/>
  <c r="CG208" i="5"/>
  <c r="CJ178" i="5"/>
  <c r="CJ208" i="5"/>
  <c r="CJ51" i="5"/>
  <c r="CJ144" i="5"/>
  <c r="CJ154" i="5" s="1"/>
  <c r="CM178" i="5"/>
  <c r="CM179" i="5"/>
  <c r="CM207" i="5"/>
  <c r="CM208" i="5"/>
  <c r="CM51" i="5"/>
  <c r="CM144" i="5" l="1"/>
  <c r="CM154" i="5" s="1"/>
  <c r="CM103" i="7"/>
  <c r="BR16" i="7"/>
  <c r="BX33" i="7" s="1"/>
  <c r="BR17" i="6"/>
  <c r="BR57" i="6"/>
  <c r="BR17" i="7" s="1"/>
  <c r="BR21" i="7" s="1"/>
  <c r="BR38" i="7" s="1"/>
  <c r="DO16" i="7" l="1"/>
  <c r="DO31" i="7" s="1"/>
  <c r="BR33" i="7"/>
  <c r="BR95" i="7"/>
  <c r="BU17" i="6"/>
  <c r="BU52" i="6" s="1"/>
  <c r="BR18" i="6"/>
  <c r="BX17" i="6"/>
  <c r="BR40" i="5"/>
  <c r="BR34" i="7"/>
  <c r="DO17" i="7"/>
  <c r="DO32" i="7" s="1"/>
  <c r="BR96" i="7"/>
  <c r="BR70" i="5"/>
  <c r="BR54" i="5" s="1"/>
  <c r="BR87" i="5"/>
  <c r="BR104" i="5"/>
  <c r="BX95" i="7"/>
  <c r="BX18" i="6" l="1"/>
  <c r="CD58" i="6" s="1"/>
  <c r="CD24" i="7" s="1"/>
  <c r="BX70" i="5"/>
  <c r="BX54" i="5" s="1"/>
  <c r="BX56" i="5" s="1"/>
  <c r="BX104" i="5"/>
  <c r="BR108" i="7"/>
  <c r="CD17" i="6"/>
  <c r="CD70" i="5" s="1"/>
  <c r="CG70" i="5" s="1"/>
  <c r="BU54" i="6"/>
  <c r="BU58" i="6" s="1"/>
  <c r="BU24" i="7" s="1"/>
  <c r="BR10" i="5"/>
  <c r="BR105" i="10" s="1"/>
  <c r="CD95" i="7"/>
  <c r="CD108" i="7" s="1"/>
  <c r="BU18" i="6"/>
  <c r="BX58" i="6"/>
  <c r="BX24" i="7" s="1"/>
  <c r="BR56" i="6"/>
  <c r="BX57" i="6"/>
  <c r="BX17" i="7" s="1"/>
  <c r="BX21" i="7" s="1"/>
  <c r="BX38" i="7" s="1"/>
  <c r="CA17" i="6"/>
  <c r="CA53" i="6" s="1"/>
  <c r="BX87" i="5"/>
  <c r="BX89" i="5" s="1"/>
  <c r="BU55" i="6"/>
  <c r="BU59" i="6" s="1"/>
  <c r="BU23" i="7" s="1"/>
  <c r="BU54" i="5"/>
  <c r="BR55" i="5"/>
  <c r="BR56" i="5"/>
  <c r="BR146" i="5"/>
  <c r="BX108" i="7"/>
  <c r="BU70" i="5"/>
  <c r="BR72" i="5"/>
  <c r="BR185" i="5"/>
  <c r="BR212" i="5"/>
  <c r="BU104" i="5"/>
  <c r="BR106" i="5"/>
  <c r="BU87" i="5"/>
  <c r="BR89" i="5"/>
  <c r="BR39" i="5"/>
  <c r="BR22" i="7" s="1"/>
  <c r="BR109" i="7"/>
  <c r="CG17" i="6" l="1"/>
  <c r="CG71" i="5" s="1"/>
  <c r="CD104" i="5"/>
  <c r="CG104" i="5" s="1"/>
  <c r="BX56" i="6"/>
  <c r="CD57" i="6"/>
  <c r="CD17" i="7" s="1"/>
  <c r="BX10" i="5"/>
  <c r="BX11" i="10" s="1"/>
  <c r="BR101" i="10"/>
  <c r="BU101" i="10" s="1"/>
  <c r="BR13" i="10"/>
  <c r="BR158" i="10" s="1"/>
  <c r="BR241" i="5"/>
  <c r="BR116" i="10"/>
  <c r="CA54" i="5"/>
  <c r="CA55" i="5" s="1"/>
  <c r="BX55" i="5"/>
  <c r="CA70" i="5"/>
  <c r="CA72" i="5" s="1"/>
  <c r="BX96" i="7"/>
  <c r="BX20" i="7"/>
  <c r="BX72" i="5"/>
  <c r="BX12" i="5" s="1"/>
  <c r="BX185" i="5"/>
  <c r="BX19" i="7"/>
  <c r="BX18" i="7"/>
  <c r="CA18" i="6"/>
  <c r="CA56" i="6" s="1"/>
  <c r="CJ17" i="6"/>
  <c r="CJ87" i="5" s="1"/>
  <c r="BX212" i="5"/>
  <c r="BX214" i="5" s="1"/>
  <c r="CD18" i="6"/>
  <c r="CD87" i="5"/>
  <c r="CG87" i="5" s="1"/>
  <c r="CA52" i="6"/>
  <c r="CJ95" i="7"/>
  <c r="BR19" i="6"/>
  <c r="BU10" i="5"/>
  <c r="BU86" i="10" s="1"/>
  <c r="BR149" i="10"/>
  <c r="BR170" i="10" s="1"/>
  <c r="BR11" i="10"/>
  <c r="CA87" i="5"/>
  <c r="CA88" i="5" s="1"/>
  <c r="BX146" i="5"/>
  <c r="BX147" i="5" s="1"/>
  <c r="BX157" i="5" s="1"/>
  <c r="BX191" i="5" s="1"/>
  <c r="CA104" i="5"/>
  <c r="CA106" i="5" s="1"/>
  <c r="CA54" i="6"/>
  <c r="CA58" i="6" s="1"/>
  <c r="CA24" i="7" s="1"/>
  <c r="CA55" i="6"/>
  <c r="CA59" i="6" s="1"/>
  <c r="CA23" i="7" s="1"/>
  <c r="BX106" i="5"/>
  <c r="BX40" i="5"/>
  <c r="BX34" i="7"/>
  <c r="BU56" i="6"/>
  <c r="BR14" i="5"/>
  <c r="BR107" i="5"/>
  <c r="BU105" i="10"/>
  <c r="BR110" i="10"/>
  <c r="BU89" i="5"/>
  <c r="BU88" i="5"/>
  <c r="CD72" i="5"/>
  <c r="CD185" i="5"/>
  <c r="BU146" i="5"/>
  <c r="BR147" i="5"/>
  <c r="BR156" i="5"/>
  <c r="CD106" i="5"/>
  <c r="BU72" i="5"/>
  <c r="BU71" i="5"/>
  <c r="BU185" i="5"/>
  <c r="BR25" i="7"/>
  <c r="DO18" i="7"/>
  <c r="DO33" i="7" s="1"/>
  <c r="CD54" i="5"/>
  <c r="BR12" i="5"/>
  <c r="BR73" i="5"/>
  <c r="BR189" i="5"/>
  <c r="BX13" i="5"/>
  <c r="CA57" i="6"/>
  <c r="CA17" i="7" s="1"/>
  <c r="CA16" i="7"/>
  <c r="BR13" i="5"/>
  <c r="BR90" i="5"/>
  <c r="BU106" i="5"/>
  <c r="BU105" i="5"/>
  <c r="BU212" i="5"/>
  <c r="BR186" i="5"/>
  <c r="BR187" i="5"/>
  <c r="BR213" i="5"/>
  <c r="BR214" i="5"/>
  <c r="BR215" i="5"/>
  <c r="BR216" i="5" s="1"/>
  <c r="BU55" i="5"/>
  <c r="BU56" i="5"/>
  <c r="CG55" i="6" l="1"/>
  <c r="CJ18" i="6"/>
  <c r="CG54" i="6"/>
  <c r="CG58" i="6" s="1"/>
  <c r="CG24" i="7" s="1"/>
  <c r="CG53" i="6"/>
  <c r="CG16" i="7" s="1"/>
  <c r="CG52" i="6"/>
  <c r="BR119" i="10"/>
  <c r="BS114" i="10" s="1"/>
  <c r="CG18" i="6"/>
  <c r="CD18" i="7"/>
  <c r="CD35" i="7" s="1"/>
  <c r="BR129" i="5"/>
  <c r="BR126" i="5" s="1"/>
  <c r="CD34" i="7"/>
  <c r="CD21" i="7"/>
  <c r="CD38" i="7" s="1"/>
  <c r="CD40" i="5"/>
  <c r="CD96" i="7"/>
  <c r="CD20" i="7"/>
  <c r="CD37" i="7" s="1"/>
  <c r="BR12" i="11"/>
  <c r="BR17" i="5" s="1"/>
  <c r="CD19" i="7"/>
  <c r="CD36" i="7" s="1"/>
  <c r="BX24" i="11"/>
  <c r="CA10" i="5"/>
  <c r="CA149" i="10" s="1"/>
  <c r="BX13" i="10"/>
  <c r="BX158" i="10" s="1"/>
  <c r="BR36" i="11"/>
  <c r="BX90" i="5"/>
  <c r="BY24" i="11"/>
  <c r="CA24" i="11" s="1"/>
  <c r="BX107" i="5"/>
  <c r="BX101" i="10"/>
  <c r="BX36" i="11" s="1"/>
  <c r="BX47" i="11" s="1"/>
  <c r="BX49" i="11" s="1"/>
  <c r="BX241" i="5"/>
  <c r="BX39" i="5"/>
  <c r="BX22" i="7" s="1"/>
  <c r="BX25" i="7" s="1"/>
  <c r="BX156" i="10"/>
  <c r="BX149" i="10"/>
  <c r="BX19" i="6"/>
  <c r="BX105" i="10"/>
  <c r="BX189" i="5"/>
  <c r="CA56" i="5"/>
  <c r="CJ70" i="5"/>
  <c r="CM70" i="5" s="1"/>
  <c r="CA185" i="5"/>
  <c r="CA71" i="5"/>
  <c r="CJ104" i="5"/>
  <c r="CJ106" i="5" s="1"/>
  <c r="CJ58" i="6"/>
  <c r="CJ24" i="7" s="1"/>
  <c r="BX73" i="5"/>
  <c r="CM17" i="6"/>
  <c r="CM52" i="6" s="1"/>
  <c r="BX109" i="7"/>
  <c r="CA20" i="7"/>
  <c r="CA21" i="7"/>
  <c r="CA89" i="5"/>
  <c r="BU107" i="5"/>
  <c r="BU241" i="5"/>
  <c r="BU39" i="5"/>
  <c r="BU22" i="7" s="1"/>
  <c r="BU25" i="7" s="1"/>
  <c r="BU73" i="10"/>
  <c r="BU19" i="6"/>
  <c r="CD56" i="6"/>
  <c r="CD10" i="5"/>
  <c r="CD13" i="10" s="1"/>
  <c r="CD158" i="10" s="1"/>
  <c r="CJ57" i="6"/>
  <c r="CJ17" i="7" s="1"/>
  <c r="CA18" i="7"/>
  <c r="CA19" i="7"/>
  <c r="CA212" i="5"/>
  <c r="CA186" i="5" s="1"/>
  <c r="CJ108" i="7"/>
  <c r="CG59" i="6"/>
  <c r="CG23" i="7" s="1"/>
  <c r="CA105" i="5"/>
  <c r="BX187" i="5"/>
  <c r="BX213" i="5"/>
  <c r="BX215" i="5"/>
  <c r="BX216" i="5" s="1"/>
  <c r="BX186" i="5"/>
  <c r="BX156" i="5"/>
  <c r="BR24" i="11"/>
  <c r="CD212" i="5"/>
  <c r="CD186" i="5" s="1"/>
  <c r="CD89" i="5"/>
  <c r="CA146" i="5"/>
  <c r="CA156" i="5" s="1"/>
  <c r="BU90" i="5"/>
  <c r="BU149" i="10"/>
  <c r="BS24" i="11"/>
  <c r="BR156" i="10"/>
  <c r="BX14" i="5"/>
  <c r="BU13" i="5"/>
  <c r="BR74" i="5"/>
  <c r="BR114" i="7"/>
  <c r="BR118" i="7" s="1"/>
  <c r="BU109" i="10"/>
  <c r="BU102" i="10"/>
  <c r="CG95" i="7"/>
  <c r="BU14" i="5"/>
  <c r="BR91" i="5"/>
  <c r="BR113" i="7"/>
  <c r="BR117" i="7" s="1"/>
  <c r="BR57" i="5"/>
  <c r="BR11" i="5"/>
  <c r="BR15" i="5" s="1"/>
  <c r="BR18" i="5" s="1"/>
  <c r="CG106" i="5"/>
  <c r="CG105" i="5"/>
  <c r="BU147" i="5"/>
  <c r="BU156" i="5"/>
  <c r="CJ89" i="5"/>
  <c r="CM87" i="5"/>
  <c r="BS110" i="10"/>
  <c r="BR111" i="10"/>
  <c r="BU186" i="5"/>
  <c r="BU187" i="5"/>
  <c r="BU213" i="5"/>
  <c r="BU214" i="5"/>
  <c r="BU215" i="5"/>
  <c r="BU216" i="5" s="1"/>
  <c r="CD14" i="5"/>
  <c r="CA95" i="7"/>
  <c r="BX57" i="5"/>
  <c r="BX11" i="5"/>
  <c r="CG54" i="5"/>
  <c r="CD55" i="5"/>
  <c r="CD56" i="5"/>
  <c r="CD146" i="5"/>
  <c r="BR18" i="10"/>
  <c r="CD12" i="5"/>
  <c r="CD189" i="5"/>
  <c r="CJ72" i="5"/>
  <c r="BU110" i="10"/>
  <c r="BU106" i="10"/>
  <c r="BR157" i="5"/>
  <c r="BR190" i="5"/>
  <c r="CJ10" i="5"/>
  <c r="CJ19" i="6" s="1"/>
  <c r="CJ56" i="6"/>
  <c r="CG89" i="5"/>
  <c r="CG88" i="5"/>
  <c r="BX190" i="5"/>
  <c r="CA40" i="5"/>
  <c r="CA96" i="7"/>
  <c r="BX74" i="5"/>
  <c r="CA13" i="5"/>
  <c r="BX114" i="7"/>
  <c r="BU73" i="5"/>
  <c r="BU189" i="5"/>
  <c r="CA189" i="5"/>
  <c r="CG72" i="5"/>
  <c r="CG185" i="5"/>
  <c r="CG57" i="6" l="1"/>
  <c r="CG17" i="7" s="1"/>
  <c r="CG33" i="7"/>
  <c r="CJ54" i="5"/>
  <c r="CJ185" i="5"/>
  <c r="BR47" i="11"/>
  <c r="BR49" i="11" s="1"/>
  <c r="CG56" i="6"/>
  <c r="CM55" i="6"/>
  <c r="CM59" i="6" s="1"/>
  <c r="CM23" i="7" s="1"/>
  <c r="CJ212" i="5"/>
  <c r="CJ214" i="5" s="1"/>
  <c r="CA36" i="11"/>
  <c r="CA47" i="11" s="1"/>
  <c r="CA49" i="11" s="1"/>
  <c r="BU36" i="11"/>
  <c r="CD109" i="7"/>
  <c r="CA101" i="10"/>
  <c r="CA102" i="10" s="1"/>
  <c r="CA86" i="10"/>
  <c r="CA19" i="6"/>
  <c r="CA73" i="10"/>
  <c r="CA241" i="5"/>
  <c r="CA39" i="5"/>
  <c r="CA22" i="7" s="1"/>
  <c r="CA25" i="7" s="1"/>
  <c r="CA90" i="5"/>
  <c r="CA73" i="5"/>
  <c r="CA107" i="5"/>
  <c r="CA105" i="10"/>
  <c r="CM104" i="5"/>
  <c r="CM105" i="5" s="1"/>
  <c r="CM54" i="6"/>
  <c r="CM58" i="6" s="1"/>
  <c r="CM24" i="7" s="1"/>
  <c r="CM53" i="6"/>
  <c r="CM16" i="7" s="1"/>
  <c r="CM18" i="6"/>
  <c r="CM56" i="6" s="1"/>
  <c r="CM71" i="5"/>
  <c r="CD11" i="10"/>
  <c r="CD24" i="11" s="1"/>
  <c r="CD39" i="5"/>
  <c r="CD22" i="7" s="1"/>
  <c r="CD25" i="7" s="1"/>
  <c r="CD101" i="10"/>
  <c r="CG101" i="10" s="1"/>
  <c r="BX91" i="5"/>
  <c r="CD213" i="5"/>
  <c r="CJ21" i="7"/>
  <c r="CJ38" i="7" s="1"/>
  <c r="CJ34" i="7"/>
  <c r="BU24" i="11"/>
  <c r="CG20" i="7"/>
  <c r="CG37" i="7" s="1"/>
  <c r="CG21" i="7"/>
  <c r="CG38" i="7" s="1"/>
  <c r="CJ40" i="5"/>
  <c r="CJ20" i="7"/>
  <c r="CJ37" i="7" s="1"/>
  <c r="CA187" i="5"/>
  <c r="CA213" i="5"/>
  <c r="CA215" i="5"/>
  <c r="CA216" i="5" s="1"/>
  <c r="CA214" i="5"/>
  <c r="CD149" i="10"/>
  <c r="CD73" i="5"/>
  <c r="CG10" i="5"/>
  <c r="CD105" i="10"/>
  <c r="CG105" i="10" s="1"/>
  <c r="CD11" i="5"/>
  <c r="CD12" i="10" s="1"/>
  <c r="CD107" i="5"/>
  <c r="CD90" i="5"/>
  <c r="CD19" i="6"/>
  <c r="CD241" i="5"/>
  <c r="CJ96" i="7"/>
  <c r="CJ19" i="7"/>
  <c r="CJ36" i="7" s="1"/>
  <c r="CJ18" i="7"/>
  <c r="CJ35" i="7" s="1"/>
  <c r="CG18" i="7"/>
  <c r="CG35" i="7" s="1"/>
  <c r="CG19" i="7"/>
  <c r="CG36" i="7" s="1"/>
  <c r="CD214" i="5"/>
  <c r="CG212" i="5"/>
  <c r="CG187" i="5" s="1"/>
  <c r="CD187" i="5"/>
  <c r="CD215" i="5"/>
  <c r="CD216" i="5" s="1"/>
  <c r="CD13" i="5"/>
  <c r="CG13" i="5" s="1"/>
  <c r="CA147" i="5"/>
  <c r="CA157" i="5" s="1"/>
  <c r="CA191" i="5" s="1"/>
  <c r="BU170" i="10"/>
  <c r="BX15" i="5"/>
  <c r="BX18" i="5" s="1"/>
  <c r="CA14" i="5"/>
  <c r="CA113" i="7" s="1"/>
  <c r="BX113" i="7"/>
  <c r="BX117" i="7" s="1"/>
  <c r="BX118" i="7"/>
  <c r="BR26" i="10"/>
  <c r="BR27" i="10"/>
  <c r="BR30" i="10"/>
  <c r="BR123" i="5"/>
  <c r="BR19" i="5"/>
  <c r="CJ55" i="5"/>
  <c r="CJ56" i="5"/>
  <c r="CM54" i="5"/>
  <c r="CJ146" i="5"/>
  <c r="CJ187" i="5"/>
  <c r="CM212" i="5"/>
  <c r="CG146" i="5"/>
  <c r="CD147" i="5"/>
  <c r="CD156" i="5"/>
  <c r="BU157" i="5"/>
  <c r="BU190" i="5"/>
  <c r="CG40" i="5"/>
  <c r="CG34" i="7"/>
  <c r="CG96" i="7"/>
  <c r="BR134" i="5"/>
  <c r="CA74" i="5"/>
  <c r="CA114" i="7"/>
  <c r="CM72" i="5"/>
  <c r="CM185" i="5"/>
  <c r="CD57" i="5"/>
  <c r="BS116" i="10"/>
  <c r="BS119" i="10" s="1"/>
  <c r="CG14" i="5"/>
  <c r="CD91" i="5"/>
  <c r="CD113" i="7"/>
  <c r="BX12" i="10"/>
  <c r="BX25" i="10"/>
  <c r="BX41" i="5"/>
  <c r="CA11" i="5"/>
  <c r="CM89" i="5"/>
  <c r="CM88" i="5"/>
  <c r="CG189" i="5"/>
  <c r="CJ13" i="10"/>
  <c r="CJ158" i="10" s="1"/>
  <c r="CJ101" i="10"/>
  <c r="CJ105" i="10"/>
  <c r="CJ11" i="10"/>
  <c r="CJ149" i="10"/>
  <c r="CJ39" i="5"/>
  <c r="CJ22" i="7" s="1"/>
  <c r="CJ25" i="7" s="1"/>
  <c r="CJ241" i="5"/>
  <c r="CM10" i="5"/>
  <c r="BW110" i="10"/>
  <c r="BU111" i="10"/>
  <c r="CJ12" i="5"/>
  <c r="CJ11" i="5" s="1"/>
  <c r="CJ73" i="5"/>
  <c r="CJ189" i="5"/>
  <c r="BR161" i="10"/>
  <c r="CG55" i="5"/>
  <c r="CG56" i="5"/>
  <c r="CJ14" i="5"/>
  <c r="CJ107" i="5"/>
  <c r="BS111" i="10"/>
  <c r="BT110" i="10"/>
  <c r="BT111" i="10" s="1"/>
  <c r="BU74" i="5"/>
  <c r="BU114" i="7"/>
  <c r="BU118" i="7" s="1"/>
  <c r="BR12" i="10"/>
  <c r="BR25" i="10"/>
  <c r="BU11" i="5"/>
  <c r="BU15" i="5" s="1"/>
  <c r="BR41" i="5"/>
  <c r="BR119" i="7"/>
  <c r="BR191" i="5"/>
  <c r="CJ13" i="5"/>
  <c r="CJ90" i="5"/>
  <c r="BU91" i="5"/>
  <c r="BU113" i="7"/>
  <c r="BU117" i="7" s="1"/>
  <c r="CG108" i="7"/>
  <c r="CJ213" i="5" l="1"/>
  <c r="CJ215" i="5"/>
  <c r="CJ216" i="5" s="1"/>
  <c r="CJ186" i="5"/>
  <c r="CM95" i="7"/>
  <c r="BU47" i="11"/>
  <c r="BU49" i="11" s="1"/>
  <c r="CM57" i="6"/>
  <c r="CM17" i="7" s="1"/>
  <c r="CM34" i="7" s="1"/>
  <c r="CM33" i="7"/>
  <c r="CM106" i="5"/>
  <c r="CM107" i="5" s="1"/>
  <c r="CD156" i="10"/>
  <c r="CE24" i="11"/>
  <c r="CG24" i="11" s="1"/>
  <c r="CA110" i="10"/>
  <c r="CA106" i="10"/>
  <c r="CD36" i="11"/>
  <c r="CD47" i="11" s="1"/>
  <c r="CD49" i="11" s="1"/>
  <c r="CG39" i="5"/>
  <c r="CG22" i="7" s="1"/>
  <c r="CG25" i="7" s="1"/>
  <c r="CG73" i="10"/>
  <c r="CM19" i="6"/>
  <c r="CM73" i="10"/>
  <c r="CD119" i="7"/>
  <c r="CD41" i="5"/>
  <c r="CD25" i="10"/>
  <c r="CG11" i="5"/>
  <c r="CG19" i="6"/>
  <c r="CG73" i="5"/>
  <c r="CG149" i="10"/>
  <c r="CG215" i="5"/>
  <c r="CG216" i="5" s="1"/>
  <c r="CG214" i="5"/>
  <c r="CG186" i="5"/>
  <c r="CG213" i="5"/>
  <c r="CD74" i="5"/>
  <c r="CG102" i="10"/>
  <c r="CG90" i="5"/>
  <c r="CG241" i="5"/>
  <c r="CG86" i="10"/>
  <c r="CG107" i="5"/>
  <c r="CJ109" i="7"/>
  <c r="CD15" i="5"/>
  <c r="CD27" i="10" s="1"/>
  <c r="CD114" i="7"/>
  <c r="CD118" i="7" s="1"/>
  <c r="CA190" i="5"/>
  <c r="BX30" i="10"/>
  <c r="CA91" i="5"/>
  <c r="BX19" i="5"/>
  <c r="CA15" i="5"/>
  <c r="CA87" i="10" s="1"/>
  <c r="BX27" i="10"/>
  <c r="CD117" i="7"/>
  <c r="CM90" i="5"/>
  <c r="BX123" i="5"/>
  <c r="BX26" i="10"/>
  <c r="CD157" i="10"/>
  <c r="CE25" i="11"/>
  <c r="CD25" i="11"/>
  <c r="CM108" i="7"/>
  <c r="CJ15" i="5"/>
  <c r="CJ74" i="5"/>
  <c r="CM13" i="5"/>
  <c r="CJ114" i="7"/>
  <c r="BU74" i="10"/>
  <c r="BU75" i="10"/>
  <c r="BU41" i="5"/>
  <c r="BU12" i="5"/>
  <c r="BR157" i="10"/>
  <c r="BR25" i="11"/>
  <c r="BS25" i="11"/>
  <c r="CM101" i="10"/>
  <c r="CM102" i="10" s="1"/>
  <c r="CJ36" i="11"/>
  <c r="BX25" i="11"/>
  <c r="BY25" i="11"/>
  <c r="BX157" i="10"/>
  <c r="CM189" i="5"/>
  <c r="CM73" i="5"/>
  <c r="CG74" i="5"/>
  <c r="CG114" i="7"/>
  <c r="CG118" i="7" s="1"/>
  <c r="CG147" i="5"/>
  <c r="CG156" i="5"/>
  <c r="BR13" i="11"/>
  <c r="CJ156" i="10"/>
  <c r="CK24" i="11"/>
  <c r="CJ24" i="11"/>
  <c r="CJ147" i="5"/>
  <c r="CJ156" i="5"/>
  <c r="CM146" i="5"/>
  <c r="BU85" i="10"/>
  <c r="BU87" i="10"/>
  <c r="BU88" i="10"/>
  <c r="CJ57" i="5"/>
  <c r="CM86" i="10"/>
  <c r="CM149" i="10"/>
  <c r="CM39" i="5"/>
  <c r="CM22" i="7" s="1"/>
  <c r="CM25" i="7" s="1"/>
  <c r="CM241" i="5"/>
  <c r="BX119" i="7"/>
  <c r="CA117" i="7"/>
  <c r="BX13" i="11"/>
  <c r="CG91" i="5"/>
  <c r="CG113" i="7"/>
  <c r="CG117" i="7" s="1"/>
  <c r="CM186" i="5"/>
  <c r="CM213" i="5"/>
  <c r="CM215" i="5"/>
  <c r="CM187" i="5"/>
  <c r="CM214" i="5"/>
  <c r="BR165" i="10"/>
  <c r="BR30" i="11"/>
  <c r="BS30" i="11"/>
  <c r="CJ91" i="5"/>
  <c r="CM14" i="5"/>
  <c r="CJ113" i="7"/>
  <c r="CJ117" i="7" s="1"/>
  <c r="CJ25" i="10"/>
  <c r="CJ12" i="10"/>
  <c r="CJ41" i="5"/>
  <c r="CM11" i="5"/>
  <c r="BS18" i="10"/>
  <c r="BT114" i="10"/>
  <c r="BU191" i="5"/>
  <c r="BR150" i="10"/>
  <c r="BR16" i="5"/>
  <c r="BU19" i="5"/>
  <c r="BR108" i="5"/>
  <c r="BR109" i="5"/>
  <c r="BR110" i="5" s="1"/>
  <c r="BR230" i="5"/>
  <c r="CG106" i="10"/>
  <c r="CG110" i="10"/>
  <c r="BR31" i="10"/>
  <c r="BR188" i="10"/>
  <c r="BR26" i="11"/>
  <c r="BR164" i="10"/>
  <c r="BS26" i="11"/>
  <c r="BX110" i="10"/>
  <c r="BW111" i="10"/>
  <c r="CM105" i="10"/>
  <c r="CA75" i="10"/>
  <c r="CA74" i="10"/>
  <c r="CA41" i="5"/>
  <c r="CA12" i="5"/>
  <c r="BX164" i="10"/>
  <c r="BX26" i="11"/>
  <c r="BY26" i="11"/>
  <c r="BS12" i="11"/>
  <c r="BS129" i="5"/>
  <c r="CA118" i="7"/>
  <c r="BR29" i="5"/>
  <c r="CG109" i="7"/>
  <c r="CD157" i="5"/>
  <c r="CD191" i="5" s="1"/>
  <c r="CD190" i="5"/>
  <c r="CM56" i="5"/>
  <c r="CM55" i="5"/>
  <c r="BR27" i="11"/>
  <c r="BS27" i="11"/>
  <c r="CM20" i="7" l="1"/>
  <c r="CM37" i="7" s="1"/>
  <c r="CM40" i="5"/>
  <c r="CM96" i="7"/>
  <c r="CM19" i="7"/>
  <c r="CM36" i="7" s="1"/>
  <c r="CM21" i="7"/>
  <c r="CM38" i="7" s="1"/>
  <c r="CM18" i="7"/>
  <c r="CM35" i="7" s="1"/>
  <c r="BR167" i="10"/>
  <c r="CG36" i="11"/>
  <c r="CA111" i="10"/>
  <c r="CC110" i="10"/>
  <c r="CM74" i="10"/>
  <c r="CM75" i="10"/>
  <c r="CG41" i="5"/>
  <c r="CG74" i="10"/>
  <c r="CG75" i="10"/>
  <c r="CD26" i="11"/>
  <c r="CD164" i="10"/>
  <c r="CE26" i="11"/>
  <c r="CJ119" i="7"/>
  <c r="CG119" i="7"/>
  <c r="CG15" i="5"/>
  <c r="CG88" i="10" s="1"/>
  <c r="CG12" i="5"/>
  <c r="CM216" i="5"/>
  <c r="CJ118" i="7"/>
  <c r="CD123" i="5"/>
  <c r="CD26" i="10"/>
  <c r="CD27" i="11" s="1"/>
  <c r="CD18" i="5"/>
  <c r="CD13" i="11" s="1"/>
  <c r="CD30" i="10"/>
  <c r="CD19" i="5"/>
  <c r="BX230" i="5"/>
  <c r="BX30" i="11"/>
  <c r="BX165" i="10"/>
  <c r="BX167" i="10" s="1"/>
  <c r="CA88" i="10"/>
  <c r="CA19" i="5"/>
  <c r="CA150" i="10" s="1"/>
  <c r="BX150" i="10"/>
  <c r="BX153" i="10" s="1"/>
  <c r="BX183" i="10" s="1"/>
  <c r="CA183" i="10" s="1"/>
  <c r="BX109" i="5"/>
  <c r="BX110" i="5" s="1"/>
  <c r="BY30" i="11"/>
  <c r="BX108" i="5"/>
  <c r="CA85" i="10"/>
  <c r="BX31" i="10"/>
  <c r="BY27" i="11"/>
  <c r="BX188" i="10"/>
  <c r="BX27" i="11"/>
  <c r="BU26" i="11"/>
  <c r="CA26" i="11"/>
  <c r="CA76" i="10"/>
  <c r="BU30" i="11"/>
  <c r="BU76" i="10"/>
  <c r="BU230" i="5"/>
  <c r="BR231" i="5"/>
  <c r="BR237" i="5"/>
  <c r="BR153" i="10"/>
  <c r="BR183" i="10" s="1"/>
  <c r="BU183" i="10" s="1"/>
  <c r="BR182" i="10"/>
  <c r="CJ164" i="10"/>
  <c r="CK26" i="11"/>
  <c r="CJ26" i="11"/>
  <c r="BS126" i="5"/>
  <c r="BU150" i="10"/>
  <c r="BU108" i="5"/>
  <c r="BU109" i="5"/>
  <c r="BU110" i="5" s="1"/>
  <c r="CJ157" i="10"/>
  <c r="CK25" i="11"/>
  <c r="CJ25" i="11"/>
  <c r="CM91" i="5"/>
  <c r="CM113" i="7"/>
  <c r="CM117" i="7" s="1"/>
  <c r="BU25" i="11"/>
  <c r="BR23" i="11"/>
  <c r="CM15" i="5"/>
  <c r="CM74" i="5"/>
  <c r="CM114" i="7"/>
  <c r="CM118" i="7" s="1"/>
  <c r="BX111" i="10"/>
  <c r="BY110" i="10"/>
  <c r="CG111" i="10"/>
  <c r="CI110" i="10"/>
  <c r="CJ47" i="11"/>
  <c r="CJ49" i="11" s="1"/>
  <c r="CM36" i="11"/>
  <c r="BU57" i="5"/>
  <c r="CM106" i="10"/>
  <c r="CM110" i="10"/>
  <c r="CM111" i="10" s="1"/>
  <c r="BR112" i="5"/>
  <c r="BT116" i="10"/>
  <c r="BT119" i="10" s="1"/>
  <c r="BT18" i="10" s="1"/>
  <c r="CM41" i="5"/>
  <c r="CM12" i="5"/>
  <c r="CA25" i="11"/>
  <c r="CJ26" i="10"/>
  <c r="CJ30" i="10"/>
  <c r="CJ27" i="10"/>
  <c r="CJ18" i="5"/>
  <c r="CJ123" i="5"/>
  <c r="CJ19" i="5"/>
  <c r="CJ157" i="5"/>
  <c r="CJ191" i="5" s="1"/>
  <c r="CJ190" i="5"/>
  <c r="BU27" i="11"/>
  <c r="BS17" i="5"/>
  <c r="CA57" i="5"/>
  <c r="BS161" i="10"/>
  <c r="CM147" i="5"/>
  <c r="CM156" i="5"/>
  <c r="CM24" i="11"/>
  <c r="CG157" i="5"/>
  <c r="CG191" i="5" s="1"/>
  <c r="CG190" i="5"/>
  <c r="BS23" i="11"/>
  <c r="CG25" i="11"/>
  <c r="CG47" i="11" l="1"/>
  <c r="CG49" i="11" s="1"/>
  <c r="CM109" i="7"/>
  <c r="CD110" i="10"/>
  <c r="CC111" i="10"/>
  <c r="CG76" i="10"/>
  <c r="CM76" i="10"/>
  <c r="CG26" i="11"/>
  <c r="CG85" i="10"/>
  <c r="CM119" i="7"/>
  <c r="CG57" i="5"/>
  <c r="CG87" i="10"/>
  <c r="CA230" i="5"/>
  <c r="CE27" i="11"/>
  <c r="CG27" i="11" s="1"/>
  <c r="BX237" i="5"/>
  <c r="BX231" i="5"/>
  <c r="CD165" i="10"/>
  <c r="CD167" i="10" s="1"/>
  <c r="CA30" i="11"/>
  <c r="CG19" i="5"/>
  <c r="CE30" i="11"/>
  <c r="CD109" i="5"/>
  <c r="CD110" i="5" s="1"/>
  <c r="CD150" i="10"/>
  <c r="CD153" i="10" s="1"/>
  <c r="CD183" i="10" s="1"/>
  <c r="CG183" i="10" s="1"/>
  <c r="CD108" i="5"/>
  <c r="CD230" i="5"/>
  <c r="CD188" i="10"/>
  <c r="CD30" i="11"/>
  <c r="CD23" i="11" s="1"/>
  <c r="CD31" i="10"/>
  <c r="CA108" i="5"/>
  <c r="CA109" i="5"/>
  <c r="CA110" i="5" s="1"/>
  <c r="BX182" i="10"/>
  <c r="BX184" i="10" s="1"/>
  <c r="BX185" i="10" s="1"/>
  <c r="BY23" i="11"/>
  <c r="CA27" i="11"/>
  <c r="BX23" i="11"/>
  <c r="CM25" i="11"/>
  <c r="CM26" i="11"/>
  <c r="BR154" i="10"/>
  <c r="BR155" i="10" s="1"/>
  <c r="BR148" i="10" s="1"/>
  <c r="CJ188" i="10"/>
  <c r="BR184" i="10"/>
  <c r="BR185" i="10" s="1"/>
  <c r="BU18" i="10"/>
  <c r="BT161" i="10"/>
  <c r="CI111" i="10"/>
  <c r="CJ110" i="10"/>
  <c r="BR197" i="10"/>
  <c r="BR198" i="10" s="1"/>
  <c r="BT12" i="11"/>
  <c r="BT129" i="5"/>
  <c r="BU116" i="10"/>
  <c r="CJ13" i="11"/>
  <c r="BS16" i="5"/>
  <c r="BX197" i="10"/>
  <c r="BX198" i="10" s="1"/>
  <c r="BU182" i="10"/>
  <c r="BU184" i="10" s="1"/>
  <c r="BU185" i="10" s="1"/>
  <c r="BX154" i="10"/>
  <c r="BX155" i="10" s="1"/>
  <c r="BU231" i="5"/>
  <c r="BU237" i="5"/>
  <c r="CK27" i="11"/>
  <c r="CJ27" i="11"/>
  <c r="CM57" i="5"/>
  <c r="CJ31" i="10"/>
  <c r="CM157" i="5"/>
  <c r="CM191" i="5" s="1"/>
  <c r="CM190" i="5"/>
  <c r="CJ150" i="10"/>
  <c r="CM19" i="5"/>
  <c r="CJ230" i="5"/>
  <c r="CJ109" i="5"/>
  <c r="CJ110" i="5" s="1"/>
  <c r="CJ108" i="5"/>
  <c r="CJ165" i="10"/>
  <c r="CJ167" i="10" s="1"/>
  <c r="CK30" i="11"/>
  <c r="CJ30" i="11"/>
  <c r="CM47" i="11"/>
  <c r="CM49" i="11" s="1"/>
  <c r="BY111" i="10"/>
  <c r="BZ110" i="10"/>
  <c r="BZ111" i="10" s="1"/>
  <c r="CM85" i="10"/>
  <c r="CM87" i="10"/>
  <c r="CM88" i="10"/>
  <c r="BU23" i="11"/>
  <c r="CA182" i="10"/>
  <c r="CA184" i="10" s="1"/>
  <c r="CA185" i="10" s="1"/>
  <c r="BS134" i="5"/>
  <c r="BR242" i="5"/>
  <c r="BR238" i="5"/>
  <c r="CD111" i="10" l="1"/>
  <c r="CE110" i="10"/>
  <c r="CE23" i="11"/>
  <c r="CA237" i="5"/>
  <c r="CG230" i="5"/>
  <c r="BX238" i="5"/>
  <c r="CA231" i="5"/>
  <c r="BX242" i="5"/>
  <c r="CD197" i="10"/>
  <c r="CD198" i="10" s="1"/>
  <c r="CD182" i="10"/>
  <c r="CD184" i="10" s="1"/>
  <c r="CD185" i="10" s="1"/>
  <c r="CG108" i="5"/>
  <c r="CD231" i="5"/>
  <c r="CA23" i="11"/>
  <c r="CG109" i="5"/>
  <c r="CG110" i="5" s="1"/>
  <c r="CD237" i="5"/>
  <c r="CG150" i="10"/>
  <c r="CG182" i="10" s="1"/>
  <c r="CG184" i="10" s="1"/>
  <c r="CG185" i="10" s="1"/>
  <c r="CG30" i="11"/>
  <c r="CG23" i="11" s="1"/>
  <c r="CM27" i="11"/>
  <c r="CK23" i="11"/>
  <c r="CD154" i="10"/>
  <c r="CD155" i="10" s="1"/>
  <c r="BR199" i="10"/>
  <c r="BU238" i="5"/>
  <c r="CJ182" i="10"/>
  <c r="CJ153" i="10"/>
  <c r="CJ183" i="10" s="1"/>
  <c r="CM183" i="10" s="1"/>
  <c r="BT126" i="5"/>
  <c r="BU129" i="5"/>
  <c r="CJ23" i="11"/>
  <c r="CJ237" i="5"/>
  <c r="CJ231" i="5"/>
  <c r="CM230" i="5"/>
  <c r="BS112" i="5"/>
  <c r="CK110" i="10"/>
  <c r="CJ111" i="10"/>
  <c r="CM150" i="10"/>
  <c r="CM108" i="5"/>
  <c r="CM109" i="5"/>
  <c r="CM110" i="5" s="1"/>
  <c r="BX199" i="10"/>
  <c r="BR240" i="5"/>
  <c r="BR111" i="5"/>
  <c r="BS29" i="5"/>
  <c r="CM30" i="11"/>
  <c r="BU119" i="10"/>
  <c r="BU117" i="10"/>
  <c r="BT17" i="5"/>
  <c r="BU12" i="11"/>
  <c r="BU161" i="10"/>
  <c r="CF110" i="10" l="1"/>
  <c r="CF111" i="10" s="1"/>
  <c r="CE111" i="10"/>
  <c r="BX240" i="5"/>
  <c r="CG237" i="5"/>
  <c r="CG231" i="5"/>
  <c r="CA242" i="5"/>
  <c r="CA238" i="5"/>
  <c r="BX111" i="5"/>
  <c r="CD242" i="5"/>
  <c r="CD111" i="5" s="1"/>
  <c r="CD238" i="5"/>
  <c r="CD240" i="5" s="1"/>
  <c r="CM23" i="11"/>
  <c r="CM237" i="5"/>
  <c r="CM231" i="5"/>
  <c r="CD199" i="10"/>
  <c r="BT16" i="5"/>
  <c r="BU17" i="5"/>
  <c r="CJ197" i="10"/>
  <c r="CJ198" i="10" s="1"/>
  <c r="BW114" i="10"/>
  <c r="CA114" i="10"/>
  <c r="CM182" i="10"/>
  <c r="CM184" i="10" s="1"/>
  <c r="CM185" i="10" s="1"/>
  <c r="CJ238" i="5"/>
  <c r="CJ242" i="5"/>
  <c r="BT134" i="5"/>
  <c r="BU134" i="5" s="1"/>
  <c r="BU126" i="5"/>
  <c r="CJ184" i="10"/>
  <c r="CJ185" i="10" s="1"/>
  <c r="BU240" i="5"/>
  <c r="CL110" i="10"/>
  <c r="CL111" i="10" s="1"/>
  <c r="CK111" i="10"/>
  <c r="CJ154" i="10"/>
  <c r="CJ155" i="10" s="1"/>
  <c r="CA111" i="5" l="1"/>
  <c r="CG238" i="5"/>
  <c r="CG242" i="5"/>
  <c r="CA240" i="5"/>
  <c r="BT29" i="5"/>
  <c r="BW116" i="10"/>
  <c r="BW119" i="10" s="1"/>
  <c r="CJ240" i="5"/>
  <c r="CJ199" i="10"/>
  <c r="BT112" i="5"/>
  <c r="BU29" i="5"/>
  <c r="CJ111" i="5"/>
  <c r="CM238" i="5"/>
  <c r="CM242" i="5"/>
  <c r="CG240" i="5" l="1"/>
  <c r="CG111" i="5"/>
  <c r="CM240" i="5"/>
  <c r="BW18" i="10"/>
  <c r="BX114" i="10"/>
  <c r="BW12" i="11"/>
  <c r="BW129" i="5"/>
  <c r="CM111" i="5"/>
  <c r="BW17" i="5" l="1"/>
  <c r="BX116" i="10"/>
  <c r="BX119" i="10" s="1"/>
  <c r="BW161" i="10"/>
  <c r="BW126" i="5"/>
  <c r="BX18" i="10" l="1"/>
  <c r="BY114" i="10"/>
  <c r="BX129" i="5"/>
  <c r="BX12" i="11"/>
  <c r="BW134" i="5"/>
  <c r="BX126" i="5" l="1"/>
  <c r="BX17" i="5"/>
  <c r="BY116" i="10"/>
  <c r="BY119" i="10" s="1"/>
  <c r="BW29" i="5"/>
  <c r="BX161" i="10"/>
  <c r="BX16" i="5" l="1"/>
  <c r="BY18" i="10"/>
  <c r="BZ114" i="10"/>
  <c r="BX134" i="5"/>
  <c r="BY12" i="11"/>
  <c r="BY129" i="5"/>
  <c r="BY126" i="5" l="1"/>
  <c r="BZ116" i="10"/>
  <c r="BY17" i="5"/>
  <c r="BX29" i="5"/>
  <c r="BY161" i="10"/>
  <c r="BX112" i="5"/>
  <c r="BY16" i="5" l="1"/>
  <c r="BZ12" i="11"/>
  <c r="BZ129" i="5"/>
  <c r="CA116" i="10"/>
  <c r="BY134" i="5"/>
  <c r="BY29" i="5" s="1"/>
  <c r="BZ119" i="10"/>
  <c r="BZ18" i="10" s="1"/>
  <c r="CA18" i="10" l="1"/>
  <c r="BZ161" i="10"/>
  <c r="BZ126" i="5"/>
  <c r="CA129" i="5"/>
  <c r="BZ17" i="5"/>
  <c r="CA12" i="11"/>
  <c r="CA117" i="10"/>
  <c r="CA119" i="10"/>
  <c r="BY112" i="5"/>
  <c r="CC114" i="10" l="1"/>
  <c r="CG114" i="10"/>
  <c r="BZ16" i="5"/>
  <c r="CA17" i="5"/>
  <c r="BZ134" i="5"/>
  <c r="CA134" i="5" s="1"/>
  <c r="CA126" i="5"/>
  <c r="CA161" i="10"/>
  <c r="BZ29" i="5" l="1"/>
  <c r="BZ112" i="5"/>
  <c r="CA29" i="5"/>
  <c r="CC116" i="10"/>
  <c r="CC119" i="10" s="1"/>
  <c r="CC12" i="11" l="1"/>
  <c r="CC129" i="5"/>
  <c r="CC18" i="10"/>
  <c r="CD114" i="10"/>
  <c r="CD116" i="10" l="1"/>
  <c r="CC126" i="5"/>
  <c r="CC161" i="10"/>
  <c r="CC17" i="5"/>
  <c r="CD129" i="5" l="1"/>
  <c r="CD12" i="11"/>
  <c r="CC134" i="5"/>
  <c r="CC29" i="5" s="1"/>
  <c r="CD119" i="10"/>
  <c r="CD18" i="10" l="1"/>
  <c r="CE114" i="10"/>
  <c r="CD17" i="5"/>
  <c r="CD126" i="5"/>
  <c r="CD16" i="5" l="1"/>
  <c r="CE116" i="10"/>
  <c r="CD134" i="5"/>
  <c r="CD161" i="10"/>
  <c r="CE12" i="11" l="1"/>
  <c r="CE129" i="5"/>
  <c r="CD112" i="5"/>
  <c r="CD29" i="5"/>
  <c r="CE119" i="10"/>
  <c r="CE126" i="5" l="1"/>
  <c r="CE17" i="5"/>
  <c r="CE18" i="10"/>
  <c r="CF114" i="10"/>
  <c r="CE134" i="5" l="1"/>
  <c r="CE29" i="5" s="1"/>
  <c r="CF116" i="10"/>
  <c r="CE16" i="5"/>
  <c r="CE161" i="10"/>
  <c r="CF12" i="11" l="1"/>
  <c r="CF129" i="5"/>
  <c r="CG116" i="10"/>
  <c r="CE112" i="5"/>
  <c r="CF119" i="10"/>
  <c r="CF18" i="10" s="1"/>
  <c r="CG18" i="10" l="1"/>
  <c r="CF161" i="10"/>
  <c r="CF126" i="5"/>
  <c r="CG129" i="5"/>
  <c r="CF17" i="5"/>
  <c r="CG12" i="11"/>
  <c r="CG117" i="10"/>
  <c r="CG119" i="10"/>
  <c r="CF134" i="5" l="1"/>
  <c r="CG134" i="5" s="1"/>
  <c r="CG126" i="5"/>
  <c r="CF16" i="5"/>
  <c r="CG17" i="5"/>
  <c r="CM114" i="10"/>
  <c r="CI114" i="10"/>
  <c r="CG161" i="10"/>
  <c r="CI116" i="10" l="1"/>
  <c r="CF112" i="5"/>
  <c r="CF29" i="5"/>
  <c r="CG29" i="5"/>
  <c r="CI12" i="11" l="1"/>
  <c r="CI129" i="5"/>
  <c r="CI119" i="10"/>
  <c r="CI18" i="10" l="1"/>
  <c r="CJ114" i="10"/>
  <c r="CI17" i="5"/>
  <c r="CI126" i="5"/>
  <c r="CI161" i="10" l="1"/>
  <c r="CI134" i="5"/>
  <c r="CJ116" i="10"/>
  <c r="CJ119" i="10" s="1"/>
  <c r="CJ18" i="10" l="1"/>
  <c r="CK114" i="10"/>
  <c r="CI29" i="5"/>
  <c r="CJ129" i="5"/>
  <c r="CJ12" i="11"/>
  <c r="CJ126" i="5" l="1"/>
  <c r="CJ17" i="5"/>
  <c r="CK116" i="10"/>
  <c r="CK119" i="10" s="1"/>
  <c r="CJ161" i="10"/>
  <c r="CJ16" i="5" l="1"/>
  <c r="CK18" i="10"/>
  <c r="CL114" i="10"/>
  <c r="CJ134" i="5"/>
  <c r="CJ29" i="5" s="1"/>
  <c r="CK12" i="11"/>
  <c r="CK129" i="5"/>
  <c r="CK126" i="5" l="1"/>
  <c r="CK161" i="10"/>
  <c r="CJ112" i="5"/>
  <c r="CK17" i="5"/>
  <c r="CL116" i="10"/>
  <c r="CL119" i="10" s="1"/>
  <c r="CL18" i="10" s="1"/>
  <c r="CK134" i="5" l="1"/>
  <c r="CK29" i="5" s="1"/>
  <c r="CL12" i="11"/>
  <c r="CL129" i="5"/>
  <c r="CM116" i="10"/>
  <c r="CM18" i="10"/>
  <c r="CL161" i="10"/>
  <c r="CK16" i="5"/>
  <c r="CL17" i="5" l="1"/>
  <c r="CM12" i="11"/>
  <c r="CK112" i="5"/>
  <c r="CM161" i="10"/>
  <c r="CM117" i="10"/>
  <c r="CM119" i="10"/>
  <c r="CL126" i="5"/>
  <c r="CM129" i="5"/>
  <c r="CL134" i="5" l="1"/>
  <c r="CM134" i="5" s="1"/>
  <c r="CM126" i="5"/>
  <c r="CL16" i="5"/>
  <c r="CM17" i="5"/>
  <c r="CL112" i="5" l="1"/>
  <c r="CM29" i="5"/>
  <c r="CL29" i="5"/>
  <c r="BQ53" i="6" l="1"/>
  <c r="BU53" i="6" s="1"/>
  <c r="BU16" i="7" l="1"/>
  <c r="BU57" i="6"/>
  <c r="BU17" i="7" s="1"/>
  <c r="BQ16" i="7"/>
  <c r="BQ57" i="6"/>
  <c r="BQ17" i="7" s="1"/>
  <c r="BQ21" i="7" l="1"/>
  <c r="BQ40" i="5"/>
  <c r="BW34" i="7"/>
  <c r="DN17" i="7"/>
  <c r="DN32" i="7" s="1"/>
  <c r="BQ242" i="5"/>
  <c r="BQ34" i="7"/>
  <c r="BQ96" i="7"/>
  <c r="BW33" i="7"/>
  <c r="BQ33" i="7"/>
  <c r="DN16" i="7"/>
  <c r="DN31" i="7" s="1"/>
  <c r="BQ95" i="7"/>
  <c r="CA34" i="7"/>
  <c r="BU34" i="7"/>
  <c r="BU96" i="7"/>
  <c r="BU40" i="5"/>
  <c r="BU242" i="5" s="1"/>
  <c r="BU95" i="7"/>
  <c r="CA33" i="7"/>
  <c r="BU33" i="7"/>
  <c r="BU21" i="7" l="1"/>
  <c r="BQ38" i="7"/>
  <c r="BW38" i="7"/>
  <c r="BU109" i="7"/>
  <c r="CA109" i="7"/>
  <c r="BQ119" i="7"/>
  <c r="BW119" i="7"/>
  <c r="BQ109" i="7"/>
  <c r="BW109" i="7"/>
  <c r="BQ108" i="7"/>
  <c r="BW108" i="7"/>
  <c r="BQ111" i="5"/>
  <c r="CA108" i="7"/>
  <c r="BU108" i="7"/>
  <c r="CA119" i="7"/>
  <c r="BU119" i="7"/>
  <c r="BU111" i="5"/>
  <c r="BU38" i="7" l="1"/>
  <c r="CA38" i="7"/>
  <c r="BQ43" i="10" l="1"/>
  <c r="BR91" i="10"/>
  <c r="BU13" i="11"/>
  <c r="BQ31" i="11"/>
  <c r="BQ55" i="10" l="1"/>
  <c r="BQ98" i="10"/>
  <c r="BQ81" i="11"/>
  <c r="BQ86" i="11" s="1"/>
  <c r="BQ33" i="11"/>
  <c r="BQ45" i="10"/>
  <c r="BQ64" i="10" s="1"/>
  <c r="BQ81" i="10" l="1"/>
  <c r="BQ82" i="11"/>
  <c r="BQ85" i="11"/>
  <c r="BQ80" i="10"/>
  <c r="BQ72" i="11"/>
  <c r="BQ79" i="10" s="1"/>
  <c r="BQ46" i="10"/>
  <c r="BQ209" i="10"/>
  <c r="BQ83" i="11" l="1"/>
  <c r="BQ82" i="10"/>
  <c r="BQ84" i="11"/>
  <c r="BQ75" i="11"/>
  <c r="BR74" i="11" l="1"/>
  <c r="BQ15" i="10" l="1"/>
  <c r="BQ76" i="11"/>
  <c r="BQ212" i="10"/>
  <c r="BT43" i="13"/>
  <c r="BT44" i="13" s="1"/>
  <c r="BQ67" i="10" l="1"/>
  <c r="BQ70" i="10"/>
  <c r="BQ216" i="10"/>
  <c r="BQ219" i="10" s="1"/>
  <c r="BQ57" i="10" s="1"/>
  <c r="BQ215" i="10"/>
  <c r="BQ218" i="10" s="1"/>
  <c r="BR135" i="10"/>
  <c r="BR139" i="10" s="1"/>
  <c r="BR20" i="5" s="1"/>
  <c r="BQ23" i="10"/>
  <c r="BQ56" i="10" s="1"/>
  <c r="BQ47" i="10" l="1"/>
  <c r="BT10" i="13" l="1"/>
  <c r="BU10" i="13" s="1"/>
  <c r="BV10" i="13" s="1"/>
  <c r="BW10" i="13" s="1"/>
  <c r="BW26" i="13" s="1"/>
  <c r="BT11" i="13"/>
  <c r="BU11" i="13" s="1"/>
  <c r="BV11" i="13" s="1"/>
  <c r="BW11" i="13" s="1"/>
  <c r="BY11" i="13" s="1"/>
  <c r="BZ11" i="13" s="1"/>
  <c r="CA11" i="13" s="1"/>
  <c r="CB11" i="13" s="1"/>
  <c r="CC11" i="13" s="1"/>
  <c r="BT12" i="13"/>
  <c r="BU12" i="13" s="1"/>
  <c r="BV12" i="13" s="1"/>
  <c r="BW12" i="13" s="1"/>
  <c r="BW28" i="13" s="1"/>
  <c r="BT14" i="13"/>
  <c r="BU14" i="13" s="1"/>
  <c r="BV14" i="13" s="1"/>
  <c r="BT16" i="13"/>
  <c r="BU16" i="13" s="1"/>
  <c r="BV16" i="13" s="1"/>
  <c r="BW16" i="13" s="1"/>
  <c r="BT17" i="13"/>
  <c r="BU17" i="13" s="1"/>
  <c r="BV17" i="13" s="1"/>
  <c r="BW17" i="13" s="1"/>
  <c r="BT18" i="13"/>
  <c r="BU18" i="13" s="1"/>
  <c r="BV18" i="13" s="1"/>
  <c r="BW18" i="13" s="1"/>
  <c r="BW27" i="13" l="1"/>
  <c r="BY16" i="13"/>
  <c r="BZ16" i="13" s="1"/>
  <c r="CA16" i="13" s="1"/>
  <c r="CB16" i="13" s="1"/>
  <c r="CC16" i="13" s="1"/>
  <c r="CC32" i="13" s="1"/>
  <c r="BW32" i="13"/>
  <c r="BY10" i="13"/>
  <c r="BZ10" i="13" s="1"/>
  <c r="BY12" i="13"/>
  <c r="BZ12" i="13" s="1"/>
  <c r="CA12" i="13" s="1"/>
  <c r="CB12" i="13" s="1"/>
  <c r="CC12" i="13" s="1"/>
  <c r="CC28" i="13" s="1"/>
  <c r="BY17" i="13"/>
  <c r="BZ17" i="13" s="1"/>
  <c r="CA17" i="13" s="1"/>
  <c r="CB17" i="13" s="1"/>
  <c r="CC17" i="13" s="1"/>
  <c r="BW33" i="13"/>
  <c r="BY18" i="13"/>
  <c r="BZ18" i="13" s="1"/>
  <c r="CA18" i="13" s="1"/>
  <c r="CB18" i="13" s="1"/>
  <c r="CC18" i="13" s="1"/>
  <c r="BW34" i="13"/>
  <c r="BY30" i="13"/>
  <c r="BY36" i="13" s="1"/>
  <c r="BW14" i="13"/>
  <c r="CE11" i="13"/>
  <c r="CF11" i="13" s="1"/>
  <c r="CG11" i="13" s="1"/>
  <c r="CH11" i="13" s="1"/>
  <c r="CI11" i="13" s="1"/>
  <c r="CC27" i="13"/>
  <c r="CE16" i="13"/>
  <c r="CF16" i="13" s="1"/>
  <c r="CG16" i="13" s="1"/>
  <c r="CH16" i="13" s="1"/>
  <c r="CI16" i="13" s="1"/>
  <c r="BT13" i="13"/>
  <c r="BS20" i="13"/>
  <c r="BS22" i="13" s="1"/>
  <c r="BS38" i="13" s="1"/>
  <c r="CE12" i="13" l="1"/>
  <c r="CF12" i="13" s="1"/>
  <c r="CG12" i="13" s="1"/>
  <c r="CH12" i="13" s="1"/>
  <c r="CI12" i="13" s="1"/>
  <c r="CK11" i="13"/>
  <c r="CL11" i="13" s="1"/>
  <c r="CM11" i="13" s="1"/>
  <c r="CN11" i="13" s="1"/>
  <c r="CO11" i="13" s="1"/>
  <c r="CO27" i="13" s="1"/>
  <c r="CI27" i="13"/>
  <c r="CI32" i="13"/>
  <c r="CK16" i="13"/>
  <c r="CL16" i="13" s="1"/>
  <c r="CM16" i="13" s="1"/>
  <c r="CN16" i="13" s="1"/>
  <c r="CO16" i="13" s="1"/>
  <c r="CO32" i="13" s="1"/>
  <c r="CE18" i="13"/>
  <c r="CF18" i="13" s="1"/>
  <c r="CG18" i="13" s="1"/>
  <c r="CH18" i="13" s="1"/>
  <c r="CI18" i="13" s="1"/>
  <c r="CC34" i="13"/>
  <c r="BS23" i="13"/>
  <c r="CK12" i="13"/>
  <c r="CL12" i="13" s="1"/>
  <c r="CM12" i="13" s="1"/>
  <c r="CN12" i="13" s="1"/>
  <c r="CO12" i="13" s="1"/>
  <c r="CO28" i="13" s="1"/>
  <c r="CI28" i="13"/>
  <c r="BU13" i="13"/>
  <c r="BT20" i="13"/>
  <c r="BT22" i="13" s="1"/>
  <c r="BT40" i="13"/>
  <c r="BR21" i="5" s="1"/>
  <c r="BY14" i="13"/>
  <c r="BZ14" i="13" s="1"/>
  <c r="CA14" i="13" s="1"/>
  <c r="CB14" i="13" s="1"/>
  <c r="BW30" i="13"/>
  <c r="CA10" i="13"/>
  <c r="CE17" i="13"/>
  <c r="CF17" i="13" s="1"/>
  <c r="CG17" i="13" s="1"/>
  <c r="CH17" i="13" s="1"/>
  <c r="CI17" i="13" s="1"/>
  <c r="CC33" i="13"/>
  <c r="CC14" i="13" l="1"/>
  <c r="CE30" i="13"/>
  <c r="CE36" i="13" s="1"/>
  <c r="CI33" i="13"/>
  <c r="CK17" i="13"/>
  <c r="CL17" i="13" s="1"/>
  <c r="CM17" i="13" s="1"/>
  <c r="CN17" i="13" s="1"/>
  <c r="CO17" i="13" s="1"/>
  <c r="CO33" i="13" s="1"/>
  <c r="BV13" i="13"/>
  <c r="BU20" i="13"/>
  <c r="BU22" i="13" s="1"/>
  <c r="BU40" i="13"/>
  <c r="BS21" i="5" s="1"/>
  <c r="BR61" i="10"/>
  <c r="BR60" i="10"/>
  <c r="BR145" i="10"/>
  <c r="BR24" i="5"/>
  <c r="CI34" i="13"/>
  <c r="CK18" i="13"/>
  <c r="CL18" i="13" s="1"/>
  <c r="CM18" i="13" s="1"/>
  <c r="CN18" i="13" s="1"/>
  <c r="CO18" i="13" s="1"/>
  <c r="CO34" i="13" s="1"/>
  <c r="CB10" i="13"/>
  <c r="BR62" i="11"/>
  <c r="BT38" i="13"/>
  <c r="BS61" i="10" l="1"/>
  <c r="BS145" i="10"/>
  <c r="BS60" i="10"/>
  <c r="BR32" i="10"/>
  <c r="BS62" i="11"/>
  <c r="BU38" i="13"/>
  <c r="CC10" i="13"/>
  <c r="BR25" i="5"/>
  <c r="BR26" i="5" s="1"/>
  <c r="BW13" i="13"/>
  <c r="BV40" i="13"/>
  <c r="BV20" i="13"/>
  <c r="BV22" i="13" s="1"/>
  <c r="CE14" i="13"/>
  <c r="CF14" i="13" s="1"/>
  <c r="CG14" i="13" s="1"/>
  <c r="CH14" i="13" s="1"/>
  <c r="CC30" i="13"/>
  <c r="BT62" i="11" l="1"/>
  <c r="BV38" i="13"/>
  <c r="CE10" i="13"/>
  <c r="CC26" i="13"/>
  <c r="BS32" i="10"/>
  <c r="BR50" i="10"/>
  <c r="BR36" i="10"/>
  <c r="BR142" i="10"/>
  <c r="BT23" i="13"/>
  <c r="BT21" i="5"/>
  <c r="BW40" i="13"/>
  <c r="BR28" i="5"/>
  <c r="BR33" i="5"/>
  <c r="BR32" i="5"/>
  <c r="BR118" i="5"/>
  <c r="BY13" i="13"/>
  <c r="BW20" i="13"/>
  <c r="BW22" i="13" s="1"/>
  <c r="BW29" i="13"/>
  <c r="BW36" i="13" s="1"/>
  <c r="CK30" i="13"/>
  <c r="CK36" i="13" s="1"/>
  <c r="CI14" i="13"/>
  <c r="BU62" i="11"/>
  <c r="BT60" i="10" l="1"/>
  <c r="BT61" i="10"/>
  <c r="BT145" i="10"/>
  <c r="BU21" i="5"/>
  <c r="BR119" i="5"/>
  <c r="BR30" i="5"/>
  <c r="BR125" i="5"/>
  <c r="BR136" i="5" s="1"/>
  <c r="BR31" i="5" s="1"/>
  <c r="BR62" i="10"/>
  <c r="BR202" i="10"/>
  <c r="BU79" i="11"/>
  <c r="BS50" i="10"/>
  <c r="BT32" i="10"/>
  <c r="BS36" i="10"/>
  <c r="BS142" i="10"/>
  <c r="BS144" i="10" s="1"/>
  <c r="BU23" i="13"/>
  <c r="CI30" i="13"/>
  <c r="CK14" i="13"/>
  <c r="CL14" i="13" s="1"/>
  <c r="CM14" i="13" s="1"/>
  <c r="CN14" i="13" s="1"/>
  <c r="CO14" i="13" s="1"/>
  <c r="CO30" i="13" s="1"/>
  <c r="BR144" i="10"/>
  <c r="BR143" i="10"/>
  <c r="BW38" i="13"/>
  <c r="BZ13" i="13"/>
  <c r="BY20" i="13"/>
  <c r="BY22" i="13" s="1"/>
  <c r="BY40" i="13"/>
  <c r="BR120" i="5"/>
  <c r="CF10" i="13"/>
  <c r="BW21" i="5" l="1"/>
  <c r="CG10" i="13"/>
  <c r="BS143" i="10"/>
  <c r="BU145" i="10"/>
  <c r="BW62" i="11"/>
  <c r="BY38" i="13"/>
  <c r="BT36" i="10"/>
  <c r="BT50" i="10"/>
  <c r="BU32" i="10"/>
  <c r="BT142" i="10"/>
  <c r="BV23" i="13"/>
  <c r="BR93" i="10"/>
  <c r="BR8" i="11"/>
  <c r="BR117" i="5"/>
  <c r="CA13" i="13"/>
  <c r="BZ20" i="13"/>
  <c r="BZ22" i="13" s="1"/>
  <c r="BZ40" i="13"/>
  <c r="BX21" i="5" s="1"/>
  <c r="BS62" i="10"/>
  <c r="BS202" i="10"/>
  <c r="BU61" i="10"/>
  <c r="BU142" i="10" l="1"/>
  <c r="BW64" i="11"/>
  <c r="BW67" i="11" s="1"/>
  <c r="BT143" i="10"/>
  <c r="BR11" i="11"/>
  <c r="BU36" i="10"/>
  <c r="BU50" i="10"/>
  <c r="BW23" i="13"/>
  <c r="BW61" i="10"/>
  <c r="BW145" i="10"/>
  <c r="BX61" i="10"/>
  <c r="BX60" i="10"/>
  <c r="BX145" i="10"/>
  <c r="BX62" i="11"/>
  <c r="BZ38" i="13"/>
  <c r="BW32" i="10"/>
  <c r="CB13" i="13"/>
  <c r="CA40" i="13"/>
  <c r="BY21" i="5" s="1"/>
  <c r="CA20" i="13"/>
  <c r="CA22" i="13" s="1"/>
  <c r="BT62" i="10"/>
  <c r="BT202" i="10"/>
  <c r="BU143" i="10"/>
  <c r="BT144" i="10"/>
  <c r="BU144" i="10" s="1"/>
  <c r="CH10" i="13"/>
  <c r="CI10" i="13" l="1"/>
  <c r="BY62" i="11"/>
  <c r="CA38" i="13"/>
  <c r="BR41" i="10"/>
  <c r="BR31" i="11"/>
  <c r="BY60" i="10"/>
  <c r="BY61" i="10"/>
  <c r="BY145" i="10"/>
  <c r="CC13" i="13"/>
  <c r="CB20" i="13"/>
  <c r="CB22" i="13" s="1"/>
  <c r="CB40" i="13"/>
  <c r="BZ21" i="5" s="1"/>
  <c r="CA21" i="5" s="1"/>
  <c r="CA61" i="10" s="1"/>
  <c r="BX64" i="11"/>
  <c r="BX67" i="11" s="1"/>
  <c r="BU202" i="10"/>
  <c r="BX32" i="10"/>
  <c r="BW50" i="10"/>
  <c r="BW36" i="10"/>
  <c r="BW142" i="10"/>
  <c r="BW143" i="10" s="1"/>
  <c r="BY23" i="13"/>
  <c r="CC40" i="13" l="1"/>
  <c r="BZ62" i="11"/>
  <c r="CB38" i="13"/>
  <c r="BR96" i="10"/>
  <c r="BY64" i="11"/>
  <c r="BY67" i="11" s="1"/>
  <c r="BW144" i="10"/>
  <c r="BW202" i="10"/>
  <c r="BX50" i="10"/>
  <c r="BY32" i="10"/>
  <c r="BX36" i="10"/>
  <c r="BX142" i="10"/>
  <c r="BZ23" i="13"/>
  <c r="CE13" i="13"/>
  <c r="CC29" i="13"/>
  <c r="CC36" i="13" s="1"/>
  <c r="CC20" i="13"/>
  <c r="CC22" i="13" s="1"/>
  <c r="CK10" i="13"/>
  <c r="CI26" i="13"/>
  <c r="BZ60" i="10"/>
  <c r="BZ61" i="10"/>
  <c r="BZ145" i="10"/>
  <c r="CA145" i="10" s="1"/>
  <c r="BR33" i="11"/>
  <c r="BR81" i="11"/>
  <c r="BR86" i="11" s="1"/>
  <c r="BR80" i="10" l="1"/>
  <c r="BY36" i="10"/>
  <c r="BY50" i="10"/>
  <c r="BZ32" i="10"/>
  <c r="BY142" i="10"/>
  <c r="BY144" i="10" s="1"/>
  <c r="CA23" i="13"/>
  <c r="CL10" i="13"/>
  <c r="BX143" i="10"/>
  <c r="BX144" i="10"/>
  <c r="CF13" i="13"/>
  <c r="CE20" i="13"/>
  <c r="CE22" i="13" s="1"/>
  <c r="CE40" i="13"/>
  <c r="BX62" i="10"/>
  <c r="BX202" i="10"/>
  <c r="BZ64" i="11"/>
  <c r="BZ67" i="11" s="1"/>
  <c r="CA62" i="11"/>
  <c r="BR81" i="10"/>
  <c r="BR82" i="11"/>
  <c r="BR85" i="11"/>
  <c r="CC38" i="13"/>
  <c r="BR82" i="10" l="1"/>
  <c r="BR83" i="11"/>
  <c r="BR84" i="11"/>
  <c r="CA64" i="11"/>
  <c r="CA67" i="11" s="1"/>
  <c r="CA79" i="11"/>
  <c r="CG13" i="13"/>
  <c r="CF20" i="13"/>
  <c r="CF22" i="13" s="1"/>
  <c r="CF40" i="13"/>
  <c r="CD21" i="5" s="1"/>
  <c r="BY143" i="10"/>
  <c r="CC21" i="5"/>
  <c r="BY62" i="10"/>
  <c r="BY202" i="10"/>
  <c r="BZ36" i="10"/>
  <c r="CA32" i="10"/>
  <c r="BZ50" i="10"/>
  <c r="BZ142" i="10"/>
  <c r="CB23" i="13"/>
  <c r="CC62" i="11"/>
  <c r="CE38" i="13"/>
  <c r="CM10" i="13"/>
  <c r="CA142" i="10" l="1"/>
  <c r="CA143" i="10" s="1"/>
  <c r="BZ143" i="10"/>
  <c r="CC61" i="10"/>
  <c r="CC145" i="10"/>
  <c r="CD62" i="11"/>
  <c r="CF38" i="13"/>
  <c r="CC64" i="11"/>
  <c r="CC67" i="11" s="1"/>
  <c r="CC32" i="10"/>
  <c r="CH13" i="13"/>
  <c r="CG40" i="13"/>
  <c r="CG20" i="13"/>
  <c r="CG22" i="13" s="1"/>
  <c r="BZ62" i="10"/>
  <c r="BZ202" i="10"/>
  <c r="BZ144" i="10"/>
  <c r="CA144" i="10" s="1"/>
  <c r="CN10" i="13"/>
  <c r="CA50" i="10"/>
  <c r="CA36" i="10"/>
  <c r="CC23" i="13"/>
  <c r="CD60" i="10"/>
  <c r="CD61" i="10"/>
  <c r="CD145" i="10"/>
  <c r="CA202" i="10" l="1"/>
  <c r="CE21" i="5"/>
  <c r="CI13" i="13"/>
  <c r="CH40" i="13"/>
  <c r="CF21" i="5" s="1"/>
  <c r="CH20" i="13"/>
  <c r="CH22" i="13" s="1"/>
  <c r="CD64" i="11"/>
  <c r="CD67" i="11" s="1"/>
  <c r="CO10" i="13"/>
  <c r="CC50" i="10"/>
  <c r="CD32" i="10"/>
  <c r="CC36" i="10"/>
  <c r="CC142" i="10"/>
  <c r="CC143" i="10" s="1"/>
  <c r="CE23" i="13"/>
  <c r="CE62" i="11"/>
  <c r="CG38" i="13"/>
  <c r="CI40" i="13" l="1"/>
  <c r="CF61" i="10"/>
  <c r="CF60" i="10"/>
  <c r="CF145" i="10"/>
  <c r="CD36" i="10"/>
  <c r="CD50" i="10"/>
  <c r="CE32" i="10"/>
  <c r="CD142" i="10"/>
  <c r="CD144" i="10" s="1"/>
  <c r="CF23" i="13"/>
  <c r="CC202" i="10"/>
  <c r="CE60" i="10"/>
  <c r="CE61" i="10"/>
  <c r="CE145" i="10"/>
  <c r="CG21" i="5"/>
  <c r="CG61" i="10" s="1"/>
  <c r="CE64" i="11"/>
  <c r="CE67" i="11" s="1"/>
  <c r="CK13" i="13"/>
  <c r="CI29" i="13"/>
  <c r="CI36" i="13" s="1"/>
  <c r="CI20" i="13"/>
  <c r="CI22" i="13" s="1"/>
  <c r="CC144" i="10"/>
  <c r="CO26" i="13"/>
  <c r="CF62" i="11"/>
  <c r="CG62" i="11" s="1"/>
  <c r="CH38" i="13"/>
  <c r="CL13" i="13" l="1"/>
  <c r="CK40" i="13"/>
  <c r="CK20" i="13"/>
  <c r="CK22" i="13" s="1"/>
  <c r="CG145" i="10"/>
  <c r="CD62" i="10"/>
  <c r="CD202" i="10"/>
  <c r="CD143" i="10"/>
  <c r="CG79" i="11"/>
  <c r="CG64" i="11"/>
  <c r="CG67" i="11" s="1"/>
  <c r="CF64" i="11"/>
  <c r="CF67" i="11" s="1"/>
  <c r="CI38" i="13"/>
  <c r="CE36" i="10"/>
  <c r="CF32" i="10"/>
  <c r="CE50" i="10"/>
  <c r="CE142" i="10"/>
  <c r="CE143" i="10" s="1"/>
  <c r="CG23" i="13"/>
  <c r="CE144" i="10" l="1"/>
  <c r="CG32" i="10"/>
  <c r="CF50" i="10"/>
  <c r="CF36" i="10"/>
  <c r="CF142" i="10"/>
  <c r="CF144" i="10" s="1"/>
  <c r="CH23" i="13"/>
  <c r="CI62" i="11"/>
  <c r="CK38" i="13"/>
  <c r="CM13" i="13"/>
  <c r="CL40" i="13"/>
  <c r="CJ21" i="5" s="1"/>
  <c r="CL20" i="13"/>
  <c r="CL22" i="13" s="1"/>
  <c r="CI21" i="5"/>
  <c r="CE62" i="10"/>
  <c r="CE202" i="10"/>
  <c r="CG144" i="10" l="1"/>
  <c r="CI61" i="10"/>
  <c r="CI145" i="10"/>
  <c r="CN13" i="13"/>
  <c r="CM20" i="13"/>
  <c r="CM22" i="13" s="1"/>
  <c r="CM40" i="13"/>
  <c r="CF62" i="10"/>
  <c r="CF202" i="10"/>
  <c r="CJ62" i="11"/>
  <c r="CL38" i="13"/>
  <c r="CG142" i="10"/>
  <c r="CG143" i="10" s="1"/>
  <c r="CF143" i="10"/>
  <c r="CG50" i="10"/>
  <c r="CG36" i="10"/>
  <c r="CI23" i="13"/>
  <c r="CI64" i="11"/>
  <c r="CI67" i="11" s="1"/>
  <c r="CI32" i="10"/>
  <c r="CJ60" i="10"/>
  <c r="CJ61" i="10"/>
  <c r="CJ145" i="10"/>
  <c r="CI36" i="10" l="1"/>
  <c r="CI50" i="10"/>
  <c r="CJ32" i="10"/>
  <c r="CI142" i="10"/>
  <c r="CI143" i="10" s="1"/>
  <c r="CK23" i="13"/>
  <c r="CG202" i="10"/>
  <c r="CJ64" i="11"/>
  <c r="CJ67" i="11" s="1"/>
  <c r="CK62" i="11"/>
  <c r="CM38" i="13"/>
  <c r="CK21" i="5"/>
  <c r="CO13" i="13"/>
  <c r="CN40" i="13"/>
  <c r="CL21" i="5" s="1"/>
  <c r="CN20" i="13"/>
  <c r="CN22" i="13" s="1"/>
  <c r="CL61" i="10" l="1"/>
  <c r="CL145" i="10"/>
  <c r="CL60" i="10"/>
  <c r="CK61" i="10"/>
  <c r="CK60" i="10"/>
  <c r="CK145" i="10"/>
  <c r="CM21" i="5"/>
  <c r="CM61" i="10" s="1"/>
  <c r="CJ36" i="10"/>
  <c r="CK32" i="10"/>
  <c r="CJ50" i="10"/>
  <c r="CJ142" i="10"/>
  <c r="CJ144" i="10" s="1"/>
  <c r="CL23" i="13"/>
  <c r="CO29" i="13"/>
  <c r="CO36" i="13" s="1"/>
  <c r="CO20" i="13"/>
  <c r="CO22" i="13" s="1"/>
  <c r="CI202" i="10"/>
  <c r="CL62" i="11"/>
  <c r="CN38" i="13"/>
  <c r="CO40" i="13"/>
  <c r="CK64" i="11"/>
  <c r="CK67" i="11" s="1"/>
  <c r="CI144" i="10"/>
  <c r="CJ62" i="10" l="1"/>
  <c r="CJ202" i="10"/>
  <c r="CL64" i="11"/>
  <c r="CL67" i="11" s="1"/>
  <c r="CL32" i="10"/>
  <c r="CK50" i="10"/>
  <c r="CK36" i="10"/>
  <c r="CK142" i="10"/>
  <c r="CK144" i="10" s="1"/>
  <c r="CM23" i="13"/>
  <c r="CM62" i="11"/>
  <c r="CM145" i="10"/>
  <c r="CO38" i="13"/>
  <c r="CJ143" i="10"/>
  <c r="CK143" i="10" l="1"/>
  <c r="CM64" i="11"/>
  <c r="CM67" i="11" s="1"/>
  <c r="CM79" i="11"/>
  <c r="CK62" i="10"/>
  <c r="CK202" i="10"/>
  <c r="CL50" i="10"/>
  <c r="CM32" i="10"/>
  <c r="CL36" i="10"/>
  <c r="CL142" i="10"/>
  <c r="CN23" i="13"/>
  <c r="CM142" i="10" l="1"/>
  <c r="CM143" i="10" s="1"/>
  <c r="CL143" i="10"/>
  <c r="CM36" i="10"/>
  <c r="CM50" i="10"/>
  <c r="CO23" i="13"/>
  <c r="CL62" i="10"/>
  <c r="CL202" i="10"/>
  <c r="CL144" i="10"/>
  <c r="CM144" i="10" s="1"/>
  <c r="CM202" i="10" l="1"/>
  <c r="BR100" i="10" l="1"/>
  <c r="BR107" i="10" s="1"/>
  <c r="BR16" i="10" s="1"/>
  <c r="BQ104" i="10"/>
  <c r="BU104" i="10" s="1"/>
  <c r="BU107" i="10" s="1"/>
  <c r="BR109" i="10" l="1"/>
  <c r="BR159" i="10"/>
  <c r="BR162" i="10" s="1"/>
  <c r="BR169" i="10" s="1"/>
  <c r="BS170" i="10" s="1"/>
  <c r="BS148" i="10" s="1"/>
  <c r="BR187" i="10"/>
  <c r="BR189" i="10" s="1"/>
  <c r="BR190" i="10" s="1"/>
  <c r="BR181" i="10" s="1"/>
  <c r="BW100" i="10"/>
  <c r="CA100" i="10"/>
  <c r="BS100" i="10"/>
  <c r="BW107" i="10" l="1"/>
  <c r="BW109" i="10"/>
  <c r="BS109" i="10"/>
  <c r="BS107" i="10"/>
  <c r="CA107" i="10"/>
  <c r="CA109" i="10"/>
  <c r="BS16" i="10" l="1"/>
  <c r="BT100" i="10"/>
  <c r="CC100" i="10"/>
  <c r="CG100" i="10"/>
  <c r="BW16" i="10"/>
  <c r="BX100" i="10"/>
  <c r="BX107" i="10" l="1"/>
  <c r="BX109" i="10"/>
  <c r="CG107" i="10"/>
  <c r="CG109" i="10"/>
  <c r="BW159" i="10"/>
  <c r="BW162" i="10" s="1"/>
  <c r="BW169" i="10" s="1"/>
  <c r="BX170" i="10" s="1"/>
  <c r="BW187" i="10"/>
  <c r="BW189" i="10" s="1"/>
  <c r="CC107" i="10"/>
  <c r="CC109" i="10"/>
  <c r="BT109" i="10"/>
  <c r="BT107" i="10"/>
  <c r="BS159" i="10"/>
  <c r="BS162" i="10" s="1"/>
  <c r="BS169" i="10" s="1"/>
  <c r="BT170" i="10" s="1"/>
  <c r="BS187" i="10"/>
  <c r="BS189" i="10" s="1"/>
  <c r="CC16" i="10" l="1"/>
  <c r="CD100" i="10"/>
  <c r="BT148" i="10"/>
  <c r="CI100" i="10"/>
  <c r="CM100" i="10"/>
  <c r="BX148" i="10"/>
  <c r="BS190" i="10"/>
  <c r="BS181" i="10" s="1"/>
  <c r="BT16" i="10"/>
  <c r="BU108" i="10"/>
  <c r="BX16" i="10"/>
  <c r="BY100" i="10"/>
  <c r="BU16" i="10" l="1"/>
  <c r="BT187" i="10"/>
  <c r="BT159" i="10"/>
  <c r="BT162" i="10" s="1"/>
  <c r="BT169" i="10" s="1"/>
  <c r="CM109" i="10"/>
  <c r="CM107" i="10"/>
  <c r="CD109" i="10"/>
  <c r="CD107" i="10"/>
  <c r="CI109" i="10"/>
  <c r="CI107" i="10"/>
  <c r="BX159" i="10"/>
  <c r="BX162" i="10" s="1"/>
  <c r="BX169" i="10" s="1"/>
  <c r="BY170" i="10" s="1"/>
  <c r="BX187" i="10"/>
  <c r="BX189" i="10" s="1"/>
  <c r="CC159" i="10"/>
  <c r="CC162" i="10" s="1"/>
  <c r="CC169" i="10" s="1"/>
  <c r="CD170" i="10" s="1"/>
  <c r="CC187" i="10"/>
  <c r="CC189" i="10" s="1"/>
  <c r="BY109" i="10"/>
  <c r="BY107" i="10"/>
  <c r="BY148" i="10" l="1"/>
  <c r="BU187" i="10"/>
  <c r="BU189" i="10" s="1"/>
  <c r="BT189" i="10"/>
  <c r="CD148" i="10"/>
  <c r="CD16" i="10"/>
  <c r="CE100" i="10"/>
  <c r="CI16" i="10"/>
  <c r="CJ100" i="10"/>
  <c r="BY16" i="10"/>
  <c r="BZ100" i="10"/>
  <c r="BX190" i="10"/>
  <c r="BX181" i="10" s="1"/>
  <c r="BU159" i="10"/>
  <c r="BU162" i="10" s="1"/>
  <c r="BU169" i="10" s="1"/>
  <c r="CJ109" i="10" l="1"/>
  <c r="CJ107" i="10"/>
  <c r="CI187" i="10"/>
  <c r="CI189" i="10" s="1"/>
  <c r="CI159" i="10"/>
  <c r="CI162" i="10" s="1"/>
  <c r="CI169" i="10" s="1"/>
  <c r="CJ170" i="10" s="1"/>
  <c r="BW170" i="10"/>
  <c r="CA170" i="10"/>
  <c r="BZ109" i="10"/>
  <c r="BZ107" i="10"/>
  <c r="CE109" i="10"/>
  <c r="CE107" i="10"/>
  <c r="BY187" i="10"/>
  <c r="BY189" i="10" s="1"/>
  <c r="BY159" i="10"/>
  <c r="BY162" i="10" s="1"/>
  <c r="BY169" i="10" s="1"/>
  <c r="BZ170" i="10" s="1"/>
  <c r="CD187" i="10"/>
  <c r="CD189" i="10" s="1"/>
  <c r="CD159" i="10"/>
  <c r="CD162" i="10" s="1"/>
  <c r="CD169" i="10" s="1"/>
  <c r="CE170" i="10" s="1"/>
  <c r="BW190" i="10"/>
  <c r="BW181" i="10" s="1"/>
  <c r="BT190" i="10"/>
  <c r="BT181" i="10" s="1"/>
  <c r="BU190" i="10"/>
  <c r="BU181" i="10" s="1"/>
  <c r="CE148" i="10" l="1"/>
  <c r="CJ16" i="10"/>
  <c r="CK100" i="10"/>
  <c r="BZ16" i="10"/>
  <c r="CA108" i="10"/>
  <c r="BY190" i="10"/>
  <c r="BY181" i="10" s="1"/>
  <c r="BW148" i="10"/>
  <c r="CJ148" i="10"/>
  <c r="BZ148" i="10"/>
  <c r="CD190" i="10"/>
  <c r="CD181" i="10" s="1"/>
  <c r="CE16" i="10"/>
  <c r="CF100" i="10"/>
  <c r="CJ159" i="10" l="1"/>
  <c r="CJ162" i="10" s="1"/>
  <c r="CJ169" i="10" s="1"/>
  <c r="CK170" i="10" s="1"/>
  <c r="CJ187" i="10"/>
  <c r="CJ189" i="10" s="1"/>
  <c r="CA16" i="10"/>
  <c r="BZ159" i="10"/>
  <c r="BZ162" i="10" s="1"/>
  <c r="BZ169" i="10" s="1"/>
  <c r="BZ187" i="10"/>
  <c r="CF107" i="10"/>
  <c r="CF109" i="10"/>
  <c r="CE159" i="10"/>
  <c r="CE162" i="10" s="1"/>
  <c r="CE169" i="10" s="1"/>
  <c r="CF170" i="10" s="1"/>
  <c r="CE187" i="10"/>
  <c r="CE189" i="10" s="1"/>
  <c r="CK107" i="10"/>
  <c r="CK109" i="10"/>
  <c r="CA159" i="10" l="1"/>
  <c r="CA162" i="10" s="1"/>
  <c r="CA169" i="10" s="1"/>
  <c r="CF16" i="10"/>
  <c r="CG108" i="10"/>
  <c r="CK16" i="10"/>
  <c r="CL100" i="10"/>
  <c r="CF148" i="10"/>
  <c r="BZ189" i="10"/>
  <c r="CA187" i="10"/>
  <c r="CA189" i="10" s="1"/>
  <c r="CJ190" i="10"/>
  <c r="CJ181" i="10" s="1"/>
  <c r="CE190" i="10"/>
  <c r="CE181" i="10" s="1"/>
  <c r="CK148" i="10"/>
  <c r="CG16" i="10" l="1"/>
  <c r="CF159" i="10"/>
  <c r="CF162" i="10" s="1"/>
  <c r="CF169" i="10" s="1"/>
  <c r="CF187" i="10"/>
  <c r="CC190" i="10"/>
  <c r="CC181" i="10" s="1"/>
  <c r="BZ190" i="10"/>
  <c r="BZ181" i="10" s="1"/>
  <c r="CA190" i="10"/>
  <c r="CA181" i="10" s="1"/>
  <c r="CL107" i="10"/>
  <c r="CL109" i="10"/>
  <c r="CK159" i="10"/>
  <c r="CK162" i="10" s="1"/>
  <c r="CK169" i="10" s="1"/>
  <c r="CL170" i="10" s="1"/>
  <c r="CK187" i="10"/>
  <c r="CK189" i="10" s="1"/>
  <c r="CC170" i="10"/>
  <c r="CG170" i="10"/>
  <c r="CC148" i="10" l="1"/>
  <c r="CF189" i="10"/>
  <c r="CG187" i="10"/>
  <c r="CG189" i="10" s="1"/>
  <c r="CK190" i="10"/>
  <c r="CK181" i="10" s="1"/>
  <c r="CG159" i="10"/>
  <c r="CG162" i="10" s="1"/>
  <c r="CG169" i="10" s="1"/>
  <c r="CL16" i="10"/>
  <c r="CM108" i="10"/>
  <c r="CL148" i="10"/>
  <c r="CI170" i="10" l="1"/>
  <c r="CM170" i="10"/>
  <c r="CI190" i="10"/>
  <c r="CI181" i="10" s="1"/>
  <c r="CF190" i="10"/>
  <c r="CF181" i="10" s="1"/>
  <c r="CG190" i="10"/>
  <c r="CG181" i="10" s="1"/>
  <c r="CM16" i="10"/>
  <c r="CL159" i="10"/>
  <c r="CL162" i="10" s="1"/>
  <c r="CL169" i="10" s="1"/>
  <c r="CL187" i="10"/>
  <c r="CM159" i="10" l="1"/>
  <c r="CM162" i="10" s="1"/>
  <c r="CM169" i="10" s="1"/>
  <c r="CM187" i="10"/>
  <c r="CM189" i="10" s="1"/>
  <c r="CL189" i="10"/>
  <c r="CI148" i="10"/>
  <c r="CL190" i="10" l="1"/>
  <c r="CL181" i="10" s="1"/>
  <c r="CM190" i="10"/>
  <c r="CM181" i="10" s="1"/>
  <c r="BR52" i="11" l="1"/>
  <c r="BR40" i="10" s="1"/>
  <c r="BU64" i="11"/>
  <c r="BU67" i="11" s="1"/>
  <c r="BR64" i="11" l="1"/>
  <c r="BR67" i="11" s="1"/>
  <c r="BR72" i="11" s="1"/>
  <c r="BR79" i="10" s="1"/>
  <c r="BS52" i="11"/>
  <c r="BS64" i="11" s="1"/>
  <c r="BS67" i="11" s="1"/>
  <c r="BR43" i="10"/>
  <c r="BR92" i="10"/>
  <c r="BT52" i="11" l="1"/>
  <c r="BT64" i="11" s="1"/>
  <c r="BT67" i="11" s="1"/>
  <c r="BS40" i="10"/>
  <c r="BT40" i="10" s="1"/>
  <c r="BR75" i="11"/>
  <c r="BR97" i="10"/>
  <c r="BR45" i="10"/>
  <c r="BR55" i="10"/>
  <c r="BS92" i="10" l="1"/>
  <c r="BR9" i="10"/>
  <c r="BS74" i="11"/>
  <c r="BR46" i="10"/>
  <c r="BR64" i="10"/>
  <c r="BR209" i="10"/>
  <c r="BU40" i="10"/>
  <c r="BT92" i="10"/>
  <c r="BS91" i="10"/>
  <c r="BR98" i="10"/>
  <c r="BU92" i="10" l="1"/>
  <c r="BR51" i="10"/>
  <c r="BR136" i="10"/>
  <c r="BR76" i="11"/>
  <c r="BR69" i="10"/>
  <c r="BR68" i="10"/>
  <c r="BR52" i="10"/>
  <c r="BR15" i="10"/>
  <c r="BU43" i="13"/>
  <c r="BU44" i="13" s="1"/>
  <c r="BR212" i="10"/>
  <c r="BR215" i="10" s="1"/>
  <c r="BR218" i="10" s="1"/>
  <c r="BR216" i="10" l="1"/>
  <c r="BR219" i="10" s="1"/>
  <c r="BR57" i="10" s="1"/>
  <c r="BR67" i="10"/>
  <c r="BR70" i="10"/>
  <c r="BR23" i="10"/>
  <c r="BS135" i="10"/>
  <c r="BS139" i="10" s="1"/>
  <c r="BS20" i="5" s="1"/>
  <c r="BR137" i="10"/>
  <c r="BR63" i="10"/>
  <c r="BR47" i="10" l="1"/>
  <c r="BR56" i="10"/>
  <c r="BS24" i="5"/>
  <c r="BS25" i="5" l="1"/>
  <c r="BS26" i="5" s="1"/>
  <c r="BS32" i="5" l="1"/>
  <c r="BS28" i="5"/>
  <c r="BS33" i="5"/>
  <c r="BS118" i="5"/>
  <c r="BS30" i="5" l="1"/>
  <c r="BS119" i="5"/>
  <c r="BS125" i="5"/>
  <c r="BS136" i="5" s="1"/>
  <c r="BS31" i="5" s="1"/>
  <c r="BS120" i="5"/>
  <c r="BS93" i="10" l="1"/>
  <c r="BS8" i="11"/>
  <c r="BS117" i="5"/>
  <c r="BS11" i="11" l="1"/>
  <c r="BS41" i="10" l="1"/>
  <c r="BS31" i="11"/>
  <c r="BS96" i="10" l="1"/>
  <c r="BS43" i="10"/>
  <c r="BS33" i="11"/>
  <c r="BS81" i="11"/>
  <c r="BS86" i="11" s="1"/>
  <c r="BS80" i="10" l="1"/>
  <c r="BS72" i="11"/>
  <c r="BS45" i="10"/>
  <c r="BS55" i="10"/>
  <c r="BS81" i="10"/>
  <c r="BS82" i="11"/>
  <c r="BS85" i="11"/>
  <c r="BS97" i="10"/>
  <c r="BT91" i="10" l="1"/>
  <c r="BS98" i="10"/>
  <c r="BS46" i="10"/>
  <c r="BS64" i="10"/>
  <c r="BS209" i="10"/>
  <c r="BS82" i="10"/>
  <c r="BS84" i="11"/>
  <c r="BS83" i="11"/>
  <c r="BS79" i="10"/>
  <c r="BS75" i="11"/>
  <c r="BS9" i="10" l="1"/>
  <c r="BT74" i="11"/>
  <c r="BS52" i="10" l="1"/>
  <c r="BS15" i="10"/>
  <c r="BS51" i="10"/>
  <c r="BS68" i="10"/>
  <c r="BS69" i="10"/>
  <c r="BS136" i="10"/>
  <c r="BS212" i="10"/>
  <c r="BV43" i="13"/>
  <c r="BV44" i="13" s="1"/>
  <c r="BW44" i="13" s="1"/>
  <c r="BW45" i="13" s="1"/>
  <c r="BS76" i="11"/>
  <c r="BS63" i="10" l="1"/>
  <c r="BS215" i="10"/>
  <c r="BS218" i="10" s="1"/>
  <c r="BS216" i="10"/>
  <c r="BS219" i="10" s="1"/>
  <c r="BS57" i="10" s="1"/>
  <c r="BT135" i="10"/>
  <c r="BS137" i="10"/>
  <c r="BS70" i="10"/>
  <c r="BS67" i="10"/>
  <c r="BS23" i="10"/>
  <c r="BS56" i="10" l="1"/>
  <c r="BS47" i="10"/>
  <c r="BT139" i="10"/>
  <c r="BT20" i="5" l="1"/>
  <c r="BU139" i="10"/>
  <c r="BT24" i="5" l="1"/>
  <c r="BU20" i="5"/>
  <c r="BT25" i="5" l="1"/>
  <c r="BU24" i="5"/>
  <c r="BU25" i="5" l="1"/>
  <c r="BU26" i="5" s="1"/>
  <c r="BT26" i="5"/>
  <c r="BU28" i="5" l="1"/>
  <c r="BU33" i="5"/>
  <c r="BU118" i="5"/>
  <c r="BU32" i="5"/>
  <c r="BU116" i="5"/>
  <c r="BT32" i="5"/>
  <c r="BT33" i="5"/>
  <c r="BT28" i="5"/>
  <c r="BT118" i="5"/>
  <c r="BU120" i="5" l="1"/>
  <c r="BT120" i="5"/>
  <c r="BU30" i="5"/>
  <c r="BU119" i="5"/>
  <c r="BU125" i="5"/>
  <c r="BU136" i="5" s="1"/>
  <c r="BU31" i="5" s="1"/>
  <c r="BT30" i="5"/>
  <c r="BT119" i="5"/>
  <c r="BT125" i="5"/>
  <c r="BT136" i="5" s="1"/>
  <c r="BT31" i="5" s="1"/>
  <c r="BU226" i="5"/>
  <c r="BU196" i="10" s="1"/>
  <c r="BU197" i="10" s="1"/>
  <c r="BU198" i="10" s="1"/>
  <c r="BU219" i="5"/>
  <c r="BU152" i="10" s="1"/>
  <c r="BU153" i="10" s="1"/>
  <c r="BU154" i="10" s="1"/>
  <c r="BU155" i="10" s="1"/>
  <c r="BU148" i="10" s="1"/>
  <c r="BT93" i="10" l="1"/>
  <c r="BT8" i="11"/>
  <c r="BT117" i="5"/>
  <c r="BU117" i="5"/>
  <c r="BU199" i="10"/>
  <c r="BU93" i="10" l="1"/>
  <c r="BT11" i="11"/>
  <c r="BU8" i="11"/>
  <c r="BU11" i="11" l="1"/>
  <c r="BU31" i="11" s="1"/>
  <c r="BT31" i="11"/>
  <c r="BT41" i="10"/>
  <c r="BU41" i="10" l="1"/>
  <c r="BU43" i="10" s="1"/>
  <c r="BT96" i="10"/>
  <c r="BT43" i="10"/>
  <c r="BT33" i="11"/>
  <c r="BT81" i="11"/>
  <c r="BT86" i="11" s="1"/>
  <c r="BU33" i="11"/>
  <c r="BU81" i="11"/>
  <c r="BU86" i="11" s="1"/>
  <c r="BT45" i="10" l="1"/>
  <c r="BT55" i="10"/>
  <c r="BU81" i="10"/>
  <c r="BU85" i="11"/>
  <c r="BU82" i="11"/>
  <c r="BU96" i="10"/>
  <c r="BU97" i="10" s="1"/>
  <c r="BT97" i="10"/>
  <c r="BT98" i="10" s="1"/>
  <c r="BU80" i="10"/>
  <c r="BU72" i="11"/>
  <c r="BU78" i="11"/>
  <c r="BT81" i="10"/>
  <c r="BT85" i="11"/>
  <c r="BT82" i="11"/>
  <c r="BU45" i="10"/>
  <c r="BU55" i="10"/>
  <c r="BT80" i="10"/>
  <c r="BT72" i="11"/>
  <c r="BT82" i="10" l="1"/>
  <c r="BT83" i="11"/>
  <c r="BT84" i="11"/>
  <c r="BU82" i="10"/>
  <c r="BU83" i="11"/>
  <c r="BU84" i="11"/>
  <c r="BT79" i="10"/>
  <c r="BT75" i="11"/>
  <c r="BU64" i="10"/>
  <c r="BU46" i="10"/>
  <c r="BU209" i="10"/>
  <c r="BU79" i="10"/>
  <c r="BU75" i="11"/>
  <c r="BW91" i="10"/>
  <c r="BU98" i="10"/>
  <c r="BT46" i="10"/>
  <c r="BT64" i="10"/>
  <c r="BT209" i="10"/>
  <c r="BT9" i="10" l="1"/>
  <c r="BT76" i="11" s="1"/>
  <c r="CA91" i="10"/>
  <c r="BW74" i="11"/>
  <c r="CA74" i="11"/>
  <c r="BT15" i="10" l="1"/>
  <c r="BT51" i="10"/>
  <c r="BU9" i="10"/>
  <c r="BT69" i="10"/>
  <c r="BT136" i="10"/>
  <c r="BT52" i="10"/>
  <c r="BT68" i="10"/>
  <c r="BT212" i="10"/>
  <c r="BY43" i="13"/>
  <c r="BY44" i="13" s="1"/>
  <c r="BT63" i="10" l="1"/>
  <c r="BU136" i="10"/>
  <c r="BU137" i="10" s="1"/>
  <c r="BU138" i="10" s="1"/>
  <c r="BT137" i="10"/>
  <c r="BT216" i="10"/>
  <c r="BT215" i="10"/>
  <c r="BT23" i="10"/>
  <c r="BT67" i="10"/>
  <c r="BT70" i="10"/>
  <c r="BU51" i="10"/>
  <c r="BU15" i="10"/>
  <c r="BU52" i="10"/>
  <c r="BU68" i="10"/>
  <c r="BU212" i="10"/>
  <c r="BU69" i="10"/>
  <c r="BW135" i="10"/>
  <c r="CA135" i="10"/>
  <c r="CC43" i="13"/>
  <c r="BU76" i="11"/>
  <c r="BU23" i="10" l="1"/>
  <c r="BU70" i="10"/>
  <c r="BU67" i="10"/>
  <c r="BT56" i="10"/>
  <c r="BT47" i="10"/>
  <c r="BT219" i="10"/>
  <c r="BT57" i="10" s="1"/>
  <c r="BU219" i="10"/>
  <c r="BU57" i="10" s="1"/>
  <c r="BU215" i="10"/>
  <c r="BU216" i="10"/>
  <c r="BW139" i="10"/>
  <c r="BT218" i="10"/>
  <c r="BU218" i="10"/>
  <c r="BU56" i="10" l="1"/>
  <c r="BU47" i="10"/>
  <c r="BW20" i="5"/>
  <c r="BW24" i="5" l="1"/>
  <c r="BW25" i="5" l="1"/>
  <c r="BW26" i="5" s="1"/>
  <c r="BW28" i="5" l="1"/>
  <c r="BW33" i="5"/>
  <c r="BW118" i="5"/>
  <c r="BW32" i="5"/>
  <c r="BW120" i="5" l="1"/>
  <c r="BW119" i="5"/>
  <c r="BW125" i="5"/>
  <c r="BW136" i="5" s="1"/>
  <c r="BW31" i="5" s="1"/>
  <c r="BW30" i="5"/>
  <c r="BW93" i="10" l="1"/>
  <c r="BW8" i="11"/>
  <c r="BW117" i="5"/>
  <c r="BW11" i="11" l="1"/>
  <c r="BW41" i="10" l="1"/>
  <c r="BW96" i="10" l="1"/>
  <c r="BO16" i="5" l="1"/>
  <c r="BN123" i="5"/>
  <c r="BO123" i="5" s="1"/>
  <c r="BO124" i="5" s="1"/>
  <c r="BO18" i="5"/>
  <c r="BO113" i="5" s="1"/>
  <c r="BN16" i="5"/>
  <c r="BN113" i="5"/>
  <c r="BN63" i="10" l="1"/>
  <c r="BN60" i="10"/>
  <c r="BN62" i="10"/>
  <c r="BN112" i="5"/>
  <c r="BO63" i="10"/>
  <c r="BO62" i="10"/>
  <c r="BO112" i="5"/>
  <c r="BO60" i="10"/>
  <c r="BN124" i="5"/>
  <c r="BU18" i="5" l="1"/>
  <c r="BU113" i="5" s="1"/>
  <c r="BQ123" i="5"/>
  <c r="BQ124" i="5" s="1"/>
  <c r="BQ16" i="5"/>
  <c r="BQ113" i="5"/>
  <c r="BW113" i="5" s="1"/>
  <c r="BU16" i="5" l="1"/>
  <c r="BU63" i="10" s="1"/>
  <c r="BW124" i="5"/>
  <c r="BW123" i="5" s="1"/>
  <c r="CA123" i="5" s="1"/>
  <c r="CA124" i="5" s="1"/>
  <c r="CC113" i="5"/>
  <c r="BW18" i="5"/>
  <c r="BQ62" i="10"/>
  <c r="BQ63" i="10"/>
  <c r="BQ60" i="10"/>
  <c r="BQ112" i="5"/>
  <c r="BU123" i="5"/>
  <c r="BU124" i="5" s="1"/>
  <c r="BU60" i="10" l="1"/>
  <c r="BU62" i="10"/>
  <c r="BU112" i="5"/>
  <c r="CA18" i="5"/>
  <c r="BW13" i="11"/>
  <c r="BW16" i="5"/>
  <c r="CC124" i="5"/>
  <c r="CC123" i="5" s="1"/>
  <c r="CG123" i="5" s="1"/>
  <c r="CG124" i="5" s="1"/>
  <c r="CC18" i="5"/>
  <c r="CI113" i="5"/>
  <c r="BW60" i="10" l="1"/>
  <c r="BW62" i="10"/>
  <c r="BW112" i="5"/>
  <c r="CC16" i="5"/>
  <c r="CG18" i="5"/>
  <c r="CC13" i="11"/>
  <c r="CA113" i="5"/>
  <c r="CA16" i="5"/>
  <c r="CI124" i="5"/>
  <c r="CI123" i="5" s="1"/>
  <c r="CM123" i="5" s="1"/>
  <c r="CM124" i="5" s="1"/>
  <c r="CI18" i="5"/>
  <c r="CA13" i="11"/>
  <c r="BW31" i="11"/>
  <c r="BW40" i="10"/>
  <c r="CA60" i="10" l="1"/>
  <c r="CA62" i="10"/>
  <c r="CA112" i="5"/>
  <c r="CC60" i="10"/>
  <c r="CC62" i="10"/>
  <c r="CC112" i="5"/>
  <c r="BW92" i="10"/>
  <c r="BW43" i="10"/>
  <c r="BX40" i="10"/>
  <c r="BW81" i="11"/>
  <c r="BW33" i="11"/>
  <c r="CI13" i="11"/>
  <c r="CM18" i="5"/>
  <c r="CI16" i="5"/>
  <c r="CG13" i="11"/>
  <c r="CG16" i="5"/>
  <c r="CG113" i="5"/>
  <c r="BW86" i="11" l="1"/>
  <c r="BW81" i="10"/>
  <c r="BW85" i="11"/>
  <c r="BW82" i="11"/>
  <c r="BW80" i="10"/>
  <c r="BW72" i="11"/>
  <c r="CG62" i="10"/>
  <c r="CG60" i="10"/>
  <c r="CG112" i="5"/>
  <c r="BX92" i="10"/>
  <c r="BY40" i="10"/>
  <c r="CM113" i="5"/>
  <c r="CM16" i="5"/>
  <c r="BW55" i="10"/>
  <c r="BW45" i="10"/>
  <c r="CI62" i="10"/>
  <c r="CI60" i="10"/>
  <c r="CI112" i="5"/>
  <c r="CM13" i="11"/>
  <c r="BW97" i="10"/>
  <c r="BW64" i="10" l="1"/>
  <c r="BW46" i="10"/>
  <c r="BW209" i="10"/>
  <c r="CM60" i="10"/>
  <c r="CM62" i="10"/>
  <c r="CM112" i="5"/>
  <c r="BW79" i="10"/>
  <c r="BW75" i="11"/>
  <c r="BW83" i="11"/>
  <c r="BW82" i="10"/>
  <c r="BW84" i="11"/>
  <c r="BX91" i="10"/>
  <c r="BW98" i="10"/>
  <c r="BY92" i="10"/>
  <c r="BZ40" i="10"/>
  <c r="BZ92" i="10" l="1"/>
  <c r="CA92" i="10" s="1"/>
  <c r="CA40" i="10"/>
  <c r="CC40" i="10"/>
  <c r="BX74" i="11"/>
  <c r="BW9" i="10"/>
  <c r="BW76" i="11" s="1"/>
  <c r="CC92" i="10" l="1"/>
  <c r="CD40" i="10"/>
  <c r="BW52" i="10"/>
  <c r="BW212" i="10"/>
  <c r="BW68" i="10"/>
  <c r="BW69" i="10"/>
  <c r="BZ43" i="13"/>
  <c r="BZ44" i="13" s="1"/>
  <c r="BW15" i="10"/>
  <c r="BW51" i="10"/>
  <c r="BW136" i="10"/>
  <c r="BW70" i="10" l="1"/>
  <c r="BW67" i="10"/>
  <c r="BW23" i="10"/>
  <c r="CD92" i="10"/>
  <c r="CE40" i="10"/>
  <c r="BW137" i="10"/>
  <c r="BX135" i="10"/>
  <c r="BW63" i="10"/>
  <c r="BW215" i="10"/>
  <c r="BW218" i="10" s="1"/>
  <c r="BW216" i="10"/>
  <c r="BW219" i="10" s="1"/>
  <c r="BW57" i="10" s="1"/>
  <c r="BX139" i="10" l="1"/>
  <c r="CE92" i="10"/>
  <c r="CF40" i="10"/>
  <c r="BW56" i="10"/>
  <c r="BW47" i="10"/>
  <c r="CF92" i="10" l="1"/>
  <c r="CG92" i="10" s="1"/>
  <c r="CI40" i="10"/>
  <c r="CG40" i="10"/>
  <c r="BX20" i="5"/>
  <c r="BX24" i="5" l="1"/>
  <c r="CI92" i="10"/>
  <c r="CJ40" i="10"/>
  <c r="CK40" i="10" l="1"/>
  <c r="CJ92" i="10"/>
  <c r="BX25" i="5"/>
  <c r="BX26" i="5" s="1"/>
  <c r="BX118" i="5" l="1"/>
  <c r="BX32" i="5"/>
  <c r="BX33" i="5"/>
  <c r="BX28" i="5"/>
  <c r="CL40" i="10"/>
  <c r="CK92" i="10"/>
  <c r="BX120" i="5" l="1"/>
  <c r="CL92" i="10"/>
  <c r="CM92" i="10" s="1"/>
  <c r="CM40" i="10"/>
  <c r="BX119" i="5"/>
  <c r="BX125" i="5"/>
  <c r="BX136" i="5" s="1"/>
  <c r="BX31" i="5" s="1"/>
  <c r="BX30" i="5"/>
  <c r="BX117" i="5" l="1"/>
  <c r="BX93" i="10"/>
  <c r="BX8" i="11"/>
  <c r="BX11" i="11" l="1"/>
  <c r="BX41" i="10" l="1"/>
  <c r="BX31" i="11"/>
  <c r="BX96" i="10" l="1"/>
  <c r="BX43" i="10"/>
  <c r="BX33" i="11"/>
  <c r="BX81" i="11"/>
  <c r="BX97" i="10" l="1"/>
  <c r="BX80" i="10"/>
  <c r="BX72" i="11"/>
  <c r="BX45" i="10"/>
  <c r="BX55" i="10"/>
  <c r="BX86" i="11"/>
  <c r="BX81" i="10"/>
  <c r="BX85" i="11"/>
  <c r="BX82" i="11"/>
  <c r="BX82" i="10" l="1"/>
  <c r="BX83" i="11"/>
  <c r="BX84" i="11"/>
  <c r="BX46" i="10"/>
  <c r="BX64" i="10"/>
  <c r="BX209" i="10"/>
  <c r="BX79" i="10"/>
  <c r="BX75" i="11"/>
  <c r="BY91" i="10"/>
  <c r="BX98" i="10"/>
  <c r="BX9" i="10" l="1"/>
  <c r="BX76" i="11" s="1"/>
  <c r="BY74" i="11"/>
  <c r="BX69" i="10" l="1"/>
  <c r="BX212" i="10"/>
  <c r="BX52" i="10"/>
  <c r="BX15" i="10"/>
  <c r="BX68" i="10"/>
  <c r="BX51" i="10"/>
  <c r="CA43" i="13"/>
  <c r="CA44" i="13" s="1"/>
  <c r="BX136" i="10"/>
  <c r="BY135" i="10" l="1"/>
  <c r="BX137" i="10"/>
  <c r="BX70" i="10"/>
  <c r="BX23" i="10"/>
  <c r="BX67" i="10"/>
  <c r="BX63" i="10"/>
  <c r="BX216" i="10"/>
  <c r="BX219" i="10" s="1"/>
  <c r="BX57" i="10" s="1"/>
  <c r="BX215" i="10"/>
  <c r="BX218" i="10" s="1"/>
  <c r="BX56" i="10" l="1"/>
  <c r="BX47" i="10"/>
  <c r="BY139" i="10"/>
  <c r="BY20" i="5" l="1"/>
  <c r="BY24" i="5" l="1"/>
  <c r="BY25" i="5" l="1"/>
  <c r="BY26" i="5" s="1"/>
  <c r="BY32" i="5" l="1"/>
  <c r="BY118" i="5"/>
  <c r="BY33" i="5"/>
  <c r="BY28" i="5"/>
  <c r="BY119" i="5" l="1"/>
  <c r="BY30" i="5"/>
  <c r="BY125" i="5"/>
  <c r="BY136" i="5" s="1"/>
  <c r="BY31" i="5" s="1"/>
  <c r="BY120" i="5"/>
  <c r="BY93" i="10" l="1"/>
  <c r="BY117" i="5"/>
  <c r="BY8" i="11"/>
  <c r="BY11" i="11" l="1"/>
  <c r="BY31" i="11" l="1"/>
  <c r="BY41" i="10"/>
  <c r="BY33" i="11" l="1"/>
  <c r="BY81" i="11"/>
  <c r="BY96" i="10"/>
  <c r="BY43" i="10"/>
  <c r="BY97" i="10" l="1"/>
  <c r="BY85" i="11"/>
  <c r="BY86" i="11"/>
  <c r="BY81" i="10"/>
  <c r="BY82" i="11"/>
  <c r="BY45" i="10"/>
  <c r="BY55" i="10"/>
  <c r="BY72" i="11"/>
  <c r="BY80" i="10"/>
  <c r="BY79" i="10" l="1"/>
  <c r="BY75" i="11"/>
  <c r="BY83" i="11"/>
  <c r="BY82" i="10"/>
  <c r="BY84" i="11"/>
  <c r="BZ91" i="10"/>
  <c r="BY98" i="10"/>
  <c r="BY64" i="10"/>
  <c r="BY46" i="10"/>
  <c r="BY209" i="10"/>
  <c r="BZ74" i="11" l="1"/>
  <c r="BY9" i="10"/>
  <c r="BY76" i="11" s="1"/>
  <c r="BY212" i="10" l="1"/>
  <c r="BY52" i="10"/>
  <c r="BY68" i="10"/>
  <c r="BY69" i="10"/>
  <c r="BY15" i="10"/>
  <c r="BY51" i="10"/>
  <c r="CB43" i="13"/>
  <c r="CB44" i="13" s="1"/>
  <c r="CC44" i="13" s="1"/>
  <c r="CC45" i="13" s="1"/>
  <c r="BY136" i="10"/>
  <c r="BY70" i="10" l="1"/>
  <c r="BY67" i="10"/>
  <c r="BY23" i="10"/>
  <c r="BZ135" i="10"/>
  <c r="BY137" i="10"/>
  <c r="BY216" i="10"/>
  <c r="BY219" i="10" s="1"/>
  <c r="BY57" i="10" s="1"/>
  <c r="BY215" i="10"/>
  <c r="BY218" i="10" s="1"/>
  <c r="BY63" i="10"/>
  <c r="BY56" i="10" l="1"/>
  <c r="BY47" i="10"/>
  <c r="BZ139" i="10"/>
  <c r="BZ20" i="5" l="1"/>
  <c r="CA139" i="10"/>
  <c r="BZ24" i="5" l="1"/>
  <c r="CA20" i="5"/>
  <c r="BZ25" i="5" l="1"/>
  <c r="BZ26" i="5" s="1"/>
  <c r="CA24" i="5"/>
  <c r="BZ118" i="5" l="1"/>
  <c r="BZ33" i="5"/>
  <c r="BZ32" i="5"/>
  <c r="BZ28" i="5"/>
  <c r="CA25" i="5"/>
  <c r="CA26" i="5" s="1"/>
  <c r="BZ120" i="5" l="1"/>
  <c r="BZ119" i="5"/>
  <c r="BZ125" i="5"/>
  <c r="BZ136" i="5" s="1"/>
  <c r="BZ31" i="5" s="1"/>
  <c r="BZ30" i="5"/>
  <c r="CA32" i="5"/>
  <c r="CA118" i="5"/>
  <c r="CA28" i="5"/>
  <c r="CA33" i="5"/>
  <c r="CA116" i="5"/>
  <c r="CA219" i="5" l="1"/>
  <c r="CA152" i="10" s="1"/>
  <c r="CA153" i="10" s="1"/>
  <c r="CA154" i="10" s="1"/>
  <c r="CA155" i="10" s="1"/>
  <c r="CA148" i="10" s="1"/>
  <c r="CA226" i="5"/>
  <c r="CA196" i="10" s="1"/>
  <c r="CA197" i="10" s="1"/>
  <c r="CA198" i="10" s="1"/>
  <c r="CA119" i="5"/>
  <c r="CA30" i="5"/>
  <c r="CA125" i="5"/>
  <c r="CA136" i="5" s="1"/>
  <c r="CA31" i="5" s="1"/>
  <c r="BZ93" i="10"/>
  <c r="BZ117" i="5"/>
  <c r="BZ8" i="11"/>
  <c r="CA120" i="5"/>
  <c r="BZ11" i="11" l="1"/>
  <c r="CA8" i="11"/>
  <c r="CA11" i="11" s="1"/>
  <c r="CA31" i="11" s="1"/>
  <c r="CA117" i="5"/>
  <c r="CA93" i="10"/>
  <c r="CA199" i="10"/>
  <c r="CA81" i="11" l="1"/>
  <c r="CA33" i="11"/>
  <c r="BZ31" i="11"/>
  <c r="BZ41" i="10"/>
  <c r="CA80" i="10" l="1"/>
  <c r="CA78" i="11"/>
  <c r="CA72" i="11"/>
  <c r="CA41" i="10"/>
  <c r="CA43" i="10" s="1"/>
  <c r="BZ96" i="10"/>
  <c r="BZ43" i="10"/>
  <c r="CA81" i="10"/>
  <c r="CA85" i="11"/>
  <c r="CA86" i="11"/>
  <c r="CA82" i="11"/>
  <c r="BZ33" i="11"/>
  <c r="BZ81" i="11"/>
  <c r="CA45" i="10" l="1"/>
  <c r="CA55" i="10"/>
  <c r="CA79" i="10"/>
  <c r="CA75" i="11"/>
  <c r="BZ86" i="11"/>
  <c r="BZ85" i="11"/>
  <c r="BZ81" i="10"/>
  <c r="BZ82" i="11"/>
  <c r="CA82" i="10"/>
  <c r="CA84" i="11"/>
  <c r="CA83" i="11"/>
  <c r="BZ45" i="10"/>
  <c r="BZ55" i="10"/>
  <c r="BZ80" i="10"/>
  <c r="BZ72" i="11"/>
  <c r="CA96" i="10"/>
  <c r="CA97" i="10" s="1"/>
  <c r="BZ97" i="10"/>
  <c r="BZ98" i="10" s="1"/>
  <c r="CA98" i="10" l="1"/>
  <c r="CC91" i="10"/>
  <c r="BZ64" i="10"/>
  <c r="BZ46" i="10"/>
  <c r="BZ209" i="10"/>
  <c r="BZ82" i="10"/>
  <c r="BZ83" i="11"/>
  <c r="BZ84" i="11"/>
  <c r="CC74" i="11"/>
  <c r="CG74" i="11"/>
  <c r="BZ79" i="10"/>
  <c r="BZ75" i="11"/>
  <c r="CA209" i="10"/>
  <c r="CA64" i="10"/>
  <c r="CA46" i="10"/>
  <c r="CG91" i="10" l="1"/>
  <c r="BZ9" i="10"/>
  <c r="BZ212" i="10" l="1"/>
  <c r="BZ69" i="10"/>
  <c r="BZ68" i="10"/>
  <c r="BZ52" i="10"/>
  <c r="BZ15" i="10"/>
  <c r="BZ51" i="10"/>
  <c r="BZ136" i="10"/>
  <c r="CE43" i="13"/>
  <c r="CE44" i="13" s="1"/>
  <c r="CA9" i="10"/>
  <c r="BZ76" i="11"/>
  <c r="CA68" i="10" l="1"/>
  <c r="CA69" i="10"/>
  <c r="CA52" i="10"/>
  <c r="CA212" i="10"/>
  <c r="CI43" i="13"/>
  <c r="CA51" i="10"/>
  <c r="CA63" i="10" s="1"/>
  <c r="CA15" i="10"/>
  <c r="CC135" i="10"/>
  <c r="CG135" i="10"/>
  <c r="CA76" i="11"/>
  <c r="BZ67" i="10"/>
  <c r="BZ70" i="10"/>
  <c r="BZ23" i="10"/>
  <c r="CA136" i="10"/>
  <c r="CA137" i="10" s="1"/>
  <c r="CA138" i="10" s="1"/>
  <c r="BZ137" i="10"/>
  <c r="BZ216" i="10"/>
  <c r="BZ215" i="10"/>
  <c r="BZ63" i="10"/>
  <c r="BZ219" i="10" l="1"/>
  <c r="BZ57" i="10" s="1"/>
  <c r="CA219" i="10"/>
  <c r="CA57" i="10" s="1"/>
  <c r="CC139" i="10"/>
  <c r="CA215" i="10"/>
  <c r="CA216" i="10"/>
  <c r="CA67" i="10"/>
  <c r="CA70" i="10"/>
  <c r="CA23" i="10"/>
  <c r="BZ218" i="10"/>
  <c r="CA218" i="10"/>
  <c r="BZ56" i="10"/>
  <c r="BZ47" i="10"/>
  <c r="CC20" i="5" l="1"/>
  <c r="CA56" i="10"/>
  <c r="CA47" i="10"/>
  <c r="CC24" i="5" l="1"/>
  <c r="CC25" i="5" l="1"/>
  <c r="CC26" i="5" s="1"/>
  <c r="CC32" i="5" l="1"/>
  <c r="CC33" i="5"/>
  <c r="CC118" i="5"/>
  <c r="CC28" i="5"/>
  <c r="CC120" i="5" l="1"/>
  <c r="CC119" i="5"/>
  <c r="CC125" i="5"/>
  <c r="CC136" i="5" s="1"/>
  <c r="CC31" i="5" s="1"/>
  <c r="CC30" i="5"/>
  <c r="CC117" i="5" l="1"/>
  <c r="CC93" i="10"/>
  <c r="CC8" i="11"/>
  <c r="CC11" i="11" l="1"/>
  <c r="CC31" i="11" l="1"/>
  <c r="CC41" i="10"/>
  <c r="CC81" i="11" l="1"/>
  <c r="CC33" i="11"/>
  <c r="CC96" i="10"/>
  <c r="CC43" i="10"/>
  <c r="CC97" i="10" l="1"/>
  <c r="CC80" i="10"/>
  <c r="CC72" i="11"/>
  <c r="CC45" i="10"/>
  <c r="CC55" i="10"/>
  <c r="CC86" i="11"/>
  <c r="CC85" i="11"/>
  <c r="CC81" i="10"/>
  <c r="CC82" i="11"/>
  <c r="CC82" i="10" l="1"/>
  <c r="CC84" i="11"/>
  <c r="CC79" i="10"/>
  <c r="CC75" i="11"/>
  <c r="CC46" i="10"/>
  <c r="CC64" i="10"/>
  <c r="CC209" i="10"/>
  <c r="CC98" i="10"/>
  <c r="CD91" i="10"/>
  <c r="CC9" i="10" l="1"/>
  <c r="CC76" i="11" s="1"/>
  <c r="CD74" i="11"/>
  <c r="CC68" i="10" l="1"/>
  <c r="CC69" i="10"/>
  <c r="CC52" i="10"/>
  <c r="CC212" i="10"/>
  <c r="CC15" i="10"/>
  <c r="CF43" i="13"/>
  <c r="CF44" i="13" s="1"/>
  <c r="CC51" i="10"/>
  <c r="CC136" i="10"/>
  <c r="CC215" i="10" l="1"/>
  <c r="CC218" i="10" s="1"/>
  <c r="CC216" i="10"/>
  <c r="CC219" i="10" s="1"/>
  <c r="CC57" i="10" s="1"/>
  <c r="CC70" i="10"/>
  <c r="CC67" i="10"/>
  <c r="CC23" i="10"/>
  <c r="CD135" i="10"/>
  <c r="CC137" i="10"/>
  <c r="CC63" i="10"/>
  <c r="CC56" i="10" l="1"/>
  <c r="CC47" i="10"/>
  <c r="CD139" i="10"/>
  <c r="CD20" i="5" l="1"/>
  <c r="CD24" i="5" l="1"/>
  <c r="CD25" i="5" l="1"/>
  <c r="CD26" i="5" s="1"/>
  <c r="CD118" i="5" l="1"/>
  <c r="CD32" i="5"/>
  <c r="CD33" i="5"/>
  <c r="CD28" i="5"/>
  <c r="CD119" i="5" l="1"/>
  <c r="CD30" i="5"/>
  <c r="CD125" i="5"/>
  <c r="CD136" i="5" s="1"/>
  <c r="CD31" i="5" s="1"/>
  <c r="CD120" i="5"/>
  <c r="CD117" i="5" l="1"/>
  <c r="CD93" i="10"/>
  <c r="CD8" i="11"/>
  <c r="CD11" i="11" l="1"/>
  <c r="CD31" i="11" l="1"/>
  <c r="CD41" i="10"/>
  <c r="CD96" i="10" l="1"/>
  <c r="CD43" i="10"/>
  <c r="CD33" i="11"/>
  <c r="CD81" i="11"/>
  <c r="CD80" i="10" l="1"/>
  <c r="CD72" i="11"/>
  <c r="CD45" i="10"/>
  <c r="CD55" i="10"/>
  <c r="CD86" i="11"/>
  <c r="CD85" i="11"/>
  <c r="CD81" i="10"/>
  <c r="CD82" i="11"/>
  <c r="CD97" i="10"/>
  <c r="CD82" i="10" l="1"/>
  <c r="CD84" i="11"/>
  <c r="CD209" i="10"/>
  <c r="CD46" i="10"/>
  <c r="CD64" i="10"/>
  <c r="CD79" i="10"/>
  <c r="CD75" i="11"/>
  <c r="CD98" i="10"/>
  <c r="CE91" i="10"/>
  <c r="CD9" i="10" l="1"/>
  <c r="CE74" i="11"/>
  <c r="CD212" i="10" l="1"/>
  <c r="CD52" i="10"/>
  <c r="CD69" i="10"/>
  <c r="CD51" i="10"/>
  <c r="CD15" i="10"/>
  <c r="CD68" i="10"/>
  <c r="CG43" i="13"/>
  <c r="CG44" i="13" s="1"/>
  <c r="CD136" i="10"/>
  <c r="CD76" i="11"/>
  <c r="CD67" i="10" l="1"/>
  <c r="CD70" i="10"/>
  <c r="CD23" i="10"/>
  <c r="CE135" i="10"/>
  <c r="CD137" i="10"/>
  <c r="CD63" i="10"/>
  <c r="CD215" i="10"/>
  <c r="CD218" i="10" s="1"/>
  <c r="CD216" i="10"/>
  <c r="CD219" i="10" s="1"/>
  <c r="CD57" i="10" s="1"/>
  <c r="CE139" i="10" l="1"/>
  <c r="CD56" i="10"/>
  <c r="CD47" i="10"/>
  <c r="CE20" i="5" l="1"/>
  <c r="CE24" i="5" l="1"/>
  <c r="CE25" i="5" l="1"/>
  <c r="CE26" i="5" s="1"/>
  <c r="CE118" i="5" l="1"/>
  <c r="CE32" i="5"/>
  <c r="CE33" i="5"/>
  <c r="CE28" i="5"/>
  <c r="CE119" i="5" l="1"/>
  <c r="CE30" i="5"/>
  <c r="CE125" i="5"/>
  <c r="CE136" i="5" s="1"/>
  <c r="CE31" i="5" s="1"/>
  <c r="CE120" i="5"/>
  <c r="CE117" i="5" l="1"/>
  <c r="CE93" i="10"/>
  <c r="CE8" i="11"/>
  <c r="CE11" i="11" l="1"/>
  <c r="CE31" i="11" l="1"/>
  <c r="CE41" i="10"/>
  <c r="CE33" i="11" l="1"/>
  <c r="CE81" i="11"/>
  <c r="CE96" i="10"/>
  <c r="CE43" i="10"/>
  <c r="CE97" i="10" l="1"/>
  <c r="CE85" i="11"/>
  <c r="CE81" i="10"/>
  <c r="CE86" i="11"/>
  <c r="CE82" i="11"/>
  <c r="CE45" i="10"/>
  <c r="CE55" i="10"/>
  <c r="CE80" i="10"/>
  <c r="CE72" i="11"/>
  <c r="CE79" i="10" l="1"/>
  <c r="CE75" i="11"/>
  <c r="CE84" i="11"/>
  <c r="CE82" i="10"/>
  <c r="CE98" i="10"/>
  <c r="CF91" i="10"/>
  <c r="CE64" i="10"/>
  <c r="CE46" i="10"/>
  <c r="CE209" i="10"/>
  <c r="CF74" i="11" l="1"/>
  <c r="CE9" i="10"/>
  <c r="CE212" i="10" l="1"/>
  <c r="CE68" i="10"/>
  <c r="CE69" i="10"/>
  <c r="CE52" i="10"/>
  <c r="CE15" i="10"/>
  <c r="CE51" i="10"/>
  <c r="CH43" i="13"/>
  <c r="CH44" i="13" s="1"/>
  <c r="CI44" i="13" s="1"/>
  <c r="CI45" i="13" s="1"/>
  <c r="CE136" i="10"/>
  <c r="CE76" i="11"/>
  <c r="CE215" i="10" l="1"/>
  <c r="CE218" i="10" s="1"/>
  <c r="CE216" i="10"/>
  <c r="CE219" i="10" s="1"/>
  <c r="CE57" i="10" s="1"/>
  <c r="CE63" i="10"/>
  <c r="CE67" i="10"/>
  <c r="CE70" i="10"/>
  <c r="CE23" i="10"/>
  <c r="CF135" i="10"/>
  <c r="CE137" i="10"/>
  <c r="CE56" i="10" l="1"/>
  <c r="CE47" i="10"/>
  <c r="CF139" i="10"/>
  <c r="CF20" i="5" l="1"/>
  <c r="CG139" i="10"/>
  <c r="CF24" i="5" l="1"/>
  <c r="CG20" i="5"/>
  <c r="CF25" i="5" l="1"/>
  <c r="CF26" i="5" s="1"/>
  <c r="CG24" i="5"/>
  <c r="CF32" i="5" l="1"/>
  <c r="CF118" i="5"/>
  <c r="CF33" i="5"/>
  <c r="CF28" i="5"/>
  <c r="CG25" i="5"/>
  <c r="CG26" i="5" s="1"/>
  <c r="CF119" i="5" l="1"/>
  <c r="CF30" i="5"/>
  <c r="CF125" i="5"/>
  <c r="CF136" i="5" s="1"/>
  <c r="CF31" i="5" s="1"/>
  <c r="CG32" i="5"/>
  <c r="CG118" i="5"/>
  <c r="CG33" i="5"/>
  <c r="CG28" i="5"/>
  <c r="CG116" i="5"/>
  <c r="CF120" i="5"/>
  <c r="CG226" i="5" l="1"/>
  <c r="CG196" i="10" s="1"/>
  <c r="CG197" i="10" s="1"/>
  <c r="CG198" i="10" s="1"/>
  <c r="CG219" i="5"/>
  <c r="CG152" i="10" s="1"/>
  <c r="CG153" i="10" s="1"/>
  <c r="CG154" i="10" s="1"/>
  <c r="CG155" i="10" s="1"/>
  <c r="CG148" i="10" s="1"/>
  <c r="CG119" i="5"/>
  <c r="CG30" i="5"/>
  <c r="CG125" i="5"/>
  <c r="CG136" i="5" s="1"/>
  <c r="CG31" i="5" s="1"/>
  <c r="CF93" i="10"/>
  <c r="CF117" i="5"/>
  <c r="CF8" i="11"/>
  <c r="CG120" i="5"/>
  <c r="CF11" i="11" l="1"/>
  <c r="CG8" i="11"/>
  <c r="CG11" i="11" s="1"/>
  <c r="CG31" i="11" s="1"/>
  <c r="CG93" i="10"/>
  <c r="CG117" i="5"/>
  <c r="CG199" i="10"/>
  <c r="CG81" i="11" l="1"/>
  <c r="CG33" i="11"/>
  <c r="CF31" i="11"/>
  <c r="CF41" i="10"/>
  <c r="CG85" i="11" l="1"/>
  <c r="CG86" i="11"/>
  <c r="CG81" i="10"/>
  <c r="CG82" i="11"/>
  <c r="CF33" i="11"/>
  <c r="CF81" i="11"/>
  <c r="CF96" i="10"/>
  <c r="CG41" i="10"/>
  <c r="CG43" i="10" s="1"/>
  <c r="CF43" i="10"/>
  <c r="CG80" i="10"/>
  <c r="CG72" i="11"/>
  <c r="CG78" i="11"/>
  <c r="CG96" i="10" l="1"/>
  <c r="CG97" i="10" s="1"/>
  <c r="CF97" i="10"/>
  <c r="CF98" i="10" s="1"/>
  <c r="CG84" i="11"/>
  <c r="CG82" i="10"/>
  <c r="CG83" i="11"/>
  <c r="CG79" i="10"/>
  <c r="CG75" i="11"/>
  <c r="CF45" i="10"/>
  <c r="CF55" i="10"/>
  <c r="CF86" i="11"/>
  <c r="CF85" i="11"/>
  <c r="CF81" i="10"/>
  <c r="CF82" i="11"/>
  <c r="CG45" i="10"/>
  <c r="CG55" i="10"/>
  <c r="CF72" i="11"/>
  <c r="CF80" i="10"/>
  <c r="CF79" i="10" l="1"/>
  <c r="CF75" i="11"/>
  <c r="CF82" i="10"/>
  <c r="CF84" i="11"/>
  <c r="CM74" i="11"/>
  <c r="CI74" i="11"/>
  <c r="CG98" i="10"/>
  <c r="CI91" i="10"/>
  <c r="CF64" i="10"/>
  <c r="CF209" i="10"/>
  <c r="CF46" i="10"/>
  <c r="CG209" i="10"/>
  <c r="CG64" i="10"/>
  <c r="CG46" i="10"/>
  <c r="CM91" i="10" l="1"/>
  <c r="CF9" i="10"/>
  <c r="CF76" i="11" s="1"/>
  <c r="CF68" i="10" l="1"/>
  <c r="CF69" i="10"/>
  <c r="CF51" i="10"/>
  <c r="CF15" i="10"/>
  <c r="CF212" i="10"/>
  <c r="CF52" i="10"/>
  <c r="CK43" i="13"/>
  <c r="CK44" i="13" s="1"/>
  <c r="CG9" i="10"/>
  <c r="CF136" i="10"/>
  <c r="CG136" i="10" l="1"/>
  <c r="CG137" i="10" s="1"/>
  <c r="CG138" i="10" s="1"/>
  <c r="CF137" i="10"/>
  <c r="CF215" i="10"/>
  <c r="CF216" i="10"/>
  <c r="CG212" i="10"/>
  <c r="CG52" i="10"/>
  <c r="CO43" i="13"/>
  <c r="CG69" i="10"/>
  <c r="CG68" i="10"/>
  <c r="CG51" i="10"/>
  <c r="CG63" i="10" s="1"/>
  <c r="CM135" i="10"/>
  <c r="CG15" i="10"/>
  <c r="CI135" i="10"/>
  <c r="CG76" i="11"/>
  <c r="CF70" i="10"/>
  <c r="CF67" i="10"/>
  <c r="CF23" i="10"/>
  <c r="CF63" i="10"/>
  <c r="CG70" i="10" l="1"/>
  <c r="CG67" i="10"/>
  <c r="CG23" i="10"/>
  <c r="CG216" i="10"/>
  <c r="CG215" i="10"/>
  <c r="CF56" i="10"/>
  <c r="CF47" i="10"/>
  <c r="CF219" i="10"/>
  <c r="CF57" i="10" s="1"/>
  <c r="CG219" i="10"/>
  <c r="CG57" i="10" s="1"/>
  <c r="CF218" i="10"/>
  <c r="CG218" i="10"/>
  <c r="CI139" i="10"/>
  <c r="CG56" i="10" l="1"/>
  <c r="CG47" i="10"/>
  <c r="CI20" i="5"/>
  <c r="CI24" i="5" l="1"/>
  <c r="CI25" i="5" l="1"/>
  <c r="CI26" i="5" l="1"/>
  <c r="CI32" i="5" l="1"/>
  <c r="CI118" i="5"/>
  <c r="CI33" i="5"/>
  <c r="CI28" i="5"/>
  <c r="CI119" i="5" l="1"/>
  <c r="CI125" i="5"/>
  <c r="CI136" i="5" s="1"/>
  <c r="CI31" i="5" s="1"/>
  <c r="CI30" i="5"/>
  <c r="CI120" i="5"/>
  <c r="CI117" i="5" l="1"/>
  <c r="CI93" i="10"/>
  <c r="CI8" i="11"/>
  <c r="CI11" i="11" l="1"/>
  <c r="CI31" i="11" l="1"/>
  <c r="CI41" i="10"/>
  <c r="CI81" i="11" l="1"/>
  <c r="CI33" i="11"/>
  <c r="CI96" i="10"/>
  <c r="CI43" i="10"/>
  <c r="CI45" i="10" l="1"/>
  <c r="CI55" i="10"/>
  <c r="CI72" i="11"/>
  <c r="CI80" i="10"/>
  <c r="CI97" i="10"/>
  <c r="CI86" i="11"/>
  <c r="CI81" i="10"/>
  <c r="CI85" i="11"/>
  <c r="CI82" i="11"/>
  <c r="CI84" i="11" l="1"/>
  <c r="CI82" i="10"/>
  <c r="CI98" i="10"/>
  <c r="CJ91" i="10"/>
  <c r="CI64" i="10"/>
  <c r="CI46" i="10"/>
  <c r="CI209" i="10"/>
  <c r="CI79" i="10"/>
  <c r="CI75" i="11"/>
  <c r="CI9" i="10" l="1"/>
  <c r="CI76" i="11" s="1"/>
  <c r="CJ74" i="11"/>
  <c r="CI52" i="10" l="1"/>
  <c r="CI69" i="10"/>
  <c r="CI212" i="10"/>
  <c r="CI68" i="10"/>
  <c r="CL43" i="13"/>
  <c r="CL44" i="13" s="1"/>
  <c r="CI51" i="10"/>
  <c r="CI15" i="10"/>
  <c r="CI136" i="10"/>
  <c r="CI63" i="10" l="1"/>
  <c r="CI215" i="10"/>
  <c r="CI218" i="10" s="1"/>
  <c r="CI216" i="10"/>
  <c r="CI219" i="10" s="1"/>
  <c r="CI57" i="10" s="1"/>
  <c r="CJ135" i="10"/>
  <c r="CI137" i="10"/>
  <c r="CI67" i="10"/>
  <c r="CI70" i="10"/>
  <c r="CI23" i="10"/>
  <c r="CJ139" i="10" l="1"/>
  <c r="CI56" i="10"/>
  <c r="CI47" i="10"/>
  <c r="CJ20" i="5" l="1"/>
  <c r="CJ24" i="5" l="1"/>
  <c r="CJ25" i="5" l="1"/>
  <c r="CJ26" i="5" s="1"/>
  <c r="CJ118" i="5" l="1"/>
  <c r="CJ32" i="5"/>
  <c r="CJ33" i="5"/>
  <c r="CJ28" i="5"/>
  <c r="CJ120" i="5" l="1"/>
  <c r="CJ119" i="5"/>
  <c r="CJ30" i="5"/>
  <c r="CJ125" i="5"/>
  <c r="CJ136" i="5" s="1"/>
  <c r="CJ31" i="5" s="1"/>
  <c r="CJ93" i="10" l="1"/>
  <c r="CJ117" i="5"/>
  <c r="CJ8" i="11"/>
  <c r="CJ11" i="11" l="1"/>
  <c r="CJ31" i="11" l="1"/>
  <c r="CJ41" i="10"/>
  <c r="CJ33" i="11" l="1"/>
  <c r="CJ81" i="11"/>
  <c r="CJ96" i="10"/>
  <c r="CJ43" i="10"/>
  <c r="CJ80" i="10" l="1"/>
  <c r="CJ72" i="11"/>
  <c r="CJ45" i="10"/>
  <c r="CJ55" i="10"/>
  <c r="CJ97" i="10"/>
  <c r="CJ86" i="11"/>
  <c r="CJ81" i="10"/>
  <c r="CJ85" i="11"/>
  <c r="CJ82" i="11"/>
  <c r="CJ98" i="10" l="1"/>
  <c r="CK91" i="10"/>
  <c r="CJ46" i="10"/>
  <c r="CJ64" i="10"/>
  <c r="CJ209" i="10"/>
  <c r="CJ79" i="10"/>
  <c r="CJ75" i="11"/>
  <c r="CJ84" i="11"/>
  <c r="CJ82" i="10"/>
  <c r="CK74" i="11" l="1"/>
  <c r="CJ9" i="10"/>
  <c r="CJ76" i="11" s="1"/>
  <c r="CJ69" i="10" l="1"/>
  <c r="CJ68" i="10"/>
  <c r="CJ212" i="10"/>
  <c r="CJ52" i="10"/>
  <c r="CJ15" i="10"/>
  <c r="CM43" i="13"/>
  <c r="CM44" i="13" s="1"/>
  <c r="CJ51" i="10"/>
  <c r="CJ63" i="10" s="1"/>
  <c r="CJ136" i="10"/>
  <c r="CK135" i="10" l="1"/>
  <c r="CJ137" i="10"/>
  <c r="CJ215" i="10"/>
  <c r="CJ218" i="10" s="1"/>
  <c r="CJ216" i="10"/>
  <c r="CJ219" i="10" s="1"/>
  <c r="CJ57" i="10" s="1"/>
  <c r="CJ67" i="10"/>
  <c r="CJ70" i="10"/>
  <c r="CJ23" i="10"/>
  <c r="CK139" i="10" l="1"/>
  <c r="CJ56" i="10"/>
  <c r="CJ47" i="10"/>
  <c r="CK20" i="5" l="1"/>
  <c r="CK24" i="5" l="1"/>
  <c r="CK25" i="5" l="1"/>
  <c r="CK26" i="5" s="1"/>
  <c r="CK32" i="5" l="1"/>
  <c r="CK118" i="5"/>
  <c r="CK33" i="5"/>
  <c r="CK28" i="5"/>
  <c r="CK120" i="5" l="1"/>
  <c r="CK119" i="5"/>
  <c r="CK30" i="5"/>
  <c r="CK125" i="5"/>
  <c r="CK136" i="5" s="1"/>
  <c r="CK31" i="5" s="1"/>
  <c r="CK93" i="10" l="1"/>
  <c r="CK117" i="5"/>
  <c r="CK8" i="11"/>
  <c r="CK11" i="11" l="1"/>
  <c r="CK31" i="11" l="1"/>
  <c r="CK41" i="10"/>
  <c r="CK33" i="11" l="1"/>
  <c r="CK81" i="11"/>
  <c r="CK96" i="10"/>
  <c r="CK43" i="10"/>
  <c r="CK80" i="10" l="1"/>
  <c r="CK72" i="11"/>
  <c r="CK45" i="10"/>
  <c r="CK55" i="10"/>
  <c r="CK97" i="10"/>
  <c r="CK81" i="10"/>
  <c r="CK86" i="11"/>
  <c r="CK85" i="11"/>
  <c r="CK82" i="11"/>
  <c r="CK84" i="11" l="1"/>
  <c r="CK82" i="10"/>
  <c r="CK98" i="10"/>
  <c r="CL91" i="10"/>
  <c r="CK79" i="10"/>
  <c r="CK75" i="11"/>
  <c r="CK64" i="10"/>
  <c r="CK46" i="10"/>
  <c r="CK209" i="10"/>
  <c r="CK9" i="10" l="1"/>
  <c r="CK76" i="11" s="1"/>
  <c r="CL74" i="11"/>
  <c r="CK69" i="10" l="1"/>
  <c r="CK52" i="10"/>
  <c r="CK68" i="10"/>
  <c r="CK212" i="10"/>
  <c r="CK15" i="10"/>
  <c r="CN43" i="13"/>
  <c r="CN44" i="13" s="1"/>
  <c r="CO44" i="13" s="1"/>
  <c r="CO45" i="13" s="1"/>
  <c r="CK51" i="10"/>
  <c r="CK63" i="10" s="1"/>
  <c r="CK136" i="10"/>
  <c r="CK23" i="10" l="1"/>
  <c r="CK70" i="10"/>
  <c r="CK67" i="10"/>
  <c r="CL135" i="10"/>
  <c r="CK137" i="10"/>
  <c r="CK216" i="10"/>
  <c r="CK219" i="10" s="1"/>
  <c r="CK57" i="10" s="1"/>
  <c r="CK215" i="10"/>
  <c r="CK218" i="10" s="1"/>
  <c r="CL139" i="10" l="1"/>
  <c r="CK56" i="10"/>
  <c r="CK47" i="10"/>
  <c r="CL20" i="5" l="1"/>
  <c r="CM139" i="10"/>
  <c r="CL24" i="5" l="1"/>
  <c r="CM20" i="5"/>
  <c r="CM24" i="5" l="1"/>
  <c r="CL25" i="5"/>
  <c r="CL26" i="5" s="1"/>
  <c r="CL32" i="5" l="1"/>
  <c r="CL118" i="5"/>
  <c r="CL33" i="5"/>
  <c r="CL28" i="5"/>
  <c r="CM25" i="5"/>
  <c r="CM116" i="5" l="1"/>
  <c r="CL120" i="5"/>
  <c r="CM26" i="5"/>
  <c r="CL119" i="5"/>
  <c r="CL30" i="5"/>
  <c r="CL125" i="5"/>
  <c r="CL136" i="5" s="1"/>
  <c r="CL31" i="5" s="1"/>
  <c r="CL117" i="5" l="1"/>
  <c r="CL93" i="10"/>
  <c r="CL8" i="11"/>
  <c r="CM118" i="5"/>
  <c r="CM32" i="5"/>
  <c r="CM28" i="5"/>
  <c r="CM33" i="5"/>
  <c r="CM219" i="5"/>
  <c r="CM152" i="10" s="1"/>
  <c r="CM153" i="10" s="1"/>
  <c r="CM154" i="10" s="1"/>
  <c r="CM155" i="10" s="1"/>
  <c r="CM148" i="10" s="1"/>
  <c r="CM226" i="5"/>
  <c r="CM196" i="10" s="1"/>
  <c r="CM197" i="10" s="1"/>
  <c r="CM198" i="10" s="1"/>
  <c r="CL11" i="11" l="1"/>
  <c r="CM8" i="11"/>
  <c r="CM11" i="11" s="1"/>
  <c r="CM31" i="11" s="1"/>
  <c r="CM93" i="10"/>
  <c r="CM120" i="5"/>
  <c r="CM199" i="10"/>
  <c r="CM119" i="5"/>
  <c r="CM30" i="5"/>
  <c r="CM125" i="5"/>
  <c r="CM136" i="5" s="1"/>
  <c r="CM31" i="5" s="1"/>
  <c r="CM117" i="5" l="1"/>
  <c r="CM33" i="11"/>
  <c r="CM81" i="11"/>
  <c r="CL31" i="11"/>
  <c r="CL41" i="10"/>
  <c r="CM72" i="11" l="1"/>
  <c r="CM78" i="11"/>
  <c r="CM80" i="10"/>
  <c r="CL33" i="11"/>
  <c r="CL81" i="11"/>
  <c r="CL96" i="10"/>
  <c r="CM41" i="10"/>
  <c r="CM43" i="10" s="1"/>
  <c r="CL43" i="10"/>
  <c r="CM86" i="11"/>
  <c r="CM81" i="10"/>
  <c r="CM85" i="11"/>
  <c r="CM82" i="11"/>
  <c r="CM96" i="10" l="1"/>
  <c r="CM97" i="10" s="1"/>
  <c r="CM98" i="10" s="1"/>
  <c r="CL97" i="10"/>
  <c r="CL98" i="10" s="1"/>
  <c r="CL81" i="10"/>
  <c r="CL85" i="11"/>
  <c r="CL86" i="11"/>
  <c r="CL82" i="11"/>
  <c r="CM82" i="10"/>
  <c r="CM83" i="11"/>
  <c r="CM84" i="11"/>
  <c r="CL45" i="10"/>
  <c r="CL55" i="10"/>
  <c r="CL80" i="10"/>
  <c r="CL72" i="11"/>
  <c r="CM45" i="10"/>
  <c r="CM55" i="10"/>
  <c r="CM79" i="10"/>
  <c r="CM75" i="11"/>
  <c r="CM64" i="10" l="1"/>
  <c r="CM209" i="10"/>
  <c r="CM46" i="10"/>
  <c r="CL84" i="11"/>
  <c r="CL82" i="10"/>
  <c r="CL79" i="10"/>
  <c r="CL75" i="11"/>
  <c r="CL64" i="10"/>
  <c r="CL209" i="10"/>
  <c r="CL46" i="10"/>
  <c r="CL9" i="10" l="1"/>
  <c r="CL76" i="11" s="1"/>
  <c r="CL212" i="10" l="1"/>
  <c r="CL52" i="10"/>
  <c r="CL69" i="10"/>
  <c r="CL68" i="10"/>
  <c r="CL136" i="10"/>
  <c r="CL15" i="10"/>
  <c r="CM9" i="10"/>
  <c r="CL51" i="10"/>
  <c r="CL63" i="10" s="1"/>
  <c r="CL215" i="10" l="1"/>
  <c r="CL216" i="10"/>
  <c r="CM68" i="10"/>
  <c r="CM52" i="10"/>
  <c r="CM69" i="10"/>
  <c r="CM212" i="10"/>
  <c r="CM15" i="10"/>
  <c r="CM51" i="10"/>
  <c r="CM63" i="10" s="1"/>
  <c r="CM76" i="11"/>
  <c r="CL70" i="10"/>
  <c r="CL67" i="10"/>
  <c r="CL23" i="10"/>
  <c r="CM136" i="10"/>
  <c r="CM137" i="10" s="1"/>
  <c r="CM138" i="10" s="1"/>
  <c r="CL137" i="10"/>
  <c r="CL218" i="10" l="1"/>
  <c r="CM218" i="10"/>
  <c r="CM67" i="10"/>
  <c r="CM70" i="10"/>
  <c r="CM23" i="10"/>
  <c r="CM216" i="10"/>
  <c r="CM215" i="10"/>
  <c r="CL56" i="10"/>
  <c r="CL47" i="10"/>
  <c r="CL219" i="10"/>
  <c r="CL57" i="10" s="1"/>
  <c r="CM219" i="10"/>
  <c r="CM57" i="10" s="1"/>
  <c r="CM56" i="10" l="1"/>
  <c r="CM47" i="10"/>
</calcChain>
</file>

<file path=xl/sharedStrings.xml><?xml version="1.0" encoding="utf-8"?>
<sst xmlns="http://schemas.openxmlformats.org/spreadsheetml/2006/main" count="1723" uniqueCount="982">
  <si>
    <t>AGILENT TECHNOLOGIES, INC.</t>
  </si>
  <si>
    <t>Quarterly Income Statement</t>
  </si>
  <si>
    <t>Dollars in millions, except per share data</t>
  </si>
  <si>
    <t>Fiscal year ends Oct. 31</t>
  </si>
  <si>
    <t>2007-Q1</t>
  </si>
  <si>
    <t>2007-Q2</t>
  </si>
  <si>
    <t>2007-Q3</t>
  </si>
  <si>
    <t>2007-Q4</t>
  </si>
  <si>
    <t>2007-FY</t>
  </si>
  <si>
    <t>2008-Q1</t>
  </si>
  <si>
    <t>2008-Q2</t>
  </si>
  <si>
    <t>2008-Q3</t>
  </si>
  <si>
    <t>2008-Q4</t>
  </si>
  <si>
    <t>2008-FY</t>
  </si>
  <si>
    <t>2009-Q1</t>
  </si>
  <si>
    <t>2009-Q2</t>
  </si>
  <si>
    <t>2009-Q3</t>
  </si>
  <si>
    <t>2009-Q4</t>
  </si>
  <si>
    <t>2009-FY</t>
  </si>
  <si>
    <t>2010-Q1</t>
  </si>
  <si>
    <t>2010-Q2</t>
  </si>
  <si>
    <t>2010-Q3</t>
  </si>
  <si>
    <t>2010-Q4</t>
  </si>
  <si>
    <t>2010-FY</t>
  </si>
  <si>
    <t>2011-Q1</t>
  </si>
  <si>
    <t>2011-Q2</t>
  </si>
  <si>
    <t>2011-Q3</t>
  </si>
  <si>
    <t>2011-Q4</t>
  </si>
  <si>
    <t>2011-FY</t>
  </si>
  <si>
    <t>2012-Q1</t>
  </si>
  <si>
    <t>2012-Q2</t>
  </si>
  <si>
    <t>2012-Q3</t>
  </si>
  <si>
    <t>2012-Q4</t>
  </si>
  <si>
    <t>2012-FY</t>
  </si>
  <si>
    <t>2013-Q1</t>
  </si>
  <si>
    <t>2013-Q2</t>
  </si>
  <si>
    <t>2013-Q3</t>
  </si>
  <si>
    <t>2013-Q4</t>
  </si>
  <si>
    <t>2013-FY</t>
  </si>
  <si>
    <t>2014-Q1</t>
  </si>
  <si>
    <t>2014-Q2</t>
  </si>
  <si>
    <t>2014-Q3</t>
  </si>
  <si>
    <t>2014-Q4</t>
  </si>
  <si>
    <t>2014-FY</t>
  </si>
  <si>
    <t>2015-Q1</t>
  </si>
  <si>
    <t>2015-Q2</t>
  </si>
  <si>
    <t>2015-Q3</t>
  </si>
  <si>
    <t>2015-Q4</t>
  </si>
  <si>
    <t>2015-FY</t>
  </si>
  <si>
    <t>2016-Q1</t>
  </si>
  <si>
    <t>2016-Q2</t>
  </si>
  <si>
    <t>2016-Q3</t>
  </si>
  <si>
    <t>2016-Q4</t>
  </si>
  <si>
    <t>2016-FY</t>
  </si>
  <si>
    <t>2017-Q1</t>
  </si>
  <si>
    <t>2017-Q2</t>
  </si>
  <si>
    <t>2017-Q3</t>
  </si>
  <si>
    <t>2017-Q4</t>
  </si>
  <si>
    <t>2017-FY</t>
  </si>
  <si>
    <t>2007A</t>
  </si>
  <si>
    <t>2008A</t>
  </si>
  <si>
    <t>2009A</t>
  </si>
  <si>
    <t>2010A</t>
  </si>
  <si>
    <t>2011A</t>
  </si>
  <si>
    <t>2012A</t>
  </si>
  <si>
    <t>2013A</t>
  </si>
  <si>
    <t>2014A</t>
  </si>
  <si>
    <t>Total Revenue</t>
  </si>
  <si>
    <t>Total Cost of Goods Sold</t>
  </si>
  <si>
    <t>Gross Profit</t>
  </si>
  <si>
    <t xml:space="preserve">   R&amp;D</t>
  </si>
  <si>
    <t xml:space="preserve">   SG&amp;A</t>
  </si>
  <si>
    <t>Total Operating Expenses</t>
  </si>
  <si>
    <t>EBITDA</t>
  </si>
  <si>
    <t>Depreciation &amp; Amortization</t>
  </si>
  <si>
    <t>Non-cash Stock Compensation expense</t>
  </si>
  <si>
    <t>EBIT (non-GAAP, excludes Ammortiz)</t>
  </si>
  <si>
    <t>Interest Income</t>
  </si>
  <si>
    <t>Interest Expense</t>
  </si>
  <si>
    <t>Gain on sale of network solutions business, net</t>
  </si>
  <si>
    <t>Other income (expense), net</t>
  </si>
  <si>
    <t>Pretax Income</t>
  </si>
  <si>
    <t>Income Tax Expense (benefit)</t>
  </si>
  <si>
    <t>Net Income from cont ops (non-GAAP)</t>
  </si>
  <si>
    <t>Income from discontinued operations</t>
  </si>
  <si>
    <t>Net Income (loss) (non-GAAP)</t>
  </si>
  <si>
    <t>One Time Charges</t>
  </si>
  <si>
    <t>Net income Reported</t>
  </si>
  <si>
    <t>Diluted EPS (GAAP)</t>
  </si>
  <si>
    <t>Modelware EPS</t>
  </si>
  <si>
    <t>Diluted EPS (non-GAAP)</t>
  </si>
  <si>
    <t>Basic Shares Outstanding</t>
  </si>
  <si>
    <t>Diluted Shares Outstanding</t>
  </si>
  <si>
    <t xml:space="preserve">         Dilution Ratio</t>
  </si>
  <si>
    <t>Growth &amp; Margins (non-GAAP)</t>
  </si>
  <si>
    <t>Rev % Growth (y/y)</t>
  </si>
  <si>
    <t>COGS % of revenues</t>
  </si>
  <si>
    <t>Life Sciences</t>
  </si>
  <si>
    <t>% of LS sales</t>
  </si>
  <si>
    <t>DGG</t>
  </si>
  <si>
    <t>% of DGG sales</t>
  </si>
  <si>
    <t>Chemical Analysis</t>
  </si>
  <si>
    <t>% of CA sales</t>
  </si>
  <si>
    <t>LDG</t>
  </si>
  <si>
    <t>% of LDG sales</t>
  </si>
  <si>
    <t>LSAG</t>
  </si>
  <si>
    <t>% of LSAG sales</t>
  </si>
  <si>
    <t>ACG</t>
  </si>
  <si>
    <t>% of ACG sales</t>
  </si>
  <si>
    <t>Total COGS</t>
  </si>
  <si>
    <t>Gross Margin</t>
  </si>
  <si>
    <t>Total Gross Profit</t>
  </si>
  <si>
    <t xml:space="preserve">   GM as % of Sales</t>
  </si>
  <si>
    <t xml:space="preserve"> </t>
  </si>
  <si>
    <t>R&amp;D as % of revenues</t>
  </si>
  <si>
    <t>Total R&amp;D</t>
  </si>
  <si>
    <t>% of sales</t>
  </si>
  <si>
    <t>SG&amp;A as % of revenues</t>
  </si>
  <si>
    <t>Total SG&amp;A</t>
  </si>
  <si>
    <t>Non-GAAP EBIT</t>
  </si>
  <si>
    <t>Non-GAAP EBIT (EMG spin adjusted)</t>
  </si>
  <si>
    <t>Non-GAAP EBIT Organic</t>
  </si>
  <si>
    <t>Non cash stk % of operating expense</t>
  </si>
  <si>
    <t>Interest income Interest rate</t>
  </si>
  <si>
    <t>Interest Expense Interest rate</t>
  </si>
  <si>
    <t>Income Tax Rate</t>
  </si>
  <si>
    <t>GAAP Net Income</t>
  </si>
  <si>
    <t>Non-GAAP Net Income</t>
  </si>
  <si>
    <t>GAAP Adjustments to EPS</t>
  </si>
  <si>
    <t>Stock Based Comp</t>
  </si>
  <si>
    <t>% of operating expenses</t>
  </si>
  <si>
    <t>Total One Time Items</t>
  </si>
  <si>
    <t>Restructuring and other related costs - FY2009 Plan</t>
  </si>
  <si>
    <t>Asset impairments</t>
  </si>
  <si>
    <t>Intangible amortization</t>
  </si>
  <si>
    <t xml:space="preserve"> Workforce Reduction</t>
  </si>
  <si>
    <t>Loss on Divestitures/Business Disposals</t>
  </si>
  <si>
    <t>Pension Curtailment</t>
  </si>
  <si>
    <t>Other</t>
  </si>
  <si>
    <t>Adjustment for taxes (adjusted at STR)</t>
  </si>
  <si>
    <t xml:space="preserve">    Non-GAAP Shares</t>
  </si>
  <si>
    <t>Divisional EBIT</t>
  </si>
  <si>
    <t>Total EBIT</t>
  </si>
  <si>
    <t>EBIT margins</t>
  </si>
  <si>
    <t>Total EBIT margin</t>
  </si>
  <si>
    <t>Segment Incrementals</t>
  </si>
  <si>
    <t>Incremental GM</t>
  </si>
  <si>
    <t>Incremental EBIT</t>
  </si>
  <si>
    <t>Absolute EBIT Margin</t>
  </si>
  <si>
    <t>Agilent</t>
  </si>
  <si>
    <t>Incremental (decremental) GM</t>
  </si>
  <si>
    <t>Incremental (decremental) EBIT</t>
  </si>
  <si>
    <t>Income (loss) from operations breakdown</t>
  </si>
  <si>
    <t>EBIT Margin</t>
  </si>
  <si>
    <t xml:space="preserve">    Incremental EBIT Margin</t>
  </si>
  <si>
    <t>Total Income (Loss) from operations</t>
  </si>
  <si>
    <t>% Growth (y/y)</t>
  </si>
  <si>
    <t>ModelWare</t>
  </si>
  <si>
    <t>Statutory Tax</t>
  </si>
  <si>
    <t>Federal</t>
  </si>
  <si>
    <t>State</t>
  </si>
  <si>
    <t>Foreign</t>
  </si>
  <si>
    <t>Unrecorded Goodwill</t>
  </si>
  <si>
    <t>Period end basic shares outstanding</t>
  </si>
  <si>
    <t>Quarterly Revenue Build</t>
  </si>
  <si>
    <t>Business Segments</t>
  </si>
  <si>
    <t xml:space="preserve">    Life Sciences</t>
  </si>
  <si>
    <t xml:space="preserve">    DGG</t>
  </si>
  <si>
    <t xml:space="preserve">Total Revenue </t>
  </si>
  <si>
    <t>Check</t>
  </si>
  <si>
    <t>Growth Analysis (Y/Y):</t>
  </si>
  <si>
    <t>Organic Growth</t>
  </si>
  <si>
    <t>Acquisition / Divestitures</t>
  </si>
  <si>
    <t>FX Impact</t>
  </si>
  <si>
    <t>Core</t>
  </si>
  <si>
    <t>Dako</t>
  </si>
  <si>
    <t>Dako Growth</t>
  </si>
  <si>
    <t>End Markets (% of Revenues)</t>
  </si>
  <si>
    <t>Pharma / Bio</t>
  </si>
  <si>
    <t>Diagnostics</t>
  </si>
  <si>
    <t>Academic &amp; Government</t>
  </si>
  <si>
    <t>Chemical/Energy</t>
  </si>
  <si>
    <t>Environmental / Forensics</t>
  </si>
  <si>
    <t>Food Safety</t>
  </si>
  <si>
    <t>End Markets (Revenues $MM)</t>
  </si>
  <si>
    <t>Petro/Chemical</t>
  </si>
  <si>
    <t>Revenues by Segment - Geographic</t>
  </si>
  <si>
    <t xml:space="preserve">   Americas</t>
  </si>
  <si>
    <t xml:space="preserve">   Europe</t>
  </si>
  <si>
    <t xml:space="preserve">   Asia Pacific</t>
  </si>
  <si>
    <t>Check against segment growth section</t>
  </si>
  <si>
    <t>Revenues by Segment - Geographic (as % of total)</t>
  </si>
  <si>
    <t>Americas</t>
  </si>
  <si>
    <t>Europe</t>
  </si>
  <si>
    <t>Orders</t>
  </si>
  <si>
    <t>Total Orders</t>
  </si>
  <si>
    <t>Orders Growth Analysis (YY)</t>
  </si>
  <si>
    <t>Stacked Orders</t>
  </si>
  <si>
    <t>Book to Bill</t>
  </si>
  <si>
    <t>Agilent Technologies</t>
  </si>
  <si>
    <t>&lt;&lt;&lt;Actual</t>
  </si>
  <si>
    <t>Forecast&gt;&gt;</t>
  </si>
  <si>
    <t>Organic Rev Growth</t>
  </si>
  <si>
    <t>takes total OG from -6.6% to -9%</t>
  </si>
  <si>
    <t>Rev Growth YY</t>
  </si>
  <si>
    <t>F1Q12</t>
  </si>
  <si>
    <t>F2Q12</t>
  </si>
  <si>
    <t>F3Q12</t>
  </si>
  <si>
    <t>F4Q12</t>
  </si>
  <si>
    <t>F1Q13</t>
  </si>
  <si>
    <t>F2Q13</t>
  </si>
  <si>
    <t>F3Q13</t>
  </si>
  <si>
    <t>F4Q13</t>
  </si>
  <si>
    <t>F1Q14</t>
  </si>
  <si>
    <t>F2Q14</t>
  </si>
  <si>
    <t>F3Q14</t>
  </si>
  <si>
    <t>F4Q14</t>
  </si>
  <si>
    <t>F1Q15</t>
  </si>
  <si>
    <t>F2Q15</t>
  </si>
  <si>
    <t xml:space="preserve">     Life Sciences</t>
  </si>
  <si>
    <t xml:space="preserve">     DGG</t>
  </si>
  <si>
    <t>Agilent Organic</t>
  </si>
  <si>
    <t>Reported Growth</t>
  </si>
  <si>
    <t>Effect of FX</t>
  </si>
  <si>
    <t>Effect of acq, divest</t>
  </si>
  <si>
    <t>2-Year Rev Growth</t>
  </si>
  <si>
    <t>Growth (ex FX)</t>
  </si>
  <si>
    <t>Momentum</t>
  </si>
  <si>
    <t>Organic by Geography</t>
  </si>
  <si>
    <t>Asia Pac ex-Japan</t>
  </si>
  <si>
    <t>Japan</t>
  </si>
  <si>
    <t>Down</t>
  </si>
  <si>
    <t>--</t>
  </si>
  <si>
    <t>China</t>
  </si>
  <si>
    <t>up dd</t>
  </si>
  <si>
    <t xml:space="preserve">Reported Rev by End Market </t>
  </si>
  <si>
    <t>Up slightly</t>
  </si>
  <si>
    <t>End Market Momentum</t>
  </si>
  <si>
    <t>Yr/Yr Organic Rev $</t>
  </si>
  <si>
    <t>Total Agilent Technologies</t>
  </si>
  <si>
    <t xml:space="preserve">Yr/Yr Organic Rev Stacked Growth </t>
  </si>
  <si>
    <t>Yr/Yr Spending and Profit Trend</t>
  </si>
  <si>
    <t>$MM</t>
  </si>
  <si>
    <t>SG&amp;A</t>
  </si>
  <si>
    <t>R&amp;D</t>
  </si>
  <si>
    <t>COGS Yield</t>
  </si>
  <si>
    <t xml:space="preserve">2-year stacked </t>
  </si>
  <si>
    <t>NA</t>
  </si>
  <si>
    <t>Tax Rate</t>
  </si>
  <si>
    <t>Sales</t>
  </si>
  <si>
    <t>Free Cash Flow</t>
  </si>
  <si>
    <t>Net Income</t>
  </si>
  <si>
    <t xml:space="preserve">Balance Sheet </t>
  </si>
  <si>
    <t>Fiscal year ends Oct</t>
  </si>
  <si>
    <t>Assets</t>
  </si>
  <si>
    <t>Cash and cash equivalents</t>
  </si>
  <si>
    <t>Short-term investments</t>
  </si>
  <si>
    <t>Accounts Receivables, Net</t>
  </si>
  <si>
    <t>Inventory, net</t>
  </si>
  <si>
    <t>Other Current Assets</t>
  </si>
  <si>
    <t>Total Current Assets</t>
  </si>
  <si>
    <t>Net Property, Plant &amp; Equipment</t>
  </si>
  <si>
    <t>Goodwill</t>
  </si>
  <si>
    <t>Other intangible assets, net</t>
  </si>
  <si>
    <t>Long−term restricted cash and cash equivalents</t>
  </si>
  <si>
    <t>Long−term investments</t>
  </si>
  <si>
    <t>Other assets</t>
  </si>
  <si>
    <t>Total Assets</t>
  </si>
  <si>
    <t>Liabilities</t>
  </si>
  <si>
    <t>Accounts Payable</t>
  </si>
  <si>
    <t>Employee compensation and benefits</t>
  </si>
  <si>
    <t>Deferred revenue</t>
  </si>
  <si>
    <t>Income and other taxes payable</t>
  </si>
  <si>
    <t>Short-Term Debt</t>
  </si>
  <si>
    <t>Other accrued liabilities</t>
  </si>
  <si>
    <t>Total Current Liabilities</t>
  </si>
  <si>
    <t>Long−term debt</t>
  </si>
  <si>
    <t>Senior notes</t>
  </si>
  <si>
    <t>Retirement and post−retirement benefits</t>
  </si>
  <si>
    <t>Other long−term liabilities</t>
  </si>
  <si>
    <t>Total Liabilities</t>
  </si>
  <si>
    <t>Preferred Stock</t>
  </si>
  <si>
    <t>Common Stock</t>
  </si>
  <si>
    <t>Treasury stock</t>
  </si>
  <si>
    <t>Additional paid−in−capital</t>
  </si>
  <si>
    <t>Retained earnings</t>
  </si>
  <si>
    <t>Accumulated other comprehensive loss</t>
  </si>
  <si>
    <t>Shareholders' Equity</t>
  </si>
  <si>
    <t>Non−controlling interest</t>
  </si>
  <si>
    <t>Total equity</t>
  </si>
  <si>
    <t>Total Liabilities &amp; Shareholders' Equity</t>
  </si>
  <si>
    <t>Financial Metrics</t>
  </si>
  <si>
    <t>Total Debt</t>
  </si>
  <si>
    <t>Net debt (debt-cash)</t>
  </si>
  <si>
    <t>Net cash per share</t>
  </si>
  <si>
    <t>Returns</t>
  </si>
  <si>
    <t>Return on Equity (ROE)</t>
  </si>
  <si>
    <t>Return on Assets (ROA)</t>
  </si>
  <si>
    <t>Return on Invested Capital (ROIC)</t>
  </si>
  <si>
    <t>Debt Coverage/Leverage</t>
  </si>
  <si>
    <t>EBITDA Coverage</t>
  </si>
  <si>
    <t>EBIT Coverage</t>
  </si>
  <si>
    <t>Adj. debt/EBITDA</t>
  </si>
  <si>
    <t>Net Debt / EBITDA</t>
  </si>
  <si>
    <t>Debt / Capital</t>
  </si>
  <si>
    <t>Liquidity</t>
  </si>
  <si>
    <t>Current Ratio (CA/CL)</t>
  </si>
  <si>
    <t>Quick Ratio ((Cash+Mkt Sec+AR)/CL)</t>
  </si>
  <si>
    <t>Cash Ratio</t>
  </si>
  <si>
    <t>Acid-Test Ratio</t>
  </si>
  <si>
    <t>Working Capital Metrics</t>
  </si>
  <si>
    <t>Days Sales Oustanding (DSO)</t>
  </si>
  <si>
    <t>Inventory Days (DIO)</t>
  </si>
  <si>
    <t>Days Payable Outstanding (DPO)</t>
  </si>
  <si>
    <t>Cash Conversion Cycle</t>
  </si>
  <si>
    <t>Additional balance Sheet Metrics</t>
  </si>
  <si>
    <t>Other Accrued Liabilities (% of OpExp)</t>
  </si>
  <si>
    <t>Other Current Assets (% of Rev)</t>
  </si>
  <si>
    <t>Employee compensation and benefits (% of OpExp)</t>
  </si>
  <si>
    <t>Deferred revenue (% of OpExp)</t>
  </si>
  <si>
    <t>Changes in Shareholders' Equity</t>
  </si>
  <si>
    <t>Opening Balance</t>
  </si>
  <si>
    <t>Issue of Shares (including premium)</t>
  </si>
  <si>
    <t>Dividend</t>
  </si>
  <si>
    <t>AOCI</t>
  </si>
  <si>
    <t>Other AOCI</t>
  </si>
  <si>
    <t>Closing Balance</t>
  </si>
  <si>
    <t>PP&amp;E</t>
  </si>
  <si>
    <t>PP&amp;E - BoP</t>
  </si>
  <si>
    <t>Capex</t>
  </si>
  <si>
    <t>Acquisitions</t>
  </si>
  <si>
    <t>Depreciation</t>
  </si>
  <si>
    <t>% of beg Sales</t>
  </si>
  <si>
    <t>PP&amp;E, EoP</t>
  </si>
  <si>
    <t>Assumed depreciable life</t>
  </si>
  <si>
    <t>Accumulated Depreciation</t>
  </si>
  <si>
    <t>Average Age of Assets</t>
  </si>
  <si>
    <t>Intangibles</t>
  </si>
  <si>
    <t>Intangibles - BoP</t>
  </si>
  <si>
    <t>Amortization</t>
  </si>
  <si>
    <t>% of Sales</t>
  </si>
  <si>
    <t>Intangibles - EoP</t>
  </si>
  <si>
    <t>Beg Balance</t>
  </si>
  <si>
    <t>Acquisitions / write-offs</t>
  </si>
  <si>
    <t>Ending Balance</t>
  </si>
  <si>
    <t>M&amp;A Accounting</t>
  </si>
  <si>
    <t>Total Purchase Price</t>
  </si>
  <si>
    <t>Cash Balance</t>
  </si>
  <si>
    <t>Cash Beginning</t>
  </si>
  <si>
    <t>End Cash</t>
  </si>
  <si>
    <t>Average Cash</t>
  </si>
  <si>
    <t xml:space="preserve">      Interest Rate</t>
  </si>
  <si>
    <t>Interest Income/Quarter</t>
  </si>
  <si>
    <t xml:space="preserve">        Rate</t>
  </si>
  <si>
    <t>Paydown</t>
  </si>
  <si>
    <t>Total Interest Expense</t>
  </si>
  <si>
    <t>EBIT (Non-GAAP, ie EBITA)</t>
  </si>
  <si>
    <t>Taxes</t>
  </si>
  <si>
    <t>NOPAT</t>
  </si>
  <si>
    <t>NOPAT Margin</t>
  </si>
  <si>
    <t>Accounts Receivables</t>
  </si>
  <si>
    <t>Inventory</t>
  </si>
  <si>
    <t>Net PP&amp;E</t>
  </si>
  <si>
    <t>Noncurrent Assets</t>
  </si>
  <si>
    <t>Goodwill &amp; Other Intangibles</t>
  </si>
  <si>
    <t>Operating Assets</t>
  </si>
  <si>
    <t>Other Current Liabilities</t>
  </si>
  <si>
    <t>Other Long-term Liabilities</t>
  </si>
  <si>
    <t>Operating Liabilities</t>
  </si>
  <si>
    <t>Net Operating Assets</t>
  </si>
  <si>
    <t>Asset Turnover</t>
  </si>
  <si>
    <t xml:space="preserve">Diagnostics and Genomics </t>
  </si>
  <si>
    <t>Agilent ROIC</t>
  </si>
  <si>
    <t>Return on Invested Capital (Company Reported)</t>
  </si>
  <si>
    <t>Non-GAAP income from operations</t>
  </si>
  <si>
    <t>Less: Taxes and Other (income)/expense</t>
  </si>
  <si>
    <t>Segment return</t>
  </si>
  <si>
    <t>Segment return annualized</t>
  </si>
  <si>
    <t xml:space="preserve">Segment assets </t>
  </si>
  <si>
    <t xml:space="preserve">Less : Net current liabilities </t>
  </si>
  <si>
    <t>Invested capital</t>
  </si>
  <si>
    <t xml:space="preserve">Average invested capital
</t>
  </si>
  <si>
    <t xml:space="preserve">Cash Flow Statement </t>
  </si>
  <si>
    <t>Income From Operating Activity</t>
  </si>
  <si>
    <t>Loss (gain) on disposal of disc'd ops</t>
  </si>
  <si>
    <t>Income from disc'd ops</t>
  </si>
  <si>
    <t>Net Income from cont ops</t>
  </si>
  <si>
    <t>Depreciation and amortization</t>
  </si>
  <si>
    <t>Share−based compensation</t>
  </si>
  <si>
    <t>Deferred taxes</t>
  </si>
  <si>
    <t>Excess and obsolete inventory−related charges</t>
  </si>
  <si>
    <t>Translation gain from liquidation of a subsidiary</t>
  </si>
  <si>
    <t>Non−cash restructuring and asset impairment charges</t>
  </si>
  <si>
    <t>Net (gain) loss on sale of investments</t>
  </si>
  <si>
    <t>Gain on sale and undistributed equity in net income of Lumileds</t>
  </si>
  <si>
    <t>Net (gain) loss on sale of assets and divestitures</t>
  </si>
  <si>
    <t>Net pension curtailment and settlement gains</t>
  </si>
  <si>
    <t>Net Change in Working Capital</t>
  </si>
  <si>
    <t>Accounts Receivable</t>
  </si>
  <si>
    <t>Inventories</t>
  </si>
  <si>
    <t>Income taxes and other taxes payable</t>
  </si>
  <si>
    <t>Interest rate swap proceeds</t>
  </si>
  <si>
    <t>Other assets and liabilities</t>
  </si>
  <si>
    <t>Net cash from operating activities of cont ops</t>
  </si>
  <si>
    <t>Net cash from operating activities of disc'd ops</t>
  </si>
  <si>
    <t xml:space="preserve">  Cash From ops</t>
  </si>
  <si>
    <t>From Investing Activity</t>
  </si>
  <si>
    <t>Investments in property, plant and equipment</t>
  </si>
  <si>
    <t>Proceeds from the sale of property, plant and equipment</t>
  </si>
  <si>
    <t>Investments in equity securities</t>
  </si>
  <si>
    <t>Purchase of investment securities</t>
  </si>
  <si>
    <t>Proceeds from the sale of Lumileds and other investments</t>
  </si>
  <si>
    <t>Proceeds from divestitures, net</t>
  </si>
  <si>
    <t>Net proceeds from sale of disc'd ops</t>
  </si>
  <si>
    <t>Change in restricted cash, cash equivalents and investments, net</t>
  </si>
  <si>
    <t>Payment of loan receivable</t>
  </si>
  <si>
    <t>Purchase of minority interest</t>
  </si>
  <si>
    <t>Acquisitions of businesses and intangible assets, net of cash acquired</t>
  </si>
  <si>
    <t>Net cash from (used in) investing activities of cont ops</t>
  </si>
  <si>
    <t>Net cash used in investing activities of disc'd ops</t>
  </si>
  <si>
    <t xml:space="preserve"> Net from Investing</t>
  </si>
  <si>
    <t>From Financing Activity</t>
  </si>
  <si>
    <t>Issuance of common stock under employee stock plans</t>
  </si>
  <si>
    <t>Treasury stock repurchases</t>
  </si>
  <si>
    <t>Payments of Dividends</t>
  </si>
  <si>
    <t>Distribution on spin−off of subsidiary</t>
  </si>
  <si>
    <t>Capital contributions to subsidiary</t>
  </si>
  <si>
    <t>Proceeds from credit facility</t>
  </si>
  <si>
    <t>Repayment of credit facility</t>
  </si>
  <si>
    <t>Proceeds from long−term debt and senior notes</t>
  </si>
  <si>
    <t>Debt issuance costs</t>
  </si>
  <si>
    <t>Payment of long−term debts</t>
  </si>
  <si>
    <t>Cash distribution to minority interest in consolidated joint venture</t>
  </si>
  <si>
    <t>Net cash used in financing activities of cont ops</t>
  </si>
  <si>
    <t>Net cash from financing activities of disc'd ops</t>
  </si>
  <si>
    <t xml:space="preserve"> Net from Financing</t>
  </si>
  <si>
    <t>Effect of exchange rate change</t>
  </si>
  <si>
    <t>Net Cash Flow</t>
  </si>
  <si>
    <t>Cash at Beginning of Year</t>
  </si>
  <si>
    <t>Cash at End of Year</t>
  </si>
  <si>
    <t>check</t>
  </si>
  <si>
    <t>Cash available: 20% CFFO + $500m repatriate</t>
  </si>
  <si>
    <t>US cash used</t>
  </si>
  <si>
    <t>Free Cash Flow (FCF)</t>
  </si>
  <si>
    <t>FCF per share</t>
  </si>
  <si>
    <t>Free Cash Flow Yield</t>
  </si>
  <si>
    <t>Avg. Share Price</t>
  </si>
  <si>
    <t>STOCK REPURCHASES / ISSUANCES</t>
  </si>
  <si>
    <t>Options Outstanding BOP</t>
  </si>
  <si>
    <t>Options Granted</t>
  </si>
  <si>
    <t>Options Exercised</t>
  </si>
  <si>
    <t>Options Cancelled/Forfeited</t>
  </si>
  <si>
    <t>Options Outstanding EOP</t>
  </si>
  <si>
    <t>Wtd Avg Exercise Price (of exercised)</t>
  </si>
  <si>
    <t>Y/Y Growth</t>
  </si>
  <si>
    <t>Exercised shares as a % of outstanding</t>
  </si>
  <si>
    <t>Options lapsed as a % of outstanding</t>
  </si>
  <si>
    <t>Options granted - Y/Y Growth</t>
  </si>
  <si>
    <t>Proceeds from stock issuance ($mm)</t>
  </si>
  <si>
    <t>Repurchases</t>
  </si>
  <si>
    <t>Shares repurchased</t>
  </si>
  <si>
    <t>Cost of repurchases</t>
  </si>
  <si>
    <t>Avg cost</t>
  </si>
  <si>
    <t>% change</t>
  </si>
  <si>
    <t>2018E</t>
  </si>
  <si>
    <t>2019E</t>
  </si>
  <si>
    <t>2020E</t>
  </si>
  <si>
    <t>2021E</t>
  </si>
  <si>
    <t>Tax rate</t>
  </si>
  <si>
    <t>NO</t>
  </si>
  <si>
    <t>Quarterly Debt</t>
  </si>
  <si>
    <t>(Dollars in millions, except per share data)</t>
  </si>
  <si>
    <t>LIBOR</t>
  </si>
  <si>
    <t>Borrowings</t>
  </si>
  <si>
    <t>Rate</t>
  </si>
  <si>
    <t>Maturity</t>
  </si>
  <si>
    <t>World Trade Debt</t>
  </si>
  <si>
    <t>2017 Senior Notes</t>
  </si>
  <si>
    <t>2015 Senior Notes</t>
  </si>
  <si>
    <t>2012 Senior Notes</t>
  </si>
  <si>
    <t>2013 Senior Notes</t>
  </si>
  <si>
    <t>2020 Senior Notes</t>
  </si>
  <si>
    <t>2022 Senior Notes</t>
  </si>
  <si>
    <t>2023 Senior Notes</t>
  </si>
  <si>
    <t>Other Debt</t>
  </si>
  <si>
    <t>Short-term borrowings and current maturities of long-term debt</t>
  </si>
  <si>
    <t>Total Long-term debt less current portion</t>
  </si>
  <si>
    <t>Check: Total Debt</t>
  </si>
  <si>
    <t>Issuances/ (Repayments)</t>
  </si>
  <si>
    <t>Others</t>
  </si>
  <si>
    <t>Total Debt Issuance/(Repayment)</t>
  </si>
  <si>
    <t>Current portion of long-term debt</t>
  </si>
  <si>
    <t>Total Debt less current portion Issuance/(Repayment)</t>
  </si>
  <si>
    <t>Implied interest expense</t>
  </si>
  <si>
    <t>Reported interest expense</t>
  </si>
  <si>
    <t>Cash Balance (BOP)</t>
  </si>
  <si>
    <t>Implied Interest Rate</t>
  </si>
  <si>
    <t>NM</t>
  </si>
  <si>
    <t>Current Stock Price</t>
  </si>
  <si>
    <t>Shareholders Equity</t>
  </si>
  <si>
    <t>United States</t>
  </si>
  <si>
    <t>A.N</t>
  </si>
  <si>
    <t>Agilent Technologies, Inc.</t>
  </si>
  <si>
    <t>Currency</t>
  </si>
  <si>
    <t>Count</t>
  </si>
  <si>
    <t>USD</t>
  </si>
  <si>
    <t>Reported by Geography</t>
  </si>
  <si>
    <t>Change in cash and cash equivalents within current assets of discontinued operations</t>
  </si>
  <si>
    <t>Geographic Growth Reported (Y/Y):</t>
  </si>
  <si>
    <t>2018-Q1</t>
  </si>
  <si>
    <t>2018-Q2</t>
  </si>
  <si>
    <t>2018-Q3</t>
  </si>
  <si>
    <t>2018-Q4</t>
  </si>
  <si>
    <t>2018-FY</t>
  </si>
  <si>
    <t>A.N,mscalc:closePriceCurrencyCalc</t>
  </si>
  <si>
    <t>A.N,mscalc:sedolCodeCalc</t>
  </si>
  <si>
    <t>A.N,mscalc:targetPrice,,,,USD</t>
  </si>
  <si>
    <t>$F$2</t>
  </si>
  <si>
    <t>2520153</t>
  </si>
  <si>
    <t>Adjustments to Operating Margin</t>
  </si>
  <si>
    <t>Non-GAAP EBIT Reported</t>
  </si>
  <si>
    <t xml:space="preserve">FX </t>
  </si>
  <si>
    <t xml:space="preserve">Keysight billings </t>
  </si>
  <si>
    <t>Non-GAAP EBIT Margin % Organic</t>
  </si>
  <si>
    <t>FDA remediation letter</t>
  </si>
  <si>
    <t>NMR operating loss reversal</t>
  </si>
  <si>
    <t>down LSD</t>
  </si>
  <si>
    <t xml:space="preserve">Organic Orders </t>
  </si>
  <si>
    <t>n/a</t>
  </si>
  <si>
    <t>Summary Cash Flow</t>
  </si>
  <si>
    <t>Operating Cash Flow</t>
  </si>
  <si>
    <t>FCF/Share</t>
  </si>
  <si>
    <t>F3Q15</t>
  </si>
  <si>
    <t>Company</t>
  </si>
  <si>
    <t xml:space="preserve">    Genomics</t>
  </si>
  <si>
    <t>Org % Growth (y/y)</t>
  </si>
  <si>
    <t>2015A</t>
  </si>
  <si>
    <t>F4Q15</t>
  </si>
  <si>
    <t xml:space="preserve">    Dako </t>
  </si>
  <si>
    <t xml:space="preserve">    Neucleic Acid Solutions</t>
  </si>
  <si>
    <t>msd</t>
  </si>
  <si>
    <t>End Markets YY</t>
  </si>
  <si>
    <t>2-Year End Market Growth</t>
  </si>
  <si>
    <t>Organic Incrementals</t>
  </si>
  <si>
    <t>2017A</t>
  </si>
  <si>
    <t>Y/Y Organic-organic chg in margin</t>
  </si>
  <si>
    <t>Y/Y Net change in items impact</t>
  </si>
  <si>
    <t>ND</t>
  </si>
  <si>
    <t>F1Q16</t>
  </si>
  <si>
    <t>up hsd</t>
  </si>
  <si>
    <t>2019-Q1</t>
  </si>
  <si>
    <t>2019-Q2</t>
  </si>
  <si>
    <t>2019-Q3</t>
  </si>
  <si>
    <t>2019-Q4</t>
  </si>
  <si>
    <t>2019-FY</t>
  </si>
  <si>
    <t>F2Q16</t>
  </si>
  <si>
    <t>F3Q16</t>
  </si>
  <si>
    <t>Diluted EPS Growth (non-GAAP)</t>
  </si>
  <si>
    <t>Non-GAAP Net Margin</t>
  </si>
  <si>
    <t>Non-GAAP Net Margin, Cont. Ops.</t>
  </si>
  <si>
    <t>GAAP Net Margin</t>
  </si>
  <si>
    <t>F4Q16</t>
  </si>
  <si>
    <t>2016A</t>
  </si>
  <si>
    <t>Total</t>
  </si>
  <si>
    <t>&gt;25%</t>
  </si>
  <si>
    <t>2026 Senior Notes</t>
  </si>
  <si>
    <t>Non-GAAP EBIT Margin</t>
  </si>
  <si>
    <t>F1Q17</t>
  </si>
  <si>
    <t>2020-Q1</t>
  </si>
  <si>
    <t>2020-Q2</t>
  </si>
  <si>
    <t>2020-Q3</t>
  </si>
  <si>
    <t>2020-Q4</t>
  </si>
  <si>
    <t>2020-FY</t>
  </si>
  <si>
    <t>F2Q17</t>
  </si>
  <si>
    <t>F3Q17</t>
  </si>
  <si>
    <t>Growth per share</t>
  </si>
  <si>
    <t>Organic Incremental EBIT Margin</t>
  </si>
  <si>
    <t>2021-Q1</t>
  </si>
  <si>
    <t>2021-Q2</t>
  </si>
  <si>
    <t>2021-Q3</t>
  </si>
  <si>
    <t>2021-Q4</t>
  </si>
  <si>
    <t>2021-FY</t>
  </si>
  <si>
    <t>F2Q18e</t>
  </si>
  <si>
    <t>F3Q18e</t>
  </si>
  <si>
    <t>F4Q18e</t>
  </si>
  <si>
    <t>Model</t>
  </si>
  <si>
    <t>% of Total</t>
  </si>
  <si>
    <t>F4Q17</t>
  </si>
  <si>
    <t xml:space="preserve">Adjusted EBIT </t>
  </si>
  <si>
    <t>Cash Taxes</t>
  </si>
  <si>
    <t>NOPAT (adjusted)</t>
  </si>
  <si>
    <t>NOPAT margin</t>
  </si>
  <si>
    <t>Debt</t>
  </si>
  <si>
    <t>Net Deferred Tax Liabilities</t>
  </si>
  <si>
    <t>Other Long-Term Liabilities</t>
  </si>
  <si>
    <t>Off-balance sheet operating leases</t>
  </si>
  <si>
    <t>Equity</t>
  </si>
  <si>
    <t>Minority Interest</t>
  </si>
  <si>
    <t>Preferred Equity</t>
  </si>
  <si>
    <t>Accumulated Asset write-downs</t>
  </si>
  <si>
    <t>Non-performing Assets</t>
  </si>
  <si>
    <t>(Less cash)</t>
  </si>
  <si>
    <t>(Less unconsolidated investments)</t>
  </si>
  <si>
    <t>(Less Goodwill)</t>
  </si>
  <si>
    <t>Total Invested Capital (inc-Goodwill)</t>
  </si>
  <si>
    <t>Total Invested Capital (ex-Goodwill)</t>
  </si>
  <si>
    <t>ROIC (inc-Goodwill)</t>
  </si>
  <si>
    <t>ROIC (ex-Goodwill)</t>
  </si>
  <si>
    <t>Return on Invested Capital (ROIC) (ex-Goodwill)</t>
  </si>
  <si>
    <t>Return on Net Operating Assets (RNOA)</t>
  </si>
  <si>
    <t>RNOA</t>
  </si>
  <si>
    <t>F1Q18</t>
  </si>
  <si>
    <t>Core ex-Quest</t>
  </si>
  <si>
    <t>Core ex-Nucleic Acid</t>
  </si>
  <si>
    <t>Core ex-Quest/Nucleic Acid</t>
  </si>
  <si>
    <t xml:space="preserve">Organic by End Market </t>
  </si>
  <si>
    <t>Geographic Momentum</t>
  </si>
  <si>
    <t>Core (Agilent basis)</t>
  </si>
  <si>
    <t>Core (ex FX/acq/other)</t>
  </si>
  <si>
    <t>FCF GAAP Conversion</t>
  </si>
  <si>
    <t>FCF non-GAAP Conversion</t>
  </si>
  <si>
    <t>90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</si>
  <si>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</si>
  <si>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</si>
  <si>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</si>
  <si>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</si>
  <si>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</si>
  <si>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</si>
  <si>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</si>
  <si>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Steve Beuchaw, Jeremy Rosenberg</t>
  </si>
  <si>
    <t>Date: 02 Apr 2018</t>
  </si>
  <si>
    <t>Ticker: A.N</t>
  </si>
  <si>
    <t>Stock Rating: Overweight</t>
  </si>
  <si>
    <t>Industry: Life Science Tools &amp; Diagnostics</t>
  </si>
  <si>
    <t>Industry View: In-Line</t>
  </si>
  <si>
    <t>Price as of 02 Apr 2018: 64.43</t>
  </si>
  <si>
    <t>Target Price: 95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</si>
  <si>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</si>
  <si>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</si>
  <si>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</si>
  <si>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</si>
  <si>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Agilent Technologies, Inc..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</si>
  <si>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</si>
  <si>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</si>
  <si>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</si>
  <si>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</si>
  <si>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</si>
  <si>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</si>
  <si>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</si>
  <si>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</si>
  <si>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</si>
  <si>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</si>
  <si>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</si>
  <si>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</si>
  <si>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</si>
  <si>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</si>
  <si>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</si>
  <si>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</si>
  <si>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</si>
  <si>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</si>
  <si>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</si>
  <si>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</si>
  <si>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</si>
  <si>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</si>
  <si>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</si>
  <si>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</si>
  <si>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</si>
  <si>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</si>
  <si>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</si>
  <si>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</si>
  <si>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</si>
  <si>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</si>
  <si>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</si>
  <si>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</si>
  <si>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</si>
  <si>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</si>
  <si>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</si>
  <si>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</si>
  <si>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</si>
  <si>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</si>
  <si>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</si>
  <si>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</si>
  <si>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</si>
  <si>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</si>
  <si>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</si>
  <si>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</si>
  <si>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</si>
  <si>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</si>
  <si>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</si>
  <si>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</si>
  <si>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</si>
  <si>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</si>
  <si>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</si>
  <si>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</si>
  <si>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</si>
  <si>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</si>
  <si>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</si>
  <si>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</si>
  <si>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</si>
  <si>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</si>
  <si>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</si>
  <si>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</si>
  <si>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</si>
  <si>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</si>
  <si>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</si>
  <si>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</si>
  <si>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</si>
  <si>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</si>
  <si>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</si>
  <si>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</si>
  <si>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</si>
  <si>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</si>
  <si>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</si>
  <si>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</si>
  <si>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</si>
  <si>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</si>
  <si>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</si>
  <si>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</si>
  <si>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</si>
  <si>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</si>
  <si>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</si>
  <si>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</si>
  <si>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</si>
  <si>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</si>
  <si>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</si>
  <si>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</si>
  <si>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</si>
  <si>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</si>
  <si>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</si>
  <si>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</si>
  <si>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</si>
  <si>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</si>
  <si>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</si>
  <si>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</si>
  <si>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</si>
  <si>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</si>
  <si>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</si>
  <si>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</si>
  <si>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</si>
  <si>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</si>
  <si>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</si>
  <si>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</si>
  <si>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</si>
  <si>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</si>
  <si>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</si>
  <si>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</si>
  <si>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</si>
  <si>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</si>
  <si>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</si>
  <si>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</si>
  <si>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</si>
  <si>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</si>
  <si>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</si>
  <si>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</si>
  <si>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</si>
  <si>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</si>
  <si>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</si>
  <si>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</si>
  <si>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</si>
  <si>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</si>
  <si>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</si>
  <si>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</si>
  <si>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</si>
  <si>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</si>
  <si>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</si>
  <si>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</si>
  <si>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</si>
  <si>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</si>
  <si>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</si>
  <si>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</si>
  <si>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</si>
  <si>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</si>
  <si>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</si>
  <si>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</si>
  <si>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</si>
  <si>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</si>
  <si>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</si>
  <si>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</si>
  <si>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</si>
  <si>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</si>
  <si>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</si>
  <si>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</si>
  <si>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</si>
  <si>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</si>
  <si>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</si>
  <si>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</si>
  <si>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</si>
  <si>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</si>
  <si>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</si>
  <si>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</si>
  <si>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</si>
  <si>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</si>
  <si>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</si>
  <si>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</si>
  <si>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</si>
  <si>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</si>
  <si>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</si>
  <si>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</si>
  <si>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</si>
  <si>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</si>
  <si>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</si>
  <si>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</si>
  <si>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</si>
  <si>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</si>
  <si>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</si>
  <si>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</si>
  <si>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</si>
  <si>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</si>
  <si>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</si>
  <si>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</si>
  <si>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</si>
  <si>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</si>
  <si>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</si>
  <si>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</si>
  <si>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</si>
  <si>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</si>
  <si>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</si>
  <si>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</si>
  <si>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</si>
  <si>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</si>
  <si>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</si>
  <si>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</si>
  <si>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</si>
  <si>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</si>
  <si>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</si>
  <si>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</si>
  <si>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</si>
  <si>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</si>
  <si>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</si>
  <si>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</si>
  <si>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</si>
  <si>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</si>
  <si>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</si>
  <si>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</si>
  <si>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</si>
  <si>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</si>
  <si>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</si>
  <si>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</si>
  <si>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</si>
  <si>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</si>
  <si>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</si>
  <si>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</si>
  <si>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</si>
  <si>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</si>
  <si>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</si>
  <si>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</si>
  <si>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</si>
  <si>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</si>
  <si>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</si>
  <si>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</si>
  <si>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</si>
  <si>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</si>
  <si>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</si>
  <si>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</si>
  <si>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</si>
  <si>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</si>
  <si>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</si>
  <si>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</si>
  <si>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</si>
  <si>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</si>
  <si>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</si>
  <si>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</si>
  <si>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</si>
  <si>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</si>
  <si>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</si>
  <si>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</si>
  <si>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</si>
  <si>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</si>
  <si>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</si>
  <si>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</si>
  <si>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</si>
  <si>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</si>
  <si>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</si>
  <si>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</si>
  <si>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</si>
  <si>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</si>
  <si>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</si>
  <si>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</si>
  <si>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</si>
  <si>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</si>
  <si>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</si>
  <si>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</si>
  <si>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</si>
  <si>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</si>
  <si>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Agilent Technologies, Inc..</t>
  </si>
  <si>
    <t>Within the last 12 months, Morgan Stanley has provided or is providing investment banking services to,</t>
  </si>
  <si>
    <t>or has an investment banking client relationship with, the following company: Agilent Technologies, Inc..</t>
  </si>
  <si>
    <t>Within the last 12 months, Morgan Stanley has received compensation for products and services other than</t>
  </si>
  <si>
    <t>investment banking services from Agilent Technologies, Inc..</t>
  </si>
  <si>
    <t>In the next 3 months, Morgan Stanley expects to receive or intends to seek compensation for investment</t>
  </si>
  <si>
    <t>banking services from Agilent Technologies, Inc..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</si>
  <si>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</si>
  <si>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</si>
  <si>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</si>
  <si>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</si>
  <si>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</si>
  <si>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Steve Beuchaw.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</si>
  <si>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</si>
  <si>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</si>
  <si>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</si>
  <si>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</si>
  <si>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</si>
  <si>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</si>
  <si>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</si>
  <si>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</si>
  <si>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</si>
  <si>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</si>
  <si>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</si>
  <si>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</si>
  <si>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</si>
  <si>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</si>
  <si>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</si>
  <si>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</si>
  <si>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</si>
  <si>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</si>
  <si>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</si>
  <si>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</si>
  <si>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</si>
  <si>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</si>
  <si>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</si>
  <si>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</si>
  <si>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</si>
  <si>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</si>
  <si>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</si>
  <si>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</si>
  <si>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</si>
  <si>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</si>
  <si>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</si>
  <si>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</si>
  <si>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</si>
  <si>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</si>
  <si>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</si>
  <si>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</si>
  <si>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</si>
  <si>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</si>
  <si>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</si>
  <si>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</si>
  <si>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</si>
  <si>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</si>
  <si>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</si>
  <si>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</si>
  <si>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</si>
  <si>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</si>
  <si>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</si>
  <si>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</si>
  <si>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</si>
  <si>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</si>
  <si>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</si>
  <si>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</si>
  <si>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</si>
  <si>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</si>
  <si>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</si>
  <si>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</si>
  <si>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</si>
  <si>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</si>
  <si>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</si>
  <si>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</si>
  <si>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</si>
  <si>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</si>
  <si>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</si>
  <si>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</si>
  <si>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</si>
  <si>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</si>
  <si>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</si>
  <si>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NorthAmerica</t>
  </si>
  <si>
    <t>jerrosen</t>
  </si>
  <si>
    <t>MSA12974, MSA74LKH</t>
  </si>
  <si>
    <t>00846U101</t>
  </si>
  <si>
    <t>L:\HEALTH\Tools\Models\Published models\A_Published.xlsm</t>
  </si>
  <si>
    <t>[BRO MSA]</t>
  </si>
  <si>
    <t>[PRODUCT MODEL]</t>
  </si>
  <si>
    <t>[EMAIL_ALERT YES]</t>
  </si>
  <si>
    <t>[DISCIPLINE Company]</t>
  </si>
  <si>
    <t>[SUPPRESSED NO]</t>
  </si>
  <si>
    <t>[DOCDAT 2018-04-02]</t>
  </si>
  <si>
    <t>[DOCTIME 16:49]</t>
  </si>
  <si>
    <t>[PSYM A.N(S&amp;P) (None)]</t>
  </si>
  <si>
    <t>[COU 1]</t>
  </si>
  <si>
    <t>[ANA MSA74LKH]</t>
  </si>
  <si>
    <t>[HL A.N Model]</t>
  </si>
  <si>
    <t>[IND HLTHCR]</t>
  </si>
  <si>
    <t>[PANA MSA12974]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</si>
</sst>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4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$-409]#,##0.0_);\([$$-409]#,##0.0\)"/>
    <numFmt numFmtId="165" formatCode="0.0%"/>
    <numFmt numFmtId="166" formatCode="0&quot;A&quot;"/>
    <numFmt numFmtId="167" formatCode="0.0_);\(0.0\)"/>
    <numFmt numFmtId="168" formatCode="[$-409]mmm\-yy;@"/>
    <numFmt numFmtId="169" formatCode="_(* #,##0.0_);_(* \(#,##0.0\);_(* &quot;-&quot;_);_(@_)"/>
    <numFmt numFmtId="170" formatCode="#,##0.0_);\(#,##0.0\)"/>
    <numFmt numFmtId="171" formatCode="_(* #,##0.0_);_(* \(#,##0.0\);_(* &quot;-&quot;??_);_(@_)"/>
    <numFmt numFmtId="172" formatCode="&quot;$&quot;#,##0.0_);\(&quot;$&quot;#,##0.0\)"/>
    <numFmt numFmtId="173" formatCode="_(* #,##0.0_);_(* \(#,##0.0\);_(* &quot;-&quot;?_);_(@_)"/>
    <numFmt numFmtId="174" formatCode="#,##0.0%_);\(#,##0.0%\)"/>
    <numFmt numFmtId="175" formatCode="_(* #,##0.00_);_(* \(#,##0.00\);_(* &quot;-&quot;_);_(@_)"/>
    <numFmt numFmtId="176" formatCode="0.0;[Red]0.0"/>
    <numFmt numFmtId="177" formatCode="&quot;$&quot;#,##0.0"/>
    <numFmt numFmtId="178" formatCode="#,##0.00%_);\(#,##0.00%\)"/>
    <numFmt numFmtId="179" formatCode="_(* #,##0_);_(* \(#,##0\);_(* &quot;-&quot;??_);_(@_)"/>
    <numFmt numFmtId="180" formatCode="#,##0.0"/>
    <numFmt numFmtId="181" formatCode="0.0"/>
    <numFmt numFmtId="182" formatCode="_(&quot;$&quot;* #,##0.000_);_(&quot;$&quot;* \(#,##0.000\);_(&quot;$&quot;* &quot;-&quot;??_);_(@_)"/>
    <numFmt numFmtId="183" formatCode="0.000%"/>
    <numFmt numFmtId="184" formatCode="0_);[Red]\(0\)"/>
    <numFmt numFmtId="185" formatCode="0&quot;E&quot;"/>
    <numFmt numFmtId="189" formatCode="_(* #,##0_);_(* \(#,##0\);_(* &quot;-&quot;?_);_(@_)"/>
    <numFmt numFmtId="190" formatCode="0.0\x"/>
    <numFmt numFmtId="191" formatCode="0.0000_);\(0.0000\)"/>
    <numFmt numFmtId="194" formatCode="0.00_);\(0.00\)"/>
    <numFmt numFmtId="196" formatCode="#,##0.00000000000_);\(#,##0.00000000000\)"/>
    <numFmt numFmtId="197" formatCode="_(* #,##0.000_);_(* \(#,##0.000\);_(* &quot;-&quot;??_);_(@_)"/>
    <numFmt numFmtId="198" formatCode="_(* #,##0.0000_);_(* \(#,##0.0000\);_(* &quot;-&quot;??_);_(@_)"/>
    <numFmt numFmtId="214" formatCode="&quot;$&quot;#,##0.0_);[Red]\(&quot;$&quot;#,##0.0\)"/>
    <numFmt numFmtId="215" formatCode="#,##0.0000"/>
    <numFmt numFmtId="216" formatCode="0.000"/>
    <numFmt numFmtId="217" formatCode="[$$-409]#,##0.00_);\([$$-409]#,##0.00\)"/>
    <numFmt numFmtId="219" formatCode="#,##0.000"/>
    <numFmt numFmtId="220" formatCode="_-&quot;£&quot;* #,##0.00_-;\-&quot;£&quot;* #,##0.00_-;_-&quot;£&quot;* &quot;-&quot;??_-;_-@_-"/>
    <numFmt numFmtId="224" formatCode="_(* #,##0.000_);_(* \(#,##0.000\);_(* &quot;-&quot;?_);_(@_)"/>
    <numFmt numFmtId="225" formatCode="_(* #,##0.0000000_);_(* \(#,##0.0000000\);_(* &quot;-&quot;??_);_(@_)"/>
    <numFmt numFmtId="231" formatCode="mm/dd/yy\ hh:mm"/>
  </numFmts>
  <fonts count="108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Times"/>
      <family val="1"/>
    </font>
    <font>
      <b/>
      <sz val="10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i/>
      <sz val="8"/>
      <color indexed="8"/>
      <name val="Arial"/>
      <family val="2"/>
    </font>
    <font>
      <b/>
      <sz val="8"/>
      <name val="Arial"/>
      <family val="2"/>
    </font>
    <font>
      <sz val="8"/>
      <color indexed="22"/>
      <name val="Arial"/>
      <family val="2"/>
    </font>
    <font>
      <b/>
      <sz val="8"/>
      <color indexed="9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10"/>
      <name val="Helv"/>
    </font>
    <font>
      <i/>
      <sz val="8"/>
      <name val="Arial"/>
      <family val="2"/>
    </font>
    <font>
      <i/>
      <sz val="8"/>
      <color indexed="12"/>
      <name val="Arial"/>
      <family val="2"/>
    </font>
    <font>
      <i/>
      <sz val="10"/>
      <name val="Arial"/>
      <family val="2"/>
    </font>
    <font>
      <sz val="8"/>
      <color indexed="9"/>
      <name val="Arial"/>
      <family val="2"/>
    </font>
    <font>
      <sz val="10"/>
      <color indexed="9"/>
      <name val="Arial"/>
      <family val="2"/>
    </font>
    <font>
      <i/>
      <sz val="8"/>
      <color indexed="9"/>
      <name val="Arial"/>
      <family val="2"/>
    </font>
    <font>
      <b/>
      <i/>
      <sz val="8"/>
      <color indexed="9"/>
      <name val="Arial"/>
      <family val="2"/>
    </font>
    <font>
      <sz val="10"/>
      <color indexed="12"/>
      <name val="Arial"/>
      <family val="2"/>
    </font>
    <font>
      <i/>
      <sz val="10"/>
      <color indexed="12"/>
      <name val="Arial"/>
      <family val="2"/>
    </font>
    <font>
      <i/>
      <sz val="8"/>
      <color indexed="24"/>
      <name val="Arial"/>
      <family val="2"/>
    </font>
    <font>
      <sz val="8"/>
      <color indexed="24"/>
      <name val="Arial"/>
      <family val="2"/>
    </font>
    <font>
      <b/>
      <sz val="10"/>
      <color indexed="12"/>
      <name val="Arial"/>
      <family val="2"/>
    </font>
    <font>
      <sz val="8"/>
      <color indexed="10"/>
      <name val="Arial"/>
      <family val="2"/>
    </font>
    <font>
      <sz val="8"/>
      <color indexed="58"/>
      <name val="Arial"/>
      <family val="2"/>
    </font>
    <font>
      <b/>
      <sz val="8"/>
      <color indexed="10"/>
      <name val="Arial"/>
      <family val="2"/>
    </font>
    <font>
      <sz val="8"/>
      <color indexed="17"/>
      <name val="Arial"/>
      <family val="2"/>
    </font>
    <font>
      <b/>
      <sz val="8"/>
      <color indexed="17"/>
      <name val="Arial"/>
      <family val="2"/>
    </font>
    <font>
      <u/>
      <sz val="10"/>
      <name val="Arial"/>
      <family val="2"/>
    </font>
    <font>
      <sz val="10"/>
      <color indexed="10"/>
      <name val="Arial"/>
      <family val="2"/>
    </font>
    <font>
      <b/>
      <i/>
      <sz val="8"/>
      <name val="Arial"/>
      <family val="2"/>
    </font>
    <font>
      <i/>
      <sz val="8"/>
      <color indexed="17"/>
      <name val="Arial"/>
      <family val="2"/>
    </font>
    <font>
      <sz val="8"/>
      <color indexed="57"/>
      <name val="Arial"/>
      <family val="2"/>
    </font>
    <font>
      <b/>
      <sz val="9"/>
      <name val="Arial"/>
      <family val="2"/>
    </font>
    <font>
      <b/>
      <sz val="9"/>
      <color indexed="9"/>
      <name val="Arial"/>
      <family val="2"/>
    </font>
    <font>
      <sz val="9"/>
      <name val="Arial"/>
      <family val="2"/>
    </font>
    <font>
      <sz val="9"/>
      <color indexed="9"/>
      <name val="Arial"/>
      <family val="2"/>
    </font>
    <font>
      <sz val="8"/>
      <color indexed="54"/>
      <name val="Arial"/>
      <family val="2"/>
    </font>
    <font>
      <sz val="10"/>
      <color indexed="54"/>
      <name val="Arial"/>
      <family val="2"/>
    </font>
    <font>
      <sz val="11"/>
      <color indexed="10"/>
      <name val="Arial"/>
      <family val="2"/>
    </font>
    <font>
      <sz val="9"/>
      <color indexed="22"/>
      <name val="Arial"/>
      <family val="2"/>
    </font>
    <font>
      <sz val="8"/>
      <name val="Tms Rmn"/>
    </font>
    <font>
      <sz val="8"/>
      <color indexed="21"/>
      <name val="Arial"/>
      <family val="2"/>
    </font>
    <font>
      <b/>
      <u/>
      <sz val="8"/>
      <name val="Arial"/>
      <family val="2"/>
    </font>
    <font>
      <sz val="11"/>
      <color indexed="8"/>
      <name val="Arial"/>
      <family val="2"/>
    </font>
    <font>
      <sz val="8"/>
      <color indexed="12"/>
      <name val="Times"/>
      <family val="1"/>
    </font>
    <font>
      <b/>
      <sz val="8"/>
      <color indexed="8"/>
      <name val="CIR Trade Gothic Light"/>
    </font>
    <font>
      <b/>
      <sz val="8"/>
      <name val="CIR Trade Gothic Light"/>
    </font>
    <font>
      <b/>
      <i/>
      <sz val="8"/>
      <color indexed="8"/>
      <name val="Arial"/>
      <family val="2"/>
    </font>
    <font>
      <sz val="11"/>
      <name val="Arial"/>
      <family val="2"/>
    </font>
    <font>
      <i/>
      <sz val="8"/>
      <color indexed="10"/>
      <name val="Arial"/>
      <family val="2"/>
    </font>
    <font>
      <sz val="8"/>
      <color indexed="55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1"/>
      <color indexed="62"/>
      <name val="Calibri"/>
      <family val="2"/>
    </font>
    <font>
      <sz val="10"/>
      <name val="Arial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color indexed="55"/>
      <name val="Arial"/>
      <family val="2"/>
    </font>
    <font>
      <sz val="8"/>
      <color indexed="48"/>
      <name val="Arial"/>
      <family val="2"/>
    </font>
    <font>
      <sz val="8"/>
      <color indexed="30"/>
      <name val="Arial"/>
      <family val="2"/>
    </font>
    <font>
      <sz val="8"/>
      <color indexed="17"/>
      <name val="Arial"/>
      <family val="2"/>
    </font>
    <font>
      <i/>
      <sz val="8"/>
      <color indexed="30"/>
      <name val="Arial"/>
      <family val="2"/>
    </font>
    <font>
      <b/>
      <sz val="8"/>
      <color indexed="30"/>
      <name val="Arial"/>
      <family val="2"/>
    </font>
    <font>
      <sz val="10"/>
      <color indexed="30"/>
      <name val="Arial"/>
      <family val="2"/>
    </font>
    <font>
      <i/>
      <sz val="8"/>
      <color indexed="55"/>
      <name val="Arial"/>
      <family val="2"/>
    </font>
    <font>
      <b/>
      <sz val="8"/>
      <color indexed="10"/>
      <name val="Arial"/>
      <family val="2"/>
    </font>
    <font>
      <sz val="8"/>
      <color indexed="10"/>
      <name val="Arial"/>
      <family val="2"/>
    </font>
    <font>
      <i/>
      <sz val="8"/>
      <color indexed="17"/>
      <name val="Arial"/>
      <family val="2"/>
    </font>
    <font>
      <sz val="8"/>
      <color indexed="62"/>
      <name val="Arial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color indexed="17"/>
      <name val="Arial"/>
      <family val="2"/>
    </font>
    <font>
      <b/>
      <sz val="8"/>
      <color rgb="FFFF0000"/>
      <name val="Arial"/>
      <family val="2"/>
    </font>
    <font>
      <sz val="8"/>
      <color rgb="FF0070C0"/>
      <name val="Arial"/>
      <family val="2"/>
    </font>
    <font>
      <b/>
      <sz val="8"/>
      <color rgb="FF0070C0"/>
      <name val="Arial"/>
      <family val="2"/>
    </font>
    <font>
      <b/>
      <sz val="8"/>
      <color theme="0"/>
      <name val="Arial"/>
      <family val="2"/>
    </font>
    <font>
      <sz val="8"/>
      <color rgb="FF2270AB"/>
      <name val="Arial"/>
      <family val="2"/>
    </font>
    <font>
      <sz val="8"/>
      <color rgb="FF137CB1"/>
      <name val="Arial"/>
      <family val="2"/>
    </font>
    <font>
      <i/>
      <sz val="8"/>
      <color rgb="FF2270AB"/>
      <name val="Arial"/>
      <family val="2"/>
    </font>
    <font>
      <i/>
      <sz val="8"/>
      <color rgb="FF0070C0"/>
      <name val="Arial"/>
      <family val="2"/>
    </font>
    <font>
      <sz val="8"/>
      <color rgb="FF0066CC"/>
      <name val="Arial"/>
      <family val="2"/>
    </font>
    <font>
      <i/>
      <sz val="8"/>
      <color rgb="FF0066CC"/>
      <name val="Arial"/>
      <family val="2"/>
    </font>
    <font>
      <sz val="8"/>
      <color rgb="FF238B45"/>
      <name val="Arial"/>
      <family val="2"/>
    </font>
    <font>
      <sz val="8"/>
      <color rgb="FF00B050"/>
      <name val="Arial"/>
      <family val="2"/>
    </font>
    <font>
      <i/>
      <sz val="8"/>
      <color rgb="FF137CB1"/>
      <name val="Arial"/>
      <family val="2"/>
    </font>
    <font>
      <b/>
      <i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0"/>
      <name val="Segoe UI"/>
      <family val="2"/>
    </font>
    <font>
      <sz val="8"/>
      <color theme="0"/>
      <name val="Arial"/>
      <family val="2"/>
    </font>
    <font>
      <sz val="8"/>
      <color rgb="FF7030A0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8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5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8"/>
      </bottom>
      <diagonal/>
    </border>
    <border>
      <left style="thin">
        <color indexed="64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3"/>
      </left>
      <right/>
      <top/>
      <bottom/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63"/>
      </left>
      <right/>
      <top/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3"/>
      </top>
      <bottom/>
      <diagonal/>
    </border>
    <border>
      <left/>
      <right style="thin">
        <color indexed="64"/>
      </right>
      <top style="medium">
        <color indexed="8"/>
      </top>
      <bottom/>
      <diagonal/>
    </border>
    <border>
      <left/>
      <right style="thin">
        <color indexed="64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47">
    <xf numFmtId="0" fontId="0" fillId="0" borderId="0"/>
    <xf numFmtId="0" fontId="62" fillId="0" borderId="0"/>
    <xf numFmtId="0" fontId="62" fillId="0" borderId="0"/>
    <xf numFmtId="0" fontId="1" fillId="0" borderId="0" applyFill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Fill="0" applyAlignment="0">
      <protection locked="0"/>
    </xf>
    <xf numFmtId="0" fontId="62" fillId="0" borderId="0"/>
    <xf numFmtId="0" fontId="62" fillId="0" borderId="0"/>
    <xf numFmtId="0" fontId="1" fillId="0" borderId="0" applyFill="0" applyAlignment="0">
      <protection locked="0"/>
    </xf>
    <xf numFmtId="0" fontId="1" fillId="0" borderId="0" applyFill="0" applyAlignment="0">
      <protection locked="0"/>
    </xf>
    <xf numFmtId="0" fontId="62" fillId="0" borderId="0"/>
    <xf numFmtId="0" fontId="1" fillId="0" borderId="0"/>
    <xf numFmtId="0" fontId="62" fillId="0" borderId="0"/>
    <xf numFmtId="0" fontId="1" fillId="0" borderId="0" applyFill="0" applyAlignment="0">
      <protection locked="0"/>
    </xf>
    <xf numFmtId="0" fontId="62" fillId="0" borderId="0"/>
    <xf numFmtId="0" fontId="56" fillId="0" borderId="0"/>
    <xf numFmtId="0" fontId="56" fillId="0" borderId="0"/>
    <xf numFmtId="0" fontId="49" fillId="0" borderId="0" applyNumberFormat="0" applyFill="0" applyBorder="0" applyAlignment="0" applyProtection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43" fontId="69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68" fillId="0" borderId="0" applyFont="0" applyFill="0" applyBorder="0" applyAlignment="0" applyProtection="0"/>
    <xf numFmtId="0" fontId="63" fillId="0" borderId="0"/>
    <xf numFmtId="0" fontId="64" fillId="2" borderId="0"/>
    <xf numFmtId="0" fontId="65" fillId="0" borderId="0">
      <alignment wrapText="1"/>
    </xf>
    <xf numFmtId="0" fontId="61" fillId="3" borderId="0"/>
    <xf numFmtId="0" fontId="64" fillId="0" borderId="0"/>
    <xf numFmtId="0" fontId="66" fillId="0" borderId="0"/>
    <xf numFmtId="0" fontId="67" fillId="0" borderId="0"/>
    <xf numFmtId="0" fontId="1" fillId="0" borderId="0"/>
    <xf numFmtId="0" fontId="1" fillId="0" borderId="0"/>
    <xf numFmtId="0" fontId="62" fillId="0" borderId="0"/>
    <xf numFmtId="0" fontId="68" fillId="0" borderId="0"/>
    <xf numFmtId="0" fontId="2" fillId="0" borderId="0"/>
    <xf numFmtId="0" fontId="45" fillId="0" borderId="0"/>
    <xf numFmtId="0" fontId="45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4" fillId="0" borderId="0"/>
    <xf numFmtId="0" fontId="58" fillId="0" borderId="0">
      <alignment vertical="center"/>
    </xf>
    <xf numFmtId="0" fontId="67" fillId="0" borderId="0"/>
    <xf numFmtId="9" fontId="69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3" borderId="0" applyNumberFormat="0" applyFont="0" applyBorder="0" applyAlignment="0" applyProtection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59" fillId="0" borderId="1">
      <alignment horizontal="centerContinuous"/>
    </xf>
    <xf numFmtId="0" fontId="60" fillId="0" borderId="1"/>
    <xf numFmtId="0" fontId="1" fillId="0" borderId="0" applyFill="0" applyAlignment="0">
      <protection locked="0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62" fillId="0" borderId="0">
      <alignment vertical="top"/>
    </xf>
    <xf numFmtId="41" fontId="1" fillId="0" borderId="0" applyFont="0" applyFill="0" applyBorder="0" applyAlignment="0" applyProtection="0"/>
    <xf numFmtId="0" fontId="62" fillId="0" borderId="0">
      <alignment vertical="top"/>
    </xf>
    <xf numFmtId="41" fontId="1" fillId="0" borderId="0" applyFont="0" applyFill="0" applyBorder="0" applyAlignment="0" applyProtection="0"/>
    <xf numFmtId="0" fontId="62" fillId="0" borderId="0">
      <alignment vertical="top"/>
    </xf>
    <xf numFmtId="41" fontId="1" fillId="0" borderId="0" applyFont="0" applyFill="0" applyBorder="0" applyAlignment="0" applyProtection="0"/>
    <xf numFmtId="0" fontId="62" fillId="0" borderId="0">
      <alignment vertical="top"/>
    </xf>
    <xf numFmtId="0" fontId="62" fillId="0" borderId="0">
      <alignment vertical="top"/>
    </xf>
    <xf numFmtId="0" fontId="62" fillId="0" borderId="0">
      <alignment vertical="top"/>
    </xf>
    <xf numFmtId="0" fontId="62" fillId="0" borderId="0">
      <alignment vertical="top"/>
    </xf>
    <xf numFmtId="41" fontId="1" fillId="0" borderId="0" applyFont="0" applyFill="0" applyBorder="0" applyAlignment="0" applyProtection="0"/>
    <xf numFmtId="0" fontId="62" fillId="0" borderId="0">
      <alignment vertical="top"/>
    </xf>
    <xf numFmtId="0" fontId="62" fillId="0" borderId="0">
      <alignment vertical="top"/>
    </xf>
    <xf numFmtId="0" fontId="62" fillId="0" borderId="0">
      <alignment vertical="top"/>
    </xf>
    <xf numFmtId="0" fontId="62" fillId="0" borderId="0">
      <alignment vertical="top"/>
    </xf>
    <xf numFmtId="0" fontId="62" fillId="0" borderId="0">
      <alignment vertical="top"/>
    </xf>
    <xf numFmtId="0" fontId="62" fillId="0" borderId="0">
      <alignment vertical="top"/>
    </xf>
    <xf numFmtId="0" fontId="62" fillId="0" borderId="0">
      <alignment vertical="top"/>
    </xf>
    <xf numFmtId="0" fontId="62" fillId="0" borderId="0">
      <alignment vertical="top"/>
    </xf>
    <xf numFmtId="0" fontId="62" fillId="0" borderId="0">
      <alignment vertical="top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0" fontId="1" fillId="0" borderId="0" applyFont="0" applyFill="0" applyBorder="0" applyAlignment="0" applyProtection="0"/>
    <xf numFmtId="220" fontId="1" fillId="0" borderId="0" applyFont="0" applyFill="0" applyBorder="0" applyAlignment="0" applyProtection="0"/>
    <xf numFmtId="9" fontId="10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56" fillId="0" borderId="0"/>
    <xf numFmtId="0" fontId="56" fillId="0" borderId="0"/>
    <xf numFmtId="0" fontId="56" fillId="0" borderId="0"/>
    <xf numFmtId="0" fontId="56" fillId="0" borderId="0"/>
    <xf numFmtId="0" fontId="57" fillId="0" borderId="0"/>
    <xf numFmtId="0" fontId="57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02" fillId="0" borderId="0"/>
    <xf numFmtId="0" fontId="101" fillId="0" borderId="0"/>
    <xf numFmtId="0" fontId="1" fillId="0" borderId="0"/>
    <xf numFmtId="0" fontId="1" fillId="0" borderId="0" applyFont="0" applyFill="0" applyBorder="0" applyAlignment="0" applyProtection="0"/>
    <xf numFmtId="0" fontId="1" fillId="0" borderId="0"/>
    <xf numFmtId="0" fontId="102" fillId="0" borderId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" fillId="3" borderId="0" applyNumberFormat="0" applyFont="0" applyBorder="0" applyAlignment="0" applyProtection="0"/>
    <xf numFmtId="0" fontId="59" fillId="0" borderId="0"/>
    <xf numFmtId="0" fontId="59" fillId="0" borderId="0"/>
    <xf numFmtId="0" fontId="59" fillId="0" borderId="1">
      <alignment horizontal="centerContinuous"/>
    </xf>
    <xf numFmtId="0" fontId="59" fillId="0" borderId="1">
      <alignment horizontal="centerContinuous"/>
    </xf>
    <xf numFmtId="0" fontId="105" fillId="0" borderId="0"/>
  </cellStyleXfs>
  <cellXfs count="2521">
    <xf numFmtId="0" fontId="0" fillId="0" borderId="0" xfId="0"/>
    <xf numFmtId="0" fontId="1" fillId="0" borderId="0" xfId="47" applyFont="1"/>
    <xf numFmtId="0" fontId="1" fillId="0" borderId="0" xfId="47"/>
    <xf numFmtId="0" fontId="3" fillId="0" borderId="0" xfId="50" applyFont="1" applyFill="1" applyBorder="1" applyAlignment="1" applyProtection="1">
      <alignment horizontal="left"/>
    </xf>
    <xf numFmtId="0" fontId="4" fillId="0" borderId="0" xfId="47" applyFont="1" applyFill="1" applyBorder="1"/>
    <xf numFmtId="9" fontId="4" fillId="0" borderId="0" xfId="47" applyNumberFormat="1" applyFont="1" applyFill="1" applyBorder="1"/>
    <xf numFmtId="0" fontId="1" fillId="0" borderId="0" xfId="47" applyFill="1"/>
    <xf numFmtId="0" fontId="5" fillId="0" borderId="2" xfId="50" applyFont="1" applyFill="1" applyBorder="1" applyAlignment="1" applyProtection="1">
      <alignment horizontal="left"/>
    </xf>
    <xf numFmtId="0" fontId="4" fillId="0" borderId="2" xfId="47" applyFont="1" applyFill="1" applyBorder="1"/>
    <xf numFmtId="44" fontId="4" fillId="0" borderId="2" xfId="37" applyFont="1" applyFill="1" applyBorder="1"/>
    <xf numFmtId="0" fontId="6" fillId="0" borderId="0" xfId="50" applyFont="1" applyFill="1" applyBorder="1" applyAlignment="1" applyProtection="1">
      <alignment horizontal="left"/>
    </xf>
    <xf numFmtId="43" fontId="4" fillId="0" borderId="0" xfId="47" applyNumberFormat="1" applyFont="1" applyFill="1" applyBorder="1"/>
    <xf numFmtId="4" fontId="4" fillId="0" borderId="0" xfId="50" applyNumberFormat="1" applyFont="1" applyFill="1" applyBorder="1" applyAlignment="1">
      <alignment horizontal="left"/>
    </xf>
    <xf numFmtId="4" fontId="4" fillId="0" borderId="0" xfId="47" applyNumberFormat="1" applyFont="1" applyFill="1" applyBorder="1"/>
    <xf numFmtId="4" fontId="4" fillId="0" borderId="0" xfId="47" applyNumberFormat="1" applyFont="1" applyFill="1" applyBorder="1" applyAlignment="1">
      <alignment horizontal="center"/>
    </xf>
    <xf numFmtId="164" fontId="4" fillId="0" borderId="0" xfId="47" applyNumberFormat="1" applyFont="1" applyFill="1" applyBorder="1"/>
    <xf numFmtId="165" fontId="4" fillId="0" borderId="0" xfId="59" applyNumberFormat="1" applyFont="1" applyFill="1" applyBorder="1" applyAlignment="1">
      <alignment horizontal="center"/>
    </xf>
    <xf numFmtId="41" fontId="4" fillId="0" borderId="0" xfId="47" applyNumberFormat="1" applyFont="1" applyFill="1" applyBorder="1"/>
    <xf numFmtId="0" fontId="7" fillId="0" borderId="0" xfId="47" applyFont="1" applyFill="1" applyBorder="1" applyAlignment="1">
      <alignment horizontal="center"/>
    </xf>
    <xf numFmtId="0" fontId="8" fillId="0" borderId="0" xfId="47" applyFont="1" applyFill="1" applyBorder="1" applyAlignment="1">
      <alignment horizontal="center"/>
    </xf>
    <xf numFmtId="0" fontId="8" fillId="0" borderId="2" xfId="47" applyFont="1" applyFill="1" applyBorder="1" applyAlignment="1">
      <alignment horizontal="center"/>
    </xf>
    <xf numFmtId="0" fontId="4" fillId="0" borderId="0" xfId="47" applyFont="1" applyFill="1"/>
    <xf numFmtId="41" fontId="4" fillId="0" borderId="3" xfId="47" applyNumberFormat="1" applyFont="1" applyFill="1" applyBorder="1"/>
    <xf numFmtId="166" fontId="7" fillId="0" borderId="4" xfId="47" applyNumberFormat="1" applyFont="1" applyFill="1" applyBorder="1" applyAlignment="1">
      <alignment horizontal="centerContinuous"/>
    </xf>
    <xf numFmtId="167" fontId="7" fillId="0" borderId="5" xfId="47" applyNumberFormat="1" applyFont="1" applyFill="1" applyBorder="1" applyAlignment="1">
      <alignment horizontal="centerContinuous"/>
    </xf>
    <xf numFmtId="166" fontId="7" fillId="0" borderId="6" xfId="47" applyNumberFormat="1" applyFont="1" applyFill="1" applyBorder="1" applyAlignment="1">
      <alignment horizontal="center"/>
    </xf>
    <xf numFmtId="0" fontId="7" fillId="0" borderId="6" xfId="47" applyFont="1" applyFill="1" applyBorder="1" applyAlignment="1">
      <alignment horizontal="center"/>
    </xf>
    <xf numFmtId="41" fontId="7" fillId="4" borderId="3" xfId="47" applyNumberFormat="1" applyFont="1" applyFill="1" applyBorder="1" applyAlignment="1">
      <alignment horizontal="center"/>
    </xf>
    <xf numFmtId="168" fontId="9" fillId="5" borderId="5" xfId="47" applyNumberFormat="1" applyFont="1" applyFill="1" applyBorder="1" applyAlignment="1">
      <alignment horizontal="center"/>
    </xf>
    <xf numFmtId="0" fontId="7" fillId="0" borderId="7" xfId="47" applyFont="1" applyBorder="1" applyAlignment="1">
      <alignment horizontal="center"/>
    </xf>
    <xf numFmtId="168" fontId="9" fillId="5" borderId="4" xfId="47" applyNumberFormat="1" applyFont="1" applyFill="1" applyBorder="1" applyAlignment="1">
      <alignment horizontal="center"/>
    </xf>
    <xf numFmtId="0" fontId="7" fillId="0" borderId="7" xfId="47" applyFont="1" applyFill="1" applyBorder="1" applyAlignment="1">
      <alignment horizontal="center"/>
    </xf>
    <xf numFmtId="0" fontId="7" fillId="0" borderId="3" xfId="47" applyFont="1" applyFill="1" applyBorder="1" applyAlignment="1">
      <alignment horizontal="center"/>
    </xf>
    <xf numFmtId="168" fontId="7" fillId="0" borderId="5" xfId="47" applyNumberFormat="1" applyFont="1" applyFill="1" applyBorder="1" applyAlignment="1">
      <alignment horizontal="center"/>
    </xf>
    <xf numFmtId="168" fontId="7" fillId="0" borderId="7" xfId="47" applyNumberFormat="1" applyFont="1" applyFill="1" applyBorder="1" applyAlignment="1">
      <alignment horizontal="center"/>
    </xf>
    <xf numFmtId="168" fontId="7" fillId="0" borderId="4" xfId="47" applyNumberFormat="1" applyFont="1" applyFill="1" applyBorder="1" applyAlignment="1">
      <alignment horizontal="center"/>
    </xf>
    <xf numFmtId="41" fontId="7" fillId="0" borderId="8" xfId="47" applyNumberFormat="1" applyFont="1" applyFill="1" applyBorder="1"/>
    <xf numFmtId="6" fontId="10" fillId="0" borderId="9" xfId="47" applyNumberFormat="1" applyFont="1" applyFill="1" applyBorder="1" applyAlignment="1">
      <alignment horizontal="center"/>
    </xf>
    <xf numFmtId="0" fontId="10" fillId="0" borderId="0" xfId="47" applyFont="1" applyFill="1" applyBorder="1" applyAlignment="1">
      <alignment horizontal="center"/>
    </xf>
    <xf numFmtId="0" fontId="10" fillId="0" borderId="0" xfId="47" applyFont="1" applyFill="1" applyAlignment="1">
      <alignment horizontal="center"/>
    </xf>
    <xf numFmtId="169" fontId="10" fillId="0" borderId="8" xfId="47" applyNumberFormat="1" applyFont="1" applyFill="1" applyBorder="1" applyAlignment="1">
      <alignment horizontal="center"/>
    </xf>
    <xf numFmtId="0" fontId="10" fillId="0" borderId="0" xfId="47" applyFont="1" applyFill="1" applyBorder="1"/>
    <xf numFmtId="41" fontId="7" fillId="0" borderId="8" xfId="47" applyNumberFormat="1" applyFont="1" applyFill="1" applyBorder="1" applyAlignment="1">
      <alignment horizontal="left"/>
    </xf>
    <xf numFmtId="41" fontId="7" fillId="0" borderId="0" xfId="47" applyNumberFormat="1" applyFont="1" applyFill="1" applyBorder="1" applyAlignment="1">
      <alignment horizontal="right"/>
    </xf>
    <xf numFmtId="164" fontId="11" fillId="0" borderId="10" xfId="47" applyNumberFormat="1" applyFont="1" applyFill="1" applyBorder="1" applyAlignment="1"/>
    <xf numFmtId="164" fontId="11" fillId="0" borderId="0" xfId="47" applyNumberFormat="1" applyFont="1" applyFill="1" applyBorder="1" applyAlignment="1"/>
    <xf numFmtId="164" fontId="7" fillId="0" borderId="8" xfId="47" applyNumberFormat="1" applyFont="1" applyFill="1" applyBorder="1" applyAlignment="1"/>
    <xf numFmtId="164" fontId="12" fillId="0" borderId="0" xfId="47" applyNumberFormat="1" applyFont="1" applyFill="1" applyBorder="1" applyAlignment="1"/>
    <xf numFmtId="164" fontId="7" fillId="0" borderId="0" xfId="47" applyNumberFormat="1" applyFont="1" applyFill="1" applyBorder="1" applyAlignment="1"/>
    <xf numFmtId="164" fontId="7" fillId="0" borderId="10" xfId="47" applyNumberFormat="1" applyFont="1" applyFill="1" applyBorder="1" applyAlignment="1"/>
    <xf numFmtId="165" fontId="69" fillId="0" borderId="0" xfId="59" applyNumberFormat="1" applyFont="1" applyFill="1"/>
    <xf numFmtId="0" fontId="3" fillId="0" borderId="0" xfId="47" applyFont="1" applyFill="1" applyAlignment="1">
      <alignment horizontal="right"/>
    </xf>
    <xf numFmtId="41" fontId="4" fillId="0" borderId="8" xfId="47" applyNumberFormat="1" applyFont="1" applyFill="1" applyBorder="1" applyAlignment="1">
      <alignment horizontal="left"/>
    </xf>
    <xf numFmtId="41" fontId="4" fillId="0" borderId="0" xfId="47" applyNumberFormat="1" applyFont="1" applyFill="1" applyBorder="1" applyAlignment="1">
      <alignment horizontal="right"/>
    </xf>
    <xf numFmtId="164" fontId="10" fillId="0" borderId="0" xfId="47" applyNumberFormat="1" applyFont="1" applyFill="1" applyBorder="1" applyAlignment="1"/>
    <xf numFmtId="164" fontId="4" fillId="0" borderId="8" xfId="47" applyNumberFormat="1" applyFont="1" applyFill="1" applyBorder="1" applyAlignment="1"/>
    <xf numFmtId="164" fontId="4" fillId="0" borderId="0" xfId="47" applyNumberFormat="1" applyFont="1" applyFill="1" applyBorder="1" applyAlignment="1"/>
    <xf numFmtId="164" fontId="4" fillId="0" borderId="10" xfId="47" applyNumberFormat="1" applyFont="1" applyFill="1" applyBorder="1" applyAlignment="1"/>
    <xf numFmtId="0" fontId="1" fillId="0" borderId="0" xfId="47" applyFont="1" applyFill="1" applyAlignment="1">
      <alignment horizontal="right"/>
    </xf>
    <xf numFmtId="164" fontId="11" fillId="0" borderId="8" xfId="47" applyNumberFormat="1" applyFont="1" applyFill="1" applyBorder="1" applyAlignment="1"/>
    <xf numFmtId="170" fontId="4" fillId="0" borderId="8" xfId="47" applyNumberFormat="1" applyFont="1" applyFill="1" applyBorder="1"/>
    <xf numFmtId="170" fontId="4" fillId="0" borderId="0" xfId="47" applyNumberFormat="1" applyFont="1" applyFill="1" applyBorder="1"/>
    <xf numFmtId="170" fontId="4" fillId="0" borderId="8" xfId="47" applyNumberFormat="1" applyFont="1" applyFill="1" applyBorder="1" applyAlignment="1"/>
    <xf numFmtId="170" fontId="10" fillId="0" borderId="0" xfId="47" applyNumberFormat="1" applyFont="1" applyFill="1" applyBorder="1" applyAlignment="1"/>
    <xf numFmtId="170" fontId="1" fillId="0" borderId="0" xfId="47" applyNumberFormat="1" applyFill="1"/>
    <xf numFmtId="170" fontId="4" fillId="0" borderId="10" xfId="47" applyNumberFormat="1" applyFont="1" applyFill="1" applyBorder="1" applyAlignment="1"/>
    <xf numFmtId="170" fontId="4" fillId="0" borderId="0" xfId="47" applyNumberFormat="1" applyFont="1" applyFill="1" applyBorder="1" applyAlignment="1"/>
    <xf numFmtId="41" fontId="7" fillId="0" borderId="11" xfId="47" applyNumberFormat="1" applyFont="1" applyFill="1" applyBorder="1"/>
    <xf numFmtId="41" fontId="7" fillId="0" borderId="0" xfId="47" applyNumberFormat="1" applyFont="1" applyFill="1" applyBorder="1"/>
    <xf numFmtId="172" fontId="7" fillId="0" borderId="12" xfId="47" applyNumberFormat="1" applyFont="1" applyFill="1" applyBorder="1" applyAlignment="1"/>
    <xf numFmtId="172" fontId="7" fillId="0" borderId="2" xfId="47" applyNumberFormat="1" applyFont="1" applyFill="1" applyBorder="1" applyAlignment="1"/>
    <xf numFmtId="172" fontId="7" fillId="0" borderId="11" xfId="47" applyNumberFormat="1" applyFont="1" applyFill="1" applyBorder="1" applyAlignment="1"/>
    <xf numFmtId="172" fontId="12" fillId="0" borderId="0" xfId="47" applyNumberFormat="1" applyFont="1" applyFill="1" applyBorder="1" applyAlignment="1"/>
    <xf numFmtId="172" fontId="12" fillId="0" borderId="8" xfId="47" applyNumberFormat="1" applyFont="1" applyFill="1" applyBorder="1" applyAlignment="1"/>
    <xf numFmtId="0" fontId="3" fillId="0" borderId="0" xfId="47" applyFont="1" applyFill="1" applyBorder="1"/>
    <xf numFmtId="172" fontId="7" fillId="0" borderId="8" xfId="47" applyNumberFormat="1" applyFont="1" applyFill="1" applyBorder="1" applyAlignment="1">
      <alignment horizontal="left"/>
    </xf>
    <xf numFmtId="172" fontId="7" fillId="0" borderId="10" xfId="47" applyNumberFormat="1" applyFont="1" applyFill="1" applyBorder="1" applyAlignment="1"/>
    <xf numFmtId="172" fontId="7" fillId="0" borderId="0" xfId="47" applyNumberFormat="1" applyFont="1" applyFill="1" applyBorder="1" applyAlignment="1"/>
    <xf numFmtId="172" fontId="7" fillId="0" borderId="8" xfId="47" applyNumberFormat="1" applyFont="1" applyFill="1" applyBorder="1" applyAlignment="1"/>
    <xf numFmtId="0" fontId="1" fillId="0" borderId="0" xfId="47" applyFill="1" applyBorder="1"/>
    <xf numFmtId="170" fontId="4" fillId="0" borderId="8" xfId="47" applyNumberFormat="1" applyFont="1" applyFill="1" applyBorder="1" applyAlignment="1">
      <alignment horizontal="left"/>
    </xf>
    <xf numFmtId="172" fontId="7" fillId="0" borderId="8" xfId="47" applyNumberFormat="1" applyFont="1" applyFill="1" applyBorder="1"/>
    <xf numFmtId="172" fontId="7" fillId="0" borderId="0" xfId="47" applyNumberFormat="1" applyFont="1" applyFill="1" applyBorder="1"/>
    <xf numFmtId="172" fontId="3" fillId="0" borderId="0" xfId="47" applyNumberFormat="1" applyFont="1" applyFill="1"/>
    <xf numFmtId="170" fontId="13" fillId="0" borderId="8" xfId="47" applyNumberFormat="1" applyFont="1" applyFill="1" applyBorder="1"/>
    <xf numFmtId="170" fontId="10" fillId="0" borderId="0" xfId="47" applyNumberFormat="1" applyFont="1" applyFill="1" applyBorder="1"/>
    <xf numFmtId="170" fontId="1" fillId="0" borderId="0" xfId="47" applyNumberFormat="1" applyFont="1" applyFill="1"/>
    <xf numFmtId="172" fontId="7" fillId="0" borderId="11" xfId="47" applyNumberFormat="1" applyFont="1" applyFill="1" applyBorder="1"/>
    <xf numFmtId="172" fontId="7" fillId="0" borderId="8" xfId="55" applyNumberFormat="1" applyFont="1" applyFill="1" applyBorder="1" applyAlignment="1">
      <alignment horizontal="left"/>
    </xf>
    <xf numFmtId="172" fontId="1" fillId="0" borderId="0" xfId="47" applyNumberFormat="1" applyFill="1"/>
    <xf numFmtId="170" fontId="15" fillId="0" borderId="8" xfId="55" applyNumberFormat="1" applyFont="1" applyFill="1" applyBorder="1" applyAlignment="1">
      <alignment horizontal="left" indent="1"/>
    </xf>
    <xf numFmtId="170" fontId="4" fillId="0" borderId="0" xfId="47" applyNumberFormat="1" applyFont="1" applyFill="1" applyBorder="1" applyAlignment="1">
      <alignment vertical="center"/>
    </xf>
    <xf numFmtId="170" fontId="10" fillId="0" borderId="0" xfId="47" applyNumberFormat="1" applyFont="1" applyFill="1" applyBorder="1" applyAlignment="1">
      <alignment vertical="center"/>
    </xf>
    <xf numFmtId="170" fontId="4" fillId="0" borderId="8" xfId="47" applyNumberFormat="1" applyFont="1" applyFill="1" applyBorder="1" applyAlignment="1">
      <alignment vertical="center"/>
    </xf>
    <xf numFmtId="172" fontId="7" fillId="0" borderId="8" xfId="55" applyNumberFormat="1" applyFont="1" applyFill="1" applyBorder="1" applyAlignment="1">
      <alignment vertical="center"/>
    </xf>
    <xf numFmtId="172" fontId="7" fillId="0" borderId="0" xfId="47" applyNumberFormat="1" applyFont="1" applyFill="1" applyBorder="1" applyAlignment="1">
      <alignment vertical="center"/>
    </xf>
    <xf numFmtId="172" fontId="7" fillId="0" borderId="10" xfId="47" applyNumberFormat="1" applyFont="1" applyFill="1" applyBorder="1" applyAlignment="1">
      <alignment vertical="center"/>
    </xf>
    <xf numFmtId="172" fontId="7" fillId="0" borderId="8" xfId="47" applyNumberFormat="1" applyFont="1" applyFill="1" applyBorder="1" applyAlignment="1">
      <alignment vertical="center"/>
    </xf>
    <xf numFmtId="172" fontId="12" fillId="0" borderId="0" xfId="47" applyNumberFormat="1" applyFont="1" applyFill="1" applyBorder="1" applyAlignment="1">
      <alignment vertical="center"/>
    </xf>
    <xf numFmtId="170" fontId="15" fillId="0" borderId="0" xfId="47" applyNumberFormat="1" applyFont="1" applyFill="1" applyBorder="1"/>
    <xf numFmtId="170" fontId="15" fillId="0" borderId="10" xfId="47" applyNumberFormat="1" applyFont="1" applyFill="1" applyBorder="1" applyAlignment="1"/>
    <xf numFmtId="170" fontId="15" fillId="0" borderId="0" xfId="47" applyNumberFormat="1" applyFont="1" applyFill="1" applyBorder="1" applyAlignment="1"/>
    <xf numFmtId="170" fontId="15" fillId="0" borderId="8" xfId="47" applyNumberFormat="1" applyFont="1" applyFill="1" applyBorder="1" applyAlignment="1"/>
    <xf numFmtId="170" fontId="16" fillId="0" borderId="0" xfId="47" applyNumberFormat="1" applyFont="1" applyFill="1" applyBorder="1" applyAlignment="1"/>
    <xf numFmtId="170" fontId="4" fillId="0" borderId="8" xfId="55" applyNumberFormat="1" applyFont="1" applyFill="1" applyBorder="1"/>
    <xf numFmtId="170" fontId="7" fillId="0" borderId="0" xfId="47" applyNumberFormat="1" applyFont="1" applyFill="1" applyBorder="1"/>
    <xf numFmtId="170" fontId="12" fillId="0" borderId="0" xfId="47" applyNumberFormat="1" applyFont="1" applyFill="1" applyBorder="1" applyAlignment="1"/>
    <xf numFmtId="0" fontId="4" fillId="0" borderId="0" xfId="47" applyFont="1"/>
    <xf numFmtId="37" fontId="4" fillId="0" borderId="8" xfId="47" applyNumberFormat="1" applyFont="1" applyFill="1" applyBorder="1" applyAlignment="1"/>
    <xf numFmtId="37" fontId="12" fillId="0" borderId="0" xfId="47" applyNumberFormat="1" applyFont="1" applyFill="1" applyBorder="1" applyAlignment="1"/>
    <xf numFmtId="37" fontId="4" fillId="0" borderId="0" xfId="47" applyNumberFormat="1" applyFont="1" applyFill="1" applyBorder="1" applyAlignment="1"/>
    <xf numFmtId="37" fontId="4" fillId="0" borderId="10" xfId="47" applyNumberFormat="1" applyFont="1" applyFill="1" applyBorder="1" applyAlignment="1"/>
    <xf numFmtId="170" fontId="4" fillId="0" borderId="11" xfId="47" applyNumberFormat="1" applyFont="1" applyFill="1" applyBorder="1"/>
    <xf numFmtId="170" fontId="10" fillId="0" borderId="12" xfId="47" applyNumberFormat="1" applyFont="1" applyFill="1" applyBorder="1"/>
    <xf numFmtId="170" fontId="13" fillId="0" borderId="11" xfId="47" applyNumberFormat="1" applyFont="1" applyFill="1" applyBorder="1"/>
    <xf numFmtId="37" fontId="4" fillId="0" borderId="11" xfId="47" applyNumberFormat="1" applyFont="1" applyFill="1" applyBorder="1" applyAlignment="1"/>
    <xf numFmtId="37" fontId="10" fillId="0" borderId="0" xfId="47" applyNumberFormat="1" applyFont="1" applyFill="1" applyBorder="1" applyAlignment="1"/>
    <xf numFmtId="0" fontId="15" fillId="0" borderId="3" xfId="47" applyFont="1" applyFill="1" applyBorder="1"/>
    <xf numFmtId="41" fontId="15" fillId="0" borderId="0" xfId="47" applyNumberFormat="1" applyFont="1" applyFill="1" applyBorder="1"/>
    <xf numFmtId="175" fontId="6" fillId="0" borderId="4" xfId="47" applyNumberFormat="1" applyFont="1" applyFill="1" applyBorder="1"/>
    <xf numFmtId="175" fontId="6" fillId="0" borderId="5" xfId="47" applyNumberFormat="1" applyFont="1" applyFill="1" applyBorder="1"/>
    <xf numFmtId="175" fontId="6" fillId="0" borderId="3" xfId="47" applyNumberFormat="1" applyFont="1" applyFill="1" applyBorder="1"/>
    <xf numFmtId="175" fontId="16" fillId="0" borderId="5" xfId="47" applyNumberFormat="1" applyFont="1" applyFill="1" applyBorder="1"/>
    <xf numFmtId="175" fontId="6" fillId="0" borderId="4" xfId="47" applyNumberFormat="1" applyFont="1" applyFill="1" applyBorder="1" applyAlignment="1"/>
    <xf numFmtId="175" fontId="15" fillId="0" borderId="3" xfId="47" applyNumberFormat="1" applyFont="1" applyFill="1" applyBorder="1" applyAlignment="1"/>
    <xf numFmtId="175" fontId="16" fillId="0" borderId="0" xfId="47" applyNumberFormat="1" applyFont="1" applyFill="1" applyBorder="1" applyAlignment="1"/>
    <xf numFmtId="0" fontId="17" fillId="0" borderId="0" xfId="47" applyFont="1" applyFill="1"/>
    <xf numFmtId="0" fontId="15" fillId="4" borderId="0" xfId="47" applyFont="1" applyFill="1" applyBorder="1"/>
    <xf numFmtId="9" fontId="10" fillId="4" borderId="0" xfId="59" applyFont="1" applyFill="1" applyBorder="1" applyAlignment="1"/>
    <xf numFmtId="176" fontId="10" fillId="0" borderId="0" xfId="47" applyNumberFormat="1" applyFont="1" applyFill="1" applyBorder="1" applyAlignment="1"/>
    <xf numFmtId="169" fontId="10" fillId="4" borderId="0" xfId="47" applyNumberFormat="1" applyFont="1" applyFill="1" applyBorder="1" applyAlignment="1"/>
    <xf numFmtId="43" fontId="10" fillId="4" borderId="0" xfId="36" applyFont="1" applyFill="1" applyBorder="1" applyAlignment="1"/>
    <xf numFmtId="0" fontId="9" fillId="5" borderId="3" xfId="55" applyFont="1" applyFill="1" applyBorder="1"/>
    <xf numFmtId="0" fontId="18" fillId="0" borderId="0" xfId="47" applyFont="1" applyFill="1" applyBorder="1"/>
    <xf numFmtId="0" fontId="9" fillId="0" borderId="0" xfId="47" applyFont="1" applyFill="1" applyBorder="1" applyAlignment="1">
      <alignment horizontal="right"/>
    </xf>
    <xf numFmtId="0" fontId="19" fillId="0" borderId="0" xfId="47" applyFont="1" applyFill="1"/>
    <xf numFmtId="0" fontId="15" fillId="0" borderId="8" xfId="55" applyFont="1" applyFill="1" applyBorder="1" applyAlignment="1"/>
    <xf numFmtId="0" fontId="20" fillId="0" borderId="0" xfId="47" applyFont="1" applyFill="1" applyBorder="1"/>
    <xf numFmtId="165" fontId="6" fillId="0" borderId="10" xfId="47" applyNumberFormat="1" applyFont="1" applyFill="1" applyBorder="1" applyAlignment="1"/>
    <xf numFmtId="165" fontId="6" fillId="0" borderId="0" xfId="47" applyNumberFormat="1" applyFont="1" applyFill="1" applyBorder="1" applyAlignment="1"/>
    <xf numFmtId="165" fontId="15" fillId="0" borderId="8" xfId="47" applyNumberFormat="1" applyFont="1" applyFill="1" applyBorder="1" applyAlignment="1"/>
    <xf numFmtId="0" fontId="21" fillId="0" borderId="0" xfId="47" applyFont="1" applyFill="1" applyBorder="1" applyAlignment="1"/>
    <xf numFmtId="165" fontId="17" fillId="0" borderId="0" xfId="59" applyNumberFormat="1" applyFont="1" applyFill="1"/>
    <xf numFmtId="0" fontId="4" fillId="0" borderId="8" xfId="55" applyFont="1" applyFill="1" applyBorder="1" applyAlignment="1"/>
    <xf numFmtId="165" fontId="13" fillId="0" borderId="10" xfId="47" applyNumberFormat="1" applyFont="1" applyFill="1" applyBorder="1" applyAlignment="1"/>
    <xf numFmtId="165" fontId="13" fillId="0" borderId="0" xfId="47" applyNumberFormat="1" applyFont="1" applyFill="1" applyBorder="1" applyAlignment="1"/>
    <xf numFmtId="165" fontId="4" fillId="0" borderId="8" xfId="47" applyNumberFormat="1" applyFont="1" applyFill="1" applyBorder="1" applyAlignment="1"/>
    <xf numFmtId="0" fontId="9" fillId="0" borderId="0" xfId="47" applyFont="1" applyFill="1" applyBorder="1" applyAlignment="1"/>
    <xf numFmtId="0" fontId="22" fillId="0" borderId="0" xfId="47" applyFont="1" applyFill="1" applyBorder="1" applyAlignment="1"/>
    <xf numFmtId="0" fontId="1" fillId="0" borderId="0" xfId="47" applyFont="1" applyFill="1"/>
    <xf numFmtId="165" fontId="15" fillId="0" borderId="0" xfId="59" applyNumberFormat="1" applyFont="1" applyFill="1" applyBorder="1"/>
    <xf numFmtId="165" fontId="17" fillId="0" borderId="0" xfId="59" applyNumberFormat="1" applyFont="1" applyFill="1" applyBorder="1" applyAlignment="1"/>
    <xf numFmtId="165" fontId="7" fillId="0" borderId="0" xfId="59" applyNumberFormat="1" applyFont="1" applyFill="1" applyBorder="1" applyAlignment="1"/>
    <xf numFmtId="165" fontId="17" fillId="0" borderId="0" xfId="59" applyNumberFormat="1" applyFont="1" applyFill="1" applyBorder="1"/>
    <xf numFmtId="0" fontId="1" fillId="0" borderId="0" xfId="47" applyFont="1" applyFill="1" applyBorder="1"/>
    <xf numFmtId="172" fontId="10" fillId="0" borderId="0" xfId="47" applyNumberFormat="1" applyFont="1" applyFill="1" applyBorder="1" applyAlignment="1"/>
    <xf numFmtId="165" fontId="15" fillId="0" borderId="0" xfId="59" applyNumberFormat="1" applyFont="1" applyFill="1" applyBorder="1" applyAlignment="1"/>
    <xf numFmtId="165" fontId="17" fillId="0" borderId="8" xfId="59" applyNumberFormat="1" applyFont="1" applyFill="1" applyBorder="1" applyAlignment="1"/>
    <xf numFmtId="165" fontId="15" fillId="0" borderId="8" xfId="59" applyNumberFormat="1" applyFont="1" applyFill="1" applyBorder="1" applyAlignment="1">
      <alignment horizontal="left" indent="2"/>
    </xf>
    <xf numFmtId="165" fontId="15" fillId="0" borderId="10" xfId="59" applyNumberFormat="1" applyFont="1" applyFill="1" applyBorder="1" applyAlignment="1"/>
    <xf numFmtId="165" fontId="15" fillId="0" borderId="8" xfId="59" applyNumberFormat="1" applyFont="1" applyFill="1" applyBorder="1" applyAlignment="1"/>
    <xf numFmtId="43" fontId="7" fillId="0" borderId="8" xfId="36" applyFont="1" applyFill="1" applyBorder="1"/>
    <xf numFmtId="43" fontId="7" fillId="0" borderId="0" xfId="36" applyFont="1" applyFill="1" applyBorder="1"/>
    <xf numFmtId="177" fontId="11" fillId="0" borderId="10" xfId="59" applyNumberFormat="1" applyFont="1" applyFill="1" applyBorder="1" applyAlignment="1"/>
    <xf numFmtId="177" fontId="11" fillId="0" borderId="0" xfId="59" applyNumberFormat="1" applyFont="1" applyFill="1" applyBorder="1" applyAlignment="1"/>
    <xf numFmtId="177" fontId="11" fillId="0" borderId="8" xfId="59" applyNumberFormat="1" applyFont="1" applyFill="1" applyBorder="1" applyAlignment="1"/>
    <xf numFmtId="43" fontId="3" fillId="0" borderId="0" xfId="36" applyFont="1" applyFill="1"/>
    <xf numFmtId="0" fontId="4" fillId="0" borderId="3" xfId="55" applyFont="1" applyFill="1" applyBorder="1" applyAlignment="1"/>
    <xf numFmtId="165" fontId="4" fillId="0" borderId="5" xfId="47" applyNumberFormat="1" applyFont="1" applyFill="1" applyBorder="1"/>
    <xf numFmtId="165" fontId="13" fillId="0" borderId="4" xfId="47" applyNumberFormat="1" applyFont="1" applyFill="1" applyBorder="1" applyAlignment="1"/>
    <xf numFmtId="165" fontId="4" fillId="0" borderId="5" xfId="47" applyNumberFormat="1" applyFont="1" applyFill="1" applyBorder="1" applyAlignment="1"/>
    <xf numFmtId="165" fontId="4" fillId="0" borderId="3" xfId="47" applyNumberFormat="1" applyFont="1" applyFill="1" applyBorder="1" applyAlignment="1"/>
    <xf numFmtId="165" fontId="10" fillId="0" borderId="5" xfId="47" applyNumberFormat="1" applyFont="1" applyFill="1" applyBorder="1" applyAlignment="1"/>
    <xf numFmtId="165" fontId="4" fillId="0" borderId="7" xfId="47" applyNumberFormat="1" applyFont="1" applyFill="1" applyBorder="1" applyAlignment="1"/>
    <xf numFmtId="165" fontId="1" fillId="0" borderId="0" xfId="47" applyNumberFormat="1" applyFont="1" applyFill="1"/>
    <xf numFmtId="165" fontId="23" fillId="0" borderId="0" xfId="59" applyNumberFormat="1" applyFont="1" applyFill="1" applyBorder="1" applyAlignment="1"/>
    <xf numFmtId="177" fontId="11" fillId="0" borderId="0" xfId="59" applyNumberFormat="1" applyFont="1" applyFill="1" applyBorder="1" applyAlignment="1">
      <alignment horizontal="center"/>
    </xf>
    <xf numFmtId="172" fontId="4" fillId="0" borderId="0" xfId="47" applyNumberFormat="1" applyFont="1" applyFill="1" applyBorder="1" applyAlignment="1"/>
    <xf numFmtId="165" fontId="23" fillId="0" borderId="0" xfId="59" applyNumberFormat="1" applyFont="1" applyFill="1" applyBorder="1"/>
    <xf numFmtId="165" fontId="16" fillId="0" borderId="0" xfId="59" applyNumberFormat="1" applyFont="1" applyFill="1" applyBorder="1" applyAlignment="1"/>
    <xf numFmtId="43" fontId="7" fillId="0" borderId="6" xfId="36" applyFont="1" applyFill="1" applyBorder="1"/>
    <xf numFmtId="165" fontId="15" fillId="0" borderId="13" xfId="59" applyNumberFormat="1" applyFont="1" applyFill="1" applyBorder="1"/>
    <xf numFmtId="177" fontId="4" fillId="0" borderId="9" xfId="59" applyNumberFormat="1" applyFont="1" applyFill="1" applyBorder="1" applyAlignment="1"/>
    <xf numFmtId="177" fontId="4" fillId="0" borderId="13" xfId="59" applyNumberFormat="1" applyFont="1" applyFill="1" applyBorder="1" applyAlignment="1"/>
    <xf numFmtId="177" fontId="4" fillId="0" borderId="6" xfId="59" applyNumberFormat="1" applyFont="1" applyFill="1" applyBorder="1" applyAlignment="1"/>
    <xf numFmtId="165" fontId="17" fillId="0" borderId="13" xfId="59" applyNumberFormat="1" applyFont="1" applyFill="1" applyBorder="1" applyAlignment="1"/>
    <xf numFmtId="165" fontId="23" fillId="0" borderId="13" xfId="59" applyNumberFormat="1" applyFont="1" applyFill="1" applyBorder="1" applyAlignment="1"/>
    <xf numFmtId="43" fontId="15" fillId="0" borderId="11" xfId="36" applyFont="1" applyFill="1" applyBorder="1"/>
    <xf numFmtId="43" fontId="15" fillId="0" borderId="2" xfId="36" applyFont="1" applyFill="1" applyBorder="1"/>
    <xf numFmtId="165" fontId="6" fillId="0" borderId="12" xfId="36" applyNumberFormat="1" applyFont="1" applyFill="1" applyBorder="1" applyAlignment="1"/>
    <xf numFmtId="165" fontId="15" fillId="0" borderId="2" xfId="36" applyNumberFormat="1" applyFont="1" applyFill="1" applyBorder="1" applyAlignment="1"/>
    <xf numFmtId="165" fontId="15" fillId="0" borderId="11" xfId="36" applyNumberFormat="1" applyFont="1" applyFill="1" applyBorder="1" applyAlignment="1"/>
    <xf numFmtId="43" fontId="15" fillId="0" borderId="2" xfId="36" applyFont="1" applyFill="1" applyBorder="1" applyAlignment="1"/>
    <xf numFmtId="43" fontId="16" fillId="0" borderId="2" xfId="36" applyFont="1" applyFill="1" applyBorder="1" applyAlignment="1"/>
    <xf numFmtId="43" fontId="17" fillId="0" borderId="0" xfId="36" applyFont="1" applyFill="1"/>
    <xf numFmtId="165" fontId="4" fillId="0" borderId="5" xfId="59" applyNumberFormat="1" applyFont="1" applyFill="1" applyBorder="1"/>
    <xf numFmtId="165" fontId="13" fillId="0" borderId="4" xfId="59" applyNumberFormat="1" applyFont="1" applyFill="1" applyBorder="1" applyAlignment="1"/>
    <xf numFmtId="165" fontId="4" fillId="0" borderId="5" xfId="59" applyNumberFormat="1" applyFont="1" applyFill="1" applyBorder="1" applyAlignment="1"/>
    <xf numFmtId="165" fontId="4" fillId="0" borderId="7" xfId="59" applyNumberFormat="1" applyFont="1" applyFill="1" applyBorder="1" applyAlignment="1"/>
    <xf numFmtId="165" fontId="4" fillId="0" borderId="3" xfId="59" applyNumberFormat="1" applyFont="1" applyFill="1" applyBorder="1" applyAlignment="1"/>
    <xf numFmtId="165" fontId="10" fillId="0" borderId="5" xfId="59" applyNumberFormat="1" applyFont="1" applyFill="1" applyBorder="1" applyAlignment="1"/>
    <xf numFmtId="165" fontId="1" fillId="0" borderId="0" xfId="59" applyNumberFormat="1" applyFont="1" applyFill="1"/>
    <xf numFmtId="0" fontId="1" fillId="0" borderId="0" xfId="47" applyFont="1" applyFill="1" applyBorder="1" applyAlignment="1"/>
    <xf numFmtId="165" fontId="23" fillId="0" borderId="8" xfId="59" applyNumberFormat="1" applyFont="1" applyFill="1" applyBorder="1" applyAlignment="1"/>
    <xf numFmtId="172" fontId="4" fillId="0" borderId="0" xfId="47" applyNumberFormat="1" applyFont="1" applyFill="1" applyBorder="1" applyAlignment="1">
      <alignment horizontal="right"/>
    </xf>
    <xf numFmtId="172" fontId="10" fillId="0" borderId="8" xfId="47" applyNumberFormat="1" applyFont="1" applyFill="1" applyBorder="1" applyAlignment="1">
      <alignment horizontal="right"/>
    </xf>
    <xf numFmtId="172" fontId="10" fillId="0" borderId="8" xfId="47" applyNumberFormat="1" applyFont="1" applyFill="1" applyBorder="1" applyAlignment="1"/>
    <xf numFmtId="165" fontId="15" fillId="0" borderId="10" xfId="59" applyNumberFormat="1" applyFont="1" applyFill="1" applyBorder="1" applyAlignment="1">
      <alignment horizontal="right"/>
    </xf>
    <xf numFmtId="165" fontId="17" fillId="0" borderId="11" xfId="59" applyNumberFormat="1" applyFont="1" applyFill="1" applyBorder="1" applyAlignment="1"/>
    <xf numFmtId="43" fontId="7" fillId="0" borderId="13" xfId="36" applyFont="1" applyFill="1" applyBorder="1"/>
    <xf numFmtId="172" fontId="7" fillId="0" borderId="9" xfId="36" applyNumberFormat="1" applyFont="1" applyFill="1" applyBorder="1" applyAlignment="1"/>
    <xf numFmtId="172" fontId="7" fillId="0" borderId="13" xfId="36" applyNumberFormat="1" applyFont="1" applyFill="1" applyBorder="1" applyAlignment="1"/>
    <xf numFmtId="172" fontId="7" fillId="0" borderId="14" xfId="36" applyNumberFormat="1" applyFont="1" applyFill="1" applyBorder="1" applyAlignment="1"/>
    <xf numFmtId="172" fontId="7" fillId="0" borderId="6" xfId="36" applyNumberFormat="1" applyFont="1" applyFill="1" applyBorder="1" applyAlignment="1"/>
    <xf numFmtId="43" fontId="7" fillId="0" borderId="13" xfId="36" applyFont="1" applyFill="1" applyBorder="1" applyAlignment="1"/>
    <xf numFmtId="43" fontId="12" fillId="0" borderId="13" xfId="36" applyFont="1" applyFill="1" applyBorder="1" applyAlignment="1"/>
    <xf numFmtId="165" fontId="15" fillId="0" borderId="11" xfId="59" applyNumberFormat="1" applyFont="1" applyFill="1" applyBorder="1" applyAlignment="1">
      <alignment horizontal="left" indent="2"/>
    </xf>
    <xf numFmtId="165" fontId="15" fillId="0" borderId="15" xfId="36" applyNumberFormat="1" applyFont="1" applyFill="1" applyBorder="1" applyAlignment="1"/>
    <xf numFmtId="165" fontId="4" fillId="0" borderId="0" xfId="47" applyNumberFormat="1" applyFont="1" applyFill="1" applyBorder="1"/>
    <xf numFmtId="165" fontId="4" fillId="0" borderId="0" xfId="47" applyNumberFormat="1" applyFont="1" applyFill="1" applyBorder="1" applyAlignment="1"/>
    <xf numFmtId="165" fontId="4" fillId="0" borderId="16" xfId="47" applyNumberFormat="1" applyFont="1" applyFill="1" applyBorder="1" applyAlignment="1"/>
    <xf numFmtId="165" fontId="4" fillId="0" borderId="16" xfId="59" applyNumberFormat="1" applyFont="1" applyFill="1" applyBorder="1" applyAlignment="1"/>
    <xf numFmtId="165" fontId="4" fillId="0" borderId="8" xfId="59" applyNumberFormat="1" applyFont="1" applyFill="1" applyBorder="1" applyAlignment="1"/>
    <xf numFmtId="165" fontId="10" fillId="0" borderId="6" xfId="47" applyNumberFormat="1" applyFont="1" applyFill="1" applyBorder="1" applyAlignment="1"/>
    <xf numFmtId="165" fontId="10" fillId="0" borderId="0" xfId="47" applyNumberFormat="1" applyFont="1" applyFill="1" applyBorder="1" applyAlignment="1"/>
    <xf numFmtId="0" fontId="22" fillId="0" borderId="8" xfId="47" applyFont="1" applyFill="1" applyBorder="1" applyAlignment="1"/>
    <xf numFmtId="165" fontId="15" fillId="0" borderId="0" xfId="59" applyNumberFormat="1" applyFont="1" applyFill="1" applyBorder="1" applyAlignment="1">
      <alignment horizontal="center"/>
    </xf>
    <xf numFmtId="177" fontId="12" fillId="0" borderId="13" xfId="36" applyNumberFormat="1" applyFont="1" applyFill="1" applyBorder="1" applyAlignment="1"/>
    <xf numFmtId="43" fontId="3" fillId="0" borderId="0" xfId="36" applyFont="1" applyFill="1" applyBorder="1"/>
    <xf numFmtId="165" fontId="6" fillId="0" borderId="2" xfId="36" applyNumberFormat="1" applyFont="1" applyFill="1" applyBorder="1" applyAlignment="1"/>
    <xf numFmtId="165" fontId="6" fillId="0" borderId="11" xfId="36" applyNumberFormat="1" applyFont="1" applyFill="1" applyBorder="1" applyAlignment="1"/>
    <xf numFmtId="43" fontId="17" fillId="0" borderId="0" xfId="36" applyFont="1" applyFill="1" applyBorder="1"/>
    <xf numFmtId="0" fontId="7" fillId="0" borderId="0" xfId="47" applyFont="1" applyFill="1" applyBorder="1"/>
    <xf numFmtId="165" fontId="4" fillId="0" borderId="10" xfId="59" applyNumberFormat="1" applyFont="1" applyFill="1" applyBorder="1" applyAlignment="1"/>
    <xf numFmtId="165" fontId="4" fillId="0" borderId="0" xfId="59" applyNumberFormat="1" applyFont="1" applyFill="1" applyBorder="1" applyAlignment="1"/>
    <xf numFmtId="165" fontId="4" fillId="0" borderId="8" xfId="59" applyNumberFormat="1" applyFont="1" applyFill="1" applyBorder="1"/>
    <xf numFmtId="165" fontId="10" fillId="0" borderId="0" xfId="59" applyNumberFormat="1" applyFont="1" applyFill="1" applyBorder="1" applyAlignment="1"/>
    <xf numFmtId="165" fontId="1" fillId="0" borderId="0" xfId="59" applyNumberFormat="1" applyFont="1" applyFill="1" applyAlignment="1">
      <alignment horizontal="center"/>
    </xf>
    <xf numFmtId="165" fontId="4" fillId="0" borderId="10" xfId="47" applyNumberFormat="1" applyFont="1" applyFill="1" applyBorder="1" applyAlignment="1"/>
    <xf numFmtId="7" fontId="4" fillId="0" borderId="11" xfId="47" applyNumberFormat="1" applyFont="1" applyFill="1" applyBorder="1" applyAlignment="1">
      <alignment horizontal="left" vertical="center"/>
    </xf>
    <xf numFmtId="165" fontId="15" fillId="0" borderId="2" xfId="59" applyNumberFormat="1" applyFont="1" applyFill="1" applyBorder="1"/>
    <xf numFmtId="165" fontId="4" fillId="0" borderId="12" xfId="59" applyNumberFormat="1" applyFont="1" applyFill="1" applyBorder="1" applyAlignment="1"/>
    <xf numFmtId="165" fontId="4" fillId="0" borderId="2" xfId="59" applyNumberFormat="1" applyFont="1" applyFill="1" applyBorder="1" applyAlignment="1"/>
    <xf numFmtId="165" fontId="4" fillId="0" borderId="11" xfId="59" applyNumberFormat="1" applyFont="1" applyFill="1" applyBorder="1" applyAlignment="1"/>
    <xf numFmtId="7" fontId="4" fillId="0" borderId="13" xfId="47" applyNumberFormat="1" applyFont="1" applyFill="1" applyBorder="1" applyAlignment="1">
      <alignment horizontal="left" vertical="center"/>
    </xf>
    <xf numFmtId="165" fontId="4" fillId="0" borderId="13" xfId="59" applyNumberFormat="1" applyFont="1" applyFill="1" applyBorder="1" applyAlignment="1"/>
    <xf numFmtId="0" fontId="7" fillId="0" borderId="2" xfId="47" applyFont="1" applyFill="1" applyBorder="1"/>
    <xf numFmtId="169" fontId="10" fillId="0" borderId="2" xfId="47" applyNumberFormat="1" applyFont="1" applyFill="1" applyBorder="1" applyAlignment="1"/>
    <xf numFmtId="0" fontId="1" fillId="0" borderId="2" xfId="47" applyBorder="1"/>
    <xf numFmtId="172" fontId="4" fillId="0" borderId="8" xfId="47" applyNumberFormat="1" applyFont="1" applyFill="1" applyBorder="1" applyAlignment="1">
      <alignment horizontal="left"/>
    </xf>
    <xf numFmtId="172" fontId="4" fillId="0" borderId="0" xfId="47" applyNumberFormat="1" applyFont="1" applyFill="1" applyBorder="1"/>
    <xf numFmtId="172" fontId="4" fillId="0" borderId="8" xfId="47" applyNumberFormat="1" applyFont="1" applyFill="1" applyBorder="1" applyAlignment="1"/>
    <xf numFmtId="165" fontId="15" fillId="0" borderId="8" xfId="59" applyNumberFormat="1" applyFont="1" applyFill="1" applyBorder="1" applyAlignment="1">
      <alignment horizontal="left" indent="1"/>
    </xf>
    <xf numFmtId="172" fontId="4" fillId="0" borderId="8" xfId="47" applyNumberFormat="1" applyFont="1" applyFill="1" applyBorder="1"/>
    <xf numFmtId="172" fontId="11" fillId="0" borderId="0" xfId="47" applyNumberFormat="1" applyFont="1" applyFill="1" applyBorder="1" applyAlignment="1"/>
    <xf numFmtId="170" fontId="4" fillId="0" borderId="8" xfId="47" applyNumberFormat="1" applyFont="1" applyFill="1" applyBorder="1" applyAlignment="1">
      <alignment horizontal="left" indent="1"/>
    </xf>
    <xf numFmtId="170" fontId="10" fillId="0" borderId="16" xfId="36" applyNumberFormat="1" applyFont="1" applyFill="1" applyBorder="1" applyAlignment="1"/>
    <xf numFmtId="170" fontId="4" fillId="0" borderId="8" xfId="36" applyNumberFormat="1" applyFont="1" applyFill="1" applyBorder="1" applyAlignment="1"/>
    <xf numFmtId="170" fontId="4" fillId="0" borderId="0" xfId="36" applyNumberFormat="1" applyFont="1" applyFill="1" applyBorder="1" applyAlignment="1"/>
    <xf numFmtId="170" fontId="4" fillId="0" borderId="16" xfId="36" applyNumberFormat="1" applyFont="1" applyFill="1" applyBorder="1" applyAlignment="1"/>
    <xf numFmtId="170" fontId="10" fillId="0" borderId="0" xfId="36" applyNumberFormat="1" applyFont="1" applyFill="1" applyBorder="1" applyAlignment="1"/>
    <xf numFmtId="172" fontId="12" fillId="0" borderId="0" xfId="47" applyNumberFormat="1" applyFont="1" applyFill="1" applyBorder="1"/>
    <xf numFmtId="172" fontId="7" fillId="0" borderId="10" xfId="36" applyNumberFormat="1" applyFont="1" applyFill="1" applyBorder="1" applyAlignment="1"/>
    <xf numFmtId="172" fontId="7" fillId="0" borderId="16" xfId="47" applyNumberFormat="1" applyFont="1" applyFill="1" applyBorder="1" applyAlignment="1"/>
    <xf numFmtId="172" fontId="7" fillId="0" borderId="8" xfId="36" applyNumberFormat="1" applyFont="1" applyFill="1" applyBorder="1" applyAlignment="1"/>
    <xf numFmtId="0" fontId="4" fillId="0" borderId="11" xfId="47" applyFont="1" applyFill="1" applyBorder="1"/>
    <xf numFmtId="169" fontId="10" fillId="0" borderId="11" xfId="47" applyNumberFormat="1" applyFont="1" applyFill="1" applyBorder="1" applyAlignment="1"/>
    <xf numFmtId="169" fontId="10" fillId="0" borderId="0" xfId="47" applyNumberFormat="1" applyFont="1" applyFill="1" applyBorder="1" applyAlignment="1"/>
    <xf numFmtId="168" fontId="9" fillId="5" borderId="4" xfId="47" applyNumberFormat="1" applyFont="1" applyFill="1" applyBorder="1" applyAlignment="1">
      <alignment horizontal="right"/>
    </xf>
    <xf numFmtId="168" fontId="9" fillId="5" borderId="5" xfId="47" applyNumberFormat="1" applyFont="1" applyFill="1" applyBorder="1" applyAlignment="1">
      <alignment horizontal="right"/>
    </xf>
    <xf numFmtId="168" fontId="9" fillId="5" borderId="7" xfId="47" applyNumberFormat="1" applyFont="1" applyFill="1" applyBorder="1" applyAlignment="1">
      <alignment horizontal="right"/>
    </xf>
    <xf numFmtId="168" fontId="9" fillId="5" borderId="3" xfId="47" applyNumberFormat="1" applyFont="1" applyFill="1" applyBorder="1" applyAlignment="1">
      <alignment horizontal="right"/>
    </xf>
    <xf numFmtId="168" fontId="9" fillId="0" borderId="0" xfId="47" applyNumberFormat="1" applyFont="1" applyFill="1" applyBorder="1" applyAlignment="1">
      <alignment horizontal="right"/>
    </xf>
    <xf numFmtId="0" fontId="1" fillId="0" borderId="0" xfId="47" applyFont="1" applyFill="1" applyAlignment="1"/>
    <xf numFmtId="171" fontId="4" fillId="0" borderId="0" xfId="36" applyNumberFormat="1" applyFont="1" applyFill="1" applyBorder="1" applyAlignment="1">
      <alignment horizontal="left" indent="1"/>
    </xf>
    <xf numFmtId="171" fontId="10" fillId="0" borderId="16" xfId="36" applyNumberFormat="1" applyFont="1" applyFill="1" applyBorder="1" applyAlignment="1"/>
    <xf numFmtId="171" fontId="10" fillId="0" borderId="0" xfId="36" applyNumberFormat="1" applyFont="1" applyFill="1" applyBorder="1" applyAlignment="1"/>
    <xf numFmtId="9" fontId="15" fillId="0" borderId="0" xfId="59" quotePrefix="1" applyFont="1" applyFill="1" applyBorder="1" applyAlignment="1">
      <alignment horizontal="right"/>
    </xf>
    <xf numFmtId="171" fontId="10" fillId="0" borderId="0" xfId="36" applyNumberFormat="1" applyFont="1" applyFill="1" applyBorder="1"/>
    <xf numFmtId="171" fontId="4" fillId="0" borderId="0" xfId="36" applyNumberFormat="1" applyFont="1" applyFill="1" applyBorder="1" applyAlignment="1"/>
    <xf numFmtId="171" fontId="4" fillId="0" borderId="0" xfId="36" applyNumberFormat="1" applyFont="1" applyFill="1" applyBorder="1"/>
    <xf numFmtId="171" fontId="4" fillId="0" borderId="8" xfId="36" applyNumberFormat="1" applyFont="1" applyFill="1" applyBorder="1" applyAlignment="1">
      <alignment horizontal="left" indent="1"/>
    </xf>
    <xf numFmtId="171" fontId="10" fillId="0" borderId="10" xfId="36" applyNumberFormat="1" applyFont="1" applyFill="1" applyBorder="1" applyAlignment="1"/>
    <xf numFmtId="164" fontId="4" fillId="0" borderId="16" xfId="47" applyNumberFormat="1" applyFont="1" applyFill="1" applyBorder="1" applyAlignment="1"/>
    <xf numFmtId="171" fontId="10" fillId="0" borderId="12" xfId="36" applyNumberFormat="1" applyFont="1" applyFill="1" applyBorder="1" applyAlignment="1"/>
    <xf numFmtId="171" fontId="10" fillId="0" borderId="15" xfId="36" applyNumberFormat="1" applyFont="1" applyFill="1" applyBorder="1" applyAlignment="1"/>
    <xf numFmtId="171" fontId="10" fillId="0" borderId="2" xfId="36" applyNumberFormat="1" applyFont="1" applyFill="1" applyBorder="1" applyAlignment="1"/>
    <xf numFmtId="171" fontId="7" fillId="0" borderId="0" xfId="36" applyNumberFormat="1" applyFont="1" applyFill="1" applyBorder="1"/>
    <xf numFmtId="171" fontId="12" fillId="0" borderId="0" xfId="36" applyNumberFormat="1" applyFont="1" applyFill="1" applyBorder="1" applyAlignment="1"/>
    <xf numFmtId="171" fontId="7" fillId="0" borderId="0" xfId="36" applyNumberFormat="1" applyFont="1" applyFill="1" applyBorder="1" applyAlignment="1"/>
    <xf numFmtId="0" fontId="15" fillId="4" borderId="16" xfId="47" applyFont="1" applyFill="1" applyBorder="1"/>
    <xf numFmtId="0" fontId="7" fillId="0" borderId="6" xfId="47" applyFont="1" applyFill="1" applyBorder="1"/>
    <xf numFmtId="168" fontId="7" fillId="0" borderId="9" xfId="47" applyNumberFormat="1" applyFont="1" applyFill="1" applyBorder="1" applyAlignment="1"/>
    <xf numFmtId="168" fontId="7" fillId="0" borderId="13" xfId="47" applyNumberFormat="1" applyFont="1" applyFill="1" applyBorder="1" applyAlignment="1"/>
    <xf numFmtId="178" fontId="7" fillId="0" borderId="13" xfId="47" applyNumberFormat="1" applyFont="1" applyFill="1" applyBorder="1" applyAlignment="1"/>
    <xf numFmtId="0" fontId="7" fillId="0" borderId="6" xfId="47" applyFont="1" applyFill="1" applyBorder="1" applyAlignment="1"/>
    <xf numFmtId="168" fontId="7" fillId="0" borderId="14" xfId="47" applyNumberFormat="1" applyFont="1" applyFill="1" applyBorder="1" applyAlignment="1"/>
    <xf numFmtId="0" fontId="7" fillId="0" borderId="0" xfId="47" applyFont="1" applyFill="1" applyBorder="1" applyAlignment="1"/>
    <xf numFmtId="0" fontId="1" fillId="0" borderId="0" xfId="47" applyFill="1" applyBorder="1" applyAlignment="1"/>
    <xf numFmtId="0" fontId="1" fillId="0" borderId="0" xfId="47" applyFill="1" applyAlignment="1"/>
    <xf numFmtId="165" fontId="15" fillId="0" borderId="16" xfId="59" applyNumberFormat="1" applyFont="1" applyFill="1" applyBorder="1" applyAlignment="1"/>
    <xf numFmtId="165" fontId="10" fillId="4" borderId="0" xfId="59" applyNumberFormat="1" applyFont="1" applyFill="1" applyBorder="1" applyAlignment="1"/>
    <xf numFmtId="165" fontId="4" fillId="0" borderId="0" xfId="59" applyNumberFormat="1" applyFont="1" applyFill="1" applyBorder="1"/>
    <xf numFmtId="165" fontId="22" fillId="0" borderId="0" xfId="59" applyNumberFormat="1" applyFont="1" applyFill="1" applyBorder="1" applyAlignment="1"/>
    <xf numFmtId="165" fontId="1" fillId="0" borderId="0" xfId="59" applyNumberFormat="1" applyFont="1" applyFill="1" applyBorder="1"/>
    <xf numFmtId="165" fontId="4" fillId="0" borderId="15" xfId="59" applyNumberFormat="1" applyFont="1" applyFill="1" applyBorder="1" applyAlignment="1"/>
    <xf numFmtId="177" fontId="4" fillId="0" borderId="10" xfId="59" applyNumberFormat="1" applyFont="1" applyFill="1" applyBorder="1" applyAlignment="1"/>
    <xf numFmtId="177" fontId="4" fillId="0" borderId="0" xfId="59" applyNumberFormat="1" applyFont="1" applyFill="1" applyBorder="1" applyAlignment="1"/>
    <xf numFmtId="177" fontId="4" fillId="0" borderId="14" xfId="59" applyNumberFormat="1" applyFont="1" applyFill="1" applyBorder="1" applyAlignment="1"/>
    <xf numFmtId="165" fontId="4" fillId="0" borderId="8" xfId="59" applyNumberFormat="1" applyFont="1" applyFill="1" applyBorder="1" applyAlignment="1">
      <alignment horizontal="left" indent="2"/>
    </xf>
    <xf numFmtId="165" fontId="4" fillId="0" borderId="11" xfId="59" applyNumberFormat="1" applyFont="1" applyFill="1" applyBorder="1" applyAlignment="1">
      <alignment horizontal="left" indent="2"/>
    </xf>
    <xf numFmtId="43" fontId="4" fillId="0" borderId="0" xfId="36" applyFont="1" applyFill="1" applyBorder="1"/>
    <xf numFmtId="43" fontId="10" fillId="0" borderId="0" xfId="36" applyFont="1" applyFill="1" applyBorder="1" applyAlignment="1"/>
    <xf numFmtId="165" fontId="23" fillId="0" borderId="0" xfId="59" applyNumberFormat="1" applyFont="1" applyFill="1" applyBorder="1" applyAlignment="1">
      <alignment horizontal="right"/>
    </xf>
    <xf numFmtId="0" fontId="1" fillId="0" borderId="6" xfId="47" applyBorder="1"/>
    <xf numFmtId="172" fontId="10" fillId="0" borderId="0" xfId="47" applyNumberFormat="1" applyFont="1" applyFill="1" applyBorder="1"/>
    <xf numFmtId="172" fontId="10" fillId="0" borderId="0" xfId="47" applyNumberFormat="1" applyFont="1" applyFill="1" applyBorder="1" applyAlignment="1">
      <alignment horizontal="center"/>
    </xf>
    <xf numFmtId="165" fontId="7" fillId="0" borderId="0" xfId="59" applyNumberFormat="1" applyFont="1" applyFill="1" applyBorder="1"/>
    <xf numFmtId="165" fontId="23" fillId="0" borderId="0" xfId="59" applyNumberFormat="1" applyFont="1" applyFill="1" applyBorder="1" applyAlignment="1">
      <alignment horizontal="center"/>
    </xf>
    <xf numFmtId="165" fontId="3" fillId="0" borderId="0" xfId="59" applyNumberFormat="1" applyFont="1" applyFill="1"/>
    <xf numFmtId="176" fontId="10" fillId="0" borderId="0" xfId="47" applyNumberFormat="1" applyFont="1" applyFill="1" applyBorder="1"/>
    <xf numFmtId="176" fontId="10" fillId="0" borderId="0" xfId="47" applyNumberFormat="1" applyFont="1" applyFill="1" applyBorder="1" applyAlignment="1">
      <alignment horizontal="center"/>
    </xf>
    <xf numFmtId="0" fontId="4" fillId="0" borderId="6" xfId="47" applyFont="1" applyFill="1" applyBorder="1"/>
    <xf numFmtId="0" fontId="10" fillId="0" borderId="9" xfId="47" applyFont="1" applyFill="1" applyBorder="1"/>
    <xf numFmtId="0" fontId="10" fillId="0" borderId="13" xfId="47" applyFont="1" applyFill="1" applyBorder="1"/>
    <xf numFmtId="0" fontId="10" fillId="0" borderId="6" xfId="47" applyFont="1" applyFill="1" applyBorder="1"/>
    <xf numFmtId="0" fontId="4" fillId="0" borderId="8" xfId="47" applyFont="1" applyFill="1" applyBorder="1" applyAlignment="1">
      <alignment horizontal="left"/>
    </xf>
    <xf numFmtId="0" fontId="4" fillId="0" borderId="0" xfId="47" applyFont="1" applyFill="1" applyBorder="1" applyAlignment="1">
      <alignment horizontal="right"/>
    </xf>
    <xf numFmtId="0" fontId="1" fillId="0" borderId="0" xfId="47" applyFill="1" applyAlignment="1">
      <alignment horizontal="right"/>
    </xf>
    <xf numFmtId="0" fontId="4" fillId="0" borderId="8" xfId="47" applyFont="1" applyFill="1" applyBorder="1"/>
    <xf numFmtId="9" fontId="4" fillId="0" borderId="10" xfId="47" applyNumberFormat="1" applyFont="1" applyFill="1" applyBorder="1"/>
    <xf numFmtId="9" fontId="4" fillId="0" borderId="8" xfId="47" applyNumberFormat="1" applyFont="1" applyFill="1" applyBorder="1"/>
    <xf numFmtId="9" fontId="4" fillId="0" borderId="0" xfId="47" applyNumberFormat="1" applyFont="1" applyFill="1"/>
    <xf numFmtId="9" fontId="4" fillId="0" borderId="0" xfId="47" applyNumberFormat="1" applyFont="1" applyFill="1" applyBorder="1" applyAlignment="1">
      <alignment horizontal="right"/>
    </xf>
    <xf numFmtId="0" fontId="10" fillId="0" borderId="0" xfId="47" applyFont="1" applyFill="1" applyBorder="1" applyAlignment="1">
      <alignment horizontal="right"/>
    </xf>
    <xf numFmtId="0" fontId="10" fillId="0" borderId="0" xfId="47" applyFont="1" applyFill="1" applyAlignment="1">
      <alignment horizontal="right"/>
    </xf>
    <xf numFmtId="169" fontId="4" fillId="0" borderId="10" xfId="47" applyNumberFormat="1" applyFont="1" applyFill="1" applyBorder="1" applyAlignment="1">
      <alignment horizontal="right"/>
    </xf>
    <xf numFmtId="169" fontId="4" fillId="0" borderId="0" xfId="47" applyNumberFormat="1" applyFont="1" applyFill="1" applyBorder="1" applyAlignment="1">
      <alignment horizontal="right"/>
    </xf>
    <xf numFmtId="169" fontId="4" fillId="0" borderId="8" xfId="47" applyNumberFormat="1" applyFont="1" applyFill="1" applyBorder="1" applyAlignment="1">
      <alignment horizontal="right"/>
    </xf>
    <xf numFmtId="169" fontId="4" fillId="0" borderId="0" xfId="47" applyNumberFormat="1" applyFont="1" applyFill="1" applyAlignment="1">
      <alignment horizontal="right"/>
    </xf>
    <xf numFmtId="37" fontId="4" fillId="0" borderId="10" xfId="47" applyNumberFormat="1" applyFont="1" applyFill="1" applyBorder="1"/>
    <xf numFmtId="37" fontId="4" fillId="0" borderId="0" xfId="47" applyNumberFormat="1" applyFont="1" applyFill="1" applyBorder="1"/>
    <xf numFmtId="37" fontId="4" fillId="0" borderId="8" xfId="47" applyNumberFormat="1" applyFont="1" applyFill="1" applyBorder="1"/>
    <xf numFmtId="37" fontId="4" fillId="0" borderId="0" xfId="47" applyNumberFormat="1" applyFont="1" applyFill="1"/>
    <xf numFmtId="37" fontId="4" fillId="0" borderId="0" xfId="47" applyNumberFormat="1" applyFont="1" applyFill="1" applyBorder="1" applyAlignment="1">
      <alignment horizontal="center"/>
    </xf>
    <xf numFmtId="9" fontId="4" fillId="0" borderId="12" xfId="47" applyNumberFormat="1" applyFont="1" applyFill="1" applyBorder="1" applyAlignment="1">
      <alignment horizontal="right"/>
    </xf>
    <xf numFmtId="9" fontId="4" fillId="0" borderId="2" xfId="47" applyNumberFormat="1" applyFont="1" applyFill="1" applyBorder="1" applyAlignment="1">
      <alignment horizontal="right"/>
    </xf>
    <xf numFmtId="9" fontId="4" fillId="0" borderId="11" xfId="47" applyNumberFormat="1" applyFont="1" applyFill="1" applyBorder="1" applyAlignment="1">
      <alignment horizontal="right"/>
    </xf>
    <xf numFmtId="9" fontId="4" fillId="0" borderId="0" xfId="47" applyNumberFormat="1" applyFont="1" applyFill="1" applyAlignment="1">
      <alignment horizontal="right"/>
    </xf>
    <xf numFmtId="0" fontId="8" fillId="0" borderId="0" xfId="47" applyFont="1" applyFill="1" applyAlignment="1">
      <alignment horizontal="center"/>
    </xf>
    <xf numFmtId="44" fontId="4" fillId="0" borderId="0" xfId="37" applyFont="1" applyFill="1" applyBorder="1"/>
    <xf numFmtId="43" fontId="4" fillId="0" borderId="2" xfId="36" applyFont="1" applyFill="1" applyBorder="1"/>
    <xf numFmtId="181" fontId="4" fillId="0" borderId="2" xfId="47" applyNumberFormat="1" applyFont="1" applyFill="1" applyBorder="1"/>
    <xf numFmtId="9" fontId="4" fillId="0" borderId="2" xfId="37" applyNumberFormat="1" applyFont="1" applyFill="1" applyBorder="1"/>
    <xf numFmtId="182" fontId="4" fillId="0" borderId="2" xfId="37" applyNumberFormat="1" applyFont="1" applyFill="1" applyBorder="1"/>
    <xf numFmtId="170" fontId="4" fillId="0" borderId="2" xfId="37" applyNumberFormat="1" applyFont="1" applyFill="1" applyBorder="1"/>
    <xf numFmtId="165" fontId="4" fillId="0" borderId="2" xfId="59" applyNumberFormat="1" applyFont="1" applyFill="1" applyBorder="1"/>
    <xf numFmtId="170" fontId="27" fillId="0" borderId="2" xfId="47" applyNumberFormat="1" applyFont="1" applyFill="1" applyBorder="1"/>
    <xf numFmtId="168" fontId="7" fillId="0" borderId="15" xfId="47" applyNumberFormat="1" applyFont="1" applyFill="1" applyBorder="1" applyAlignment="1">
      <alignment horizontal="center"/>
    </xf>
    <xf numFmtId="0" fontId="4" fillId="0" borderId="0" xfId="47" applyFont="1" applyFill="1" applyBorder="1" applyAlignment="1"/>
    <xf numFmtId="0" fontId="9" fillId="5" borderId="3" xfId="47" applyFont="1" applyFill="1" applyBorder="1" applyAlignment="1">
      <alignment horizontal="center"/>
    </xf>
    <xf numFmtId="168" fontId="9" fillId="5" borderId="7" xfId="47" applyNumberFormat="1" applyFont="1" applyFill="1" applyBorder="1" applyAlignment="1">
      <alignment horizontal="center"/>
    </xf>
    <xf numFmtId="168" fontId="7" fillId="5" borderId="5" xfId="47" applyNumberFormat="1" applyFont="1" applyFill="1" applyBorder="1" applyAlignment="1">
      <alignment horizontal="center"/>
    </xf>
    <xf numFmtId="168" fontId="7" fillId="5" borderId="7" xfId="47" applyNumberFormat="1" applyFont="1" applyFill="1" applyBorder="1" applyAlignment="1">
      <alignment horizontal="center"/>
    </xf>
    <xf numFmtId="0" fontId="7" fillId="5" borderId="3" xfId="47" applyFont="1" applyFill="1" applyBorder="1" applyAlignment="1">
      <alignment horizontal="center"/>
    </xf>
    <xf numFmtId="168" fontId="7" fillId="5" borderId="4" xfId="47" applyNumberFormat="1" applyFont="1" applyFill="1" applyBorder="1" applyAlignment="1">
      <alignment horizontal="center"/>
    </xf>
    <xf numFmtId="170" fontId="10" fillId="0" borderId="0" xfId="36" applyNumberFormat="1" applyFont="1" applyFill="1" applyBorder="1"/>
    <xf numFmtId="170" fontId="4" fillId="0" borderId="0" xfId="36" applyNumberFormat="1" applyFont="1" applyFill="1" applyBorder="1"/>
    <xf numFmtId="170" fontId="4" fillId="0" borderId="8" xfId="36" applyNumberFormat="1" applyFont="1" applyFill="1" applyBorder="1" applyAlignment="1">
      <alignment horizontal="left" indent="1"/>
    </xf>
    <xf numFmtId="170" fontId="4" fillId="0" borderId="10" xfId="36" applyNumberFormat="1" applyFont="1" applyFill="1" applyBorder="1" applyAlignment="1"/>
    <xf numFmtId="170" fontId="10" fillId="0" borderId="10" xfId="36" applyNumberFormat="1" applyFont="1" applyFill="1" applyBorder="1" applyAlignment="1"/>
    <xf numFmtId="170" fontId="12" fillId="0" borderId="0" xfId="36" applyNumberFormat="1" applyFont="1" applyFill="1" applyBorder="1" applyAlignment="1"/>
    <xf numFmtId="170" fontId="7" fillId="0" borderId="0" xfId="36" applyNumberFormat="1" applyFont="1" applyFill="1" applyBorder="1" applyAlignment="1"/>
    <xf numFmtId="170" fontId="7" fillId="0" borderId="0" xfId="36" applyNumberFormat="1" applyFont="1" applyFill="1" applyBorder="1"/>
    <xf numFmtId="0" fontId="29" fillId="0" borderId="0" xfId="47" applyFont="1" applyFill="1" applyBorder="1" applyAlignment="1"/>
    <xf numFmtId="0" fontId="29" fillId="0" borderId="0" xfId="47" applyFont="1" applyFill="1" applyBorder="1"/>
    <xf numFmtId="43" fontId="12" fillId="0" borderId="0" xfId="36" applyFont="1" applyFill="1" applyBorder="1" applyAlignment="1"/>
    <xf numFmtId="179" fontId="12" fillId="0" borderId="0" xfId="36" applyNumberFormat="1" applyFont="1" applyFill="1" applyBorder="1" applyAlignment="1"/>
    <xf numFmtId="0" fontId="12" fillId="0" borderId="0" xfId="47" applyFont="1" applyFill="1" applyBorder="1" applyAlignment="1"/>
    <xf numFmtId="9" fontId="12" fillId="0" borderId="0" xfId="59" applyFont="1" applyFill="1" applyBorder="1" applyAlignment="1"/>
    <xf numFmtId="10" fontId="12" fillId="0" borderId="0" xfId="59" applyNumberFormat="1" applyFont="1" applyFill="1" applyBorder="1" applyAlignment="1"/>
    <xf numFmtId="171" fontId="12" fillId="0" borderId="0" xfId="47" applyNumberFormat="1" applyFont="1" applyFill="1" applyBorder="1" applyAlignment="1"/>
    <xf numFmtId="0" fontId="9" fillId="5" borderId="6" xfId="47" applyFont="1" applyFill="1" applyBorder="1"/>
    <xf numFmtId="168" fontId="9" fillId="5" borderId="13" xfId="47" applyNumberFormat="1" applyFont="1" applyFill="1" applyBorder="1" applyAlignment="1">
      <alignment horizontal="center"/>
    </xf>
    <xf numFmtId="0" fontId="9" fillId="5" borderId="14" xfId="47" applyFont="1" applyFill="1" applyBorder="1" applyAlignment="1">
      <alignment horizontal="center"/>
    </xf>
    <xf numFmtId="168" fontId="9" fillId="5" borderId="9" xfId="47" applyNumberFormat="1" applyFont="1" applyFill="1" applyBorder="1" applyAlignment="1">
      <alignment horizontal="center"/>
    </xf>
    <xf numFmtId="0" fontId="9" fillId="5" borderId="7" xfId="47" applyFont="1" applyFill="1" applyBorder="1" applyAlignment="1">
      <alignment horizontal="center"/>
    </xf>
    <xf numFmtId="165" fontId="12" fillId="0" borderId="0" xfId="59" applyNumberFormat="1" applyFont="1" applyFill="1" applyBorder="1" applyAlignment="1"/>
    <xf numFmtId="165" fontId="69" fillId="0" borderId="0" xfId="59" applyNumberFormat="1" applyFont="1" applyFill="1" applyAlignment="1"/>
    <xf numFmtId="165" fontId="1" fillId="0" borderId="0" xfId="59" applyNumberFormat="1" applyFont="1" applyFill="1" applyAlignment="1"/>
    <xf numFmtId="165" fontId="7" fillId="0" borderId="10" xfId="59" applyNumberFormat="1" applyFont="1" applyFill="1" applyBorder="1" applyAlignment="1"/>
    <xf numFmtId="165" fontId="7" fillId="0" borderId="8" xfId="59" applyNumberFormat="1" applyFont="1" applyFill="1" applyBorder="1" applyAlignment="1"/>
    <xf numFmtId="165" fontId="4" fillId="0" borderId="10" xfId="59" applyNumberFormat="1" applyFont="1" applyFill="1" applyBorder="1"/>
    <xf numFmtId="165" fontId="7" fillId="0" borderId="8" xfId="59" applyNumberFormat="1" applyFont="1" applyFill="1" applyBorder="1" applyAlignment="1">
      <alignment horizontal="left"/>
    </xf>
    <xf numFmtId="165" fontId="30" fillId="0" borderId="10" xfId="59" applyNumberFormat="1" applyFont="1" applyFill="1" applyBorder="1"/>
    <xf numFmtId="165" fontId="30" fillId="0" borderId="0" xfId="59" applyNumberFormat="1" applyFont="1" applyFill="1" applyBorder="1"/>
    <xf numFmtId="165" fontId="30" fillId="0" borderId="8" xfId="59" applyNumberFormat="1" applyFont="1" applyFill="1" applyBorder="1"/>
    <xf numFmtId="165" fontId="31" fillId="0" borderId="0" xfId="59" applyNumberFormat="1" applyFont="1" applyFill="1" applyBorder="1" applyAlignment="1"/>
    <xf numFmtId="165" fontId="30" fillId="0" borderId="9" xfId="59" applyNumberFormat="1" applyFont="1" applyFill="1" applyBorder="1"/>
    <xf numFmtId="165" fontId="30" fillId="0" borderId="13" xfId="59" applyNumberFormat="1" applyFont="1" applyFill="1" applyBorder="1"/>
    <xf numFmtId="165" fontId="30" fillId="0" borderId="6" xfId="59" applyNumberFormat="1" applyFont="1" applyFill="1" applyBorder="1"/>
    <xf numFmtId="165" fontId="30" fillId="0" borderId="10" xfId="59" applyNumberFormat="1" applyFont="1" applyFill="1" applyBorder="1" applyAlignment="1"/>
    <xf numFmtId="165" fontId="30" fillId="0" borderId="0" xfId="59" applyNumberFormat="1" applyFont="1" applyFill="1" applyBorder="1" applyAlignment="1"/>
    <xf numFmtId="165" fontId="7" fillId="0" borderId="12" xfId="59" applyNumberFormat="1" applyFont="1" applyFill="1" applyBorder="1" applyAlignment="1"/>
    <xf numFmtId="165" fontId="7" fillId="0" borderId="2" xfId="59" applyNumberFormat="1" applyFont="1" applyFill="1" applyBorder="1" applyAlignment="1"/>
    <xf numFmtId="165" fontId="7" fillId="0" borderId="11" xfId="59" applyNumberFormat="1" applyFont="1" applyFill="1" applyBorder="1" applyAlignment="1"/>
    <xf numFmtId="165" fontId="30" fillId="0" borderId="12" xfId="59" applyNumberFormat="1" applyFont="1" applyFill="1" applyBorder="1" applyAlignment="1"/>
    <xf numFmtId="165" fontId="30" fillId="0" borderId="2" xfId="59" applyNumberFormat="1" applyFont="1" applyFill="1" applyBorder="1" applyAlignment="1"/>
    <xf numFmtId="165" fontId="30" fillId="0" borderId="11" xfId="59" applyNumberFormat="1" applyFont="1" applyFill="1" applyBorder="1"/>
    <xf numFmtId="165" fontId="30" fillId="0" borderId="12" xfId="59" applyNumberFormat="1" applyFont="1" applyFill="1" applyBorder="1"/>
    <xf numFmtId="165" fontId="30" fillId="0" borderId="2" xfId="59" applyNumberFormat="1" applyFont="1" applyFill="1" applyBorder="1"/>
    <xf numFmtId="165" fontId="4" fillId="0" borderId="11" xfId="59" applyNumberFormat="1" applyFont="1" applyFill="1" applyBorder="1"/>
    <xf numFmtId="43" fontId="7" fillId="0" borderId="0" xfId="36" applyFont="1" applyFill="1" applyBorder="1" applyAlignment="1"/>
    <xf numFmtId="0" fontId="4" fillId="0" borderId="8" xfId="47" applyFont="1" applyFill="1" applyBorder="1" applyAlignment="1">
      <alignment horizontal="left" indent="1"/>
    </xf>
    <xf numFmtId="9" fontId="4" fillId="0" borderId="10" xfId="59" applyFont="1" applyFill="1" applyBorder="1" applyAlignment="1"/>
    <xf numFmtId="9" fontId="4" fillId="0" borderId="0" xfId="59" applyFont="1" applyFill="1" applyBorder="1" applyAlignment="1"/>
    <xf numFmtId="9" fontId="4" fillId="0" borderId="14" xfId="59" applyFont="1" applyFill="1" applyBorder="1" applyAlignment="1"/>
    <xf numFmtId="9" fontId="4" fillId="0" borderId="8" xfId="59" applyFont="1" applyFill="1" applyBorder="1" applyAlignment="1"/>
    <xf numFmtId="9" fontId="10" fillId="0" borderId="0" xfId="59" applyFont="1" applyFill="1" applyBorder="1" applyAlignment="1"/>
    <xf numFmtId="9" fontId="4" fillId="0" borderId="16" xfId="59" applyFont="1" applyFill="1" applyBorder="1" applyAlignment="1"/>
    <xf numFmtId="9" fontId="4" fillId="0" borderId="9" xfId="59" applyFont="1" applyFill="1" applyBorder="1" applyAlignment="1"/>
    <xf numFmtId="9" fontId="4" fillId="0" borderId="6" xfId="59" applyFont="1" applyFill="1" applyBorder="1" applyAlignment="1"/>
    <xf numFmtId="9" fontId="69" fillId="0" borderId="0" xfId="59" applyFont="1" applyFill="1"/>
    <xf numFmtId="9" fontId="32" fillId="0" borderId="0" xfId="59" applyFont="1" applyFill="1"/>
    <xf numFmtId="0" fontId="4" fillId="0" borderId="11" xfId="47" applyFont="1" applyFill="1" applyBorder="1" applyAlignment="1">
      <alignment horizontal="left" indent="1"/>
    </xf>
    <xf numFmtId="9" fontId="4" fillId="0" borderId="12" xfId="59" applyFont="1" applyFill="1" applyBorder="1" applyAlignment="1"/>
    <xf numFmtId="9" fontId="4" fillId="0" borderId="2" xfId="59" applyFont="1" applyFill="1" applyBorder="1" applyAlignment="1"/>
    <xf numFmtId="9" fontId="4" fillId="0" borderId="15" xfId="59" applyFont="1" applyFill="1" applyBorder="1" applyAlignment="1"/>
    <xf numFmtId="9" fontId="4" fillId="0" borderId="11" xfId="59" applyFont="1" applyFill="1" applyBorder="1" applyAlignment="1"/>
    <xf numFmtId="9" fontId="10" fillId="0" borderId="2" xfId="59" applyFont="1" applyFill="1" applyBorder="1" applyAlignment="1"/>
    <xf numFmtId="170" fontId="69" fillId="0" borderId="0" xfId="36" applyNumberFormat="1" applyFont="1" applyFill="1" applyAlignment="1"/>
    <xf numFmtId="170" fontId="69" fillId="0" borderId="0" xfId="36" applyNumberFormat="1" applyFont="1" applyFill="1"/>
    <xf numFmtId="43" fontId="29" fillId="0" borderId="2" xfId="36" applyFont="1" applyFill="1" applyBorder="1"/>
    <xf numFmtId="43" fontId="33" fillId="0" borderId="2" xfId="36" applyFont="1" applyFill="1" applyBorder="1" applyAlignment="1"/>
    <xf numFmtId="43" fontId="33" fillId="0" borderId="0" xfId="36" applyFont="1" applyFill="1" applyBorder="1" applyAlignment="1"/>
    <xf numFmtId="43" fontId="33" fillId="0" borderId="0" xfId="36" applyFont="1" applyFill="1" applyAlignment="1"/>
    <xf numFmtId="43" fontId="33" fillId="0" borderId="0" xfId="36" applyFont="1" applyFill="1"/>
    <xf numFmtId="0" fontId="1" fillId="0" borderId="2" xfId="47" applyFill="1" applyBorder="1" applyAlignment="1"/>
    <xf numFmtId="0" fontId="1" fillId="0" borderId="2" xfId="47" applyFont="1" applyFill="1" applyBorder="1" applyAlignment="1"/>
    <xf numFmtId="165" fontId="15" fillId="0" borderId="8" xfId="59" applyNumberFormat="1" applyFont="1" applyFill="1" applyBorder="1"/>
    <xf numFmtId="165" fontId="15" fillId="0" borderId="8" xfId="59" applyNumberFormat="1" applyFont="1" applyFill="1" applyBorder="1" applyAlignment="1">
      <alignment horizontal="right"/>
    </xf>
    <xf numFmtId="165" fontId="15" fillId="0" borderId="0" xfId="59" applyNumberFormat="1" applyFont="1" applyFill="1" applyBorder="1" applyAlignment="1">
      <alignment horizontal="right"/>
    </xf>
    <xf numFmtId="165" fontId="35" fillId="0" borderId="12" xfId="59" applyNumberFormat="1" applyFont="1" applyFill="1" applyBorder="1"/>
    <xf numFmtId="165" fontId="35" fillId="0" borderId="2" xfId="59" applyNumberFormat="1" applyFont="1" applyFill="1" applyBorder="1"/>
    <xf numFmtId="165" fontId="35" fillId="0" borderId="11" xfId="59" applyNumberFormat="1" applyFont="1" applyFill="1" applyBorder="1"/>
    <xf numFmtId="0" fontId="9" fillId="0" borderId="0" xfId="47" applyFont="1" applyFill="1" applyBorder="1" applyAlignment="1">
      <alignment horizontal="center"/>
    </xf>
    <xf numFmtId="0" fontId="7" fillId="0" borderId="3" xfId="47" applyFont="1" applyFill="1" applyBorder="1"/>
    <xf numFmtId="170" fontId="1" fillId="0" borderId="0" xfId="36" applyNumberFormat="1" applyFont="1" applyFill="1" applyAlignment="1"/>
    <xf numFmtId="170" fontId="1" fillId="0" borderId="0" xfId="36" applyNumberFormat="1" applyFont="1" applyFill="1"/>
    <xf numFmtId="170" fontId="1" fillId="0" borderId="0" xfId="36" applyNumberFormat="1" applyFont="1" applyFill="1" applyBorder="1" applyAlignment="1"/>
    <xf numFmtId="170" fontId="1" fillId="0" borderId="0" xfId="36" applyNumberFormat="1" applyFont="1" applyFill="1" applyBorder="1"/>
    <xf numFmtId="170" fontId="4" fillId="0" borderId="2" xfId="36" applyNumberFormat="1" applyFont="1" applyFill="1" applyBorder="1" applyAlignment="1"/>
    <xf numFmtId="170" fontId="4" fillId="0" borderId="11" xfId="36" applyNumberFormat="1" applyFont="1" applyFill="1" applyBorder="1" applyAlignment="1"/>
    <xf numFmtId="170" fontId="4" fillId="0" borderId="12" xfId="36" applyNumberFormat="1" applyFont="1" applyFill="1" applyBorder="1" applyAlignment="1"/>
    <xf numFmtId="170" fontId="4" fillId="0" borderId="15" xfId="36" applyNumberFormat="1" applyFont="1" applyFill="1" applyBorder="1" applyAlignment="1"/>
    <xf numFmtId="43" fontId="69" fillId="0" borderId="0" xfId="36" applyFont="1" applyFill="1" applyAlignment="1"/>
    <xf numFmtId="43" fontId="69" fillId="0" borderId="0" xfId="36" applyFont="1" applyFill="1"/>
    <xf numFmtId="9" fontId="69" fillId="0" borderId="0" xfId="59" applyFont="1" applyFill="1" applyAlignment="1"/>
    <xf numFmtId="9" fontId="16" fillId="0" borderId="0" xfId="59" applyFont="1" applyFill="1" applyBorder="1" applyAlignment="1"/>
    <xf numFmtId="165" fontId="10" fillId="0" borderId="10" xfId="59" applyNumberFormat="1" applyFont="1" applyFill="1" applyBorder="1" applyAlignment="1"/>
    <xf numFmtId="165" fontId="10" fillId="0" borderId="16" xfId="59" applyNumberFormat="1" applyFont="1" applyFill="1" applyBorder="1" applyAlignment="1"/>
    <xf numFmtId="9" fontId="7" fillId="0" borderId="10" xfId="59" applyFont="1" applyFill="1" applyBorder="1" applyAlignment="1"/>
    <xf numFmtId="9" fontId="7" fillId="0" borderId="0" xfId="59" applyFont="1" applyFill="1" applyBorder="1" applyAlignment="1"/>
    <xf numFmtId="9" fontId="7" fillId="0" borderId="16" xfId="59" applyFont="1" applyFill="1" applyBorder="1" applyAlignment="1"/>
    <xf numFmtId="9" fontId="7" fillId="0" borderId="8" xfId="59" applyFont="1" applyFill="1" applyBorder="1" applyAlignment="1"/>
    <xf numFmtId="9" fontId="15" fillId="0" borderId="8" xfId="59" applyFont="1" applyFill="1" applyBorder="1" applyAlignment="1">
      <alignment horizontal="left" indent="1"/>
    </xf>
    <xf numFmtId="9" fontId="16" fillId="0" borderId="10" xfId="59" applyFont="1" applyFill="1" applyBorder="1" applyAlignment="1"/>
    <xf numFmtId="9" fontId="16" fillId="0" borderId="16" xfId="59" applyFont="1" applyFill="1" applyBorder="1" applyAlignment="1"/>
    <xf numFmtId="9" fontId="15" fillId="0" borderId="8" xfId="59" applyFont="1" applyFill="1" applyBorder="1" applyAlignment="1"/>
    <xf numFmtId="9" fontId="15" fillId="0" borderId="16" xfId="59" applyFont="1" applyFill="1" applyBorder="1" applyAlignment="1"/>
    <xf numFmtId="9" fontId="15" fillId="0" borderId="10" xfId="59" applyFont="1" applyFill="1" applyBorder="1" applyAlignment="1"/>
    <xf numFmtId="9" fontId="15" fillId="0" borderId="0" xfId="59" applyFont="1" applyFill="1" applyBorder="1" applyAlignment="1"/>
    <xf numFmtId="9" fontId="15" fillId="0" borderId="11" xfId="59" applyFont="1" applyFill="1" applyBorder="1" applyAlignment="1">
      <alignment horizontal="left" indent="1"/>
    </xf>
    <xf numFmtId="9" fontId="16" fillId="0" borderId="12" xfId="59" applyFont="1" applyFill="1" applyBorder="1" applyAlignment="1"/>
    <xf numFmtId="9" fontId="16" fillId="0" borderId="2" xfId="59" applyFont="1" applyFill="1" applyBorder="1" applyAlignment="1"/>
    <xf numFmtId="9" fontId="16" fillId="0" borderId="15" xfId="59" applyFont="1" applyFill="1" applyBorder="1" applyAlignment="1"/>
    <xf numFmtId="9" fontId="15" fillId="0" borderId="11" xfId="59" applyFont="1" applyFill="1" applyBorder="1" applyAlignment="1"/>
    <xf numFmtId="9" fontId="15" fillId="0" borderId="15" xfId="59" applyFont="1" applyFill="1" applyBorder="1" applyAlignment="1"/>
    <xf numFmtId="9" fontId="15" fillId="0" borderId="12" xfId="59" applyFont="1" applyFill="1" applyBorder="1" applyAlignment="1"/>
    <xf numFmtId="9" fontId="15" fillId="0" borderId="2" xfId="59" applyFont="1" applyFill="1" applyBorder="1" applyAlignment="1"/>
    <xf numFmtId="165" fontId="69" fillId="0" borderId="0" xfId="59" applyNumberFormat="1" applyFont="1" applyFill="1" applyBorder="1" applyAlignment="1"/>
    <xf numFmtId="165" fontId="7" fillId="0" borderId="16" xfId="59" applyNumberFormat="1" applyFont="1" applyFill="1" applyBorder="1" applyAlignment="1"/>
    <xf numFmtId="165" fontId="36" fillId="0" borderId="0" xfId="59" applyNumberFormat="1" applyFont="1" applyFill="1" applyBorder="1" applyAlignment="1"/>
    <xf numFmtId="165" fontId="36" fillId="0" borderId="16" xfId="59" applyNumberFormat="1" applyFont="1" applyFill="1" applyBorder="1" applyAlignment="1"/>
    <xf numFmtId="171" fontId="10" fillId="0" borderId="8" xfId="36" applyNumberFormat="1" applyFont="1" applyFill="1" applyBorder="1" applyAlignment="1"/>
    <xf numFmtId="0" fontId="34" fillId="0" borderId="8" xfId="47" applyFont="1" applyFill="1" applyBorder="1" applyAlignment="1">
      <alignment horizontal="left" indent="1"/>
    </xf>
    <xf numFmtId="0" fontId="34" fillId="0" borderId="11" xfId="47" applyFont="1" applyFill="1" applyBorder="1" applyAlignment="1">
      <alignment horizontal="left" indent="1"/>
    </xf>
    <xf numFmtId="171" fontId="10" fillId="0" borderId="11" xfId="36" applyNumberFormat="1" applyFont="1" applyFill="1" applyBorder="1" applyAlignment="1"/>
    <xf numFmtId="165" fontId="36" fillId="0" borderId="2" xfId="59" applyNumberFormat="1" applyFont="1" applyFill="1" applyBorder="1" applyAlignment="1"/>
    <xf numFmtId="165" fontId="36" fillId="0" borderId="15" xfId="59" applyNumberFormat="1" applyFont="1" applyFill="1" applyBorder="1" applyAlignment="1"/>
    <xf numFmtId="165" fontId="4" fillId="0" borderId="8" xfId="59" applyNumberFormat="1" applyFont="1" applyFill="1" applyBorder="1" applyAlignment="1">
      <alignment horizontal="left" indent="1"/>
    </xf>
    <xf numFmtId="0" fontId="1" fillId="0" borderId="4" xfId="47" applyFill="1" applyBorder="1" applyAlignment="1"/>
    <xf numFmtId="0" fontId="1" fillId="0" borderId="5" xfId="47" applyFill="1" applyBorder="1" applyAlignment="1"/>
    <xf numFmtId="0" fontId="1" fillId="0" borderId="3" xfId="47" applyFill="1" applyBorder="1" applyAlignment="1"/>
    <xf numFmtId="170" fontId="1" fillId="0" borderId="0" xfId="47" applyNumberFormat="1" applyFont="1" applyFill="1" applyBorder="1" applyAlignment="1">
      <alignment horizontal="center"/>
    </xf>
    <xf numFmtId="170" fontId="4" fillId="0" borderId="0" xfId="47" applyNumberFormat="1" applyFont="1" applyFill="1" applyBorder="1" applyAlignment="1">
      <alignment horizontal="center"/>
    </xf>
    <xf numFmtId="170" fontId="1" fillId="0" borderId="0" xfId="47" applyNumberFormat="1" applyFill="1" applyAlignment="1">
      <alignment horizontal="center"/>
    </xf>
    <xf numFmtId="170" fontId="1" fillId="0" borderId="0" xfId="47" applyNumberFormat="1" applyFont="1" applyFill="1" applyAlignment="1">
      <alignment horizontal="center"/>
    </xf>
    <xf numFmtId="170" fontId="10" fillId="0" borderId="0" xfId="47" applyNumberFormat="1" applyFont="1" applyFill="1" applyBorder="1" applyAlignment="1">
      <alignment horizontal="center"/>
    </xf>
    <xf numFmtId="170" fontId="17" fillId="0" borderId="0" xfId="59" applyNumberFormat="1" applyFont="1" applyFill="1"/>
    <xf numFmtId="180" fontId="1" fillId="0" borderId="0" xfId="47" applyNumberFormat="1" applyFill="1" applyAlignment="1"/>
    <xf numFmtId="0" fontId="4" fillId="0" borderId="8" xfId="55" applyFont="1" applyFill="1" applyBorder="1" applyAlignment="1">
      <alignment horizontal="left" indent="1"/>
    </xf>
    <xf numFmtId="43" fontId="7" fillId="0" borderId="3" xfId="36" applyFont="1" applyFill="1" applyBorder="1"/>
    <xf numFmtId="165" fontId="4" fillId="0" borderId="4" xfId="59" applyNumberFormat="1" applyFont="1" applyFill="1" applyBorder="1" applyAlignment="1"/>
    <xf numFmtId="0" fontId="1" fillId="0" borderId="8" xfId="47" applyFill="1" applyBorder="1" applyAlignment="1"/>
    <xf numFmtId="0" fontId="1" fillId="0" borderId="10" xfId="47" applyFill="1" applyBorder="1" applyAlignment="1"/>
    <xf numFmtId="0" fontId="1" fillId="0" borderId="16" xfId="47" applyFill="1" applyBorder="1" applyAlignment="1"/>
    <xf numFmtId="0" fontId="4" fillId="0" borderId="11" xfId="55" applyFont="1" applyFill="1" applyBorder="1" applyAlignment="1">
      <alignment horizontal="left" indent="1"/>
    </xf>
    <xf numFmtId="0" fontId="1" fillId="0" borderId="11" xfId="47" applyFill="1" applyBorder="1" applyAlignment="1"/>
    <xf numFmtId="0" fontId="1" fillId="0" borderId="12" xfId="47" applyFill="1" applyBorder="1" applyAlignment="1"/>
    <xf numFmtId="0" fontId="1" fillId="0" borderId="15" xfId="47" applyFill="1" applyBorder="1" applyAlignment="1"/>
    <xf numFmtId="43" fontId="7" fillId="0" borderId="11" xfId="36" applyFont="1" applyFill="1" applyBorder="1"/>
    <xf numFmtId="0" fontId="37" fillId="0" borderId="0" xfId="54" applyFont="1" applyFill="1" applyBorder="1" applyAlignment="1">
      <alignment horizontal="left"/>
    </xf>
    <xf numFmtId="0" fontId="9" fillId="0" borderId="0" xfId="54" applyFont="1" applyFill="1" applyBorder="1" applyAlignment="1">
      <alignment horizontal="left"/>
    </xf>
    <xf numFmtId="0" fontId="9" fillId="0" borderId="0" xfId="54" applyFont="1" applyFill="1" applyAlignment="1">
      <alignment horizontal="right"/>
    </xf>
    <xf numFmtId="0" fontId="9" fillId="0" borderId="0" xfId="54" applyFont="1" applyFill="1" applyBorder="1" applyAlignment="1">
      <alignment horizontal="right"/>
    </xf>
    <xf numFmtId="0" fontId="9" fillId="0" borderId="0" xfId="54" applyFont="1" applyFill="1" applyAlignment="1">
      <alignment horizontal="left"/>
    </xf>
    <xf numFmtId="0" fontId="4" fillId="0" borderId="6" xfId="47" applyFont="1" applyBorder="1"/>
    <xf numFmtId="166" fontId="7" fillId="0" borderId="9" xfId="47" applyNumberFormat="1" applyFont="1" applyFill="1" applyBorder="1" applyAlignment="1" applyProtection="1">
      <alignment horizontal="centerContinuous"/>
    </xf>
    <xf numFmtId="167" fontId="7" fillId="0" borderId="13" xfId="47" applyNumberFormat="1" applyFont="1" applyFill="1" applyBorder="1" applyAlignment="1" applyProtection="1">
      <alignment horizontal="centerContinuous"/>
    </xf>
    <xf numFmtId="166" fontId="7" fillId="0" borderId="6" xfId="47" applyNumberFormat="1" applyFont="1" applyFill="1" applyBorder="1" applyAlignment="1" applyProtection="1">
      <alignment horizontal="center"/>
    </xf>
    <xf numFmtId="184" fontId="7" fillId="0" borderId="0" xfId="47" applyNumberFormat="1" applyFont="1" applyFill="1" applyBorder="1" applyAlignment="1" applyProtection="1">
      <alignment horizontal="right"/>
    </xf>
    <xf numFmtId="185" fontId="7" fillId="0" borderId="13" xfId="47" applyNumberFormat="1" applyFont="1" applyFill="1" applyBorder="1" applyAlignment="1" applyProtection="1">
      <alignment horizontal="centerContinuous"/>
    </xf>
    <xf numFmtId="185" fontId="7" fillId="0" borderId="4" xfId="47" applyNumberFormat="1" applyFont="1" applyFill="1" applyBorder="1" applyAlignment="1" applyProtection="1">
      <alignment horizontal="centerContinuous"/>
    </xf>
    <xf numFmtId="167" fontId="7" fillId="0" borderId="5" xfId="47" applyNumberFormat="1" applyFont="1" applyFill="1" applyBorder="1" applyAlignment="1" applyProtection="1">
      <alignment horizontal="centerContinuous"/>
    </xf>
    <xf numFmtId="167" fontId="7" fillId="0" borderId="7" xfId="47" applyNumberFormat="1" applyFont="1" applyFill="1" applyBorder="1" applyAlignment="1" applyProtection="1">
      <alignment horizontal="centerContinuous"/>
    </xf>
    <xf numFmtId="185" fontId="7" fillId="0" borderId="6" xfId="47" applyNumberFormat="1" applyFont="1" applyFill="1" applyBorder="1" applyAlignment="1" applyProtection="1">
      <alignment horizontal="center"/>
    </xf>
    <xf numFmtId="9" fontId="37" fillId="0" borderId="0" xfId="59" applyFont="1" applyFill="1" applyBorder="1"/>
    <xf numFmtId="9" fontId="38" fillId="0" borderId="0" xfId="59" applyFont="1" applyFill="1" applyBorder="1" applyAlignment="1">
      <alignment horizontal="left"/>
    </xf>
    <xf numFmtId="9" fontId="39" fillId="0" borderId="0" xfId="59" applyFont="1" applyFill="1"/>
    <xf numFmtId="168" fontId="7" fillId="0" borderId="0" xfId="47" applyNumberFormat="1" applyFont="1" applyFill="1" applyBorder="1" applyAlignment="1" applyProtection="1">
      <alignment horizontal="right"/>
    </xf>
    <xf numFmtId="0" fontId="4" fillId="0" borderId="8" xfId="47" applyFont="1" applyBorder="1"/>
    <xf numFmtId="0" fontId="9" fillId="0" borderId="0" xfId="47" applyFont="1" applyFill="1"/>
    <xf numFmtId="165" fontId="15" fillId="0" borderId="0" xfId="59" applyNumberFormat="1" applyFont="1" applyFill="1" applyBorder="1" applyAlignment="1">
      <alignment horizontal="left" indent="1"/>
    </xf>
    <xf numFmtId="165" fontId="15" fillId="0" borderId="16" xfId="54" applyNumberFormat="1" applyFont="1" applyFill="1" applyBorder="1"/>
    <xf numFmtId="165" fontId="15" fillId="0" borderId="0" xfId="54" applyNumberFormat="1" applyFont="1" applyFill="1" applyBorder="1"/>
    <xf numFmtId="165" fontId="35" fillId="0" borderId="0" xfId="54" applyNumberFormat="1" applyFont="1" applyFill="1" applyBorder="1"/>
    <xf numFmtId="165" fontId="17" fillId="0" borderId="0" xfId="47" applyNumberFormat="1" applyFont="1" applyFill="1" applyBorder="1"/>
    <xf numFmtId="165" fontId="17" fillId="0" borderId="0" xfId="47" applyNumberFormat="1" applyFont="1" applyFill="1"/>
    <xf numFmtId="165" fontId="4" fillId="0" borderId="0" xfId="59" applyNumberFormat="1" applyFont="1" applyFill="1" applyBorder="1" applyAlignment="1">
      <alignment horizontal="left" indent="1"/>
    </xf>
    <xf numFmtId="165" fontId="4" fillId="0" borderId="16" xfId="54" applyNumberFormat="1" applyFont="1" applyFill="1" applyBorder="1"/>
    <xf numFmtId="165" fontId="4" fillId="0" borderId="0" xfId="54" applyNumberFormat="1" applyFont="1" applyFill="1" applyBorder="1"/>
    <xf numFmtId="165" fontId="30" fillId="0" borderId="0" xfId="54" applyNumberFormat="1" applyFont="1" applyFill="1" applyBorder="1"/>
    <xf numFmtId="165" fontId="10" fillId="0" borderId="10" xfId="54" applyNumberFormat="1" applyFont="1" applyFill="1" applyBorder="1"/>
    <xf numFmtId="165" fontId="10" fillId="0" borderId="0" xfId="54" applyNumberFormat="1" applyFont="1" applyFill="1" applyBorder="1"/>
    <xf numFmtId="165" fontId="10" fillId="0" borderId="16" xfId="54" applyNumberFormat="1" applyFont="1" applyFill="1" applyBorder="1"/>
    <xf numFmtId="165" fontId="10" fillId="0" borderId="8" xfId="54" applyNumberFormat="1" applyFont="1" applyFill="1" applyBorder="1"/>
    <xf numFmtId="165" fontId="30" fillId="0" borderId="10" xfId="54" applyNumberFormat="1" applyFont="1" applyFill="1" applyBorder="1"/>
    <xf numFmtId="165" fontId="30" fillId="0" borderId="16" xfId="54" applyNumberFormat="1" applyFont="1" applyFill="1" applyBorder="1"/>
    <xf numFmtId="165" fontId="30" fillId="0" borderId="8" xfId="54" applyNumberFormat="1" applyFont="1" applyFill="1" applyBorder="1"/>
    <xf numFmtId="0" fontId="7" fillId="0" borderId="0" xfId="54" applyFont="1" applyFill="1" applyBorder="1" applyAlignment="1">
      <alignment horizontal="left"/>
    </xf>
    <xf numFmtId="9" fontId="7" fillId="0" borderId="0" xfId="54" applyNumberFormat="1" applyFont="1" applyFill="1" applyBorder="1"/>
    <xf numFmtId="0" fontId="3" fillId="0" borderId="0" xfId="47" applyFont="1" applyFill="1"/>
    <xf numFmtId="165" fontId="7" fillId="0" borderId="8" xfId="54" applyNumberFormat="1" applyFont="1" applyFill="1" applyBorder="1" applyAlignment="1">
      <alignment horizontal="left" indent="2"/>
    </xf>
    <xf numFmtId="165" fontId="7" fillId="0" borderId="0" xfId="54" applyNumberFormat="1" applyFont="1" applyFill="1" applyBorder="1" applyAlignment="1">
      <alignment horizontal="left" indent="2"/>
    </xf>
    <xf numFmtId="165" fontId="7" fillId="0" borderId="10" xfId="54" applyNumberFormat="1" applyFont="1" applyFill="1" applyBorder="1"/>
    <xf numFmtId="165" fontId="7" fillId="0" borderId="0" xfId="54" applyNumberFormat="1" applyFont="1" applyFill="1" applyBorder="1"/>
    <xf numFmtId="165" fontId="7" fillId="0" borderId="16" xfId="54" applyNumberFormat="1" applyFont="1" applyFill="1" applyBorder="1"/>
    <xf numFmtId="165" fontId="7" fillId="0" borderId="8" xfId="54" applyNumberFormat="1" applyFont="1" applyFill="1" applyBorder="1"/>
    <xf numFmtId="165" fontId="31" fillId="0" borderId="0" xfId="54" applyNumberFormat="1" applyFont="1" applyFill="1" applyBorder="1"/>
    <xf numFmtId="165" fontId="31" fillId="0" borderId="16" xfId="54" applyNumberFormat="1" applyFont="1" applyFill="1" applyBorder="1"/>
    <xf numFmtId="165" fontId="31" fillId="0" borderId="10" xfId="54" applyNumberFormat="1" applyFont="1" applyFill="1" applyBorder="1"/>
    <xf numFmtId="165" fontId="3" fillId="0" borderId="0" xfId="47" applyNumberFormat="1" applyFont="1" applyFill="1"/>
    <xf numFmtId="165" fontId="4" fillId="0" borderId="8" xfId="54" applyNumberFormat="1" applyFont="1" applyFill="1" applyBorder="1" applyAlignment="1">
      <alignment horizontal="left" indent="2"/>
    </xf>
    <xf numFmtId="165" fontId="4" fillId="0" borderId="0" xfId="54" applyNumberFormat="1" applyFont="1" applyFill="1" applyBorder="1" applyAlignment="1">
      <alignment horizontal="left" indent="2"/>
    </xf>
    <xf numFmtId="165" fontId="4" fillId="0" borderId="8" xfId="54" applyNumberFormat="1" applyFont="1" applyFill="1" applyBorder="1"/>
    <xf numFmtId="165" fontId="4" fillId="0" borderId="11" xfId="54" applyNumberFormat="1" applyFont="1" applyFill="1" applyBorder="1" applyAlignment="1">
      <alignment horizontal="left" indent="2"/>
    </xf>
    <xf numFmtId="165" fontId="4" fillId="0" borderId="12" xfId="54" applyNumberFormat="1" applyFont="1" applyFill="1" applyBorder="1"/>
    <xf numFmtId="165" fontId="4" fillId="0" borderId="2" xfId="54" applyNumberFormat="1" applyFont="1" applyFill="1" applyBorder="1"/>
    <xf numFmtId="165" fontId="4" fillId="0" borderId="15" xfId="54" applyNumberFormat="1" applyFont="1" applyFill="1" applyBorder="1"/>
    <xf numFmtId="165" fontId="4" fillId="0" borderId="11" xfId="54" applyNumberFormat="1" applyFont="1" applyFill="1" applyBorder="1"/>
    <xf numFmtId="165" fontId="7" fillId="0" borderId="0" xfId="54" applyNumberFormat="1" applyFont="1" applyFill="1" applyBorder="1" applyAlignment="1">
      <alignment horizontal="left"/>
    </xf>
    <xf numFmtId="43" fontId="1" fillId="0" borderId="10" xfId="36" applyFont="1" applyFill="1" applyBorder="1"/>
    <xf numFmtId="43" fontId="1" fillId="0" borderId="0" xfId="36" applyFont="1" applyFill="1" applyBorder="1"/>
    <xf numFmtId="43" fontId="1" fillId="0" borderId="16" xfId="36" applyFont="1" applyFill="1" applyBorder="1"/>
    <xf numFmtId="43" fontId="1" fillId="0" borderId="8" xfId="36" applyFont="1" applyFill="1" applyBorder="1"/>
    <xf numFmtId="9" fontId="4" fillId="0" borderId="0" xfId="54" applyNumberFormat="1" applyFont="1" applyFill="1" applyBorder="1"/>
    <xf numFmtId="0" fontId="7" fillId="0" borderId="9" xfId="54" applyFont="1" applyFill="1" applyBorder="1" applyAlignment="1">
      <alignment horizontal="left"/>
    </xf>
    <xf numFmtId="0" fontId="7" fillId="0" borderId="0" xfId="54" applyFont="1" applyFill="1" applyBorder="1" applyAlignment="1">
      <alignment horizontal="right"/>
    </xf>
    <xf numFmtId="0" fontId="7" fillId="0" borderId="0" xfId="54" applyFont="1" applyFill="1" applyAlignment="1">
      <alignment horizontal="right"/>
    </xf>
    <xf numFmtId="0" fontId="7" fillId="0" borderId="13" xfId="54" applyFont="1" applyFill="1" applyBorder="1" applyAlignment="1">
      <alignment horizontal="right"/>
    </xf>
    <xf numFmtId="0" fontId="7" fillId="0" borderId="5" xfId="54" applyFont="1" applyFill="1" applyBorder="1" applyAlignment="1">
      <alignment horizontal="right"/>
    </xf>
    <xf numFmtId="0" fontId="9" fillId="5" borderId="8" xfId="54" applyFont="1" applyFill="1" applyBorder="1" applyAlignment="1">
      <alignment horizontal="left"/>
    </xf>
    <xf numFmtId="168" fontId="9" fillId="5" borderId="9" xfId="54" applyNumberFormat="1" applyFont="1" applyFill="1" applyBorder="1" applyAlignment="1">
      <alignment horizontal="center"/>
    </xf>
    <xf numFmtId="168" fontId="9" fillId="5" borderId="0" xfId="54" applyNumberFormat="1" applyFont="1" applyFill="1" applyBorder="1" applyAlignment="1">
      <alignment horizontal="center"/>
    </xf>
    <xf numFmtId="168" fontId="9" fillId="5" borderId="16" xfId="54" applyNumberFormat="1" applyFont="1" applyFill="1" applyBorder="1" applyAlignment="1">
      <alignment horizontal="center"/>
    </xf>
    <xf numFmtId="168" fontId="9" fillId="5" borderId="6" xfId="54" applyNumberFormat="1" applyFont="1" applyFill="1" applyBorder="1" applyAlignment="1">
      <alignment horizontal="center"/>
    </xf>
    <xf numFmtId="168" fontId="9" fillId="0" borderId="0" xfId="54" applyNumberFormat="1" applyFont="1" applyFill="1" applyBorder="1" applyAlignment="1">
      <alignment horizontal="center"/>
    </xf>
    <xf numFmtId="168" fontId="9" fillId="5" borderId="13" xfId="54" applyNumberFormat="1" applyFont="1" applyFill="1" applyBorder="1" applyAlignment="1">
      <alignment horizontal="center"/>
    </xf>
    <xf numFmtId="168" fontId="9" fillId="5" borderId="14" xfId="54" applyNumberFormat="1" applyFont="1" applyFill="1" applyBorder="1" applyAlignment="1">
      <alignment horizontal="center"/>
    </xf>
    <xf numFmtId="168" fontId="9" fillId="5" borderId="4" xfId="54" applyNumberFormat="1" applyFont="1" applyFill="1" applyBorder="1" applyAlignment="1">
      <alignment horizontal="center"/>
    </xf>
    <xf numFmtId="168" fontId="9" fillId="5" borderId="5" xfId="54" applyNumberFormat="1" applyFont="1" applyFill="1" applyBorder="1" applyAlignment="1">
      <alignment horizontal="center"/>
    </xf>
    <xf numFmtId="168" fontId="9" fillId="5" borderId="7" xfId="54" applyNumberFormat="1" applyFont="1" applyFill="1" applyBorder="1" applyAlignment="1">
      <alignment horizontal="center"/>
    </xf>
    <xf numFmtId="0" fontId="9" fillId="5" borderId="3" xfId="54" applyFont="1" applyFill="1" applyBorder="1" applyAlignment="1">
      <alignment horizontal="center"/>
    </xf>
    <xf numFmtId="165" fontId="4" fillId="0" borderId="10" xfId="54" applyNumberFormat="1" applyFont="1" applyFill="1" applyBorder="1"/>
    <xf numFmtId="165" fontId="1" fillId="0" borderId="9" xfId="47" applyNumberFormat="1" applyFont="1" applyFill="1" applyBorder="1"/>
    <xf numFmtId="165" fontId="1" fillId="0" borderId="13" xfId="47" applyNumberFormat="1" applyFont="1" applyFill="1" applyBorder="1"/>
    <xf numFmtId="165" fontId="1" fillId="0" borderId="14" xfId="47" applyNumberFormat="1" applyFont="1" applyFill="1" applyBorder="1"/>
    <xf numFmtId="165" fontId="1" fillId="0" borderId="8" xfId="47" applyNumberFormat="1" applyFont="1" applyFill="1" applyBorder="1"/>
    <xf numFmtId="165" fontId="41" fillId="0" borderId="9" xfId="47" applyNumberFormat="1" applyFont="1" applyFill="1" applyBorder="1"/>
    <xf numFmtId="165" fontId="41" fillId="0" borderId="13" xfId="47" applyNumberFormat="1" applyFont="1" applyFill="1" applyBorder="1"/>
    <xf numFmtId="165" fontId="41" fillId="0" borderId="14" xfId="47" applyNumberFormat="1" applyFont="1" applyFill="1" applyBorder="1"/>
    <xf numFmtId="165" fontId="41" fillId="0" borderId="6" xfId="47" applyNumberFormat="1" applyFont="1" applyFill="1" applyBorder="1"/>
    <xf numFmtId="165" fontId="41" fillId="0" borderId="10" xfId="47" applyNumberFormat="1" applyFont="1" applyFill="1" applyBorder="1"/>
    <xf numFmtId="165" fontId="41" fillId="0" borderId="0" xfId="47" applyNumberFormat="1" applyFont="1" applyFill="1" applyBorder="1"/>
    <xf numFmtId="165" fontId="41" fillId="0" borderId="0" xfId="54" applyNumberFormat="1" applyFont="1" applyFill="1" applyBorder="1"/>
    <xf numFmtId="165" fontId="41" fillId="0" borderId="16" xfId="54" applyNumberFormat="1" applyFont="1" applyFill="1" applyBorder="1"/>
    <xf numFmtId="165" fontId="41" fillId="0" borderId="10" xfId="54" applyNumberFormat="1" applyFont="1" applyFill="1" applyBorder="1"/>
    <xf numFmtId="165" fontId="42" fillId="0" borderId="0" xfId="47" applyNumberFormat="1" applyFont="1" applyFill="1" applyBorder="1"/>
    <xf numFmtId="165" fontId="1" fillId="0" borderId="10" xfId="47" applyNumberFormat="1" applyFont="1" applyFill="1" applyBorder="1"/>
    <xf numFmtId="165" fontId="1" fillId="0" borderId="0" xfId="47" applyNumberFormat="1" applyFont="1" applyFill="1" applyBorder="1"/>
    <xf numFmtId="165" fontId="1" fillId="0" borderId="16" xfId="47" applyNumberFormat="1" applyFont="1" applyFill="1" applyBorder="1"/>
    <xf numFmtId="165" fontId="1" fillId="0" borderId="6" xfId="47" applyNumberFormat="1" applyFont="1" applyFill="1" applyBorder="1"/>
    <xf numFmtId="165" fontId="1" fillId="0" borderId="10" xfId="47" applyNumberFormat="1" applyFont="1" applyBorder="1"/>
    <xf numFmtId="165" fontId="1" fillId="0" borderId="0" xfId="47" applyNumberFormat="1" applyFont="1" applyBorder="1"/>
    <xf numFmtId="165" fontId="1" fillId="0" borderId="16" xfId="47" applyNumberFormat="1" applyFont="1" applyBorder="1"/>
    <xf numFmtId="165" fontId="41" fillId="0" borderId="16" xfId="47" applyNumberFormat="1" applyFont="1" applyFill="1" applyBorder="1"/>
    <xf numFmtId="165" fontId="41" fillId="0" borderId="8" xfId="47" applyNumberFormat="1" applyFont="1" applyFill="1" applyBorder="1"/>
    <xf numFmtId="0" fontId="4" fillId="0" borderId="8" xfId="36" applyNumberFormat="1" applyFont="1" applyFill="1" applyBorder="1" applyAlignment="1">
      <alignment horizontal="left" indent="1"/>
    </xf>
    <xf numFmtId="165" fontId="4" fillId="0" borderId="9" xfId="47" applyNumberFormat="1" applyFont="1" applyFill="1" applyBorder="1"/>
    <xf numFmtId="165" fontId="4" fillId="0" borderId="13" xfId="47" applyNumberFormat="1" applyFont="1" applyFill="1" applyBorder="1"/>
    <xf numFmtId="165" fontId="4" fillId="0" borderId="14" xfId="47" applyNumberFormat="1" applyFont="1" applyFill="1" applyBorder="1"/>
    <xf numFmtId="165" fontId="4" fillId="0" borderId="8" xfId="47" applyNumberFormat="1" applyFont="1" applyFill="1" applyBorder="1"/>
    <xf numFmtId="165" fontId="4" fillId="0" borderId="6" xfId="47" applyNumberFormat="1" applyFont="1" applyFill="1" applyBorder="1"/>
    <xf numFmtId="165" fontId="4" fillId="0" borderId="10" xfId="47" applyNumberFormat="1" applyFont="1" applyFill="1" applyBorder="1"/>
    <xf numFmtId="9" fontId="4" fillId="0" borderId="0" xfId="59" applyFont="1"/>
    <xf numFmtId="9" fontId="4" fillId="0" borderId="9" xfId="59" applyFont="1" applyFill="1" applyBorder="1"/>
    <xf numFmtId="9" fontId="4" fillId="0" borderId="13" xfId="59" applyFont="1" applyBorder="1"/>
    <xf numFmtId="9" fontId="4" fillId="0" borderId="6" xfId="59" applyFont="1" applyFill="1" applyBorder="1"/>
    <xf numFmtId="9" fontId="4" fillId="0" borderId="0" xfId="59" applyFont="1" applyFill="1" applyBorder="1"/>
    <xf numFmtId="9" fontId="4" fillId="0" borderId="9" xfId="59" applyFont="1" applyBorder="1"/>
    <xf numFmtId="9" fontId="4" fillId="0" borderId="8" xfId="59" applyFont="1" applyFill="1" applyBorder="1"/>
    <xf numFmtId="9" fontId="4" fillId="0" borderId="16" xfId="47" applyNumberFormat="1" applyFont="1" applyFill="1" applyBorder="1"/>
    <xf numFmtId="9" fontId="4" fillId="0" borderId="6" xfId="47" applyNumberFormat="1" applyFont="1" applyFill="1" applyBorder="1"/>
    <xf numFmtId="165" fontId="4" fillId="0" borderId="16" xfId="47" applyNumberFormat="1" applyFont="1" applyFill="1" applyBorder="1"/>
    <xf numFmtId="43" fontId="4" fillId="0" borderId="10" xfId="36" applyFont="1" applyFill="1" applyBorder="1"/>
    <xf numFmtId="43" fontId="4" fillId="0" borderId="16" xfId="36" applyFont="1" applyFill="1" applyBorder="1"/>
    <xf numFmtId="43" fontId="4" fillId="0" borderId="8" xfId="36" applyFont="1" applyFill="1" applyBorder="1"/>
    <xf numFmtId="9" fontId="4" fillId="0" borderId="10" xfId="59" applyFont="1" applyBorder="1"/>
    <xf numFmtId="9" fontId="4" fillId="0" borderId="0" xfId="59" applyFont="1" applyBorder="1"/>
    <xf numFmtId="9" fontId="4" fillId="0" borderId="16" xfId="59" applyFont="1" applyBorder="1"/>
    <xf numFmtId="9" fontId="4" fillId="0" borderId="8" xfId="59" applyFont="1" applyBorder="1"/>
    <xf numFmtId="9" fontId="4" fillId="0" borderId="0" xfId="36" applyNumberFormat="1" applyFont="1" applyFill="1" applyBorder="1"/>
    <xf numFmtId="9" fontId="4" fillId="0" borderId="16" xfId="36" applyNumberFormat="1" applyFont="1" applyFill="1" applyBorder="1"/>
    <xf numFmtId="9" fontId="4" fillId="0" borderId="8" xfId="36" applyNumberFormat="1" applyFont="1" applyFill="1" applyBorder="1"/>
    <xf numFmtId="9" fontId="4" fillId="0" borderId="10" xfId="36" applyNumberFormat="1" applyFont="1" applyFill="1" applyBorder="1"/>
    <xf numFmtId="165" fontId="4" fillId="0" borderId="11" xfId="59" applyNumberFormat="1" applyFont="1" applyFill="1" applyBorder="1" applyAlignment="1">
      <alignment horizontal="left" indent="1"/>
    </xf>
    <xf numFmtId="165" fontId="4" fillId="0" borderId="2" xfId="59" applyNumberFormat="1" applyFont="1" applyFill="1" applyBorder="1" applyAlignment="1">
      <alignment horizontal="left" indent="1"/>
    </xf>
    <xf numFmtId="9" fontId="4" fillId="0" borderId="2" xfId="59" applyFont="1" applyBorder="1"/>
    <xf numFmtId="9" fontId="4" fillId="0" borderId="15" xfId="59" applyFont="1" applyBorder="1"/>
    <xf numFmtId="9" fontId="4" fillId="0" borderId="11" xfId="59" applyFont="1" applyFill="1" applyBorder="1"/>
    <xf numFmtId="9" fontId="4" fillId="0" borderId="12" xfId="59" applyFont="1" applyBorder="1"/>
    <xf numFmtId="9" fontId="4" fillId="0" borderId="2" xfId="59" applyFont="1" applyFill="1" applyBorder="1"/>
    <xf numFmtId="9" fontId="4" fillId="0" borderId="11" xfId="59" applyFont="1" applyBorder="1"/>
    <xf numFmtId="9" fontId="4" fillId="0" borderId="0" xfId="47" applyNumberFormat="1" applyFont="1" applyBorder="1"/>
    <xf numFmtId="9" fontId="9" fillId="5" borderId="4" xfId="59" applyFont="1" applyFill="1" applyBorder="1" applyAlignment="1">
      <alignment horizontal="center"/>
    </xf>
    <xf numFmtId="9" fontId="9" fillId="5" borderId="5" xfId="59" applyFont="1" applyFill="1" applyBorder="1" applyAlignment="1">
      <alignment horizontal="center"/>
    </xf>
    <xf numFmtId="9" fontId="9" fillId="5" borderId="7" xfId="59" applyFont="1" applyFill="1" applyBorder="1" applyAlignment="1">
      <alignment horizontal="center"/>
    </xf>
    <xf numFmtId="9" fontId="9" fillId="5" borderId="3" xfId="59" applyFont="1" applyFill="1" applyBorder="1" applyAlignment="1">
      <alignment horizontal="center"/>
    </xf>
    <xf numFmtId="9" fontId="9" fillId="0" borderId="0" xfId="59" applyFont="1" applyFill="1" applyBorder="1" applyAlignment="1">
      <alignment horizontal="right"/>
    </xf>
    <xf numFmtId="0" fontId="18" fillId="5" borderId="9" xfId="47" applyFont="1" applyFill="1" applyBorder="1"/>
    <xf numFmtId="0" fontId="18" fillId="5" borderId="13" xfId="47" applyFont="1" applyFill="1" applyBorder="1"/>
    <xf numFmtId="0" fontId="18" fillId="5" borderId="14" xfId="47" applyFont="1" applyFill="1" applyBorder="1"/>
    <xf numFmtId="0" fontId="18" fillId="5" borderId="6" xfId="47" applyFont="1" applyFill="1" applyBorder="1"/>
    <xf numFmtId="181" fontId="4" fillId="0" borderId="0" xfId="47" applyNumberFormat="1" applyFont="1" applyFill="1" applyBorder="1"/>
    <xf numFmtId="181" fontId="4" fillId="0" borderId="10" xfId="47" applyNumberFormat="1" applyFont="1" applyFill="1" applyBorder="1"/>
    <xf numFmtId="181" fontId="4" fillId="0" borderId="16" xfId="47" applyNumberFormat="1" applyFont="1" applyFill="1" applyBorder="1"/>
    <xf numFmtId="181" fontId="4" fillId="0" borderId="8" xfId="47" applyNumberFormat="1" applyFont="1" applyFill="1" applyBorder="1"/>
    <xf numFmtId="180" fontId="4" fillId="0" borderId="0" xfId="47" applyNumberFormat="1" applyFont="1" applyFill="1" applyBorder="1"/>
    <xf numFmtId="43" fontId="4" fillId="0" borderId="0" xfId="36" applyFont="1"/>
    <xf numFmtId="180" fontId="4" fillId="0" borderId="10" xfId="47" applyNumberFormat="1" applyFont="1" applyFill="1" applyBorder="1"/>
    <xf numFmtId="180" fontId="4" fillId="0" borderId="16" xfId="47" applyNumberFormat="1" applyFont="1" applyFill="1" applyBorder="1"/>
    <xf numFmtId="180" fontId="4" fillId="0" borderId="8" xfId="47" applyNumberFormat="1" applyFont="1" applyFill="1" applyBorder="1"/>
    <xf numFmtId="0" fontId="4" fillId="0" borderId="8" xfId="47" applyFont="1" applyBorder="1" applyAlignment="1">
      <alignment horizontal="left" indent="2"/>
    </xf>
    <xf numFmtId="181" fontId="4" fillId="0" borderId="10" xfId="47" applyNumberFormat="1" applyFont="1" applyBorder="1"/>
    <xf numFmtId="181" fontId="4" fillId="0" borderId="0" xfId="47" applyNumberFormat="1" applyFont="1" applyBorder="1"/>
    <xf numFmtId="181" fontId="4" fillId="0" borderId="8" xfId="47" applyNumberFormat="1" applyFont="1" applyBorder="1"/>
    <xf numFmtId="0" fontId="4" fillId="0" borderId="8" xfId="47" applyFont="1" applyFill="1" applyBorder="1" applyAlignment="1">
      <alignment horizontal="left" indent="2"/>
    </xf>
    <xf numFmtId="0" fontId="4" fillId="0" borderId="10" xfId="47" applyFont="1" applyBorder="1"/>
    <xf numFmtId="0" fontId="4" fillId="0" borderId="0" xfId="47" applyFont="1" applyBorder="1"/>
    <xf numFmtId="181" fontId="4" fillId="0" borderId="8" xfId="47" applyNumberFormat="1" applyFont="1" applyBorder="1" applyAlignment="1">
      <alignment horizontal="left" indent="2"/>
    </xf>
    <xf numFmtId="0" fontId="4" fillId="0" borderId="11" xfId="47" applyFont="1" applyBorder="1" applyAlignment="1">
      <alignment horizontal="left" indent="2"/>
    </xf>
    <xf numFmtId="181" fontId="4" fillId="0" borderId="12" xfId="47" applyNumberFormat="1" applyFont="1" applyBorder="1"/>
    <xf numFmtId="181" fontId="4" fillId="0" borderId="2" xfId="47" applyNumberFormat="1" applyFont="1" applyBorder="1"/>
    <xf numFmtId="181" fontId="4" fillId="0" borderId="11" xfId="47" applyNumberFormat="1" applyFont="1" applyBorder="1"/>
    <xf numFmtId="0" fontId="43" fillId="0" borderId="0" xfId="50" applyFont="1" applyFill="1" applyBorder="1" applyProtection="1"/>
    <xf numFmtId="0" fontId="5" fillId="0" borderId="0" xfId="50" applyFont="1" applyFill="1" applyBorder="1" applyAlignment="1" applyProtection="1">
      <alignment horizontal="left"/>
    </xf>
    <xf numFmtId="0" fontId="6" fillId="0" borderId="17" xfId="50" applyFont="1" applyFill="1" applyBorder="1" applyAlignment="1" applyProtection="1">
      <alignment horizontal="left"/>
    </xf>
    <xf numFmtId="0" fontId="43" fillId="0" borderId="17" xfId="50" applyFont="1" applyFill="1" applyBorder="1" applyProtection="1"/>
    <xf numFmtId="0" fontId="4" fillId="0" borderId="0" xfId="50" applyFont="1" applyFill="1" applyBorder="1" applyAlignment="1">
      <alignment horizontal="left"/>
    </xf>
    <xf numFmtId="184" fontId="7" fillId="0" borderId="0" xfId="47" applyNumberFormat="1" applyFont="1" applyFill="1" applyBorder="1" applyAlignment="1">
      <alignment horizontal="right"/>
    </xf>
    <xf numFmtId="168" fontId="9" fillId="5" borderId="18" xfId="47" applyNumberFormat="1" applyFont="1" applyFill="1" applyBorder="1" applyAlignment="1">
      <alignment horizontal="center"/>
    </xf>
    <xf numFmtId="168" fontId="9" fillId="5" borderId="19" xfId="47" applyNumberFormat="1" applyFont="1" applyFill="1" applyBorder="1" applyAlignment="1">
      <alignment horizontal="center"/>
    </xf>
    <xf numFmtId="0" fontId="7" fillId="4" borderId="8" xfId="47" applyFont="1" applyFill="1" applyBorder="1" applyAlignment="1">
      <alignment horizontal="center"/>
    </xf>
    <xf numFmtId="168" fontId="7" fillId="4" borderId="9" xfId="47" applyNumberFormat="1" applyFont="1" applyFill="1" applyBorder="1" applyAlignment="1">
      <alignment horizontal="center"/>
    </xf>
    <xf numFmtId="168" fontId="7" fillId="4" borderId="13" xfId="47" applyNumberFormat="1" applyFont="1" applyFill="1" applyBorder="1" applyAlignment="1">
      <alignment horizontal="center"/>
    </xf>
    <xf numFmtId="0" fontId="4" fillId="0" borderId="0" xfId="47" applyFont="1" applyFill="1" applyBorder="1" applyAlignment="1">
      <alignment horizontal="center"/>
    </xf>
    <xf numFmtId="0" fontId="4" fillId="0" borderId="10" xfId="47" applyFont="1" applyFill="1" applyBorder="1" applyAlignment="1">
      <alignment horizontal="center"/>
    </xf>
    <xf numFmtId="0" fontId="4" fillId="0" borderId="6" xfId="47" applyFont="1" applyFill="1" applyBorder="1" applyAlignment="1">
      <alignment horizontal="center"/>
    </xf>
    <xf numFmtId="0" fontId="4" fillId="0" borderId="0" xfId="47" applyFont="1" applyFill="1" applyAlignment="1">
      <alignment horizontal="center"/>
    </xf>
    <xf numFmtId="172" fontId="13" fillId="0" borderId="8" xfId="47" applyNumberFormat="1" applyFont="1" applyFill="1" applyBorder="1" applyAlignment="1">
      <alignment horizontal="right"/>
    </xf>
    <xf numFmtId="172" fontId="4" fillId="0" borderId="10" xfId="47" applyNumberFormat="1" applyFont="1" applyFill="1" applyBorder="1" applyAlignment="1">
      <alignment horizontal="right"/>
    </xf>
    <xf numFmtId="170" fontId="10" fillId="0" borderId="0" xfId="47" applyNumberFormat="1" applyFont="1" applyFill="1" applyBorder="1" applyAlignment="1">
      <alignment horizontal="right"/>
    </xf>
    <xf numFmtId="170" fontId="13" fillId="0" borderId="8" xfId="47" applyNumberFormat="1" applyFont="1" applyFill="1" applyBorder="1" applyAlignment="1">
      <alignment horizontal="right"/>
    </xf>
    <xf numFmtId="170" fontId="10" fillId="0" borderId="10" xfId="47" applyNumberFormat="1" applyFont="1" applyFill="1" applyBorder="1" applyAlignment="1">
      <alignment horizontal="right"/>
    </xf>
    <xf numFmtId="170" fontId="4" fillId="0" borderId="0" xfId="47" applyNumberFormat="1" applyFont="1" applyFill="1" applyBorder="1" applyAlignment="1">
      <alignment horizontal="right"/>
    </xf>
    <xf numFmtId="170" fontId="4" fillId="0" borderId="10" xfId="47" applyNumberFormat="1" applyFont="1" applyFill="1" applyBorder="1" applyAlignment="1">
      <alignment horizontal="right"/>
    </xf>
    <xf numFmtId="170" fontId="10" fillId="0" borderId="0" xfId="47" applyNumberFormat="1" applyFont="1" applyFill="1" applyBorder="1" applyAlignment="1" applyProtection="1">
      <alignment horizontal="center"/>
    </xf>
    <xf numFmtId="170" fontId="4" fillId="0" borderId="10" xfId="47" applyNumberFormat="1" applyFont="1" applyFill="1" applyBorder="1" applyAlignment="1" applyProtection="1">
      <alignment horizontal="right"/>
    </xf>
    <xf numFmtId="170" fontId="4" fillId="0" borderId="0" xfId="47" applyNumberFormat="1" applyFont="1" applyFill="1" applyBorder="1" applyAlignment="1" applyProtection="1">
      <alignment horizontal="right"/>
    </xf>
    <xf numFmtId="170" fontId="4" fillId="0" borderId="8" xfId="47" applyNumberFormat="1" applyFont="1" applyFill="1" applyBorder="1" applyAlignment="1">
      <alignment horizontal="right"/>
    </xf>
    <xf numFmtId="170" fontId="10" fillId="0" borderId="0" xfId="47" applyNumberFormat="1" applyFont="1" applyFill="1" applyBorder="1" applyAlignment="1" applyProtection="1">
      <alignment horizontal="right"/>
    </xf>
    <xf numFmtId="170" fontId="10" fillId="0" borderId="10" xfId="47" applyNumberFormat="1" applyFont="1" applyFill="1" applyBorder="1" applyAlignment="1" applyProtection="1">
      <alignment horizontal="right"/>
    </xf>
    <xf numFmtId="170" fontId="4" fillId="0" borderId="0" xfId="47" applyNumberFormat="1" applyFont="1" applyFill="1" applyBorder="1" applyAlignment="1" applyProtection="1">
      <alignment horizontal="center"/>
    </xf>
    <xf numFmtId="172" fontId="7" fillId="0" borderId="0" xfId="47" applyNumberFormat="1" applyFont="1" applyFill="1" applyBorder="1" applyAlignment="1" applyProtection="1">
      <alignment horizontal="center"/>
    </xf>
    <xf numFmtId="172" fontId="11" fillId="0" borderId="4" xfId="47" applyNumberFormat="1" applyFont="1" applyFill="1" applyBorder="1" applyAlignment="1" applyProtection="1">
      <alignment horizontal="right"/>
    </xf>
    <xf numFmtId="172" fontId="11" fillId="0" borderId="5" xfId="47" applyNumberFormat="1" applyFont="1" applyFill="1" applyBorder="1" applyAlignment="1" applyProtection="1">
      <alignment horizontal="right"/>
    </xf>
    <xf numFmtId="172" fontId="11" fillId="0" borderId="3" xfId="47" applyNumberFormat="1" applyFont="1" applyFill="1" applyBorder="1" applyAlignment="1" applyProtection="1">
      <alignment horizontal="right"/>
    </xf>
    <xf numFmtId="172" fontId="7" fillId="0" borderId="0" xfId="47" applyNumberFormat="1" applyFont="1" applyFill="1" applyBorder="1" applyAlignment="1" applyProtection="1">
      <alignment horizontal="right"/>
    </xf>
    <xf numFmtId="172" fontId="7" fillId="0" borderId="5" xfId="47" applyNumberFormat="1" applyFont="1" applyFill="1" applyBorder="1" applyAlignment="1" applyProtection="1">
      <alignment horizontal="right"/>
    </xf>
    <xf numFmtId="172" fontId="7" fillId="0" borderId="4" xfId="47" applyNumberFormat="1" applyFont="1" applyFill="1" applyBorder="1" applyAlignment="1" applyProtection="1">
      <alignment horizontal="right"/>
    </xf>
    <xf numFmtId="172" fontId="4" fillId="0" borderId="0" xfId="47" applyNumberFormat="1" applyFont="1" applyFill="1" applyBorder="1" applyAlignment="1" applyProtection="1">
      <alignment horizontal="center"/>
    </xf>
    <xf numFmtId="170" fontId="4" fillId="0" borderId="9" xfId="47" applyNumberFormat="1" applyFont="1" applyFill="1" applyBorder="1" applyAlignment="1">
      <alignment horizontal="right"/>
    </xf>
    <xf numFmtId="189" fontId="10" fillId="0" borderId="0" xfId="47" applyNumberFormat="1" applyFont="1" applyFill="1" applyBorder="1" applyAlignment="1">
      <alignment horizontal="center"/>
    </xf>
    <xf numFmtId="189" fontId="10" fillId="0" borderId="10" xfId="47" applyNumberFormat="1" applyFont="1" applyFill="1" applyBorder="1" applyAlignment="1">
      <alignment horizontal="right"/>
    </xf>
    <xf numFmtId="189" fontId="10" fillId="0" borderId="0" xfId="47" applyNumberFormat="1" applyFont="1" applyFill="1" applyBorder="1" applyAlignment="1">
      <alignment horizontal="right"/>
    </xf>
    <xf numFmtId="189" fontId="13" fillId="0" borderId="8" xfId="47" applyNumberFormat="1" applyFont="1" applyFill="1" applyBorder="1" applyAlignment="1">
      <alignment horizontal="right"/>
    </xf>
    <xf numFmtId="173" fontId="10" fillId="0" borderId="10" xfId="47" applyNumberFormat="1" applyFont="1" applyFill="1" applyBorder="1" applyAlignment="1">
      <alignment horizontal="right"/>
    </xf>
    <xf numFmtId="173" fontId="10" fillId="0" borderId="0" xfId="47" applyNumberFormat="1" applyFont="1" applyFill="1" applyBorder="1" applyAlignment="1">
      <alignment horizontal="right"/>
    </xf>
    <xf numFmtId="189" fontId="4" fillId="0" borderId="0" xfId="47" applyNumberFormat="1" applyFont="1" applyFill="1" applyBorder="1" applyAlignment="1" applyProtection="1">
      <alignment horizontal="center"/>
    </xf>
    <xf numFmtId="170" fontId="10" fillId="0" borderId="9" xfId="47" applyNumberFormat="1" applyFont="1" applyFill="1" applyBorder="1" applyAlignment="1" applyProtection="1">
      <alignment horizontal="right"/>
    </xf>
    <xf numFmtId="172" fontId="11" fillId="0" borderId="10" xfId="47" applyNumberFormat="1" applyFont="1" applyFill="1" applyBorder="1" applyAlignment="1" applyProtection="1">
      <alignment horizontal="right"/>
    </xf>
    <xf numFmtId="172" fontId="11" fillId="0" borderId="0" xfId="47" applyNumberFormat="1" applyFont="1" applyFill="1" applyBorder="1" applyAlignment="1" applyProtection="1">
      <alignment horizontal="right"/>
    </xf>
    <xf numFmtId="172" fontId="11" fillId="0" borderId="8" xfId="47" applyNumberFormat="1" applyFont="1" applyFill="1" applyBorder="1" applyAlignment="1" applyProtection="1">
      <alignment horizontal="right"/>
    </xf>
    <xf numFmtId="172" fontId="7" fillId="0" borderId="10" xfId="47" applyNumberFormat="1" applyFont="1" applyFill="1" applyBorder="1" applyAlignment="1" applyProtection="1">
      <alignment horizontal="right"/>
    </xf>
    <xf numFmtId="172" fontId="11" fillId="0" borderId="7" xfId="47" applyNumberFormat="1" applyFont="1" applyFill="1" applyBorder="1" applyAlignment="1" applyProtection="1">
      <alignment horizontal="right"/>
    </xf>
    <xf numFmtId="172" fontId="7" fillId="0" borderId="7" xfId="47" applyNumberFormat="1" applyFont="1" applyFill="1" applyBorder="1" applyAlignment="1" applyProtection="1">
      <alignment horizontal="right"/>
    </xf>
    <xf numFmtId="189" fontId="4" fillId="0" borderId="0" xfId="47" applyNumberFormat="1" applyFont="1" applyFill="1" applyBorder="1"/>
    <xf numFmtId="189" fontId="18" fillId="0" borderId="0" xfId="47" applyNumberFormat="1" applyFont="1" applyFill="1" applyBorder="1" applyAlignment="1">
      <alignment horizontal="center"/>
    </xf>
    <xf numFmtId="189" fontId="18" fillId="5" borderId="9" xfId="47" applyNumberFormat="1" applyFont="1" applyFill="1" applyBorder="1" applyAlignment="1">
      <alignment horizontal="right"/>
    </xf>
    <xf numFmtId="189" fontId="18" fillId="5" borderId="13" xfId="47" applyNumberFormat="1" applyFont="1" applyFill="1" applyBorder="1" applyAlignment="1">
      <alignment horizontal="right"/>
    </xf>
    <xf numFmtId="189" fontId="18" fillId="5" borderId="14" xfId="47" applyNumberFormat="1" applyFont="1" applyFill="1" applyBorder="1" applyAlignment="1">
      <alignment horizontal="right"/>
    </xf>
    <xf numFmtId="189" fontId="18" fillId="0" borderId="0" xfId="47" applyNumberFormat="1" applyFont="1" applyFill="1" applyBorder="1" applyAlignment="1">
      <alignment horizontal="right"/>
    </xf>
    <xf numFmtId="189" fontId="4" fillId="0" borderId="0" xfId="47" applyNumberFormat="1" applyFont="1" applyFill="1" applyBorder="1" applyAlignment="1">
      <alignment horizontal="center"/>
    </xf>
    <xf numFmtId="172" fontId="4" fillId="0" borderId="0" xfId="47" applyNumberFormat="1" applyFont="1" applyFill="1" applyBorder="1" applyAlignment="1">
      <alignment horizontal="center"/>
    </xf>
    <xf numFmtId="172" fontId="13" fillId="0" borderId="10" xfId="47" applyNumberFormat="1" applyFont="1" applyFill="1" applyBorder="1" applyAlignment="1">
      <alignment horizontal="right"/>
    </xf>
    <xf numFmtId="172" fontId="13" fillId="0" borderId="0" xfId="47" applyNumberFormat="1" applyFont="1" applyFill="1" applyBorder="1" applyAlignment="1">
      <alignment horizontal="right"/>
    </xf>
    <xf numFmtId="172" fontId="13" fillId="0" borderId="6" xfId="47" applyNumberFormat="1" applyFont="1" applyFill="1" applyBorder="1" applyAlignment="1">
      <alignment horizontal="right"/>
    </xf>
    <xf numFmtId="172" fontId="4" fillId="0" borderId="6" xfId="47" applyNumberFormat="1" applyFont="1" applyFill="1" applyBorder="1" applyAlignment="1">
      <alignment horizontal="right"/>
    </xf>
    <xf numFmtId="170" fontId="13" fillId="0" borderId="10" xfId="47" applyNumberFormat="1" applyFont="1" applyFill="1" applyBorder="1" applyAlignment="1">
      <alignment horizontal="right"/>
    </xf>
    <xf numFmtId="170" fontId="13" fillId="0" borderId="0" xfId="47" applyNumberFormat="1" applyFont="1" applyFill="1" applyBorder="1" applyAlignment="1">
      <alignment horizontal="right"/>
    </xf>
    <xf numFmtId="170" fontId="13" fillId="0" borderId="12" xfId="47" applyNumberFormat="1" applyFont="1" applyFill="1" applyBorder="1" applyAlignment="1">
      <alignment horizontal="right"/>
    </xf>
    <xf numFmtId="170" fontId="13" fillId="0" borderId="2" xfId="47" applyNumberFormat="1" applyFont="1" applyFill="1" applyBorder="1" applyAlignment="1">
      <alignment horizontal="right"/>
    </xf>
    <xf numFmtId="170" fontId="13" fillId="0" borderId="11" xfId="47" applyNumberFormat="1" applyFont="1" applyFill="1" applyBorder="1" applyAlignment="1">
      <alignment horizontal="right"/>
    </xf>
    <xf numFmtId="170" fontId="4" fillId="0" borderId="2" xfId="47" applyNumberFormat="1" applyFont="1" applyFill="1" applyBorder="1" applyAlignment="1">
      <alignment horizontal="right"/>
    </xf>
    <xf numFmtId="170" fontId="4" fillId="0" borderId="11" xfId="47" applyNumberFormat="1" applyFont="1" applyFill="1" applyBorder="1" applyAlignment="1">
      <alignment horizontal="right"/>
    </xf>
    <xf numFmtId="170" fontId="4" fillId="0" borderId="12" xfId="47" applyNumberFormat="1" applyFont="1" applyFill="1" applyBorder="1" applyAlignment="1">
      <alignment horizontal="right"/>
    </xf>
    <xf numFmtId="170" fontId="4" fillId="0" borderId="0" xfId="92" applyNumberFormat="1" applyFont="1" applyFill="1" applyBorder="1" applyProtection="1"/>
    <xf numFmtId="170" fontId="4" fillId="0" borderId="0" xfId="47" applyNumberFormat="1" applyFont="1" applyFill="1" applyAlignment="1">
      <alignment horizontal="right"/>
    </xf>
    <xf numFmtId="165" fontId="4" fillId="0" borderId="10" xfId="59" applyNumberFormat="1" applyFont="1" applyFill="1" applyBorder="1" applyAlignment="1">
      <alignment horizontal="right"/>
    </xf>
    <xf numFmtId="165" fontId="4" fillId="0" borderId="0" xfId="59" applyNumberFormat="1" applyFont="1" applyFill="1" applyBorder="1" applyAlignment="1">
      <alignment horizontal="right"/>
    </xf>
    <xf numFmtId="165" fontId="4" fillId="0" borderId="6" xfId="59" applyNumberFormat="1" applyFont="1" applyFill="1" applyBorder="1" applyAlignment="1">
      <alignment horizontal="right"/>
    </xf>
    <xf numFmtId="165" fontId="4" fillId="0" borderId="8" xfId="59" applyNumberFormat="1" applyFont="1" applyFill="1" applyBorder="1" applyAlignment="1">
      <alignment horizontal="right"/>
    </xf>
    <xf numFmtId="165" fontId="4" fillId="0" borderId="12" xfId="59" applyNumberFormat="1" applyFont="1" applyFill="1" applyBorder="1" applyAlignment="1">
      <alignment horizontal="right"/>
    </xf>
    <xf numFmtId="165" fontId="4" fillId="0" borderId="2" xfId="59" applyNumberFormat="1" applyFont="1" applyFill="1" applyBorder="1" applyAlignment="1">
      <alignment horizontal="right"/>
    </xf>
    <xf numFmtId="165" fontId="4" fillId="0" borderId="11" xfId="59" applyNumberFormat="1" applyFont="1" applyFill="1" applyBorder="1" applyAlignment="1">
      <alignment horizontal="right"/>
    </xf>
    <xf numFmtId="0" fontId="4" fillId="0" borderId="0" xfId="92" applyFont="1" applyFill="1" applyBorder="1" applyProtection="1"/>
    <xf numFmtId="189" fontId="4" fillId="0" borderId="0" xfId="47" applyNumberFormat="1" applyFont="1" applyFill="1" applyAlignment="1">
      <alignment horizontal="right"/>
    </xf>
    <xf numFmtId="189" fontId="4" fillId="0" borderId="0" xfId="47" applyNumberFormat="1" applyFont="1" applyFill="1" applyBorder="1" applyAlignment="1">
      <alignment horizontal="right"/>
    </xf>
    <xf numFmtId="0" fontId="9" fillId="5" borderId="6" xfId="92" applyFont="1" applyFill="1" applyBorder="1" applyProtection="1"/>
    <xf numFmtId="170" fontId="4" fillId="0" borderId="8" xfId="92" applyNumberFormat="1" applyFont="1" applyFill="1" applyBorder="1" applyProtection="1"/>
    <xf numFmtId="170" fontId="4" fillId="0" borderId="6" xfId="47" applyNumberFormat="1" applyFont="1" applyFill="1" applyBorder="1" applyAlignment="1">
      <alignment horizontal="right"/>
    </xf>
    <xf numFmtId="170" fontId="4" fillId="0" borderId="11" xfId="92" applyNumberFormat="1" applyFont="1" applyFill="1" applyBorder="1" applyProtection="1"/>
    <xf numFmtId="181" fontId="4" fillId="4" borderId="0" xfId="92" applyNumberFormat="1" applyFont="1" applyFill="1" applyBorder="1" applyProtection="1"/>
    <xf numFmtId="189" fontId="4" fillId="4" borderId="0" xfId="47" applyNumberFormat="1" applyFont="1" applyFill="1" applyAlignment="1">
      <alignment horizontal="right"/>
    </xf>
    <xf numFmtId="189" fontId="4" fillId="4" borderId="0" xfId="47" applyNumberFormat="1" applyFont="1" applyFill="1" applyBorder="1" applyAlignment="1">
      <alignment horizontal="right"/>
    </xf>
    <xf numFmtId="190" fontId="4" fillId="0" borderId="8" xfId="92" applyNumberFormat="1" applyFont="1" applyFill="1" applyBorder="1" applyProtection="1"/>
    <xf numFmtId="190" fontId="13" fillId="0" borderId="10" xfId="92" applyNumberFormat="1" applyFont="1" applyFill="1" applyBorder="1" applyAlignment="1" applyProtection="1">
      <alignment horizontal="right"/>
    </xf>
    <xf numFmtId="190" fontId="13" fillId="0" borderId="0" xfId="92" applyNumberFormat="1" applyFont="1" applyFill="1" applyBorder="1" applyAlignment="1" applyProtection="1">
      <alignment horizontal="right"/>
    </xf>
    <xf numFmtId="190" fontId="13" fillId="0" borderId="6" xfId="92" applyNumberFormat="1" applyFont="1" applyFill="1" applyBorder="1" applyAlignment="1" applyProtection="1">
      <alignment horizontal="right"/>
    </xf>
    <xf numFmtId="190" fontId="4" fillId="0" borderId="0" xfId="92" applyNumberFormat="1" applyFont="1" applyFill="1" applyBorder="1" applyAlignment="1" applyProtection="1">
      <alignment horizontal="right"/>
    </xf>
    <xf numFmtId="190" fontId="4" fillId="0" borderId="6" xfId="92" applyNumberFormat="1" applyFont="1" applyFill="1" applyBorder="1" applyAlignment="1" applyProtection="1">
      <alignment horizontal="right"/>
    </xf>
    <xf numFmtId="190" fontId="4" fillId="0" borderId="10" xfId="92" applyNumberFormat="1" applyFont="1" applyFill="1" applyBorder="1" applyAlignment="1" applyProtection="1">
      <alignment horizontal="right"/>
    </xf>
    <xf numFmtId="181" fontId="4" fillId="0" borderId="8" xfId="52" applyNumberFormat="1" applyFont="1" applyFill="1" applyBorder="1"/>
    <xf numFmtId="190" fontId="13" fillId="0" borderId="8" xfId="92" applyNumberFormat="1" applyFont="1" applyFill="1" applyBorder="1" applyAlignment="1" applyProtection="1">
      <alignment horizontal="right"/>
    </xf>
    <xf numFmtId="190" fontId="4" fillId="0" borderId="8" xfId="92" applyNumberFormat="1" applyFont="1" applyFill="1" applyBorder="1" applyAlignment="1" applyProtection="1">
      <alignment horizontal="right"/>
    </xf>
    <xf numFmtId="181" fontId="4" fillId="0" borderId="11" xfId="52" applyNumberFormat="1" applyFont="1" applyFill="1" applyBorder="1"/>
    <xf numFmtId="190" fontId="13" fillId="0" borderId="12" xfId="92" applyNumberFormat="1" applyFont="1" applyFill="1" applyBorder="1" applyAlignment="1" applyProtection="1">
      <alignment horizontal="right"/>
    </xf>
    <xf numFmtId="190" fontId="13" fillId="0" borderId="2" xfId="92" applyNumberFormat="1" applyFont="1" applyFill="1" applyBorder="1" applyAlignment="1" applyProtection="1">
      <alignment horizontal="right"/>
    </xf>
    <xf numFmtId="190" fontId="13" fillId="0" borderId="11" xfId="92" applyNumberFormat="1" applyFont="1" applyFill="1" applyBorder="1" applyAlignment="1" applyProtection="1">
      <alignment horizontal="right"/>
    </xf>
    <xf numFmtId="190" fontId="4" fillId="0" borderId="11" xfId="92" applyNumberFormat="1" applyFont="1" applyFill="1" applyBorder="1" applyAlignment="1" applyProtection="1">
      <alignment horizontal="right"/>
    </xf>
    <xf numFmtId="190" fontId="4" fillId="0" borderId="12" xfId="92" applyNumberFormat="1" applyFont="1" applyFill="1" applyBorder="1" applyAlignment="1" applyProtection="1">
      <alignment horizontal="right"/>
    </xf>
    <xf numFmtId="190" fontId="4" fillId="0" borderId="2" xfId="92" applyNumberFormat="1" applyFont="1" applyFill="1" applyBorder="1" applyAlignment="1" applyProtection="1">
      <alignment horizontal="right"/>
    </xf>
    <xf numFmtId="181" fontId="4" fillId="0" borderId="0" xfId="92" applyNumberFormat="1" applyFont="1" applyFill="1" applyBorder="1" applyProtection="1"/>
    <xf numFmtId="170" fontId="4" fillId="0" borderId="8" xfId="52" applyNumberFormat="1" applyFont="1" applyFill="1" applyBorder="1"/>
    <xf numFmtId="170" fontId="4" fillId="0" borderId="13" xfId="47" applyNumberFormat="1" applyFont="1" applyFill="1" applyBorder="1" applyAlignment="1">
      <alignment horizontal="right"/>
    </xf>
    <xf numFmtId="170" fontId="4" fillId="0" borderId="11" xfId="52" applyNumberFormat="1" applyFont="1" applyFill="1" applyBorder="1"/>
    <xf numFmtId="181" fontId="4" fillId="0" borderId="0" xfId="52" applyNumberFormat="1" applyFont="1" applyFill="1" applyBorder="1"/>
    <xf numFmtId="0" fontId="4" fillId="0" borderId="8" xfId="92" applyFont="1" applyFill="1" applyBorder="1" applyProtection="1"/>
    <xf numFmtId="0" fontId="4" fillId="0" borderId="11" xfId="92" applyFont="1" applyFill="1" applyBorder="1" applyProtection="1"/>
    <xf numFmtId="172" fontId="4" fillId="0" borderId="8" xfId="92" applyNumberFormat="1" applyFont="1" applyFill="1" applyBorder="1" applyAlignment="1" applyProtection="1">
      <alignment horizontal="left"/>
    </xf>
    <xf numFmtId="172" fontId="13" fillId="0" borderId="13" xfId="47" applyNumberFormat="1" applyFont="1" applyFill="1" applyBorder="1" applyAlignment="1">
      <alignment horizontal="right"/>
    </xf>
    <xf numFmtId="172" fontId="13" fillId="0" borderId="9" xfId="47" applyNumberFormat="1" applyFont="1" applyFill="1" applyBorder="1" applyAlignment="1">
      <alignment horizontal="right"/>
    </xf>
    <xf numFmtId="170" fontId="4" fillId="0" borderId="8" xfId="92" applyNumberFormat="1" applyFont="1" applyFill="1" applyBorder="1" applyAlignment="1" applyProtection="1">
      <alignment horizontal="left" indent="1"/>
    </xf>
    <xf numFmtId="170" fontId="30" fillId="0" borderId="0" xfId="47" applyNumberFormat="1" applyFont="1" applyFill="1" applyBorder="1" applyAlignment="1">
      <alignment horizontal="right"/>
    </xf>
    <xf numFmtId="170" fontId="30" fillId="0" borderId="10" xfId="47" applyNumberFormat="1" applyFont="1" applyFill="1" applyBorder="1" applyAlignment="1">
      <alignment horizontal="right"/>
    </xf>
    <xf numFmtId="172" fontId="4" fillId="0" borderId="11" xfId="92" applyNumberFormat="1" applyFont="1" applyFill="1" applyBorder="1" applyAlignment="1" applyProtection="1">
      <alignment horizontal="left"/>
    </xf>
    <xf numFmtId="172" fontId="13" fillId="0" borderId="12" xfId="47" applyNumberFormat="1" applyFont="1" applyFill="1" applyBorder="1" applyAlignment="1">
      <alignment horizontal="right"/>
    </xf>
    <xf numFmtId="172" fontId="13" fillId="0" borderId="2" xfId="47" applyNumberFormat="1" applyFont="1" applyFill="1" applyBorder="1" applyAlignment="1">
      <alignment horizontal="right"/>
    </xf>
    <xf numFmtId="172" fontId="13" fillId="0" borderId="11" xfId="47" applyNumberFormat="1" applyFont="1" applyFill="1" applyBorder="1" applyAlignment="1">
      <alignment horizontal="right"/>
    </xf>
    <xf numFmtId="172" fontId="4" fillId="0" borderId="11" xfId="47" applyNumberFormat="1" applyFont="1" applyFill="1" applyBorder="1" applyAlignment="1">
      <alignment horizontal="right"/>
    </xf>
    <xf numFmtId="172" fontId="4" fillId="0" borderId="2" xfId="47" applyNumberFormat="1" applyFont="1" applyFill="1" applyBorder="1" applyAlignment="1">
      <alignment horizontal="right"/>
    </xf>
    <xf numFmtId="172" fontId="4" fillId="0" borderId="12" xfId="47" applyNumberFormat="1" applyFont="1" applyFill="1" applyBorder="1" applyAlignment="1">
      <alignment horizontal="right"/>
    </xf>
    <xf numFmtId="0" fontId="4" fillId="0" borderId="0" xfId="47" applyFont="1" applyFill="1" applyAlignment="1" applyProtection="1">
      <alignment horizontal="left"/>
    </xf>
    <xf numFmtId="172" fontId="4" fillId="0" borderId="8" xfId="92" applyNumberFormat="1" applyFont="1" applyFill="1" applyBorder="1" applyProtection="1"/>
    <xf numFmtId="0" fontId="15" fillId="0" borderId="8" xfId="92" applyFont="1" applyFill="1" applyBorder="1" applyAlignment="1" applyProtection="1">
      <alignment horizontal="left" indent="2"/>
    </xf>
    <xf numFmtId="165" fontId="13" fillId="0" borderId="10" xfId="59" applyNumberFormat="1" applyFont="1" applyFill="1" applyBorder="1" applyAlignment="1">
      <alignment horizontal="right"/>
    </xf>
    <xf numFmtId="165" fontId="13" fillId="0" borderId="0" xfId="59" applyNumberFormat="1" applyFont="1" applyFill="1" applyBorder="1" applyAlignment="1">
      <alignment horizontal="right"/>
    </xf>
    <xf numFmtId="165" fontId="13" fillId="0" borderId="8" xfId="59" applyNumberFormat="1" applyFont="1" applyFill="1" applyBorder="1" applyAlignment="1">
      <alignment horizontal="right"/>
    </xf>
    <xf numFmtId="43" fontId="4" fillId="0" borderId="8" xfId="36" applyFont="1" applyFill="1" applyBorder="1" applyAlignment="1">
      <alignment horizontal="right"/>
    </xf>
    <xf numFmtId="0" fontId="4" fillId="0" borderId="8" xfId="92" applyFont="1" applyFill="1" applyBorder="1" applyAlignment="1" applyProtection="1">
      <alignment horizontal="left" indent="2"/>
    </xf>
    <xf numFmtId="9" fontId="4" fillId="0" borderId="10" xfId="59" applyNumberFormat="1" applyFont="1" applyFill="1" applyBorder="1" applyAlignment="1">
      <alignment horizontal="right"/>
    </xf>
    <xf numFmtId="9" fontId="4" fillId="0" borderId="0" xfId="59" applyNumberFormat="1" applyFont="1" applyFill="1" applyBorder="1" applyAlignment="1">
      <alignment horizontal="right"/>
    </xf>
    <xf numFmtId="165" fontId="4" fillId="0" borderId="0" xfId="47" applyNumberFormat="1" applyFont="1" applyFill="1" applyBorder="1" applyAlignment="1">
      <alignment horizontal="center"/>
    </xf>
    <xf numFmtId="165" fontId="4" fillId="0" borderId="0" xfId="47" applyNumberFormat="1" applyFont="1" applyFill="1" applyBorder="1" applyAlignment="1">
      <alignment horizontal="right"/>
    </xf>
    <xf numFmtId="172" fontId="4" fillId="0" borderId="8" xfId="47" applyNumberFormat="1" applyFont="1" applyFill="1" applyBorder="1" applyAlignment="1">
      <alignment horizontal="right"/>
    </xf>
    <xf numFmtId="0" fontId="4" fillId="0" borderId="8" xfId="47" applyFont="1" applyFill="1" applyBorder="1" applyAlignment="1" applyProtection="1">
      <alignment horizontal="left"/>
    </xf>
    <xf numFmtId="0" fontId="4" fillId="0" borderId="10" xfId="47" applyFont="1" applyFill="1" applyBorder="1" applyAlignment="1">
      <alignment horizontal="right"/>
    </xf>
    <xf numFmtId="189" fontId="4" fillId="0" borderId="8" xfId="47" applyNumberFormat="1" applyFont="1" applyFill="1" applyBorder="1" applyAlignment="1">
      <alignment horizontal="right"/>
    </xf>
    <xf numFmtId="189" fontId="4" fillId="0" borderId="10" xfId="47" applyNumberFormat="1" applyFont="1" applyFill="1" applyBorder="1" applyAlignment="1">
      <alignment horizontal="right"/>
    </xf>
    <xf numFmtId="0" fontId="47" fillId="0" borderId="8" xfId="92" applyFont="1" applyFill="1" applyBorder="1" applyProtection="1"/>
    <xf numFmtId="172" fontId="4" fillId="0" borderId="11" xfId="92" applyNumberFormat="1" applyFont="1" applyFill="1" applyBorder="1" applyProtection="1"/>
    <xf numFmtId="0" fontId="9" fillId="5" borderId="3" xfId="92" applyFont="1" applyFill="1" applyBorder="1" applyProtection="1"/>
    <xf numFmtId="189" fontId="18" fillId="5" borderId="4" xfId="47" applyNumberFormat="1" applyFont="1" applyFill="1" applyBorder="1" applyAlignment="1">
      <alignment horizontal="right"/>
    </xf>
    <xf numFmtId="189" fontId="18" fillId="5" borderId="5" xfId="47" applyNumberFormat="1" applyFont="1" applyFill="1" applyBorder="1" applyAlignment="1">
      <alignment horizontal="right"/>
    </xf>
    <xf numFmtId="189" fontId="18" fillId="5" borderId="7" xfId="47" applyNumberFormat="1" applyFont="1" applyFill="1" applyBorder="1" applyAlignment="1">
      <alignment horizontal="right"/>
    </xf>
    <xf numFmtId="0" fontId="4" fillId="0" borderId="6" xfId="92" applyFont="1" applyFill="1" applyBorder="1" applyProtection="1"/>
    <xf numFmtId="189" fontId="4" fillId="0" borderId="9" xfId="47" applyNumberFormat="1" applyFont="1" applyFill="1" applyBorder="1" applyAlignment="1">
      <alignment horizontal="right"/>
    </xf>
    <xf numFmtId="189" fontId="4" fillId="0" borderId="13" xfId="47" applyNumberFormat="1" applyFont="1" applyFill="1" applyBorder="1" applyAlignment="1">
      <alignment horizontal="right"/>
    </xf>
    <xf numFmtId="189" fontId="4" fillId="0" borderId="6" xfId="47" applyNumberFormat="1" applyFont="1" applyFill="1" applyBorder="1" applyAlignment="1">
      <alignment horizontal="right"/>
    </xf>
    <xf numFmtId="0" fontId="4" fillId="0" borderId="8" xfId="92" applyFont="1" applyFill="1" applyBorder="1" applyAlignment="1" applyProtection="1">
      <alignment horizontal="left" indent="1"/>
    </xf>
    <xf numFmtId="9" fontId="4" fillId="0" borderId="8" xfId="59" applyFont="1" applyFill="1" applyBorder="1" applyAlignment="1">
      <alignment horizontal="right"/>
    </xf>
    <xf numFmtId="9" fontId="10" fillId="0" borderId="0" xfId="59" applyFont="1" applyFill="1" applyBorder="1" applyAlignment="1">
      <alignment horizontal="right"/>
    </xf>
    <xf numFmtId="9" fontId="10" fillId="0" borderId="10" xfId="59" applyFont="1" applyFill="1" applyBorder="1" applyAlignment="1">
      <alignment horizontal="right"/>
    </xf>
    <xf numFmtId="0" fontId="4" fillId="0" borderId="11" xfId="92" applyFont="1" applyFill="1" applyBorder="1" applyAlignment="1" applyProtection="1">
      <alignment horizontal="left" indent="1"/>
    </xf>
    <xf numFmtId="189" fontId="4" fillId="0" borderId="12" xfId="47" applyNumberFormat="1" applyFont="1" applyFill="1" applyBorder="1" applyAlignment="1">
      <alignment horizontal="right"/>
    </xf>
    <xf numFmtId="189" fontId="4" fillId="0" borderId="2" xfId="47" applyNumberFormat="1" applyFont="1" applyFill="1" applyBorder="1" applyAlignment="1">
      <alignment horizontal="right"/>
    </xf>
    <xf numFmtId="189" fontId="4" fillId="0" borderId="11" xfId="47" applyNumberFormat="1" applyFont="1" applyFill="1" applyBorder="1" applyAlignment="1">
      <alignment horizontal="right"/>
    </xf>
    <xf numFmtId="9" fontId="4" fillId="0" borderId="11" xfId="59" applyFont="1" applyFill="1" applyBorder="1" applyAlignment="1">
      <alignment horizontal="right"/>
    </xf>
    <xf numFmtId="9" fontId="10" fillId="0" borderId="2" xfId="59" applyFont="1" applyFill="1" applyBorder="1" applyAlignment="1">
      <alignment horizontal="right"/>
    </xf>
    <xf numFmtId="9" fontId="10" fillId="0" borderId="12" xfId="59" applyFont="1" applyFill="1" applyBorder="1" applyAlignment="1">
      <alignment horizontal="right"/>
    </xf>
    <xf numFmtId="189" fontId="13" fillId="5" borderId="4" xfId="47" applyNumberFormat="1" applyFont="1" applyFill="1" applyBorder="1" applyAlignment="1">
      <alignment horizontal="right"/>
    </xf>
    <xf numFmtId="189" fontId="13" fillId="5" borderId="5" xfId="47" applyNumberFormat="1" applyFont="1" applyFill="1" applyBorder="1" applyAlignment="1">
      <alignment horizontal="right"/>
    </xf>
    <xf numFmtId="189" fontId="13" fillId="5" borderId="7" xfId="47" applyNumberFormat="1" applyFont="1" applyFill="1" applyBorder="1" applyAlignment="1">
      <alignment horizontal="right"/>
    </xf>
    <xf numFmtId="170" fontId="10" fillId="0" borderId="8" xfId="47" applyNumberFormat="1" applyFont="1" applyFill="1" applyBorder="1" applyAlignment="1">
      <alignment horizontal="right"/>
    </xf>
    <xf numFmtId="170" fontId="7" fillId="0" borderId="11" xfId="47" applyNumberFormat="1" applyFont="1" applyFill="1" applyBorder="1"/>
    <xf numFmtId="170" fontId="31" fillId="0" borderId="12" xfId="47" applyNumberFormat="1" applyFont="1" applyFill="1" applyBorder="1" applyAlignment="1">
      <alignment horizontal="right"/>
    </xf>
    <xf numFmtId="170" fontId="31" fillId="0" borderId="2" xfId="47" applyNumberFormat="1" applyFont="1" applyFill="1" applyBorder="1" applyAlignment="1">
      <alignment horizontal="right"/>
    </xf>
    <xf numFmtId="170" fontId="31" fillId="0" borderId="11" xfId="47" applyNumberFormat="1" applyFont="1" applyFill="1" applyBorder="1" applyAlignment="1">
      <alignment horizontal="right"/>
    </xf>
    <xf numFmtId="170" fontId="12" fillId="0" borderId="0" xfId="47" applyNumberFormat="1" applyFont="1" applyFill="1" applyBorder="1" applyAlignment="1">
      <alignment horizontal="right"/>
    </xf>
    <xf numFmtId="170" fontId="7" fillId="0" borderId="11" xfId="47" applyNumberFormat="1" applyFont="1" applyFill="1" applyBorder="1" applyAlignment="1">
      <alignment horizontal="right"/>
    </xf>
    <xf numFmtId="170" fontId="7" fillId="0" borderId="2" xfId="47" applyNumberFormat="1" applyFont="1" applyFill="1" applyBorder="1" applyAlignment="1">
      <alignment horizontal="right"/>
    </xf>
    <xf numFmtId="170" fontId="7" fillId="0" borderId="12" xfId="47" applyNumberFormat="1" applyFont="1" applyFill="1" applyBorder="1" applyAlignment="1">
      <alignment horizontal="right"/>
    </xf>
    <xf numFmtId="189" fontId="13" fillId="5" borderId="9" xfId="47" applyNumberFormat="1" applyFont="1" applyFill="1" applyBorder="1" applyAlignment="1">
      <alignment horizontal="right"/>
    </xf>
    <xf numFmtId="189" fontId="13" fillId="5" borderId="13" xfId="47" applyNumberFormat="1" applyFont="1" applyFill="1" applyBorder="1" applyAlignment="1">
      <alignment horizontal="right"/>
    </xf>
    <xf numFmtId="189" fontId="13" fillId="5" borderId="14" xfId="47" applyNumberFormat="1" applyFont="1" applyFill="1" applyBorder="1" applyAlignment="1">
      <alignment horizontal="right"/>
    </xf>
    <xf numFmtId="170" fontId="4" fillId="0" borderId="6" xfId="47" applyNumberFormat="1" applyFont="1" applyFill="1" applyBorder="1"/>
    <xf numFmtId="170" fontId="13" fillId="0" borderId="9" xfId="47" applyNumberFormat="1" applyFont="1" applyFill="1" applyBorder="1" applyAlignment="1">
      <alignment horizontal="right"/>
    </xf>
    <xf numFmtId="170" fontId="13" fillId="0" borderId="13" xfId="47" applyNumberFormat="1" applyFont="1" applyFill="1" applyBorder="1" applyAlignment="1">
      <alignment horizontal="right"/>
    </xf>
    <xf numFmtId="170" fontId="13" fillId="0" borderId="14" xfId="47" applyNumberFormat="1" applyFont="1" applyFill="1" applyBorder="1" applyAlignment="1">
      <alignment horizontal="right"/>
    </xf>
    <xf numFmtId="170" fontId="13" fillId="0" borderId="6" xfId="47" applyNumberFormat="1" applyFont="1" applyFill="1" applyBorder="1" applyAlignment="1">
      <alignment horizontal="right"/>
    </xf>
    <xf numFmtId="170" fontId="4" fillId="0" borderId="14" xfId="47" applyNumberFormat="1" applyFont="1" applyFill="1" applyBorder="1" applyAlignment="1">
      <alignment horizontal="right"/>
    </xf>
    <xf numFmtId="165" fontId="15" fillId="0" borderId="16" xfId="59" applyNumberFormat="1" applyFont="1" applyFill="1" applyBorder="1" applyAlignment="1">
      <alignment horizontal="right"/>
    </xf>
    <xf numFmtId="169" fontId="4" fillId="0" borderId="8" xfId="47" applyNumberFormat="1" applyFont="1" applyFill="1" applyBorder="1"/>
    <xf numFmtId="169" fontId="4" fillId="0" borderId="0" xfId="47" applyNumberFormat="1" applyFont="1" applyFill="1" applyBorder="1"/>
    <xf numFmtId="169" fontId="10" fillId="0" borderId="0" xfId="47" applyNumberFormat="1" applyFont="1" applyFill="1" applyBorder="1" applyAlignment="1">
      <alignment horizontal="right"/>
    </xf>
    <xf numFmtId="169" fontId="13" fillId="0" borderId="8" xfId="47" applyNumberFormat="1" applyFont="1" applyFill="1" applyBorder="1" applyAlignment="1">
      <alignment horizontal="right"/>
    </xf>
    <xf numFmtId="169" fontId="1" fillId="0" borderId="0" xfId="47" applyNumberFormat="1" applyFill="1"/>
    <xf numFmtId="170" fontId="11" fillId="0" borderId="12" xfId="47" applyNumberFormat="1" applyFont="1" applyFill="1" applyBorder="1" applyAlignment="1">
      <alignment horizontal="right"/>
    </xf>
    <xf numFmtId="170" fontId="11" fillId="0" borderId="2" xfId="47" applyNumberFormat="1" applyFont="1" applyFill="1" applyBorder="1" applyAlignment="1">
      <alignment horizontal="right"/>
    </xf>
    <xf numFmtId="170" fontId="11" fillId="0" borderId="15" xfId="47" applyNumberFormat="1" applyFont="1" applyFill="1" applyBorder="1" applyAlignment="1">
      <alignment horizontal="right"/>
    </xf>
    <xf numFmtId="170" fontId="11" fillId="0" borderId="11" xfId="47" applyNumberFormat="1" applyFont="1" applyFill="1" applyBorder="1" applyAlignment="1">
      <alignment horizontal="right"/>
    </xf>
    <xf numFmtId="170" fontId="7" fillId="0" borderId="15" xfId="47" applyNumberFormat="1" applyFont="1" applyFill="1" applyBorder="1" applyAlignment="1">
      <alignment horizontal="right"/>
    </xf>
    <xf numFmtId="165" fontId="9" fillId="5" borderId="6" xfId="59" applyNumberFormat="1" applyFont="1" applyFill="1" applyBorder="1"/>
    <xf numFmtId="165" fontId="9" fillId="0" borderId="0" xfId="59" applyNumberFormat="1" applyFont="1" applyFill="1" applyBorder="1" applyAlignment="1">
      <alignment horizontal="center"/>
    </xf>
    <xf numFmtId="165" fontId="9" fillId="5" borderId="9" xfId="59" applyNumberFormat="1" applyFont="1" applyFill="1" applyBorder="1" applyAlignment="1">
      <alignment horizontal="right"/>
    </xf>
    <xf numFmtId="165" fontId="9" fillId="5" borderId="13" xfId="59" applyNumberFormat="1" applyFont="1" applyFill="1" applyBorder="1" applyAlignment="1">
      <alignment horizontal="right"/>
    </xf>
    <xf numFmtId="165" fontId="9" fillId="5" borderId="14" xfId="59" applyNumberFormat="1" applyFont="1" applyFill="1" applyBorder="1" applyAlignment="1">
      <alignment horizontal="right"/>
    </xf>
    <xf numFmtId="165" fontId="9" fillId="0" borderId="0" xfId="59" applyNumberFormat="1" applyFont="1" applyFill="1" applyBorder="1" applyAlignment="1">
      <alignment horizontal="right"/>
    </xf>
    <xf numFmtId="165" fontId="7" fillId="0" borderId="0" xfId="59" applyNumberFormat="1" applyFont="1" applyFill="1" applyBorder="1" applyAlignment="1">
      <alignment horizontal="center"/>
    </xf>
    <xf numFmtId="172" fontId="4" fillId="0" borderId="8" xfId="46" applyNumberFormat="1" applyFont="1" applyFill="1" applyBorder="1"/>
    <xf numFmtId="172" fontId="30" fillId="0" borderId="0" xfId="47" applyNumberFormat="1" applyFont="1" applyFill="1" applyBorder="1" applyAlignment="1">
      <alignment horizontal="right"/>
    </xf>
    <xf numFmtId="172" fontId="30" fillId="0" borderId="10" xfId="47" applyNumberFormat="1" applyFont="1" applyFill="1" applyBorder="1" applyAlignment="1">
      <alignment horizontal="right"/>
    </xf>
    <xf numFmtId="172" fontId="30" fillId="0" borderId="8" xfId="47" applyNumberFormat="1" applyFont="1" applyFill="1" applyBorder="1" applyAlignment="1">
      <alignment horizontal="right"/>
    </xf>
    <xf numFmtId="170" fontId="4" fillId="0" borderId="8" xfId="46" applyNumberFormat="1" applyFont="1" applyFill="1" applyBorder="1"/>
    <xf numFmtId="170" fontId="30" fillId="0" borderId="8" xfId="47" applyNumberFormat="1" applyFont="1" applyFill="1" applyBorder="1" applyAlignment="1">
      <alignment horizontal="right"/>
    </xf>
    <xf numFmtId="9" fontId="15" fillId="0" borderId="0" xfId="59" applyFont="1" applyFill="1" applyBorder="1" applyAlignment="1">
      <alignment horizontal="right"/>
    </xf>
    <xf numFmtId="9" fontId="35" fillId="0" borderId="10" xfId="59" applyFont="1" applyFill="1" applyBorder="1" applyAlignment="1">
      <alignment horizontal="right"/>
    </xf>
    <xf numFmtId="9" fontId="35" fillId="0" borderId="0" xfId="59" applyFont="1" applyFill="1" applyBorder="1" applyAlignment="1">
      <alignment horizontal="right"/>
    </xf>
    <xf numFmtId="9" fontId="35" fillId="0" borderId="8" xfId="59" applyFont="1" applyFill="1" applyBorder="1" applyAlignment="1">
      <alignment horizontal="right"/>
    </xf>
    <xf numFmtId="0" fontId="7" fillId="0" borderId="8" xfId="46" applyFont="1" applyFill="1" applyBorder="1"/>
    <xf numFmtId="9" fontId="15" fillId="0" borderId="0" xfId="47" applyNumberFormat="1" applyFont="1" applyFill="1" applyBorder="1" applyAlignment="1">
      <alignment horizontal="right"/>
    </xf>
    <xf numFmtId="9" fontId="6" fillId="0" borderId="10" xfId="47" applyNumberFormat="1" applyFont="1" applyFill="1" applyBorder="1" applyAlignment="1">
      <alignment horizontal="right"/>
    </xf>
    <xf numFmtId="9" fontId="6" fillId="0" borderId="0" xfId="47" applyNumberFormat="1" applyFont="1" applyFill="1" applyBorder="1" applyAlignment="1">
      <alignment horizontal="right"/>
    </xf>
    <xf numFmtId="9" fontId="6" fillId="0" borderId="8" xfId="47" applyNumberFormat="1" applyFont="1" applyFill="1" applyBorder="1" applyAlignment="1">
      <alignment horizontal="right"/>
    </xf>
    <xf numFmtId="170" fontId="15" fillId="0" borderId="8" xfId="46" applyNumberFormat="1" applyFont="1" applyFill="1" applyBorder="1"/>
    <xf numFmtId="170" fontId="15" fillId="0" borderId="0" xfId="47" applyNumberFormat="1" applyFont="1" applyFill="1" applyBorder="1" applyAlignment="1">
      <alignment horizontal="center"/>
    </xf>
    <xf numFmtId="170" fontId="6" fillId="0" borderId="10" xfId="47" applyNumberFormat="1" applyFont="1" applyFill="1" applyBorder="1" applyAlignment="1">
      <alignment horizontal="right"/>
    </xf>
    <xf numFmtId="170" fontId="6" fillId="0" borderId="0" xfId="47" applyNumberFormat="1" applyFont="1" applyFill="1" applyBorder="1" applyAlignment="1">
      <alignment horizontal="right"/>
    </xf>
    <xf numFmtId="170" fontId="6" fillId="0" borderId="8" xfId="47" applyNumberFormat="1" applyFont="1" applyFill="1" applyBorder="1" applyAlignment="1">
      <alignment horizontal="right"/>
    </xf>
    <xf numFmtId="170" fontId="15" fillId="0" borderId="0" xfId="47" applyNumberFormat="1" applyFont="1" applyFill="1" applyBorder="1" applyAlignment="1">
      <alignment horizontal="right"/>
    </xf>
    <xf numFmtId="0" fontId="4" fillId="0" borderId="11" xfId="46" applyFont="1" applyFill="1" applyBorder="1"/>
    <xf numFmtId="181" fontId="4" fillId="0" borderId="0" xfId="47" applyNumberFormat="1" applyFont="1" applyFill="1" applyBorder="1" applyAlignment="1">
      <alignment horizontal="right"/>
    </xf>
    <xf numFmtId="181" fontId="13" fillId="0" borderId="12" xfId="47" applyNumberFormat="1" applyFont="1" applyFill="1" applyBorder="1" applyAlignment="1">
      <alignment horizontal="right"/>
    </xf>
    <xf numFmtId="181" fontId="13" fillId="0" borderId="2" xfId="47" applyNumberFormat="1" applyFont="1" applyFill="1" applyBorder="1" applyAlignment="1">
      <alignment horizontal="right"/>
    </xf>
    <xf numFmtId="181" fontId="13" fillId="0" borderId="11" xfId="47" applyNumberFormat="1" applyFont="1" applyFill="1" applyBorder="1" applyAlignment="1">
      <alignment horizontal="right"/>
    </xf>
    <xf numFmtId="0" fontId="1" fillId="0" borderId="0" xfId="47" applyFill="1" applyBorder="1" applyAlignment="1">
      <alignment horizontal="right"/>
    </xf>
    <xf numFmtId="165" fontId="22" fillId="0" borderId="0" xfId="47" applyNumberFormat="1" applyFont="1" applyFill="1" applyBorder="1" applyAlignment="1">
      <alignment horizontal="right"/>
    </xf>
    <xf numFmtId="165" fontId="22" fillId="0" borderId="0" xfId="47" applyNumberFormat="1" applyFont="1" applyFill="1" applyBorder="1" applyAlignment="1">
      <alignment horizontal="center"/>
    </xf>
    <xf numFmtId="165" fontId="10" fillId="0" borderId="0" xfId="47" applyNumberFormat="1" applyFont="1" applyFill="1" applyBorder="1" applyAlignment="1">
      <alignment horizontal="right"/>
    </xf>
    <xf numFmtId="165" fontId="10" fillId="0" borderId="0" xfId="47" applyNumberFormat="1" applyFont="1" applyFill="1" applyBorder="1" applyAlignment="1">
      <alignment horizontal="center"/>
    </xf>
    <xf numFmtId="165" fontId="4" fillId="0" borderId="8" xfId="47" applyNumberFormat="1" applyFont="1" applyFill="1" applyBorder="1" applyAlignment="1">
      <alignment horizontal="right"/>
    </xf>
    <xf numFmtId="165" fontId="4" fillId="0" borderId="11" xfId="47" applyNumberFormat="1" applyFont="1" applyFill="1" applyBorder="1" applyAlignment="1">
      <alignment horizontal="right"/>
    </xf>
    <xf numFmtId="165" fontId="10" fillId="0" borderId="10" xfId="47" applyNumberFormat="1" applyFont="1" applyFill="1" applyBorder="1" applyAlignment="1">
      <alignment horizontal="right"/>
    </xf>
    <xf numFmtId="172" fontId="10" fillId="0" borderId="16" xfId="47" applyNumberFormat="1" applyFont="1" applyFill="1" applyBorder="1"/>
    <xf numFmtId="165" fontId="10" fillId="0" borderId="16" xfId="47" applyNumberFormat="1" applyFont="1" applyFill="1" applyBorder="1" applyAlignment="1">
      <alignment horizontal="right"/>
    </xf>
    <xf numFmtId="165" fontId="10" fillId="0" borderId="12" xfId="47" applyNumberFormat="1" applyFont="1" applyFill="1" applyBorder="1" applyAlignment="1">
      <alignment horizontal="right"/>
    </xf>
    <xf numFmtId="165" fontId="10" fillId="0" borderId="2" xfId="47" applyNumberFormat="1" applyFont="1" applyFill="1" applyBorder="1" applyAlignment="1">
      <alignment horizontal="right"/>
    </xf>
    <xf numFmtId="177" fontId="4" fillId="0" borderId="0" xfId="59" applyNumberFormat="1" applyFont="1" applyFill="1" applyBorder="1" applyAlignment="1">
      <alignment horizontal="center"/>
    </xf>
    <xf numFmtId="165" fontId="4" fillId="0" borderId="4" xfId="59" applyNumberFormat="1" applyFont="1" applyFill="1" applyBorder="1" applyAlignment="1">
      <alignment horizontal="right"/>
    </xf>
    <xf numFmtId="165" fontId="4" fillId="0" borderId="5" xfId="59" applyNumberFormat="1" applyFont="1" applyFill="1" applyBorder="1" applyAlignment="1">
      <alignment horizontal="right"/>
    </xf>
    <xf numFmtId="165" fontId="4" fillId="0" borderId="3" xfId="59" applyNumberFormat="1" applyFont="1" applyFill="1" applyBorder="1" applyAlignment="1">
      <alignment horizontal="right"/>
    </xf>
    <xf numFmtId="170" fontId="7" fillId="0" borderId="8" xfId="46" applyNumberFormat="1" applyFont="1" applyFill="1" applyBorder="1"/>
    <xf numFmtId="170" fontId="7" fillId="0" borderId="0" xfId="47" applyNumberFormat="1" applyFont="1" applyFill="1" applyBorder="1" applyAlignment="1">
      <alignment horizontal="center"/>
    </xf>
    <xf numFmtId="170" fontId="11" fillId="0" borderId="10" xfId="47" applyNumberFormat="1" applyFont="1" applyFill="1" applyBorder="1" applyAlignment="1">
      <alignment horizontal="right"/>
    </xf>
    <xf numFmtId="170" fontId="11" fillId="0" borderId="0" xfId="47" applyNumberFormat="1" applyFont="1" applyFill="1" applyBorder="1" applyAlignment="1">
      <alignment horizontal="right"/>
    </xf>
    <xf numFmtId="170" fontId="11" fillId="0" borderId="8" xfId="47" applyNumberFormat="1" applyFont="1" applyFill="1" applyBorder="1" applyAlignment="1">
      <alignment horizontal="right"/>
    </xf>
    <xf numFmtId="170" fontId="7" fillId="0" borderId="0" xfId="47" applyNumberFormat="1" applyFont="1" applyFill="1" applyBorder="1" applyAlignment="1">
      <alignment horizontal="right"/>
    </xf>
    <xf numFmtId="170" fontId="7" fillId="0" borderId="10" xfId="47" applyNumberFormat="1" applyFont="1" applyFill="1" applyBorder="1" applyAlignment="1">
      <alignment horizontal="right"/>
    </xf>
    <xf numFmtId="170" fontId="3" fillId="0" borderId="0" xfId="47" applyNumberFormat="1" applyFont="1" applyFill="1"/>
    <xf numFmtId="0" fontId="1" fillId="0" borderId="10" xfId="47" applyFill="1" applyBorder="1" applyAlignment="1">
      <alignment horizontal="right"/>
    </xf>
    <xf numFmtId="0" fontId="1" fillId="0" borderId="8" xfId="47" applyFill="1" applyBorder="1" applyAlignment="1">
      <alignment horizontal="right"/>
    </xf>
    <xf numFmtId="165" fontId="69" fillId="0" borderId="10" xfId="59" applyNumberFormat="1" applyFont="1" applyFill="1" applyBorder="1" applyAlignment="1">
      <alignment horizontal="right"/>
    </xf>
    <xf numFmtId="165" fontId="69" fillId="0" borderId="0" xfId="59" applyNumberFormat="1" applyFont="1" applyFill="1" applyBorder="1" applyAlignment="1">
      <alignment horizontal="right"/>
    </xf>
    <xf numFmtId="170" fontId="7" fillId="0" borderId="11" xfId="46" applyNumberFormat="1" applyFont="1" applyFill="1" applyBorder="1"/>
    <xf numFmtId="0" fontId="3" fillId="0" borderId="0" xfId="47" applyFont="1" applyFill="1" applyBorder="1" applyAlignment="1">
      <alignment horizontal="right"/>
    </xf>
    <xf numFmtId="165" fontId="69" fillId="0" borderId="0" xfId="59" applyNumberFormat="1" applyFont="1" applyFill="1" applyAlignment="1">
      <alignment horizontal="right"/>
    </xf>
    <xf numFmtId="0" fontId="48" fillId="0" borderId="0" xfId="50" applyFont="1" applyFill="1" applyBorder="1" applyProtection="1"/>
    <xf numFmtId="0" fontId="3" fillId="0" borderId="0" xfId="50" applyFont="1" applyFill="1" applyBorder="1" applyAlignment="1" applyProtection="1">
      <alignment horizontal="right"/>
    </xf>
    <xf numFmtId="0" fontId="1" fillId="0" borderId="0" xfId="46" applyFill="1"/>
    <xf numFmtId="0" fontId="1" fillId="0" borderId="0" xfId="46"/>
    <xf numFmtId="172" fontId="43" fillId="0" borderId="0" xfId="50" applyNumberFormat="1" applyFont="1" applyFill="1" applyBorder="1" applyProtection="1"/>
    <xf numFmtId="0" fontId="5" fillId="0" borderId="0" xfId="50" applyFont="1" applyFill="1" applyBorder="1" applyAlignment="1" applyProtection="1">
      <alignment horizontal="right"/>
    </xf>
    <xf numFmtId="172" fontId="43" fillId="0" borderId="2" xfId="50" applyNumberFormat="1" applyFont="1" applyFill="1" applyBorder="1" applyProtection="1"/>
    <xf numFmtId="172" fontId="1" fillId="0" borderId="0" xfId="46" applyNumberFormat="1" applyFill="1"/>
    <xf numFmtId="0" fontId="48" fillId="0" borderId="17" xfId="50" applyFont="1" applyFill="1" applyBorder="1" applyProtection="1"/>
    <xf numFmtId="0" fontId="6" fillId="0" borderId="17" xfId="50" applyFont="1" applyFill="1" applyBorder="1" applyAlignment="1" applyProtection="1">
      <alignment horizontal="right"/>
    </xf>
    <xf numFmtId="0" fontId="15" fillId="0" borderId="0" xfId="50" applyFont="1" applyFill="1" applyBorder="1" applyAlignment="1">
      <alignment horizontal="left"/>
    </xf>
    <xf numFmtId="0" fontId="4" fillId="0" borderId="0" xfId="46" applyFont="1" applyFill="1"/>
    <xf numFmtId="166" fontId="7" fillId="0" borderId="4" xfId="46" applyNumberFormat="1" applyFont="1" applyFill="1" applyBorder="1" applyAlignment="1">
      <alignment horizontal="centerContinuous"/>
    </xf>
    <xf numFmtId="167" fontId="7" fillId="0" borderId="5" xfId="46" applyNumberFormat="1" applyFont="1" applyFill="1" applyBorder="1" applyAlignment="1">
      <alignment horizontal="centerContinuous"/>
    </xf>
    <xf numFmtId="0" fontId="7" fillId="0" borderId="6" xfId="46" applyFont="1" applyFill="1" applyBorder="1" applyAlignment="1">
      <alignment horizontal="center"/>
    </xf>
    <xf numFmtId="0" fontId="7" fillId="0" borderId="0" xfId="46" applyFont="1" applyFill="1" applyBorder="1" applyAlignment="1">
      <alignment horizontal="center"/>
    </xf>
    <xf numFmtId="167" fontId="4" fillId="0" borderId="0" xfId="46" applyNumberFormat="1" applyFont="1" applyFill="1" applyBorder="1"/>
    <xf numFmtId="172" fontId="7" fillId="0" borderId="8" xfId="46" applyNumberFormat="1" applyFont="1" applyFill="1" applyBorder="1" applyAlignment="1" applyProtection="1">
      <alignment horizontal="left"/>
    </xf>
    <xf numFmtId="172" fontId="7" fillId="0" borderId="0" xfId="46" applyNumberFormat="1" applyFont="1" applyFill="1" applyBorder="1" applyAlignment="1" applyProtection="1">
      <alignment horizontal="left"/>
    </xf>
    <xf numFmtId="172" fontId="30" fillId="0" borderId="10" xfId="46" applyNumberFormat="1" applyFont="1" applyFill="1" applyBorder="1" applyAlignment="1" applyProtection="1">
      <alignment horizontal="right"/>
    </xf>
    <xf numFmtId="172" fontId="30" fillId="0" borderId="0" xfId="46" applyNumberFormat="1" applyFont="1" applyFill="1" applyBorder="1" applyAlignment="1" applyProtection="1">
      <alignment horizontal="right"/>
    </xf>
    <xf numFmtId="172" fontId="4" fillId="0" borderId="0" xfId="46" applyNumberFormat="1" applyFont="1" applyFill="1" applyBorder="1"/>
    <xf numFmtId="170" fontId="13" fillId="0" borderId="0" xfId="46" applyNumberFormat="1" applyFont="1" applyFill="1" applyBorder="1" applyAlignment="1" applyProtection="1"/>
    <xf numFmtId="170" fontId="10" fillId="0" borderId="10" xfId="46" applyNumberFormat="1" applyFont="1" applyFill="1" applyBorder="1" applyAlignment="1">
      <alignment horizontal="right"/>
    </xf>
    <xf numFmtId="170" fontId="10" fillId="0" borderId="0" xfId="46" applyNumberFormat="1" applyFont="1" applyFill="1" applyBorder="1" applyAlignment="1">
      <alignment horizontal="right"/>
    </xf>
    <xf numFmtId="170" fontId="13" fillId="0" borderId="8" xfId="46" applyNumberFormat="1" applyFont="1" applyFill="1" applyBorder="1"/>
    <xf numFmtId="170" fontId="4" fillId="0" borderId="0" xfId="46" applyNumberFormat="1" applyFont="1" applyFill="1"/>
    <xf numFmtId="170" fontId="30" fillId="0" borderId="10" xfId="46" applyNumberFormat="1" applyFont="1" applyFill="1" applyBorder="1" applyAlignment="1">
      <alignment horizontal="right"/>
    </xf>
    <xf numFmtId="170" fontId="30" fillId="0" borderId="0" xfId="46" applyNumberFormat="1" applyFont="1" applyFill="1" applyBorder="1" applyAlignment="1">
      <alignment horizontal="right"/>
    </xf>
    <xf numFmtId="172" fontId="11" fillId="0" borderId="0" xfId="46" applyNumberFormat="1" applyFont="1" applyFill="1" applyBorder="1" applyAlignment="1" applyProtection="1"/>
    <xf numFmtId="172" fontId="7" fillId="0" borderId="10" xfId="46" applyNumberFormat="1" applyFont="1" applyFill="1" applyBorder="1" applyAlignment="1">
      <alignment horizontal="right"/>
    </xf>
    <xf numFmtId="172" fontId="7" fillId="0" borderId="0" xfId="46" applyNumberFormat="1" applyFont="1" applyFill="1" applyBorder="1" applyAlignment="1">
      <alignment horizontal="right"/>
    </xf>
    <xf numFmtId="172" fontId="11" fillId="0" borderId="8" xfId="46" applyNumberFormat="1" applyFont="1" applyFill="1" applyBorder="1"/>
    <xf numFmtId="172" fontId="7" fillId="0" borderId="0" xfId="46" applyNumberFormat="1" applyFont="1" applyFill="1"/>
    <xf numFmtId="170" fontId="4" fillId="0" borderId="8" xfId="46" applyNumberFormat="1" applyFont="1" applyFill="1" applyBorder="1" applyAlignment="1" applyProtection="1">
      <alignment horizontal="left"/>
    </xf>
    <xf numFmtId="170" fontId="4" fillId="0" borderId="0" xfId="46" applyNumberFormat="1" applyFont="1" applyFill="1" applyBorder="1" applyAlignment="1" applyProtection="1">
      <alignment horizontal="left"/>
    </xf>
    <xf numFmtId="170" fontId="10" fillId="0" borderId="10" xfId="46" applyNumberFormat="1" applyFont="1" applyFill="1" applyBorder="1"/>
    <xf numFmtId="170" fontId="4" fillId="0" borderId="0" xfId="46" applyNumberFormat="1" applyFont="1" applyFill="1" applyBorder="1"/>
    <xf numFmtId="170" fontId="1" fillId="0" borderId="0" xfId="46" applyNumberFormat="1" applyFill="1"/>
    <xf numFmtId="170" fontId="30" fillId="0" borderId="10" xfId="46" applyNumberFormat="1" applyFont="1" applyFill="1" applyBorder="1" applyAlignment="1" applyProtection="1">
      <alignment horizontal="right"/>
    </xf>
    <xf numFmtId="170" fontId="30" fillId="0" borderId="0" xfId="46" applyNumberFormat="1" applyFont="1" applyFill="1" applyBorder="1" applyAlignment="1" applyProtection="1">
      <alignment horizontal="right"/>
    </xf>
    <xf numFmtId="170" fontId="10" fillId="0" borderId="10" xfId="46" applyNumberFormat="1" applyFont="1" applyFill="1" applyBorder="1" applyAlignment="1" applyProtection="1">
      <alignment horizontal="right"/>
    </xf>
    <xf numFmtId="172" fontId="11" fillId="0" borderId="10" xfId="19" applyNumberFormat="1" applyFont="1" applyFill="1" applyBorder="1" applyAlignment="1" applyProtection="1">
      <alignment horizontal="right"/>
    </xf>
    <xf numFmtId="172" fontId="11" fillId="0" borderId="0" xfId="19" applyNumberFormat="1" applyFont="1" applyFill="1" applyBorder="1" applyAlignment="1" applyProtection="1">
      <alignment horizontal="right"/>
    </xf>
    <xf numFmtId="172" fontId="11" fillId="0" borderId="8" xfId="19" applyNumberFormat="1" applyFont="1" applyFill="1" applyBorder="1" applyAlignment="1" applyProtection="1">
      <alignment horizontal="right"/>
    </xf>
    <xf numFmtId="172" fontId="7" fillId="0" borderId="0" xfId="19" applyNumberFormat="1" applyFont="1" applyFill="1" applyBorder="1" applyAlignment="1" applyProtection="1">
      <alignment horizontal="right"/>
    </xf>
    <xf numFmtId="172" fontId="7" fillId="0" borderId="8" xfId="19" applyNumberFormat="1" applyFont="1" applyFill="1" applyBorder="1" applyAlignment="1" applyProtection="1">
      <alignment horizontal="right"/>
    </xf>
    <xf numFmtId="172" fontId="7" fillId="0" borderId="10" xfId="19" applyNumberFormat="1" applyFont="1" applyFill="1" applyBorder="1" applyAlignment="1" applyProtection="1">
      <alignment horizontal="right"/>
    </xf>
    <xf numFmtId="170" fontId="4" fillId="0" borderId="8" xfId="46" applyNumberFormat="1" applyFont="1" applyFill="1" applyBorder="1" applyAlignment="1" applyProtection="1">
      <alignment horizontal="left" indent="1"/>
    </xf>
    <xf numFmtId="170" fontId="4" fillId="0" borderId="0" xfId="46" applyNumberFormat="1" applyFont="1" applyFill="1" applyBorder="1" applyAlignment="1" applyProtection="1">
      <alignment horizontal="left" indent="1"/>
    </xf>
    <xf numFmtId="170" fontId="30" fillId="0" borderId="0" xfId="19" applyNumberFormat="1" applyFont="1" applyFill="1" applyBorder="1" applyAlignment="1" applyProtection="1">
      <alignment horizontal="right"/>
    </xf>
    <xf numFmtId="170" fontId="30" fillId="0" borderId="10" xfId="19" applyNumberFormat="1" applyFont="1" applyFill="1" applyBorder="1" applyAlignment="1" applyProtection="1">
      <alignment horizontal="right"/>
    </xf>
    <xf numFmtId="170" fontId="4" fillId="0" borderId="10" xfId="19" applyNumberFormat="1" applyFont="1" applyFill="1" applyBorder="1" applyAlignment="1" applyProtection="1">
      <alignment horizontal="right"/>
    </xf>
    <xf numFmtId="170" fontId="4" fillId="0" borderId="0" xfId="19" applyNumberFormat="1" applyFont="1" applyFill="1" applyBorder="1" applyAlignment="1" applyProtection="1">
      <alignment horizontal="right"/>
    </xf>
    <xf numFmtId="172" fontId="50" fillId="0" borderId="10" xfId="46" applyNumberFormat="1" applyFont="1" applyFill="1" applyBorder="1" applyAlignment="1">
      <alignment horizontal="right"/>
    </xf>
    <xf numFmtId="172" fontId="50" fillId="0" borderId="0" xfId="46" applyNumberFormat="1" applyFont="1" applyFill="1" applyBorder="1" applyAlignment="1">
      <alignment horizontal="right"/>
    </xf>
    <xf numFmtId="172" fontId="50" fillId="0" borderId="8" xfId="46" applyNumberFormat="1" applyFont="1" applyFill="1" applyBorder="1" applyAlignment="1">
      <alignment horizontal="right"/>
    </xf>
    <xf numFmtId="172" fontId="51" fillId="0" borderId="10" xfId="46" applyNumberFormat="1" applyFont="1" applyFill="1" applyBorder="1" applyAlignment="1">
      <alignment horizontal="right"/>
    </xf>
    <xf numFmtId="172" fontId="51" fillId="0" borderId="0" xfId="46" applyNumberFormat="1" applyFont="1" applyFill="1" applyBorder="1" applyAlignment="1">
      <alignment horizontal="right"/>
    </xf>
    <xf numFmtId="172" fontId="51" fillId="0" borderId="8" xfId="46" applyNumberFormat="1" applyFont="1" applyFill="1" applyBorder="1" applyAlignment="1">
      <alignment horizontal="right"/>
    </xf>
    <xf numFmtId="170" fontId="7" fillId="0" borderId="8" xfId="46" applyNumberFormat="1" applyFont="1" applyFill="1" applyBorder="1" applyAlignment="1" applyProtection="1">
      <alignment horizontal="left"/>
    </xf>
    <xf numFmtId="170" fontId="7" fillId="0" borderId="0" xfId="46" applyNumberFormat="1" applyFont="1" applyFill="1" applyBorder="1" applyAlignment="1" applyProtection="1">
      <alignment horizontal="left"/>
    </xf>
    <xf numFmtId="172" fontId="7" fillId="4" borderId="3" xfId="46" applyNumberFormat="1" applyFont="1" applyFill="1" applyBorder="1" applyAlignment="1" applyProtection="1">
      <alignment horizontal="left" vertical="center"/>
    </xf>
    <xf numFmtId="172" fontId="7" fillId="0" borderId="0" xfId="46" applyNumberFormat="1" applyFont="1" applyFill="1" applyBorder="1" applyAlignment="1" applyProtection="1">
      <alignment horizontal="left" vertical="center"/>
    </xf>
    <xf numFmtId="172" fontId="11" fillId="4" borderId="4" xfId="46" applyNumberFormat="1" applyFont="1" applyFill="1" applyBorder="1" applyAlignment="1" applyProtection="1">
      <alignment horizontal="right" vertical="center"/>
    </xf>
    <xf numFmtId="172" fontId="11" fillId="4" borderId="5" xfId="46" applyNumberFormat="1" applyFont="1" applyFill="1" applyBorder="1" applyAlignment="1" applyProtection="1">
      <alignment horizontal="right" vertical="center"/>
    </xf>
    <xf numFmtId="172" fontId="11" fillId="4" borderId="3" xfId="46" applyNumberFormat="1" applyFont="1" applyFill="1" applyBorder="1" applyAlignment="1" applyProtection="1">
      <alignment horizontal="right" vertical="center"/>
    </xf>
    <xf numFmtId="172" fontId="7" fillId="0" borderId="5" xfId="46" applyNumberFormat="1" applyFont="1" applyFill="1" applyBorder="1" applyAlignment="1" applyProtection="1">
      <alignment horizontal="right" vertical="center"/>
    </xf>
    <xf numFmtId="172" fontId="7" fillId="0" borderId="3" xfId="46" applyNumberFormat="1" applyFont="1" applyFill="1" applyBorder="1" applyAlignment="1" applyProtection="1">
      <alignment horizontal="right" vertical="center"/>
    </xf>
    <xf numFmtId="172" fontId="7" fillId="0" borderId="4" xfId="46" applyNumberFormat="1" applyFont="1" applyFill="1" applyBorder="1" applyAlignment="1" applyProtection="1">
      <alignment horizontal="right" vertical="center"/>
    </xf>
    <xf numFmtId="170" fontId="4" fillId="0" borderId="10" xfId="46" applyNumberFormat="1" applyFont="1" applyFill="1" applyBorder="1"/>
    <xf numFmtId="170" fontId="10" fillId="0" borderId="8" xfId="46" applyNumberFormat="1" applyFont="1" applyFill="1" applyBorder="1" applyAlignment="1">
      <alignment horizontal="right"/>
    </xf>
    <xf numFmtId="43" fontId="7" fillId="0" borderId="8" xfId="36" applyFont="1" applyFill="1" applyBorder="1" applyAlignment="1" applyProtection="1">
      <alignment horizontal="left"/>
    </xf>
    <xf numFmtId="43" fontId="7" fillId="0" borderId="0" xfId="36" applyFont="1" applyFill="1" applyBorder="1" applyAlignment="1" applyProtection="1">
      <alignment horizontal="left"/>
    </xf>
    <xf numFmtId="43" fontId="7" fillId="0" borderId="10" xfId="36" applyFont="1" applyFill="1" applyBorder="1" applyAlignment="1" applyProtection="1">
      <alignment horizontal="right"/>
    </xf>
    <xf numFmtId="43" fontId="7" fillId="0" borderId="0" xfId="36" applyFont="1" applyFill="1" applyBorder="1" applyAlignment="1" applyProtection="1">
      <alignment horizontal="right"/>
    </xf>
    <xf numFmtId="43" fontId="7" fillId="0" borderId="8" xfId="36" applyFont="1" applyFill="1" applyBorder="1" applyAlignment="1" applyProtection="1">
      <alignment horizontal="right"/>
    </xf>
    <xf numFmtId="43" fontId="12" fillId="0" borderId="0" xfId="36" applyFont="1" applyFill="1" applyBorder="1" applyAlignment="1" applyProtection="1">
      <alignment horizontal="right"/>
    </xf>
    <xf numFmtId="43" fontId="10" fillId="0" borderId="8" xfId="36" applyFont="1" applyFill="1" applyBorder="1" applyAlignment="1">
      <alignment horizontal="right"/>
    </xf>
    <xf numFmtId="43" fontId="12" fillId="0" borderId="10" xfId="36" applyFont="1" applyFill="1" applyBorder="1" applyAlignment="1" applyProtection="1">
      <alignment horizontal="right"/>
    </xf>
    <xf numFmtId="170" fontId="4" fillId="0" borderId="0" xfId="46" applyNumberFormat="1" applyFont="1" applyFill="1" applyBorder="1" applyAlignment="1">
      <alignment horizontal="right"/>
    </xf>
    <xf numFmtId="170" fontId="12" fillId="0" borderId="10" xfId="46" applyNumberFormat="1" applyFont="1" applyFill="1" applyBorder="1" applyAlignment="1" applyProtection="1">
      <alignment horizontal="left"/>
    </xf>
    <xf numFmtId="170" fontId="12" fillId="0" borderId="0" xfId="46" applyNumberFormat="1" applyFont="1" applyFill="1" applyBorder="1" applyAlignment="1" applyProtection="1">
      <alignment horizontal="left"/>
    </xf>
    <xf numFmtId="170" fontId="12" fillId="0" borderId="0" xfId="46" applyNumberFormat="1" applyFont="1" applyFill="1" applyBorder="1" applyAlignment="1" applyProtection="1">
      <alignment horizontal="right"/>
    </xf>
    <xf numFmtId="170" fontId="12" fillId="0" borderId="10" xfId="46" applyNumberFormat="1" applyFont="1" applyFill="1" applyBorder="1" applyAlignment="1" applyProtection="1">
      <alignment horizontal="right"/>
    </xf>
    <xf numFmtId="170" fontId="4" fillId="0" borderId="10" xfId="46" applyNumberFormat="1" applyFont="1" applyFill="1" applyBorder="1" applyAlignment="1" applyProtection="1">
      <alignment horizontal="right"/>
    </xf>
    <xf numFmtId="170" fontId="4" fillId="0" borderId="0" xfId="46" applyNumberFormat="1" applyFont="1" applyFill="1" applyBorder="1" applyAlignment="1" applyProtection="1">
      <alignment horizontal="right"/>
    </xf>
    <xf numFmtId="172" fontId="11" fillId="0" borderId="4" xfId="46" applyNumberFormat="1" applyFont="1" applyFill="1" applyBorder="1" applyAlignment="1" applyProtection="1">
      <alignment horizontal="right" vertical="center"/>
    </xf>
    <xf numFmtId="172" fontId="11" fillId="0" borderId="5" xfId="46" applyNumberFormat="1" applyFont="1" applyFill="1" applyBorder="1" applyAlignment="1" applyProtection="1">
      <alignment horizontal="right" vertical="center"/>
    </xf>
    <xf numFmtId="172" fontId="11" fillId="0" borderId="3" xfId="46" applyNumberFormat="1" applyFont="1" applyFill="1" applyBorder="1" applyAlignment="1" applyProtection="1">
      <alignment horizontal="right" vertical="center"/>
    </xf>
    <xf numFmtId="172" fontId="11" fillId="0" borderId="4" xfId="46" applyNumberFormat="1" applyFont="1" applyFill="1" applyBorder="1" applyAlignment="1" applyProtection="1">
      <alignment horizontal="right"/>
    </xf>
    <xf numFmtId="172" fontId="11" fillId="0" borderId="5" xfId="46" applyNumberFormat="1" applyFont="1" applyFill="1" applyBorder="1" applyAlignment="1" applyProtection="1">
      <alignment horizontal="right"/>
    </xf>
    <xf numFmtId="172" fontId="11" fillId="0" borderId="3" xfId="46" applyNumberFormat="1" applyFont="1" applyFill="1" applyBorder="1" applyAlignment="1" applyProtection="1">
      <alignment horizontal="right"/>
    </xf>
    <xf numFmtId="172" fontId="7" fillId="0" borderId="5" xfId="46" applyNumberFormat="1" applyFont="1" applyFill="1" applyBorder="1" applyAlignment="1" applyProtection="1">
      <alignment horizontal="right"/>
    </xf>
    <xf numFmtId="172" fontId="7" fillId="0" borderId="3" xfId="46" applyNumberFormat="1" applyFont="1" applyFill="1" applyBorder="1" applyAlignment="1" applyProtection="1">
      <alignment horizontal="right"/>
    </xf>
    <xf numFmtId="172" fontId="7" fillId="0" borderId="4" xfId="46" applyNumberFormat="1" applyFont="1" applyFill="1" applyBorder="1" applyAlignment="1" applyProtection="1">
      <alignment horizontal="right"/>
    </xf>
    <xf numFmtId="170" fontId="4" fillId="4" borderId="0" xfId="46" applyNumberFormat="1" applyFont="1" applyFill="1"/>
    <xf numFmtId="170" fontId="10" fillId="4" borderId="0" xfId="46" applyNumberFormat="1" applyFont="1" applyFill="1" applyAlignment="1">
      <alignment horizontal="right"/>
    </xf>
    <xf numFmtId="170" fontId="4" fillId="0" borderId="0" xfId="46" applyNumberFormat="1" applyFont="1" applyFill="1" applyBorder="1" applyAlignment="1" applyProtection="1">
      <alignment horizontal="left"/>
      <protection locked="0"/>
    </xf>
    <xf numFmtId="172" fontId="7" fillId="0" borderId="0" xfId="46" applyNumberFormat="1" applyFont="1" applyFill="1" applyBorder="1" applyAlignment="1" applyProtection="1">
      <alignment horizontal="left" vertical="center"/>
      <protection locked="0"/>
    </xf>
    <xf numFmtId="172" fontId="29" fillId="0" borderId="0" xfId="46" applyNumberFormat="1" applyFont="1" applyFill="1" applyBorder="1" applyAlignment="1" applyProtection="1">
      <alignment horizontal="left" vertical="center"/>
      <protection locked="0"/>
    </xf>
    <xf numFmtId="43" fontId="27" fillId="0" borderId="0" xfId="36" applyFont="1" applyFill="1" applyBorder="1" applyAlignment="1" applyProtection="1">
      <alignment horizontal="right" vertical="center"/>
    </xf>
    <xf numFmtId="167" fontId="4" fillId="0" borderId="0" xfId="46" applyNumberFormat="1" applyFont="1" applyFill="1" applyAlignment="1" applyProtection="1">
      <alignment horizontal="left"/>
    </xf>
    <xf numFmtId="191" fontId="4" fillId="0" borderId="0" xfId="46" applyNumberFormat="1" applyFont="1" applyFill="1" applyAlignment="1" applyProtection="1">
      <alignment horizontal="left"/>
    </xf>
    <xf numFmtId="170" fontId="10" fillId="0" borderId="0" xfId="46" applyNumberFormat="1" applyFont="1" applyFill="1"/>
    <xf numFmtId="167" fontId="4" fillId="0" borderId="0" xfId="46" applyNumberFormat="1" applyFont="1" applyFill="1" applyBorder="1" applyAlignment="1" applyProtection="1">
      <alignment horizontal="left"/>
    </xf>
    <xf numFmtId="167" fontId="4" fillId="0" borderId="0" xfId="46" applyNumberFormat="1" applyFont="1" applyFill="1" applyAlignment="1" applyProtection="1">
      <alignment horizontal="right"/>
    </xf>
    <xf numFmtId="9" fontId="10" fillId="0" borderId="0" xfId="59" applyFont="1" applyFill="1"/>
    <xf numFmtId="167" fontId="15" fillId="0" borderId="0" xfId="46" applyNumberFormat="1" applyFont="1" applyFill="1" applyAlignment="1" applyProtection="1">
      <alignment horizontal="left"/>
    </xf>
    <xf numFmtId="0" fontId="47" fillId="0" borderId="6" xfId="92" applyFont="1" applyFill="1" applyBorder="1" applyProtection="1"/>
    <xf numFmtId="0" fontId="6" fillId="0" borderId="9" xfId="46" quotePrefix="1" applyFont="1" applyFill="1" applyBorder="1" applyAlignment="1" applyProtection="1">
      <alignment horizontal="left"/>
    </xf>
    <xf numFmtId="0" fontId="6" fillId="0" borderId="13" xfId="46" quotePrefix="1" applyFont="1" applyFill="1" applyBorder="1" applyAlignment="1" applyProtection="1">
      <alignment horizontal="left"/>
    </xf>
    <xf numFmtId="167" fontId="10" fillId="0" borderId="6" xfId="46" applyNumberFormat="1" applyFont="1" applyFill="1" applyBorder="1"/>
    <xf numFmtId="0" fontId="6" fillId="0" borderId="0" xfId="46" quotePrefix="1" applyFont="1" applyFill="1" applyBorder="1" applyAlignment="1" applyProtection="1">
      <alignment horizontal="left"/>
    </xf>
    <xf numFmtId="0" fontId="6" fillId="0" borderId="13" xfId="46" quotePrefix="1" applyFont="1" applyFill="1" applyBorder="1" applyAlignment="1" applyProtection="1">
      <alignment horizontal="right"/>
    </xf>
    <xf numFmtId="172" fontId="6" fillId="0" borderId="0" xfId="46" quotePrefix="1" applyNumberFormat="1" applyFont="1" applyFill="1" applyBorder="1" applyAlignment="1" applyProtection="1">
      <alignment horizontal="left"/>
    </xf>
    <xf numFmtId="172" fontId="7" fillId="0" borderId="0" xfId="37" applyNumberFormat="1" applyFont="1" applyFill="1" applyBorder="1"/>
    <xf numFmtId="172" fontId="7" fillId="0" borderId="8" xfId="37" applyNumberFormat="1" applyFont="1" applyFill="1" applyBorder="1"/>
    <xf numFmtId="172" fontId="7" fillId="0" borderId="10" xfId="37" applyNumberFormat="1" applyFont="1" applyFill="1" applyBorder="1"/>
    <xf numFmtId="44" fontId="13" fillId="0" borderId="10" xfId="37" applyFont="1" applyFill="1" applyBorder="1"/>
    <xf numFmtId="44" fontId="13" fillId="0" borderId="0" xfId="37" applyFont="1" applyFill="1" applyBorder="1"/>
    <xf numFmtId="44" fontId="13" fillId="0" borderId="8" xfId="37" applyFont="1" applyFill="1" applyBorder="1"/>
    <xf numFmtId="44" fontId="4" fillId="0" borderId="0" xfId="37" applyFont="1" applyFill="1" applyBorder="1" applyAlignment="1">
      <alignment horizontal="right"/>
    </xf>
    <xf numFmtId="44" fontId="4" fillId="0" borderId="8" xfId="37" applyFont="1" applyFill="1" applyBorder="1"/>
    <xf numFmtId="44" fontId="4" fillId="0" borderId="10" xfId="37" applyFont="1" applyFill="1" applyBorder="1"/>
    <xf numFmtId="165" fontId="52" fillId="0" borderId="12" xfId="59" applyNumberFormat="1" applyFont="1" applyFill="1" applyBorder="1"/>
    <xf numFmtId="165" fontId="52" fillId="0" borderId="2" xfId="59" applyNumberFormat="1" applyFont="1" applyFill="1" applyBorder="1"/>
    <xf numFmtId="165" fontId="52" fillId="0" borderId="11" xfId="59" applyNumberFormat="1" applyFont="1" applyFill="1" applyBorder="1"/>
    <xf numFmtId="165" fontId="34" fillId="0" borderId="0" xfId="59" applyNumberFormat="1" applyFont="1" applyFill="1" applyBorder="1"/>
    <xf numFmtId="165" fontId="34" fillId="0" borderId="2" xfId="59" applyNumberFormat="1" applyFont="1" applyFill="1" applyBorder="1" applyAlignment="1">
      <alignment horizontal="right"/>
    </xf>
    <xf numFmtId="165" fontId="34" fillId="0" borderId="11" xfId="59" applyNumberFormat="1" applyFont="1" applyFill="1" applyBorder="1"/>
    <xf numFmtId="165" fontId="34" fillId="0" borderId="2" xfId="59" applyNumberFormat="1" applyFont="1" applyFill="1" applyBorder="1"/>
    <xf numFmtId="165" fontId="34" fillId="0" borderId="12" xfId="59" applyNumberFormat="1" applyFont="1" applyFill="1" applyBorder="1"/>
    <xf numFmtId="0" fontId="15" fillId="0" borderId="11" xfId="46" applyFont="1" applyFill="1" applyBorder="1" applyAlignment="1" applyProtection="1">
      <alignment horizontal="left"/>
    </xf>
    <xf numFmtId="0" fontId="15" fillId="0" borderId="0" xfId="46" quotePrefix="1" applyFont="1" applyFill="1" applyBorder="1" applyAlignment="1" applyProtection="1">
      <alignment horizontal="left"/>
    </xf>
    <xf numFmtId="7" fontId="10" fillId="0" borderId="0" xfId="46" applyNumberFormat="1" applyFont="1" applyFill="1" applyBorder="1" applyAlignment="1">
      <alignment horizontal="right"/>
    </xf>
    <xf numFmtId="44" fontId="16" fillId="0" borderId="0" xfId="37" quotePrefix="1" applyNumberFormat="1" applyFont="1" applyFill="1" applyBorder="1" applyAlignment="1" applyProtection="1">
      <alignment horizontal="left"/>
    </xf>
    <xf numFmtId="44" fontId="15" fillId="0" borderId="0" xfId="37" quotePrefix="1" applyNumberFormat="1" applyFont="1" applyFill="1" applyBorder="1" applyAlignment="1" applyProtection="1">
      <alignment horizontal="left"/>
    </xf>
    <xf numFmtId="44" fontId="4" fillId="0" borderId="11" xfId="37" applyFont="1" applyFill="1" applyBorder="1"/>
    <xf numFmtId="44" fontId="4" fillId="0" borderId="12" xfId="37" applyFont="1" applyFill="1" applyBorder="1"/>
    <xf numFmtId="0" fontId="1" fillId="0" borderId="0" xfId="46" applyFont="1"/>
    <xf numFmtId="167" fontId="10" fillId="0" borderId="13" xfId="46" applyNumberFormat="1" applyFont="1" applyFill="1" applyBorder="1"/>
    <xf numFmtId="0" fontId="6" fillId="0" borderId="2" xfId="46" quotePrefix="1" applyFont="1" applyFill="1" applyBorder="1" applyAlignment="1" applyProtection="1">
      <alignment horizontal="left"/>
    </xf>
    <xf numFmtId="167" fontId="10" fillId="0" borderId="2" xfId="46" applyNumberFormat="1" applyFont="1" applyFill="1" applyBorder="1"/>
    <xf numFmtId="0" fontId="6" fillId="0" borderId="2" xfId="46" quotePrefix="1" applyFont="1" applyFill="1" applyBorder="1" applyAlignment="1" applyProtection="1">
      <alignment horizontal="right"/>
    </xf>
    <xf numFmtId="0" fontId="7" fillId="0" borderId="6" xfId="92" applyFont="1" applyFill="1" applyBorder="1" applyProtection="1"/>
    <xf numFmtId="170" fontId="6" fillId="0" borderId="10" xfId="46" quotePrefix="1" applyNumberFormat="1" applyFont="1" applyFill="1" applyBorder="1" applyAlignment="1" applyProtection="1">
      <alignment horizontal="left"/>
    </xf>
    <xf numFmtId="170" fontId="6" fillId="0" borderId="0" xfId="46" quotePrefix="1" applyNumberFormat="1" applyFont="1" applyFill="1" applyBorder="1" applyAlignment="1" applyProtection="1">
      <alignment horizontal="left"/>
    </xf>
    <xf numFmtId="170" fontId="6" fillId="0" borderId="0" xfId="46" quotePrefix="1" applyNumberFormat="1" applyFont="1" applyFill="1" applyBorder="1" applyAlignment="1" applyProtection="1">
      <alignment horizontal="right"/>
    </xf>
    <xf numFmtId="170" fontId="15" fillId="0" borderId="10" xfId="46" quotePrefix="1" applyNumberFormat="1" applyFont="1" applyFill="1" applyBorder="1" applyAlignment="1" applyProtection="1">
      <alignment horizontal="left"/>
    </xf>
    <xf numFmtId="170" fontId="15" fillId="0" borderId="0" xfId="46" quotePrefix="1" applyNumberFormat="1" applyFont="1" applyFill="1" applyBorder="1" applyAlignment="1" applyProtection="1">
      <alignment horizontal="left"/>
    </xf>
    <xf numFmtId="170" fontId="10" fillId="0" borderId="8" xfId="46" applyNumberFormat="1" applyFont="1" applyFill="1" applyBorder="1"/>
    <xf numFmtId="167" fontId="4" fillId="0" borderId="10" xfId="46" applyNumberFormat="1" applyFont="1" applyFill="1" applyBorder="1"/>
    <xf numFmtId="170" fontId="11" fillId="0" borderId="8" xfId="46" applyNumberFormat="1" applyFont="1" applyFill="1" applyBorder="1"/>
    <xf numFmtId="44" fontId="15" fillId="0" borderId="10" xfId="37" quotePrefix="1" applyNumberFormat="1" applyFont="1" applyFill="1" applyBorder="1" applyAlignment="1" applyProtection="1">
      <alignment horizontal="left"/>
    </xf>
    <xf numFmtId="44" fontId="10" fillId="0" borderId="8" xfId="37" applyNumberFormat="1" applyFont="1" applyFill="1" applyBorder="1"/>
    <xf numFmtId="0" fontId="6" fillId="0" borderId="10" xfId="46" quotePrefix="1" applyFont="1" applyFill="1" applyBorder="1" applyAlignment="1" applyProtection="1">
      <alignment horizontal="left"/>
    </xf>
    <xf numFmtId="0" fontId="6" fillId="0" borderId="0" xfId="46" quotePrefix="1" applyFont="1" applyFill="1" applyBorder="1" applyAlignment="1" applyProtection="1">
      <alignment horizontal="right"/>
    </xf>
    <xf numFmtId="44" fontId="4" fillId="0" borderId="8" xfId="37" applyNumberFormat="1" applyFont="1" applyFill="1" applyBorder="1"/>
    <xf numFmtId="0" fontId="15" fillId="0" borderId="8" xfId="92" applyFont="1" applyFill="1" applyBorder="1" applyProtection="1"/>
    <xf numFmtId="9" fontId="13" fillId="0" borderId="8" xfId="59" applyFont="1" applyFill="1" applyBorder="1"/>
    <xf numFmtId="167" fontId="10" fillId="0" borderId="8" xfId="46" applyNumberFormat="1" applyFont="1" applyFill="1" applyBorder="1"/>
    <xf numFmtId="9" fontId="10" fillId="0" borderId="8" xfId="59" applyFont="1" applyFill="1" applyBorder="1"/>
    <xf numFmtId="0" fontId="15" fillId="0" borderId="10" xfId="46" quotePrefix="1" applyFont="1" applyFill="1" applyBorder="1" applyAlignment="1" applyProtection="1">
      <alignment horizontal="left"/>
    </xf>
    <xf numFmtId="165" fontId="13" fillId="0" borderId="8" xfId="59" applyNumberFormat="1" applyFont="1" applyFill="1" applyBorder="1"/>
    <xf numFmtId="0" fontId="16" fillId="0" borderId="0" xfId="46" quotePrefix="1" applyFont="1" applyFill="1" applyBorder="1" applyAlignment="1" applyProtection="1">
      <alignment horizontal="left"/>
    </xf>
    <xf numFmtId="0" fontId="16" fillId="0" borderId="10" xfId="46" quotePrefix="1" applyFont="1" applyFill="1" applyBorder="1" applyAlignment="1" applyProtection="1">
      <alignment horizontal="left"/>
    </xf>
    <xf numFmtId="172" fontId="6" fillId="0" borderId="10" xfId="46" quotePrefix="1" applyNumberFormat="1" applyFont="1" applyFill="1" applyBorder="1" applyAlignment="1" applyProtection="1">
      <alignment horizontal="left"/>
    </xf>
    <xf numFmtId="172" fontId="13" fillId="0" borderId="8" xfId="37" applyNumberFormat="1" applyFont="1" applyFill="1" applyBorder="1"/>
    <xf numFmtId="172" fontId="6" fillId="0" borderId="0" xfId="46" quotePrefix="1" applyNumberFormat="1" applyFont="1" applyFill="1" applyBorder="1" applyAlignment="1" applyProtection="1">
      <alignment horizontal="right"/>
    </xf>
    <xf numFmtId="172" fontId="4" fillId="0" borderId="8" xfId="37" applyNumberFormat="1" applyFont="1" applyFill="1" applyBorder="1"/>
    <xf numFmtId="167" fontId="13" fillId="0" borderId="10" xfId="46" applyNumberFormat="1" applyFont="1" applyFill="1" applyBorder="1"/>
    <xf numFmtId="167" fontId="13" fillId="0" borderId="0" xfId="46" applyNumberFormat="1" applyFont="1" applyFill="1" applyBorder="1"/>
    <xf numFmtId="167" fontId="13" fillId="0" borderId="8" xfId="46" applyNumberFormat="1" applyFont="1" applyFill="1" applyBorder="1"/>
    <xf numFmtId="167" fontId="4" fillId="0" borderId="8" xfId="46" applyNumberFormat="1" applyFont="1" applyFill="1" applyBorder="1"/>
    <xf numFmtId="167" fontId="4" fillId="0" borderId="10" xfId="46" applyNumberFormat="1" applyFont="1" applyFill="1" applyBorder="1" applyAlignment="1" applyProtection="1">
      <alignment horizontal="right"/>
    </xf>
    <xf numFmtId="167" fontId="4" fillId="0" borderId="0" xfId="46" applyNumberFormat="1" applyFont="1" applyFill="1" applyBorder="1" applyAlignment="1" applyProtection="1">
      <alignment horizontal="right"/>
    </xf>
    <xf numFmtId="0" fontId="15" fillId="0" borderId="11" xfId="92" applyFont="1" applyFill="1" applyBorder="1" applyAlignment="1" applyProtection="1">
      <alignment horizontal="left" indent="1"/>
    </xf>
    <xf numFmtId="0" fontId="6" fillId="0" borderId="12" xfId="46" quotePrefix="1" applyFont="1" applyFill="1" applyBorder="1" applyAlignment="1" applyProtection="1">
      <alignment horizontal="left"/>
    </xf>
    <xf numFmtId="167" fontId="10" fillId="0" borderId="11" xfId="46" applyNumberFormat="1" applyFont="1" applyFill="1" applyBorder="1"/>
    <xf numFmtId="0" fontId="1" fillId="0" borderId="0" xfId="46" applyFill="1" applyBorder="1"/>
    <xf numFmtId="0" fontId="1" fillId="0" borderId="0" xfId="46" applyAlignment="1">
      <alignment horizontal="right"/>
    </xf>
    <xf numFmtId="37" fontId="1" fillId="0" borderId="0" xfId="46" applyNumberFormat="1"/>
    <xf numFmtId="0" fontId="4" fillId="0" borderId="0" xfId="46" applyFont="1" applyFill="1" applyBorder="1" applyAlignment="1">
      <alignment horizontal="center"/>
    </xf>
    <xf numFmtId="0" fontId="4" fillId="0" borderId="0" xfId="46" applyFont="1" applyFill="1" applyBorder="1"/>
    <xf numFmtId="172" fontId="4" fillId="0" borderId="0" xfId="46" applyNumberFormat="1" applyFont="1" applyFill="1" applyBorder="1" applyAlignment="1">
      <alignment horizontal="right"/>
    </xf>
    <xf numFmtId="172" fontId="4" fillId="0" borderId="0" xfId="46" applyNumberFormat="1" applyFont="1" applyFill="1" applyAlignment="1">
      <alignment horizontal="right"/>
    </xf>
    <xf numFmtId="170" fontId="4" fillId="0" borderId="0" xfId="46" applyNumberFormat="1" applyFont="1" applyFill="1" applyAlignment="1">
      <alignment horizontal="right"/>
    </xf>
    <xf numFmtId="0" fontId="1" fillId="0" borderId="0" xfId="46" applyFont="1" applyFill="1" applyBorder="1"/>
    <xf numFmtId="0" fontId="3" fillId="0" borderId="0" xfId="51" applyFont="1" applyFill="1" applyBorder="1" applyAlignment="1" applyProtection="1">
      <alignment horizontal="left"/>
    </xf>
    <xf numFmtId="0" fontId="1" fillId="0" borderId="0" xfId="46" applyFont="1" applyFill="1"/>
    <xf numFmtId="9" fontId="1" fillId="0" borderId="0" xfId="59" applyFont="1" applyFill="1"/>
    <xf numFmtId="9" fontId="1" fillId="0" borderId="0" xfId="46" applyNumberFormat="1" applyFont="1" applyFill="1"/>
    <xf numFmtId="0" fontId="5" fillId="0" borderId="0" xfId="51" applyFont="1" applyFill="1" applyBorder="1" applyAlignment="1" applyProtection="1">
      <alignment horizontal="left"/>
    </xf>
    <xf numFmtId="0" fontId="1" fillId="0" borderId="2" xfId="46" applyFont="1" applyFill="1" applyBorder="1"/>
    <xf numFmtId="196" fontId="1" fillId="0" borderId="2" xfId="46" applyNumberFormat="1" applyFont="1" applyFill="1" applyBorder="1"/>
    <xf numFmtId="0" fontId="6" fillId="0" borderId="17" xfId="51" applyFont="1" applyFill="1" applyBorder="1" applyAlignment="1" applyProtection="1">
      <alignment horizontal="left"/>
    </xf>
    <xf numFmtId="0" fontId="4" fillId="0" borderId="17" xfId="46" applyFont="1" applyFill="1" applyBorder="1"/>
    <xf numFmtId="37" fontId="4" fillId="0" borderId="17" xfId="46" applyNumberFormat="1" applyFont="1" applyFill="1" applyBorder="1"/>
    <xf numFmtId="179" fontId="4" fillId="0" borderId="17" xfId="36" applyNumberFormat="1" applyFont="1" applyFill="1" applyBorder="1"/>
    <xf numFmtId="197" fontId="4" fillId="0" borderId="17" xfId="36" applyNumberFormat="1" applyFont="1" applyFill="1" applyBorder="1"/>
    <xf numFmtId="0" fontId="4" fillId="0" borderId="0" xfId="51" applyFont="1" applyFill="1" applyBorder="1" applyAlignment="1">
      <alignment horizontal="left"/>
    </xf>
    <xf numFmtId="37" fontId="4" fillId="0" borderId="0" xfId="46" applyNumberFormat="1" applyFont="1" applyFill="1"/>
    <xf numFmtId="0" fontId="4" fillId="0" borderId="0" xfId="51" applyFont="1" applyFill="1" applyBorder="1" applyAlignment="1">
      <alignment horizontal="center"/>
    </xf>
    <xf numFmtId="0" fontId="7" fillId="0" borderId="0" xfId="46" applyFont="1" applyFill="1" applyBorder="1" applyAlignment="1" applyProtection="1">
      <alignment horizontal="left"/>
    </xf>
    <xf numFmtId="166" fontId="7" fillId="0" borderId="9" xfId="46" applyNumberFormat="1" applyFont="1" applyFill="1" applyBorder="1" applyAlignment="1">
      <alignment horizontal="centerContinuous"/>
    </xf>
    <xf numFmtId="166" fontId="7" fillId="0" borderId="13" xfId="46" applyNumberFormat="1" applyFont="1" applyFill="1" applyBorder="1" applyAlignment="1">
      <alignment horizontal="centerContinuous"/>
    </xf>
    <xf numFmtId="166" fontId="7" fillId="0" borderId="14" xfId="46" applyNumberFormat="1" applyFont="1" applyFill="1" applyBorder="1" applyAlignment="1">
      <alignment horizontal="centerContinuous"/>
    </xf>
    <xf numFmtId="166" fontId="7" fillId="0" borderId="6" xfId="46" applyNumberFormat="1" applyFont="1" applyFill="1" applyBorder="1" applyAlignment="1">
      <alignment horizontal="center"/>
    </xf>
    <xf numFmtId="185" fontId="7" fillId="0" borderId="9" xfId="46" applyNumberFormat="1" applyFont="1" applyFill="1" applyBorder="1" applyAlignment="1">
      <alignment horizontal="centerContinuous"/>
    </xf>
    <xf numFmtId="0" fontId="4" fillId="0" borderId="20" xfId="46" applyNumberFormat="1" applyFont="1" applyFill="1" applyBorder="1"/>
    <xf numFmtId="0" fontId="7" fillId="0" borderId="20" xfId="46" applyNumberFormat="1" applyFont="1" applyFill="1" applyBorder="1" applyAlignment="1">
      <alignment horizontal="center"/>
    </xf>
    <xf numFmtId="168" fontId="9" fillId="5" borderId="21" xfId="46" applyNumberFormat="1" applyFont="1" applyFill="1" applyBorder="1" applyAlignment="1">
      <alignment horizontal="right"/>
    </xf>
    <xf numFmtId="168" fontId="9" fillId="5" borderId="20" xfId="46" applyNumberFormat="1" applyFont="1" applyFill="1" applyBorder="1" applyAlignment="1">
      <alignment horizontal="center"/>
    </xf>
    <xf numFmtId="0" fontId="7" fillId="0" borderId="22" xfId="46" applyNumberFormat="1" applyFont="1" applyFill="1" applyBorder="1" applyAlignment="1">
      <alignment horizontal="right"/>
    </xf>
    <xf numFmtId="0" fontId="7" fillId="0" borderId="20" xfId="46" applyNumberFormat="1" applyFont="1" applyFill="1" applyBorder="1" applyAlignment="1">
      <alignment horizontal="right"/>
    </xf>
    <xf numFmtId="168" fontId="9" fillId="5" borderId="4" xfId="46" applyNumberFormat="1" applyFont="1" applyFill="1" applyBorder="1" applyAlignment="1">
      <alignment horizontal="right"/>
    </xf>
    <xf numFmtId="168" fontId="7" fillId="0" borderId="21" xfId="46" applyNumberFormat="1" applyFont="1" applyFill="1" applyBorder="1" applyAlignment="1">
      <alignment horizontal="right"/>
    </xf>
    <xf numFmtId="168" fontId="7" fillId="0" borderId="20" xfId="46" applyNumberFormat="1" applyFont="1" applyFill="1" applyBorder="1" applyAlignment="1">
      <alignment horizontal="center"/>
    </xf>
    <xf numFmtId="0" fontId="7" fillId="0" borderId="0" xfId="46" applyNumberFormat="1" applyFont="1" applyFill="1" applyBorder="1"/>
    <xf numFmtId="0" fontId="7" fillId="0" borderId="0" xfId="46" applyNumberFormat="1" applyFont="1" applyFill="1" applyBorder="1" applyAlignment="1">
      <alignment horizontal="right"/>
    </xf>
    <xf numFmtId="0" fontId="7" fillId="0" borderId="0" xfId="46" applyNumberFormat="1" applyFont="1" applyFill="1" applyBorder="1" applyAlignment="1">
      <alignment horizontal="center"/>
    </xf>
    <xf numFmtId="168" fontId="9" fillId="0" borderId="10" xfId="46" applyNumberFormat="1" applyFont="1" applyFill="1" applyBorder="1" applyAlignment="1">
      <alignment horizontal="center"/>
    </xf>
    <xf numFmtId="168" fontId="9" fillId="0" borderId="0" xfId="46" applyNumberFormat="1" applyFont="1" applyFill="1" applyBorder="1" applyAlignment="1">
      <alignment horizontal="center"/>
    </xf>
    <xf numFmtId="0" fontId="7" fillId="0" borderId="23" xfId="46" applyNumberFormat="1" applyFont="1" applyFill="1" applyBorder="1" applyAlignment="1">
      <alignment horizontal="center"/>
    </xf>
    <xf numFmtId="168" fontId="7" fillId="0" borderId="0" xfId="46" applyNumberFormat="1" applyFont="1" applyFill="1" applyBorder="1" applyAlignment="1">
      <alignment horizontal="center"/>
    </xf>
    <xf numFmtId="37" fontId="4" fillId="0" borderId="0" xfId="46" applyNumberFormat="1" applyFont="1" applyFill="1" applyBorder="1" applyAlignment="1" applyProtection="1"/>
    <xf numFmtId="14" fontId="4" fillId="0" borderId="0" xfId="46" applyNumberFormat="1" applyFont="1" applyFill="1" applyBorder="1" applyAlignment="1" applyProtection="1"/>
    <xf numFmtId="170" fontId="4" fillId="0" borderId="23" xfId="46" applyNumberFormat="1" applyFont="1" applyFill="1" applyBorder="1" applyAlignment="1">
      <alignment horizontal="right"/>
    </xf>
    <xf numFmtId="170" fontId="4" fillId="0" borderId="24" xfId="46" applyNumberFormat="1" applyFont="1" applyFill="1" applyBorder="1" applyAlignment="1">
      <alignment horizontal="right"/>
    </xf>
    <xf numFmtId="170" fontId="7" fillId="0" borderId="25" xfId="46" applyNumberFormat="1" applyFont="1" applyFill="1" applyBorder="1" applyAlignment="1" applyProtection="1">
      <alignment horizontal="left"/>
    </xf>
    <xf numFmtId="170" fontId="7" fillId="0" borderId="26" xfId="46" applyNumberFormat="1" applyFont="1" applyFill="1" applyBorder="1" applyAlignment="1" applyProtection="1">
      <alignment horizontal="left"/>
    </xf>
    <xf numFmtId="170" fontId="4" fillId="0" borderId="26" xfId="46" applyNumberFormat="1" applyFont="1" applyFill="1" applyBorder="1" applyAlignment="1">
      <alignment horizontal="right"/>
    </xf>
    <xf numFmtId="170" fontId="7" fillId="0" borderId="27" xfId="46" applyNumberFormat="1" applyFont="1" applyFill="1" applyBorder="1" applyAlignment="1">
      <alignment horizontal="right"/>
    </xf>
    <xf numFmtId="170" fontId="7" fillId="0" borderId="26" xfId="46" applyNumberFormat="1" applyFont="1" applyFill="1" applyBorder="1" applyAlignment="1">
      <alignment horizontal="right"/>
    </xf>
    <xf numFmtId="170" fontId="7" fillId="0" borderId="28" xfId="46" applyNumberFormat="1" applyFont="1" applyFill="1" applyBorder="1" applyAlignment="1">
      <alignment horizontal="right"/>
    </xf>
    <xf numFmtId="170" fontId="7" fillId="0" borderId="25" xfId="46" applyNumberFormat="1" applyFont="1" applyFill="1" applyBorder="1" applyAlignment="1">
      <alignment horizontal="right"/>
    </xf>
    <xf numFmtId="170" fontId="4" fillId="0" borderId="0" xfId="46" applyNumberFormat="1" applyFont="1" applyFill="1" applyAlignment="1" applyProtection="1"/>
    <xf numFmtId="170" fontId="7" fillId="0" borderId="25" xfId="46" applyNumberFormat="1" applyFont="1" applyFill="1" applyBorder="1" applyAlignment="1" applyProtection="1"/>
    <xf numFmtId="170" fontId="7" fillId="0" borderId="26" xfId="46" applyNumberFormat="1" applyFont="1" applyFill="1" applyBorder="1" applyAlignment="1" applyProtection="1"/>
    <xf numFmtId="170" fontId="54" fillId="0" borderId="0" xfId="46" applyNumberFormat="1" applyFont="1" applyFill="1" applyBorder="1" applyAlignment="1" applyProtection="1"/>
    <xf numFmtId="170" fontId="7" fillId="0" borderId="0" xfId="46" applyNumberFormat="1" applyFont="1" applyFill="1" applyBorder="1" applyAlignment="1" applyProtection="1"/>
    <xf numFmtId="43" fontId="27" fillId="0" borderId="10" xfId="36" applyFont="1" applyFill="1" applyBorder="1" applyAlignment="1">
      <alignment horizontal="right"/>
    </xf>
    <xf numFmtId="43" fontId="27" fillId="0" borderId="0" xfId="36" applyFont="1" applyFill="1" applyBorder="1" applyAlignment="1">
      <alignment horizontal="right"/>
    </xf>
    <xf numFmtId="43" fontId="27" fillId="0" borderId="29" xfId="36" applyFont="1" applyFill="1" applyBorder="1" applyAlignment="1">
      <alignment horizontal="right"/>
    </xf>
    <xf numFmtId="170" fontId="4" fillId="0" borderId="30" xfId="46" applyNumberFormat="1" applyFont="1" applyFill="1" applyBorder="1" applyAlignment="1">
      <alignment horizontal="right"/>
    </xf>
    <xf numFmtId="170" fontId="7" fillId="0" borderId="0" xfId="46" applyNumberFormat="1" applyFont="1" applyFill="1" applyAlignment="1" applyProtection="1"/>
    <xf numFmtId="170" fontId="4" fillId="0" borderId="10" xfId="46" applyNumberFormat="1" applyFont="1" applyFill="1" applyBorder="1" applyAlignment="1">
      <alignment horizontal="right"/>
    </xf>
    <xf numFmtId="172" fontId="4" fillId="0" borderId="0" xfId="46" applyNumberFormat="1" applyFont="1" applyFill="1" applyAlignment="1" applyProtection="1"/>
    <xf numFmtId="170" fontId="4" fillId="0" borderId="0" xfId="46" applyNumberFormat="1" applyFont="1" applyFill="1" applyBorder="1" applyAlignment="1" applyProtection="1"/>
    <xf numFmtId="172" fontId="4" fillId="0" borderId="10" xfId="46" applyNumberFormat="1" applyFont="1" applyFill="1" applyBorder="1" applyAlignment="1">
      <alignment horizontal="right"/>
    </xf>
    <xf numFmtId="172" fontId="4" fillId="0" borderId="23" xfId="46" applyNumberFormat="1" applyFont="1" applyFill="1" applyBorder="1" applyAlignment="1">
      <alignment horizontal="right"/>
    </xf>
    <xf numFmtId="172" fontId="4" fillId="0" borderId="4" xfId="46" applyNumberFormat="1" applyFont="1" applyFill="1" applyBorder="1"/>
    <xf numFmtId="172" fontId="7" fillId="0" borderId="5" xfId="46" applyNumberFormat="1" applyFont="1" applyFill="1" applyBorder="1"/>
    <xf numFmtId="172" fontId="7" fillId="0" borderId="5" xfId="46" applyNumberFormat="1" applyFont="1" applyFill="1" applyBorder="1" applyAlignment="1">
      <alignment horizontal="right"/>
    </xf>
    <xf numFmtId="170" fontId="4" fillId="0" borderId="4" xfId="46" applyNumberFormat="1" applyFont="1" applyFill="1" applyBorder="1" applyAlignment="1">
      <alignment horizontal="right"/>
    </xf>
    <xf numFmtId="170" fontId="4" fillId="0" borderId="5" xfId="46" applyNumberFormat="1" applyFont="1" applyFill="1" applyBorder="1" applyAlignment="1">
      <alignment horizontal="right"/>
    </xf>
    <xf numFmtId="170" fontId="4" fillId="0" borderId="31" xfId="46" applyNumberFormat="1" applyFont="1" applyFill="1" applyBorder="1" applyAlignment="1">
      <alignment horizontal="right"/>
    </xf>
    <xf numFmtId="170" fontId="30" fillId="0" borderId="4" xfId="46" applyNumberFormat="1" applyFont="1" applyFill="1" applyBorder="1" applyAlignment="1">
      <alignment horizontal="right"/>
    </xf>
    <xf numFmtId="170" fontId="30" fillId="0" borderId="5" xfId="46" applyNumberFormat="1" applyFont="1" applyFill="1" applyBorder="1" applyAlignment="1">
      <alignment horizontal="right"/>
    </xf>
    <xf numFmtId="170" fontId="30" fillId="0" borderId="31" xfId="46" applyNumberFormat="1" applyFont="1" applyFill="1" applyBorder="1" applyAlignment="1">
      <alignment horizontal="right"/>
    </xf>
    <xf numFmtId="0" fontId="4" fillId="0" borderId="9" xfId="46" applyFont="1" applyFill="1" applyBorder="1"/>
    <xf numFmtId="0" fontId="4" fillId="0" borderId="13" xfId="46" applyFont="1" applyFill="1" applyBorder="1"/>
    <xf numFmtId="170" fontId="30" fillId="0" borderId="9" xfId="46" applyNumberFormat="1" applyFont="1" applyFill="1" applyBorder="1"/>
    <xf numFmtId="170" fontId="30" fillId="0" borderId="13" xfId="46" applyNumberFormat="1" applyFont="1" applyFill="1" applyBorder="1"/>
    <xf numFmtId="170" fontId="30" fillId="0" borderId="14" xfId="46" applyNumberFormat="1" applyFont="1" applyFill="1" applyBorder="1"/>
    <xf numFmtId="170" fontId="30" fillId="0" borderId="6" xfId="46" applyNumberFormat="1" applyFont="1" applyFill="1" applyBorder="1"/>
    <xf numFmtId="0" fontId="30" fillId="0" borderId="13" xfId="46" applyFont="1" applyFill="1" applyBorder="1"/>
    <xf numFmtId="0" fontId="4" fillId="0" borderId="10" xfId="46" applyFont="1" applyFill="1" applyBorder="1"/>
    <xf numFmtId="170" fontId="30" fillId="0" borderId="10" xfId="46" applyNumberFormat="1" applyFont="1" applyFill="1" applyBorder="1"/>
    <xf numFmtId="170" fontId="30" fillId="0" borderId="0" xfId="46" applyNumberFormat="1" applyFont="1" applyFill="1" applyBorder="1"/>
    <xf numFmtId="170" fontId="30" fillId="0" borderId="16" xfId="46" applyNumberFormat="1" applyFont="1" applyFill="1" applyBorder="1"/>
    <xf numFmtId="170" fontId="30" fillId="0" borderId="8" xfId="46" applyNumberFormat="1" applyFont="1" applyFill="1" applyBorder="1"/>
    <xf numFmtId="0" fontId="4" fillId="0" borderId="12" xfId="46" applyFont="1" applyFill="1" applyBorder="1"/>
    <xf numFmtId="0" fontId="4" fillId="0" borderId="2" xfId="46" applyFont="1" applyFill="1" applyBorder="1"/>
    <xf numFmtId="165" fontId="4" fillId="0" borderId="12" xfId="59" applyNumberFormat="1" applyFont="1" applyFill="1" applyBorder="1"/>
    <xf numFmtId="165" fontId="4" fillId="0" borderId="2" xfId="46" applyNumberFormat="1" applyFont="1" applyFill="1" applyBorder="1"/>
    <xf numFmtId="165" fontId="4" fillId="0" borderId="15" xfId="46" applyNumberFormat="1" applyFont="1" applyFill="1" applyBorder="1" applyAlignment="1">
      <alignment horizontal="right"/>
    </xf>
    <xf numFmtId="165" fontId="4" fillId="0" borderId="11" xfId="46" applyNumberFormat="1" applyFont="1" applyFill="1" applyBorder="1"/>
    <xf numFmtId="174" fontId="4" fillId="0" borderId="2" xfId="46" applyNumberFormat="1" applyFont="1" applyFill="1" applyBorder="1"/>
    <xf numFmtId="165" fontId="46" fillId="0" borderId="12" xfId="46" applyNumberFormat="1" applyFont="1" applyFill="1" applyBorder="1"/>
    <xf numFmtId="165" fontId="46" fillId="0" borderId="2" xfId="46" applyNumberFormat="1" applyFont="1" applyFill="1" applyBorder="1"/>
    <xf numFmtId="9" fontId="4" fillId="0" borderId="0" xfId="59" applyNumberFormat="1" applyFont="1" applyBorder="1"/>
    <xf numFmtId="168" fontId="9" fillId="5" borderId="4" xfId="46" applyNumberFormat="1" applyFont="1" applyFill="1" applyBorder="1" applyAlignment="1">
      <alignment horizontal="center"/>
    </xf>
    <xf numFmtId="168" fontId="9" fillId="5" borderId="5" xfId="46" applyNumberFormat="1" applyFont="1" applyFill="1" applyBorder="1" applyAlignment="1">
      <alignment horizontal="center"/>
    </xf>
    <xf numFmtId="0" fontId="4" fillId="0" borderId="8" xfId="46" applyFont="1" applyFill="1" applyBorder="1"/>
    <xf numFmtId="165" fontId="4" fillId="0" borderId="0" xfId="46" applyNumberFormat="1" applyFont="1" applyFill="1"/>
    <xf numFmtId="179" fontId="4" fillId="0" borderId="0" xfId="36" applyNumberFormat="1" applyFont="1" applyFill="1" applyBorder="1"/>
    <xf numFmtId="165" fontId="4" fillId="0" borderId="10" xfId="59" applyNumberFormat="1" applyFont="1" applyBorder="1"/>
    <xf numFmtId="165" fontId="4" fillId="0" borderId="0" xfId="46" applyNumberFormat="1" applyFont="1" applyFill="1" applyBorder="1"/>
    <xf numFmtId="165" fontId="7" fillId="0" borderId="12" xfId="59" applyNumberFormat="1" applyFont="1" applyFill="1" applyBorder="1" applyAlignment="1">
      <alignment horizontal="right"/>
    </xf>
    <xf numFmtId="165" fontId="7" fillId="0" borderId="2" xfId="59" applyNumberFormat="1" applyFont="1" applyFill="1" applyBorder="1" applyAlignment="1">
      <alignment horizontal="right"/>
    </xf>
    <xf numFmtId="165" fontId="7" fillId="0" borderId="11" xfId="59" applyNumberFormat="1" applyFont="1" applyFill="1" applyBorder="1" applyAlignment="1">
      <alignment horizontal="right"/>
    </xf>
    <xf numFmtId="0" fontId="4" fillId="0" borderId="7" xfId="46" applyFont="1" applyFill="1" applyBorder="1"/>
    <xf numFmtId="170" fontId="4" fillId="0" borderId="16" xfId="46" applyNumberFormat="1" applyFont="1" applyFill="1" applyBorder="1" applyAlignment="1">
      <alignment horizontal="right"/>
    </xf>
    <xf numFmtId="170" fontId="4" fillId="0" borderId="8" xfId="46" applyNumberFormat="1" applyFont="1" applyFill="1" applyBorder="1" applyAlignment="1">
      <alignment horizontal="right"/>
    </xf>
    <xf numFmtId="170" fontId="7" fillId="0" borderId="0" xfId="46" applyNumberFormat="1" applyFont="1" applyFill="1" applyBorder="1" applyAlignment="1">
      <alignment horizontal="right"/>
    </xf>
    <xf numFmtId="165" fontId="4" fillId="0" borderId="2" xfId="46" applyNumberFormat="1" applyFont="1" applyFill="1" applyBorder="1" applyAlignment="1">
      <alignment horizontal="right"/>
    </xf>
    <xf numFmtId="0" fontId="4" fillId="0" borderId="16" xfId="46" applyFont="1" applyFill="1" applyBorder="1"/>
    <xf numFmtId="43" fontId="4" fillId="0" borderId="0" xfId="36" applyFont="1" applyFill="1" applyBorder="1" applyAlignment="1">
      <alignment horizontal="right"/>
    </xf>
    <xf numFmtId="0" fontId="1" fillId="0" borderId="0" xfId="47" applyFont="1" applyFill="1" applyBorder="1" applyAlignment="1">
      <alignment horizontal="right"/>
    </xf>
    <xf numFmtId="0" fontId="18" fillId="0" borderId="0" xfId="47" applyFont="1" applyFill="1" applyBorder="1" applyAlignment="1">
      <alignment horizontal="center"/>
    </xf>
    <xf numFmtId="9" fontId="4" fillId="0" borderId="0" xfId="59" applyFont="1" applyFill="1"/>
    <xf numFmtId="170" fontId="7" fillId="0" borderId="0" xfId="46" applyNumberFormat="1" applyFont="1" applyFill="1" applyBorder="1"/>
    <xf numFmtId="172" fontId="7" fillId="0" borderId="0" xfId="46" applyNumberFormat="1" applyFont="1" applyFill="1" applyBorder="1" applyAlignment="1" applyProtection="1">
      <alignment horizontal="right"/>
    </xf>
    <xf numFmtId="165" fontId="16" fillId="0" borderId="0" xfId="59" applyNumberFormat="1" applyFont="1" applyFill="1" applyBorder="1" applyAlignment="1">
      <alignment horizontal="center"/>
    </xf>
    <xf numFmtId="0" fontId="7" fillId="4" borderId="11" xfId="46" applyFont="1" applyFill="1" applyBorder="1" applyAlignment="1">
      <alignment horizontal="center"/>
    </xf>
    <xf numFmtId="9" fontId="1" fillId="0" borderId="0" xfId="46" applyNumberFormat="1"/>
    <xf numFmtId="165" fontId="4" fillId="0" borderId="2" xfId="54" applyNumberFormat="1" applyFont="1" applyFill="1" applyBorder="1" applyAlignment="1">
      <alignment horizontal="left" indent="2"/>
    </xf>
    <xf numFmtId="165" fontId="1" fillId="0" borderId="12" xfId="47" applyNumberFormat="1" applyFont="1" applyFill="1" applyBorder="1"/>
    <xf numFmtId="165" fontId="1" fillId="0" borderId="2" xfId="47" applyNumberFormat="1" applyFont="1" applyFill="1" applyBorder="1"/>
    <xf numFmtId="165" fontId="1" fillId="0" borderId="15" xfId="47" applyNumberFormat="1" applyFont="1" applyFill="1" applyBorder="1"/>
    <xf numFmtId="165" fontId="1" fillId="0" borderId="11" xfId="47" applyNumberFormat="1" applyFont="1" applyFill="1" applyBorder="1"/>
    <xf numFmtId="165" fontId="42" fillId="0" borderId="12" xfId="47" applyNumberFormat="1" applyFont="1" applyFill="1" applyBorder="1"/>
    <xf numFmtId="165" fontId="42" fillId="0" borderId="2" xfId="47" applyNumberFormat="1" applyFont="1" applyFill="1" applyBorder="1"/>
    <xf numFmtId="165" fontId="42" fillId="0" borderId="15" xfId="47" applyNumberFormat="1" applyFont="1" applyFill="1" applyBorder="1"/>
    <xf numFmtId="165" fontId="42" fillId="0" borderId="11" xfId="47" applyNumberFormat="1" applyFont="1" applyFill="1" applyBorder="1"/>
    <xf numFmtId="165" fontId="41" fillId="0" borderId="15" xfId="54" applyNumberFormat="1" applyFont="1" applyFill="1" applyBorder="1"/>
    <xf numFmtId="165" fontId="41" fillId="0" borderId="2" xfId="54" applyNumberFormat="1" applyFont="1" applyFill="1" applyBorder="1"/>
    <xf numFmtId="165" fontId="41" fillId="0" borderId="2" xfId="47" applyNumberFormat="1" applyFont="1" applyFill="1" applyBorder="1"/>
    <xf numFmtId="9" fontId="4" fillId="0" borderId="10" xfId="47" applyNumberFormat="1" applyFont="1" applyFill="1" applyBorder="1" applyAlignment="1">
      <alignment horizontal="right"/>
    </xf>
    <xf numFmtId="9" fontId="41" fillId="0" borderId="0" xfId="54" applyNumberFormat="1" applyFont="1" applyFill="1" applyBorder="1"/>
    <xf numFmtId="9" fontId="41" fillId="0" borderId="16" xfId="54" applyNumberFormat="1" applyFont="1" applyFill="1" applyBorder="1"/>
    <xf numFmtId="9" fontId="4" fillId="0" borderId="0" xfId="54" applyNumberFormat="1" applyFont="1" applyFill="1" applyBorder="1" applyAlignment="1">
      <alignment horizontal="right"/>
    </xf>
    <xf numFmtId="9" fontId="41" fillId="0" borderId="0" xfId="36" applyNumberFormat="1" applyFont="1" applyFill="1" applyBorder="1"/>
    <xf numFmtId="9" fontId="41" fillId="0" borderId="16" xfId="36" applyNumberFormat="1" applyFont="1" applyFill="1" applyBorder="1"/>
    <xf numFmtId="9" fontId="4" fillId="0" borderId="0" xfId="36" applyNumberFormat="1" applyFont="1" applyFill="1" applyBorder="1" applyAlignment="1">
      <alignment horizontal="right"/>
    </xf>
    <xf numFmtId="9" fontId="41" fillId="0" borderId="0" xfId="47" applyNumberFormat="1" applyFont="1" applyFill="1" applyBorder="1"/>
    <xf numFmtId="9" fontId="41" fillId="0" borderId="16" xfId="47" applyNumberFormat="1" applyFont="1" applyFill="1" applyBorder="1"/>
    <xf numFmtId="9" fontId="41" fillId="0" borderId="2" xfId="47" applyNumberFormat="1" applyFont="1" applyFill="1" applyBorder="1"/>
    <xf numFmtId="9" fontId="41" fillId="0" borderId="15" xfId="47" applyNumberFormat="1" applyFont="1" applyFill="1" applyBorder="1"/>
    <xf numFmtId="9" fontId="4" fillId="0" borderId="2" xfId="47" applyNumberFormat="1" applyFont="1" applyFill="1" applyBorder="1"/>
    <xf numFmtId="9" fontId="70" fillId="0" borderId="12" xfId="59" applyNumberFormat="1" applyFont="1" applyFill="1" applyBorder="1" applyAlignment="1">
      <alignment horizontal="right"/>
    </xf>
    <xf numFmtId="9" fontId="70" fillId="0" borderId="2" xfId="59" applyNumberFormat="1" applyFont="1" applyFill="1" applyBorder="1" applyAlignment="1">
      <alignment horizontal="right"/>
    </xf>
    <xf numFmtId="9" fontId="9" fillId="5" borderId="5" xfId="54" applyNumberFormat="1" applyFont="1" applyFill="1" applyBorder="1" applyAlignment="1">
      <alignment horizontal="center"/>
    </xf>
    <xf numFmtId="9" fontId="9" fillId="5" borderId="3" xfId="54" applyNumberFormat="1" applyFont="1" applyFill="1" applyBorder="1" applyAlignment="1">
      <alignment horizontal="center"/>
    </xf>
    <xf numFmtId="9" fontId="9" fillId="0" borderId="0" xfId="54" applyNumberFormat="1" applyFont="1" applyFill="1" applyBorder="1" applyAlignment="1">
      <alignment horizontal="right"/>
    </xf>
    <xf numFmtId="9" fontId="9" fillId="5" borderId="4" xfId="54" applyNumberFormat="1" applyFont="1" applyFill="1" applyBorder="1" applyAlignment="1">
      <alignment horizontal="center"/>
    </xf>
    <xf numFmtId="9" fontId="9" fillId="5" borderId="7" xfId="54" applyNumberFormat="1" applyFont="1" applyFill="1" applyBorder="1" applyAlignment="1">
      <alignment horizontal="center"/>
    </xf>
    <xf numFmtId="9" fontId="4" fillId="0" borderId="13" xfId="59" applyNumberFormat="1" applyFont="1" applyBorder="1"/>
    <xf numFmtId="9" fontId="4" fillId="0" borderId="0" xfId="59" applyNumberFormat="1" applyFont="1" applyFill="1" applyBorder="1"/>
    <xf numFmtId="9" fontId="4" fillId="0" borderId="9" xfId="59" applyNumberFormat="1" applyFont="1" applyFill="1" applyBorder="1"/>
    <xf numFmtId="9" fontId="4" fillId="0" borderId="10" xfId="59" applyNumberFormat="1" applyFont="1" applyFill="1" applyBorder="1"/>
    <xf numFmtId="9" fontId="4" fillId="0" borderId="0" xfId="59" applyNumberFormat="1" applyFont="1"/>
    <xf numFmtId="9" fontId="4" fillId="0" borderId="10" xfId="59" applyNumberFormat="1" applyFont="1" applyBorder="1"/>
    <xf numFmtId="9" fontId="4" fillId="0" borderId="16" xfId="59" applyNumberFormat="1" applyFont="1" applyBorder="1"/>
    <xf numFmtId="9" fontId="4" fillId="0" borderId="2" xfId="59" applyNumberFormat="1" applyFont="1" applyFill="1" applyBorder="1"/>
    <xf numFmtId="9" fontId="4" fillId="0" borderId="2" xfId="59" applyNumberFormat="1" applyFont="1" applyBorder="1"/>
    <xf numFmtId="9" fontId="4" fillId="0" borderId="12" xfId="59" applyNumberFormat="1" applyFont="1" applyBorder="1"/>
    <xf numFmtId="9" fontId="4" fillId="0" borderId="15" xfId="59" applyNumberFormat="1" applyFont="1" applyBorder="1"/>
    <xf numFmtId="165" fontId="16" fillId="6" borderId="10" xfId="59" applyNumberFormat="1" applyFont="1" applyFill="1" applyBorder="1" applyAlignment="1"/>
    <xf numFmtId="0" fontId="4" fillId="6" borderId="8" xfId="55" applyFont="1" applyFill="1" applyBorder="1" applyAlignment="1">
      <alignment horizontal="left" indent="1"/>
    </xf>
    <xf numFmtId="0" fontId="4" fillId="6" borderId="6" xfId="55" applyFont="1" applyFill="1" applyBorder="1" applyAlignment="1">
      <alignment horizontal="left" indent="1"/>
    </xf>
    <xf numFmtId="165" fontId="4" fillId="6" borderId="8" xfId="59" applyNumberFormat="1" applyFont="1" applyFill="1" applyBorder="1" applyAlignment="1">
      <alignment horizontal="left" indent="2"/>
    </xf>
    <xf numFmtId="165" fontId="4" fillId="6" borderId="0" xfId="47" applyNumberFormat="1" applyFont="1" applyFill="1" applyBorder="1" applyAlignment="1">
      <alignment horizontal="right"/>
    </xf>
    <xf numFmtId="165" fontId="4" fillId="6" borderId="8" xfId="47" applyNumberFormat="1" applyFont="1" applyFill="1" applyBorder="1" applyAlignment="1">
      <alignment horizontal="right"/>
    </xf>
    <xf numFmtId="7" fontId="1" fillId="0" borderId="0" xfId="47" applyNumberFormat="1" applyFont="1" applyFill="1"/>
    <xf numFmtId="165" fontId="71" fillId="0" borderId="0" xfId="59" applyNumberFormat="1" applyFont="1" applyFill="1"/>
    <xf numFmtId="171" fontId="71" fillId="0" borderId="0" xfId="36" applyNumberFormat="1" applyFont="1" applyFill="1"/>
    <xf numFmtId="173" fontId="1" fillId="0" borderId="0" xfId="47" applyNumberFormat="1" applyFont="1" applyFill="1" applyBorder="1"/>
    <xf numFmtId="170" fontId="4" fillId="0" borderId="9" xfId="47" applyNumberFormat="1" applyFont="1" applyFill="1" applyBorder="1" applyAlignment="1"/>
    <xf numFmtId="172" fontId="1" fillId="0" borderId="0" xfId="47" applyNumberFormat="1" applyFont="1" applyFill="1"/>
    <xf numFmtId="174" fontId="1" fillId="0" borderId="0" xfId="47" applyNumberFormat="1" applyFont="1" applyFill="1"/>
    <xf numFmtId="37" fontId="4" fillId="0" borderId="2" xfId="47" applyNumberFormat="1" applyFont="1" applyFill="1" applyBorder="1" applyAlignment="1"/>
    <xf numFmtId="37" fontId="4" fillId="0" borderId="12" xfId="47" applyNumberFormat="1" applyFont="1" applyFill="1" applyBorder="1" applyAlignment="1"/>
    <xf numFmtId="175" fontId="6" fillId="0" borderId="5" xfId="47" applyNumberFormat="1" applyFont="1" applyFill="1" applyBorder="1" applyAlignment="1"/>
    <xf numFmtId="175" fontId="15" fillId="0" borderId="5" xfId="47" applyNumberFormat="1" applyFont="1" applyFill="1" applyBorder="1" applyAlignment="1"/>
    <xf numFmtId="165" fontId="16" fillId="4" borderId="0" xfId="59" applyNumberFormat="1" applyFont="1" applyFill="1" applyBorder="1" applyAlignment="1"/>
    <xf numFmtId="175" fontId="16" fillId="4" borderId="0" xfId="47" applyNumberFormat="1" applyFont="1" applyFill="1" applyBorder="1" applyAlignment="1"/>
    <xf numFmtId="0" fontId="1" fillId="0" borderId="8" xfId="47" applyFont="1" applyFill="1" applyBorder="1"/>
    <xf numFmtId="0" fontId="1" fillId="0" borderId="2" xfId="47" applyFont="1" applyBorder="1"/>
    <xf numFmtId="172" fontId="4" fillId="0" borderId="10" xfId="47" applyNumberFormat="1" applyFont="1" applyFill="1" applyBorder="1" applyAlignment="1"/>
    <xf numFmtId="172" fontId="13" fillId="0" borderId="0" xfId="47" applyNumberFormat="1" applyFont="1" applyFill="1" applyBorder="1" applyAlignment="1"/>
    <xf numFmtId="165" fontId="6" fillId="0" borderId="0" xfId="59" applyNumberFormat="1" applyFont="1" applyFill="1" applyBorder="1" applyAlignment="1"/>
    <xf numFmtId="170" fontId="6" fillId="0" borderId="0" xfId="47" applyNumberFormat="1" applyFont="1" applyFill="1" applyBorder="1" applyAlignment="1"/>
    <xf numFmtId="169" fontId="10" fillId="0" borderId="12" xfId="47" applyNumberFormat="1" applyFont="1" applyFill="1" applyBorder="1" applyAlignment="1"/>
    <xf numFmtId="170" fontId="10" fillId="6" borderId="10" xfId="36" applyNumberFormat="1" applyFont="1" applyFill="1" applyBorder="1" applyAlignment="1"/>
    <xf numFmtId="170" fontId="10" fillId="6" borderId="0" xfId="36" applyNumberFormat="1" applyFont="1" applyFill="1" applyBorder="1" applyAlignment="1"/>
    <xf numFmtId="170" fontId="10" fillId="6" borderId="8" xfId="36" applyNumberFormat="1" applyFont="1" applyFill="1" applyBorder="1" applyAlignment="1"/>
    <xf numFmtId="170" fontId="4" fillId="6" borderId="8" xfId="36" applyNumberFormat="1" applyFont="1" applyFill="1" applyBorder="1" applyAlignment="1"/>
    <xf numFmtId="43" fontId="16" fillId="4" borderId="0" xfId="36" applyFont="1" applyFill="1" applyBorder="1" applyAlignment="1"/>
    <xf numFmtId="43" fontId="16" fillId="0" borderId="0" xfId="36" applyFont="1" applyFill="1" applyBorder="1" applyAlignment="1"/>
    <xf numFmtId="179" fontId="71" fillId="0" borderId="0" xfId="36" applyNumberFormat="1" applyFont="1" applyFill="1" applyBorder="1" applyAlignment="1"/>
    <xf numFmtId="41" fontId="4" fillId="0" borderId="0" xfId="47" applyNumberFormat="1" applyFont="1" applyFill="1" applyBorder="1" applyAlignment="1">
      <alignment horizontal="center"/>
    </xf>
    <xf numFmtId="0" fontId="1" fillId="0" borderId="0" xfId="47" applyFont="1" applyFill="1" applyAlignment="1">
      <alignment horizontal="center"/>
    </xf>
    <xf numFmtId="170" fontId="15" fillId="6" borderId="8" xfId="36" applyNumberFormat="1" applyFont="1" applyFill="1" applyBorder="1" applyAlignment="1">
      <alignment horizontal="left" indent="1"/>
    </xf>
    <xf numFmtId="170" fontId="4" fillId="6" borderId="8" xfId="47" applyNumberFormat="1" applyFont="1" applyFill="1" applyBorder="1"/>
    <xf numFmtId="170" fontId="4" fillId="6" borderId="16" xfId="47" applyNumberFormat="1" applyFont="1" applyFill="1" applyBorder="1"/>
    <xf numFmtId="170" fontId="4" fillId="6" borderId="10" xfId="47" applyNumberFormat="1" applyFont="1" applyFill="1" applyBorder="1"/>
    <xf numFmtId="170" fontId="4" fillId="6" borderId="0" xfId="47" applyNumberFormat="1" applyFont="1" applyFill="1" applyBorder="1"/>
    <xf numFmtId="170" fontId="10" fillId="6" borderId="16" xfId="36" applyNumberFormat="1" applyFont="1" applyFill="1" applyBorder="1" applyAlignment="1"/>
    <xf numFmtId="170" fontId="4" fillId="6" borderId="16" xfId="36" applyNumberFormat="1" applyFont="1" applyFill="1" applyBorder="1" applyAlignment="1"/>
    <xf numFmtId="170" fontId="4" fillId="6" borderId="10" xfId="36" applyNumberFormat="1" applyFont="1" applyFill="1" applyBorder="1" applyAlignment="1"/>
    <xf numFmtId="170" fontId="4" fillId="6" borderId="0" xfId="36" applyNumberFormat="1" applyFont="1" applyFill="1" applyBorder="1" applyAlignment="1"/>
    <xf numFmtId="165" fontId="4" fillId="6" borderId="8" xfId="59" applyNumberFormat="1" applyFont="1" applyFill="1" applyBorder="1" applyAlignment="1">
      <alignment horizontal="left" indent="1"/>
    </xf>
    <xf numFmtId="170" fontId="4" fillId="6" borderId="8" xfId="36" applyNumberFormat="1" applyFont="1" applyFill="1" applyBorder="1" applyAlignment="1">
      <alignment horizontal="left" indent="1"/>
    </xf>
    <xf numFmtId="170" fontId="7" fillId="6" borderId="3" xfId="36" applyNumberFormat="1" applyFont="1" applyFill="1" applyBorder="1"/>
    <xf numFmtId="170" fontId="7" fillId="6" borderId="4" xfId="36" applyNumberFormat="1" applyFont="1" applyFill="1" applyBorder="1" applyAlignment="1"/>
    <xf numFmtId="170" fontId="7" fillId="6" borderId="5" xfId="36" applyNumberFormat="1" applyFont="1" applyFill="1" applyBorder="1" applyAlignment="1"/>
    <xf numFmtId="170" fontId="7" fillId="6" borderId="3" xfId="36" applyNumberFormat="1" applyFont="1" applyFill="1" applyBorder="1" applyAlignment="1"/>
    <xf numFmtId="170" fontId="7" fillId="6" borderId="7" xfId="36" applyNumberFormat="1" applyFont="1" applyFill="1" applyBorder="1" applyAlignment="1"/>
    <xf numFmtId="170" fontId="7" fillId="6" borderId="0" xfId="36" applyNumberFormat="1" applyFont="1" applyFill="1" applyBorder="1" applyAlignment="1"/>
    <xf numFmtId="0" fontId="29" fillId="6" borderId="3" xfId="47" applyFont="1" applyFill="1" applyBorder="1" applyAlignment="1"/>
    <xf numFmtId="171" fontId="29" fillId="6" borderId="4" xfId="47" applyNumberFormat="1" applyFont="1" applyFill="1" applyBorder="1" applyAlignment="1"/>
    <xf numFmtId="171" fontId="29" fillId="6" borderId="5" xfId="47" applyNumberFormat="1" applyFont="1" applyFill="1" applyBorder="1" applyAlignment="1"/>
    <xf numFmtId="171" fontId="29" fillId="6" borderId="3" xfId="47" applyNumberFormat="1" applyFont="1" applyFill="1" applyBorder="1" applyAlignment="1"/>
    <xf numFmtId="171" fontId="29" fillId="6" borderId="7" xfId="47" applyNumberFormat="1" applyFont="1" applyFill="1" applyBorder="1" applyAlignment="1"/>
    <xf numFmtId="165" fontId="7" fillId="6" borderId="6" xfId="59" applyNumberFormat="1" applyFont="1" applyFill="1" applyBorder="1" applyAlignment="1">
      <alignment horizontal="left"/>
    </xf>
    <xf numFmtId="165" fontId="7" fillId="6" borderId="9" xfId="59" applyNumberFormat="1" applyFont="1" applyFill="1" applyBorder="1"/>
    <xf numFmtId="165" fontId="7" fillId="6" borderId="13" xfId="59" applyNumberFormat="1" applyFont="1" applyFill="1" applyBorder="1"/>
    <xf numFmtId="165" fontId="7" fillId="6" borderId="6" xfId="59" applyNumberFormat="1" applyFont="1" applyFill="1" applyBorder="1"/>
    <xf numFmtId="165" fontId="7" fillId="6" borderId="10" xfId="59" applyNumberFormat="1" applyFont="1" applyFill="1" applyBorder="1" applyAlignment="1"/>
    <xf numFmtId="165" fontId="7" fillId="6" borderId="0" xfId="59" applyNumberFormat="1" applyFont="1" applyFill="1" applyBorder="1"/>
    <xf numFmtId="165" fontId="4" fillId="6" borderId="10" xfId="59" applyNumberFormat="1" applyFont="1" applyFill="1" applyBorder="1"/>
    <xf numFmtId="165" fontId="4" fillId="6" borderId="0" xfId="59" applyNumberFormat="1" applyFont="1" applyFill="1" applyBorder="1"/>
    <xf numFmtId="165" fontId="4" fillId="6" borderId="8" xfId="59" applyNumberFormat="1" applyFont="1" applyFill="1" applyBorder="1"/>
    <xf numFmtId="165" fontId="10" fillId="6" borderId="0" xfId="59" applyNumberFormat="1" applyFont="1" applyFill="1" applyBorder="1" applyAlignment="1"/>
    <xf numFmtId="165" fontId="10" fillId="6" borderId="10" xfId="59" applyNumberFormat="1" applyFont="1" applyFill="1" applyBorder="1"/>
    <xf numFmtId="165" fontId="10" fillId="6" borderId="0" xfId="59" applyNumberFormat="1" applyFont="1" applyFill="1" applyBorder="1"/>
    <xf numFmtId="165" fontId="4" fillId="6" borderId="0" xfId="59" applyNumberFormat="1" applyFont="1" applyFill="1" applyBorder="1" applyAlignment="1"/>
    <xf numFmtId="165" fontId="10" fillId="6" borderId="10" xfId="59" applyNumberFormat="1" applyFont="1" applyFill="1" applyBorder="1" applyAlignment="1"/>
    <xf numFmtId="165" fontId="4" fillId="6" borderId="16" xfId="59" applyNumberFormat="1" applyFont="1" applyFill="1" applyBorder="1" applyAlignment="1">
      <alignment horizontal="left" indent="2"/>
    </xf>
    <xf numFmtId="165" fontId="30" fillId="6" borderId="0" xfId="59" applyNumberFormat="1" applyFont="1" applyFill="1" applyBorder="1"/>
    <xf numFmtId="165" fontId="7" fillId="6" borderId="8" xfId="59" applyNumberFormat="1" applyFont="1" applyFill="1" applyBorder="1" applyAlignment="1">
      <alignment horizontal="left"/>
    </xf>
    <xf numFmtId="165" fontId="7" fillId="6" borderId="0" xfId="59" applyNumberFormat="1" applyFont="1" applyFill="1" applyBorder="1" applyAlignment="1"/>
    <xf numFmtId="165" fontId="7" fillId="6" borderId="8" xfId="59" applyNumberFormat="1" applyFont="1" applyFill="1" applyBorder="1" applyAlignment="1"/>
    <xf numFmtId="165" fontId="7" fillId="6" borderId="16" xfId="59" applyNumberFormat="1" applyFont="1" applyFill="1" applyBorder="1"/>
    <xf numFmtId="165" fontId="7" fillId="6" borderId="10" xfId="59" applyNumberFormat="1" applyFont="1" applyFill="1" applyBorder="1"/>
    <xf numFmtId="165" fontId="4" fillId="6" borderId="10" xfId="59" applyNumberFormat="1" applyFont="1" applyFill="1" applyBorder="1" applyAlignment="1"/>
    <xf numFmtId="165" fontId="4" fillId="6" borderId="8" xfId="59" applyNumberFormat="1" applyFont="1" applyFill="1" applyBorder="1" applyAlignment="1">
      <alignment horizontal="left" indent="3"/>
    </xf>
    <xf numFmtId="170" fontId="4" fillId="6" borderId="10" xfId="59" applyNumberFormat="1" applyFont="1" applyFill="1" applyBorder="1" applyAlignment="1"/>
    <xf numFmtId="170" fontId="4" fillId="6" borderId="0" xfId="59" applyNumberFormat="1" applyFont="1" applyFill="1" applyBorder="1" applyAlignment="1"/>
    <xf numFmtId="170" fontId="4" fillId="6" borderId="8" xfId="59" applyNumberFormat="1" applyFont="1" applyFill="1" applyBorder="1" applyAlignment="1"/>
    <xf numFmtId="170" fontId="4" fillId="6" borderId="10" xfId="59" applyNumberFormat="1" applyFont="1" applyFill="1" applyBorder="1"/>
    <xf numFmtId="170" fontId="4" fillId="6" borderId="0" xfId="59" applyNumberFormat="1" applyFont="1" applyFill="1" applyBorder="1"/>
    <xf numFmtId="165" fontId="4" fillId="6" borderId="8" xfId="59" applyNumberFormat="1" applyFont="1" applyFill="1" applyBorder="1" applyAlignment="1">
      <alignment horizontal="left" indent="4"/>
    </xf>
    <xf numFmtId="43" fontId="4" fillId="6" borderId="10" xfId="36" applyFont="1" applyFill="1" applyBorder="1" applyAlignment="1"/>
    <xf numFmtId="43" fontId="4" fillId="6" borderId="0" xfId="36" applyFont="1" applyFill="1" applyBorder="1" applyAlignment="1"/>
    <xf numFmtId="43" fontId="4" fillId="6" borderId="8" xfId="36" applyFont="1" applyFill="1" applyBorder="1"/>
    <xf numFmtId="43" fontId="7" fillId="6" borderId="10" xfId="36" applyFont="1" applyFill="1" applyBorder="1" applyAlignment="1"/>
    <xf numFmtId="43" fontId="7" fillId="6" borderId="0" xfId="36" applyFont="1" applyFill="1" applyBorder="1" applyAlignment="1"/>
    <xf numFmtId="43" fontId="7" fillId="6" borderId="8" xfId="36" applyFont="1" applyFill="1" applyBorder="1" applyAlignment="1"/>
    <xf numFmtId="165" fontId="4" fillId="6" borderId="8" xfId="59" applyNumberFormat="1" applyFont="1" applyFill="1" applyBorder="1" applyAlignment="1"/>
    <xf numFmtId="43" fontId="10" fillId="6" borderId="10" xfId="36" applyFont="1" applyFill="1" applyBorder="1"/>
    <xf numFmtId="43" fontId="10" fillId="6" borderId="0" xfId="36" applyFont="1" applyFill="1" applyBorder="1" applyAlignment="1"/>
    <xf numFmtId="43" fontId="10" fillId="6" borderId="0" xfId="36" applyFont="1" applyFill="1" applyBorder="1"/>
    <xf numFmtId="43" fontId="4" fillId="6" borderId="10" xfId="36" applyFont="1" applyFill="1" applyBorder="1"/>
    <xf numFmtId="43" fontId="4" fillId="6" borderId="0" xfId="36" applyFont="1" applyFill="1" applyBorder="1"/>
    <xf numFmtId="165" fontId="7" fillId="6" borderId="11" xfId="59" applyNumberFormat="1" applyFont="1" applyFill="1" applyBorder="1"/>
    <xf numFmtId="165" fontId="7" fillId="6" borderId="12" xfId="59" applyNumberFormat="1" applyFont="1" applyFill="1" applyBorder="1" applyAlignment="1"/>
    <xf numFmtId="165" fontId="7" fillId="6" borderId="2" xfId="59" applyNumberFormat="1" applyFont="1" applyFill="1" applyBorder="1" applyAlignment="1"/>
    <xf numFmtId="165" fontId="7" fillId="6" borderId="11" xfId="59" applyNumberFormat="1" applyFont="1" applyFill="1" applyBorder="1" applyAlignment="1"/>
    <xf numFmtId="170" fontId="7" fillId="6" borderId="11" xfId="36" applyNumberFormat="1" applyFont="1" applyFill="1" applyBorder="1"/>
    <xf numFmtId="170" fontId="7" fillId="6" borderId="12" xfId="36" applyNumberFormat="1" applyFont="1" applyFill="1" applyBorder="1" applyAlignment="1"/>
    <xf numFmtId="170" fontId="7" fillId="6" borderId="2" xfId="36" applyNumberFormat="1" applyFont="1" applyFill="1" applyBorder="1" applyAlignment="1"/>
    <xf numFmtId="170" fontId="7" fillId="6" borderId="15" xfId="36" applyNumberFormat="1" applyFont="1" applyFill="1" applyBorder="1" applyAlignment="1"/>
    <xf numFmtId="170" fontId="7" fillId="6" borderId="11" xfId="36" applyNumberFormat="1" applyFont="1" applyFill="1" applyBorder="1" applyAlignment="1"/>
    <xf numFmtId="170" fontId="7" fillId="6" borderId="10" xfId="36" applyNumberFormat="1" applyFont="1" applyFill="1" applyBorder="1" applyAlignment="1"/>
    <xf numFmtId="170" fontId="7" fillId="6" borderId="8" xfId="36" applyNumberFormat="1" applyFont="1" applyFill="1" applyBorder="1" applyAlignment="1"/>
    <xf numFmtId="170" fontId="7" fillId="6" borderId="16" xfId="36" applyNumberFormat="1" applyFont="1" applyFill="1" applyBorder="1" applyAlignment="1"/>
    <xf numFmtId="170" fontId="7" fillId="6" borderId="14" xfId="36" applyNumberFormat="1" applyFont="1" applyFill="1" applyBorder="1" applyAlignment="1"/>
    <xf numFmtId="170" fontId="7" fillId="6" borderId="9" xfId="36" applyNumberFormat="1" applyFont="1" applyFill="1" applyBorder="1" applyAlignment="1"/>
    <xf numFmtId="170" fontId="7" fillId="6" borderId="13" xfId="36" applyNumberFormat="1" applyFont="1" applyFill="1" applyBorder="1" applyAlignment="1"/>
    <xf numFmtId="43" fontId="7" fillId="6" borderId="11" xfId="36" applyFont="1" applyFill="1" applyBorder="1"/>
    <xf numFmtId="43" fontId="7" fillId="6" borderId="4" xfId="36" applyFont="1" applyFill="1" applyBorder="1" applyAlignment="1"/>
    <xf numFmtId="43" fontId="7" fillId="6" borderId="2" xfId="36" applyFont="1" applyFill="1" applyBorder="1" applyAlignment="1"/>
    <xf numFmtId="43" fontId="12" fillId="6" borderId="11" xfId="36" applyFont="1" applyFill="1" applyBorder="1" applyAlignment="1"/>
    <xf numFmtId="43" fontId="7" fillId="6" borderId="12" xfId="36" applyFont="1" applyFill="1" applyBorder="1" applyAlignment="1"/>
    <xf numFmtId="43" fontId="7" fillId="6" borderId="15" xfId="36" applyFont="1" applyFill="1" applyBorder="1" applyAlignment="1"/>
    <xf numFmtId="43" fontId="7" fillId="6" borderId="11" xfId="36" applyFont="1" applyFill="1" applyBorder="1" applyAlignment="1"/>
    <xf numFmtId="9" fontId="4" fillId="6" borderId="8" xfId="59" applyFont="1" applyFill="1" applyBorder="1" applyAlignment="1">
      <alignment horizontal="left" indent="1"/>
    </xf>
    <xf numFmtId="9" fontId="10" fillId="6" borderId="10" xfId="59" applyFont="1" applyFill="1" applyBorder="1" applyAlignment="1"/>
    <xf numFmtId="9" fontId="10" fillId="6" borderId="0" xfId="59" applyFont="1" applyFill="1" applyBorder="1" applyAlignment="1"/>
    <xf numFmtId="9" fontId="10" fillId="6" borderId="16" xfId="59" applyFont="1" applyFill="1" applyBorder="1" applyAlignment="1"/>
    <xf numFmtId="9" fontId="10" fillId="6" borderId="8" xfId="59" applyFont="1" applyFill="1" applyBorder="1" applyAlignment="1"/>
    <xf numFmtId="9" fontId="7" fillId="6" borderId="9" xfId="59" applyFont="1" applyFill="1" applyBorder="1" applyAlignment="1"/>
    <xf numFmtId="9" fontId="7" fillId="6" borderId="13" xfId="59" applyFont="1" applyFill="1" applyBorder="1" applyAlignment="1"/>
    <xf numFmtId="9" fontId="7" fillId="6" borderId="14" xfId="59" applyFont="1" applyFill="1" applyBorder="1" applyAlignment="1"/>
    <xf numFmtId="9" fontId="7" fillId="6" borderId="16" xfId="59" applyFont="1" applyFill="1" applyBorder="1" applyAlignment="1"/>
    <xf numFmtId="9" fontId="7" fillId="6" borderId="10" xfId="59" applyFont="1" applyFill="1" applyBorder="1" applyAlignment="1"/>
    <xf numFmtId="9" fontId="7" fillId="6" borderId="0" xfId="59" applyFont="1" applyFill="1" applyBorder="1" applyAlignment="1"/>
    <xf numFmtId="9" fontId="15" fillId="6" borderId="8" xfId="59" applyFont="1" applyFill="1" applyBorder="1" applyAlignment="1">
      <alignment horizontal="left" indent="1"/>
    </xf>
    <xf numFmtId="9" fontId="16" fillId="6" borderId="10" xfId="59" applyFont="1" applyFill="1" applyBorder="1" applyAlignment="1"/>
    <xf numFmtId="9" fontId="16" fillId="6" borderId="0" xfId="59" applyFont="1" applyFill="1" applyBorder="1" applyAlignment="1"/>
    <xf numFmtId="9" fontId="16" fillId="6" borderId="16" xfId="59" applyFont="1" applyFill="1" applyBorder="1" applyAlignment="1"/>
    <xf numFmtId="9" fontId="16" fillId="6" borderId="8" xfId="59" applyFont="1" applyFill="1" applyBorder="1" applyAlignment="1"/>
    <xf numFmtId="9" fontId="15" fillId="6" borderId="8" xfId="59" applyFont="1" applyFill="1" applyBorder="1" applyAlignment="1"/>
    <xf numFmtId="9" fontId="15" fillId="6" borderId="16" xfId="59" applyFont="1" applyFill="1" applyBorder="1" applyAlignment="1"/>
    <xf numFmtId="9" fontId="15" fillId="6" borderId="0" xfId="59" applyFont="1" applyFill="1" applyBorder="1" applyAlignment="1"/>
    <xf numFmtId="9" fontId="15" fillId="6" borderId="10" xfId="59" applyFont="1" applyFill="1" applyBorder="1" applyAlignment="1"/>
    <xf numFmtId="9" fontId="7" fillId="6" borderId="8" xfId="59" applyFont="1" applyFill="1" applyBorder="1" applyAlignment="1"/>
    <xf numFmtId="0" fontId="4" fillId="6" borderId="8" xfId="47" applyFont="1" applyFill="1" applyBorder="1" applyAlignment="1">
      <alignment horizontal="left"/>
    </xf>
    <xf numFmtId="171" fontId="10" fillId="6" borderId="10" xfId="36" applyNumberFormat="1" applyFont="1" applyFill="1" applyBorder="1" applyAlignment="1"/>
    <xf numFmtId="171" fontId="10" fillId="6" borderId="0" xfId="36" applyNumberFormat="1" applyFont="1" applyFill="1" applyBorder="1" applyAlignment="1"/>
    <xf numFmtId="171" fontId="10" fillId="6" borderId="16" xfId="36" applyNumberFormat="1" applyFont="1" applyFill="1" applyBorder="1" applyAlignment="1"/>
    <xf numFmtId="171" fontId="10" fillId="6" borderId="8" xfId="36" applyNumberFormat="1" applyFont="1" applyFill="1" applyBorder="1" applyAlignment="1"/>
    <xf numFmtId="165" fontId="7" fillId="6" borderId="16" xfId="59" applyNumberFormat="1" applyFont="1" applyFill="1" applyBorder="1" applyAlignment="1"/>
    <xf numFmtId="0" fontId="34" fillId="6" borderId="8" xfId="47" applyFont="1" applyFill="1" applyBorder="1" applyAlignment="1">
      <alignment horizontal="left" indent="1"/>
    </xf>
    <xf numFmtId="165" fontId="4" fillId="6" borderId="16" xfId="59" applyNumberFormat="1" applyFont="1" applyFill="1" applyBorder="1" applyAlignment="1"/>
    <xf numFmtId="165" fontId="36" fillId="6" borderId="0" xfId="59" applyNumberFormat="1" applyFont="1" applyFill="1" applyBorder="1" applyAlignment="1"/>
    <xf numFmtId="165" fontId="36" fillId="6" borderId="16" xfId="59" applyNumberFormat="1" applyFont="1" applyFill="1" applyBorder="1" applyAlignment="1"/>
    <xf numFmtId="0" fontId="4" fillId="6" borderId="8" xfId="47" applyFont="1" applyFill="1" applyBorder="1" applyAlignment="1"/>
    <xf numFmtId="170" fontId="4" fillId="6" borderId="6" xfId="55" applyNumberFormat="1" applyFont="1" applyFill="1" applyBorder="1" applyAlignment="1">
      <alignment horizontal="left" indent="1"/>
    </xf>
    <xf numFmtId="170" fontId="10" fillId="6" borderId="9" xfId="47" applyNumberFormat="1" applyFont="1" applyFill="1" applyBorder="1" applyAlignment="1">
      <alignment horizontal="center"/>
    </xf>
    <xf numFmtId="170" fontId="10" fillId="6" borderId="13" xfId="47" applyNumberFormat="1" applyFont="1" applyFill="1" applyBorder="1" applyAlignment="1">
      <alignment horizontal="center"/>
    </xf>
    <xf numFmtId="170" fontId="13" fillId="6" borderId="6" xfId="47" applyNumberFormat="1" applyFont="1" applyFill="1" applyBorder="1" applyAlignment="1">
      <alignment horizontal="center"/>
    </xf>
    <xf numFmtId="170" fontId="4" fillId="6" borderId="13" xfId="47" applyNumberFormat="1" applyFont="1" applyFill="1" applyBorder="1"/>
    <xf numFmtId="170" fontId="4" fillId="6" borderId="6" xfId="47" applyNumberFormat="1" applyFont="1" applyFill="1" applyBorder="1"/>
    <xf numFmtId="170" fontId="4" fillId="6" borderId="9" xfId="47" applyNumberFormat="1" applyFont="1" applyFill="1" applyBorder="1"/>
    <xf numFmtId="170" fontId="4" fillId="6" borderId="8" xfId="55" applyNumberFormat="1" applyFont="1" applyFill="1" applyBorder="1" applyAlignment="1">
      <alignment horizontal="left" indent="1"/>
    </xf>
    <xf numFmtId="170" fontId="10" fillId="6" borderId="10" xfId="47" applyNumberFormat="1" applyFont="1" applyFill="1" applyBorder="1" applyAlignment="1">
      <alignment horizontal="center"/>
    </xf>
    <xf numFmtId="170" fontId="10" fillId="6" borderId="0" xfId="47" applyNumberFormat="1" applyFont="1" applyFill="1" applyBorder="1" applyAlignment="1">
      <alignment horizontal="center"/>
    </xf>
    <xf numFmtId="170" fontId="13" fillId="6" borderId="8" xfId="47" applyNumberFormat="1" applyFont="1" applyFill="1" applyBorder="1" applyAlignment="1">
      <alignment horizontal="center"/>
    </xf>
    <xf numFmtId="170" fontId="4" fillId="6" borderId="0" xfId="47" applyNumberFormat="1" applyFont="1" applyFill="1" applyBorder="1" applyAlignment="1">
      <alignment horizontal="center"/>
    </xf>
    <xf numFmtId="170" fontId="4" fillId="6" borderId="10" xfId="47" applyNumberFormat="1" applyFont="1" applyFill="1" applyBorder="1" applyAlignment="1">
      <alignment horizontal="center"/>
    </xf>
    <xf numFmtId="170" fontId="4" fillId="6" borderId="8" xfId="47" applyNumberFormat="1" applyFont="1" applyFill="1" applyBorder="1" applyAlignment="1">
      <alignment horizontal="center"/>
    </xf>
    <xf numFmtId="165" fontId="4" fillId="6" borderId="9" xfId="59" applyNumberFormat="1" applyFont="1" applyFill="1" applyBorder="1" applyAlignment="1"/>
    <xf numFmtId="165" fontId="4" fillId="6" borderId="0" xfId="59" applyNumberFormat="1" applyFont="1" applyFill="1" applyAlignment="1"/>
    <xf numFmtId="165" fontId="4" fillId="6" borderId="14" xfId="59" applyNumberFormat="1" applyFont="1" applyFill="1" applyBorder="1" applyAlignment="1"/>
    <xf numFmtId="165" fontId="4" fillId="6" borderId="6" xfId="59" applyNumberFormat="1" applyFont="1" applyFill="1" applyBorder="1" applyAlignment="1"/>
    <xf numFmtId="0" fontId="1" fillId="6" borderId="0" xfId="47" applyFill="1" applyBorder="1" applyAlignment="1"/>
    <xf numFmtId="0" fontId="1" fillId="6" borderId="8" xfId="47" applyFill="1" applyBorder="1" applyAlignment="1"/>
    <xf numFmtId="0" fontId="1" fillId="6" borderId="10" xfId="47" applyFill="1" applyBorder="1"/>
    <xf numFmtId="0" fontId="1" fillId="6" borderId="0" xfId="47" applyFill="1" applyBorder="1"/>
    <xf numFmtId="0" fontId="1" fillId="6" borderId="8" xfId="47" applyFill="1" applyBorder="1"/>
    <xf numFmtId="0" fontId="1" fillId="6" borderId="16" xfId="47" applyFill="1" applyBorder="1"/>
    <xf numFmtId="165" fontId="15" fillId="6" borderId="8" xfId="59" applyNumberFormat="1" applyFont="1" applyFill="1" applyBorder="1" applyAlignment="1">
      <alignment horizontal="left" indent="1"/>
    </xf>
    <xf numFmtId="165" fontId="16" fillId="6" borderId="0" xfId="54" applyNumberFormat="1" applyFont="1" applyFill="1" applyBorder="1"/>
    <xf numFmtId="165" fontId="16" fillId="6" borderId="16" xfId="54" applyNumberFormat="1" applyFont="1" applyFill="1" applyBorder="1"/>
    <xf numFmtId="165" fontId="16" fillId="6" borderId="8" xfId="54" applyNumberFormat="1" applyFont="1" applyFill="1" applyBorder="1"/>
    <xf numFmtId="165" fontId="35" fillId="6" borderId="10" xfId="54" applyNumberFormat="1" applyFont="1" applyFill="1" applyBorder="1"/>
    <xf numFmtId="165" fontId="35" fillId="6" borderId="0" xfId="54" applyNumberFormat="1" applyFont="1" applyFill="1" applyBorder="1"/>
    <xf numFmtId="165" fontId="35" fillId="6" borderId="8" xfId="54" applyNumberFormat="1" applyFont="1" applyFill="1" applyBorder="1"/>
    <xf numFmtId="165" fontId="35" fillId="6" borderId="16" xfId="54" applyNumberFormat="1" applyFont="1" applyFill="1" applyBorder="1"/>
    <xf numFmtId="165" fontId="16" fillId="6" borderId="10" xfId="54" applyNumberFormat="1" applyFont="1" applyFill="1" applyBorder="1"/>
    <xf numFmtId="165" fontId="10" fillId="6" borderId="10" xfId="54" applyNumberFormat="1" applyFont="1" applyFill="1" applyBorder="1"/>
    <xf numFmtId="165" fontId="10" fillId="6" borderId="0" xfId="54" applyNumberFormat="1" applyFont="1" applyFill="1" applyBorder="1"/>
    <xf numFmtId="165" fontId="10" fillId="6" borderId="16" xfId="54" applyNumberFormat="1" applyFont="1" applyFill="1" applyBorder="1"/>
    <xf numFmtId="165" fontId="10" fillId="6" borderId="8" xfId="54" applyNumberFormat="1" applyFont="1" applyFill="1" applyBorder="1"/>
    <xf numFmtId="165" fontId="30" fillId="6" borderId="10" xfId="54" applyNumberFormat="1" applyFont="1" applyFill="1" applyBorder="1"/>
    <xf numFmtId="165" fontId="30" fillId="6" borderId="0" xfId="54" applyNumberFormat="1" applyFont="1" applyFill="1" applyBorder="1"/>
    <xf numFmtId="165" fontId="30" fillId="6" borderId="8" xfId="54" applyNumberFormat="1" applyFont="1" applyFill="1" applyBorder="1"/>
    <xf numFmtId="165" fontId="30" fillId="6" borderId="16" xfId="54" applyNumberFormat="1" applyFont="1" applyFill="1" applyBorder="1"/>
    <xf numFmtId="43" fontId="30" fillId="6" borderId="10" xfId="36" applyFont="1" applyFill="1" applyBorder="1"/>
    <xf numFmtId="43" fontId="30" fillId="6" borderId="0" xfId="36" applyFont="1" applyFill="1" applyBorder="1"/>
    <xf numFmtId="43" fontId="30" fillId="6" borderId="16" xfId="36" applyFont="1" applyFill="1" applyBorder="1"/>
    <xf numFmtId="43" fontId="30" fillId="6" borderId="8" xfId="36" applyFont="1" applyFill="1" applyBorder="1"/>
    <xf numFmtId="181" fontId="4" fillId="6" borderId="10" xfId="47" applyNumberFormat="1" applyFont="1" applyFill="1" applyBorder="1"/>
    <xf numFmtId="181" fontId="4" fillId="6" borderId="0" xfId="47" applyNumberFormat="1" applyFont="1" applyFill="1" applyBorder="1"/>
    <xf numFmtId="181" fontId="4" fillId="6" borderId="16" xfId="47" applyNumberFormat="1" applyFont="1" applyFill="1" applyBorder="1"/>
    <xf numFmtId="181" fontId="4" fillId="6" borderId="8" xfId="47" applyNumberFormat="1" applyFont="1" applyFill="1" applyBorder="1"/>
    <xf numFmtId="0" fontId="7" fillId="6" borderId="3" xfId="54" applyFont="1" applyFill="1" applyBorder="1" applyAlignment="1"/>
    <xf numFmtId="180" fontId="7" fillId="6" borderId="4" xfId="47" applyNumberFormat="1" applyFont="1" applyFill="1" applyBorder="1"/>
    <xf numFmtId="180" fontId="7" fillId="6" borderId="5" xfId="47" applyNumberFormat="1" applyFont="1" applyFill="1" applyBorder="1"/>
    <xf numFmtId="180" fontId="7" fillId="6" borderId="7" xfId="47" applyNumberFormat="1" applyFont="1" applyFill="1" applyBorder="1"/>
    <xf numFmtId="180" fontId="7" fillId="6" borderId="3" xfId="47" applyNumberFormat="1" applyFont="1" applyFill="1" applyBorder="1"/>
    <xf numFmtId="180" fontId="4" fillId="6" borderId="0" xfId="47" applyNumberFormat="1" applyFont="1" applyFill="1" applyBorder="1"/>
    <xf numFmtId="180" fontId="4" fillId="6" borderId="10" xfId="47" applyNumberFormat="1" applyFont="1" applyFill="1" applyBorder="1"/>
    <xf numFmtId="180" fontId="4" fillId="6" borderId="16" xfId="47" applyNumberFormat="1" applyFont="1" applyFill="1" applyBorder="1"/>
    <xf numFmtId="180" fontId="4" fillId="6" borderId="8" xfId="47" applyNumberFormat="1" applyFont="1" applyFill="1" applyBorder="1"/>
    <xf numFmtId="0" fontId="7" fillId="6" borderId="11" xfId="54" applyFont="1" applyFill="1" applyBorder="1" applyAlignment="1"/>
    <xf numFmtId="0" fontId="7" fillId="6" borderId="8" xfId="47" applyFont="1" applyFill="1" applyBorder="1" applyAlignment="1">
      <alignment horizontal="left" indent="1"/>
    </xf>
    <xf numFmtId="0" fontId="7" fillId="6" borderId="0" xfId="47" applyFont="1" applyFill="1" applyBorder="1"/>
    <xf numFmtId="0" fontId="7" fillId="6" borderId="10" xfId="47" applyFont="1" applyFill="1" applyBorder="1"/>
    <xf numFmtId="0" fontId="7" fillId="6" borderId="8" xfId="47" applyFont="1" applyFill="1" applyBorder="1"/>
    <xf numFmtId="165" fontId="31" fillId="6" borderId="10" xfId="47" applyNumberFormat="1" applyFont="1" applyFill="1" applyBorder="1"/>
    <xf numFmtId="165" fontId="31" fillId="6" borderId="0" xfId="47" applyNumberFormat="1" applyFont="1" applyFill="1" applyBorder="1"/>
    <xf numFmtId="165" fontId="31" fillId="6" borderId="8" xfId="47" applyNumberFormat="1" applyFont="1" applyFill="1" applyBorder="1"/>
    <xf numFmtId="9" fontId="4" fillId="0" borderId="0" xfId="59" applyNumberFormat="1" applyFont="1" applyFill="1"/>
    <xf numFmtId="180" fontId="4" fillId="0" borderId="0" xfId="47" applyNumberFormat="1" applyFont="1" applyFill="1"/>
    <xf numFmtId="0" fontId="7" fillId="0" borderId="0" xfId="47" applyFont="1" applyFill="1"/>
    <xf numFmtId="181" fontId="4" fillId="0" borderId="0" xfId="47" applyNumberFormat="1" applyFont="1" applyFill="1"/>
    <xf numFmtId="0" fontId="29" fillId="6" borderId="0" xfId="47" applyFont="1" applyFill="1" applyBorder="1" applyAlignment="1" applyProtection="1">
      <alignment horizontal="left"/>
    </xf>
    <xf numFmtId="189" fontId="27" fillId="6" borderId="0" xfId="47" applyNumberFormat="1" applyFont="1" applyFill="1" applyAlignment="1">
      <alignment horizontal="right"/>
    </xf>
    <xf numFmtId="165" fontId="10" fillId="6" borderId="13" xfId="47" applyNumberFormat="1" applyFont="1" applyFill="1" applyBorder="1" applyAlignment="1">
      <alignment horizontal="right"/>
    </xf>
    <xf numFmtId="165" fontId="4" fillId="6" borderId="6" xfId="47" applyNumberFormat="1" applyFont="1" applyFill="1" applyBorder="1" applyAlignment="1">
      <alignment horizontal="right"/>
    </xf>
    <xf numFmtId="165" fontId="10" fillId="6" borderId="9" xfId="47" applyNumberFormat="1" applyFont="1" applyFill="1" applyBorder="1" applyAlignment="1">
      <alignment horizontal="right"/>
    </xf>
    <xf numFmtId="165" fontId="10" fillId="6" borderId="10" xfId="47" applyNumberFormat="1" applyFont="1" applyFill="1" applyBorder="1" applyAlignment="1">
      <alignment horizontal="right"/>
    </xf>
    <xf numFmtId="165" fontId="10" fillId="6" borderId="0" xfId="47" applyNumberFormat="1" applyFont="1" applyFill="1" applyBorder="1" applyAlignment="1">
      <alignment horizontal="right"/>
    </xf>
    <xf numFmtId="165" fontId="10" fillId="6" borderId="16" xfId="47" applyNumberFormat="1" applyFont="1" applyFill="1" applyBorder="1" applyAlignment="1">
      <alignment horizontal="right"/>
    </xf>
    <xf numFmtId="189" fontId="27" fillId="0" borderId="0" xfId="47" applyNumberFormat="1" applyFont="1" applyFill="1" applyBorder="1"/>
    <xf numFmtId="189" fontId="27" fillId="0" borderId="0" xfId="47" applyNumberFormat="1" applyFont="1" applyFill="1" applyBorder="1" applyAlignment="1">
      <alignment horizontal="right"/>
    </xf>
    <xf numFmtId="170" fontId="4" fillId="6" borderId="6" xfId="46" applyNumberFormat="1" applyFont="1" applyFill="1" applyBorder="1" applyAlignment="1" applyProtection="1">
      <alignment horizontal="left"/>
      <protection locked="0"/>
    </xf>
    <xf numFmtId="170" fontId="13" fillId="6" borderId="13" xfId="46" applyNumberFormat="1" applyFont="1" applyFill="1" applyBorder="1" applyAlignment="1" applyProtection="1">
      <alignment horizontal="right"/>
      <protection locked="0"/>
    </xf>
    <xf numFmtId="170" fontId="13" fillId="6" borderId="6" xfId="46" applyNumberFormat="1" applyFont="1" applyFill="1" applyBorder="1"/>
    <xf numFmtId="170" fontId="13" fillId="6" borderId="9" xfId="46" applyNumberFormat="1" applyFont="1" applyFill="1" applyBorder="1" applyAlignment="1" applyProtection="1">
      <alignment horizontal="right"/>
      <protection locked="0"/>
    </xf>
    <xf numFmtId="170" fontId="4" fillId="6" borderId="13" xfId="46" applyNumberFormat="1" applyFont="1" applyFill="1" applyBorder="1" applyAlignment="1" applyProtection="1">
      <alignment horizontal="right"/>
      <protection locked="0"/>
    </xf>
    <xf numFmtId="170" fontId="4" fillId="6" borderId="6" xfId="46" applyNumberFormat="1" applyFont="1" applyFill="1" applyBorder="1"/>
    <xf numFmtId="170" fontId="4" fillId="6" borderId="9" xfId="46" applyNumberFormat="1" applyFont="1" applyFill="1" applyBorder="1" applyAlignment="1" applyProtection="1">
      <alignment horizontal="right"/>
      <protection locked="0"/>
    </xf>
    <xf numFmtId="172" fontId="11" fillId="6" borderId="12" xfId="46" applyNumberFormat="1" applyFont="1" applyFill="1" applyBorder="1" applyAlignment="1" applyProtection="1">
      <alignment horizontal="right" vertical="center"/>
    </xf>
    <xf numFmtId="172" fontId="11" fillId="6" borderId="2" xfId="46" applyNumberFormat="1" applyFont="1" applyFill="1" applyBorder="1" applyAlignment="1" applyProtection="1">
      <alignment horizontal="right" vertical="center"/>
    </xf>
    <xf numFmtId="172" fontId="11" fillId="6" borderId="11" xfId="46" applyNumberFormat="1" applyFont="1" applyFill="1" applyBorder="1" applyAlignment="1" applyProtection="1">
      <alignment horizontal="right" vertical="center"/>
    </xf>
    <xf numFmtId="172" fontId="7" fillId="6" borderId="2" xfId="46" applyNumberFormat="1" applyFont="1" applyFill="1" applyBorder="1" applyAlignment="1" applyProtection="1">
      <alignment horizontal="right" vertical="center"/>
    </xf>
    <xf numFmtId="172" fontId="7" fillId="6" borderId="11" xfId="46" applyNumberFormat="1" applyFont="1" applyFill="1" applyBorder="1" applyAlignment="1" applyProtection="1">
      <alignment horizontal="right" vertical="center"/>
    </xf>
    <xf numFmtId="172" fontId="7" fillId="6" borderId="12" xfId="46" applyNumberFormat="1" applyFont="1" applyFill="1" applyBorder="1" applyAlignment="1" applyProtection="1">
      <alignment horizontal="right" vertical="center"/>
    </xf>
    <xf numFmtId="0" fontId="72" fillId="0" borderId="0" xfId="47" applyFont="1" applyFill="1" applyAlignment="1">
      <alignment horizontal="center"/>
    </xf>
    <xf numFmtId="0" fontId="72" fillId="0" borderId="0" xfId="53" applyFont="1" applyFill="1" applyBorder="1" applyAlignment="1">
      <alignment horizontal="center"/>
    </xf>
    <xf numFmtId="0" fontId="72" fillId="0" borderId="0" xfId="46" applyFont="1" applyFill="1" applyBorder="1" applyAlignment="1">
      <alignment horizontal="center"/>
    </xf>
    <xf numFmtId="0" fontId="72" fillId="0" borderId="0" xfId="51" applyFont="1" applyFill="1" applyBorder="1" applyAlignment="1">
      <alignment horizontal="center"/>
    </xf>
    <xf numFmtId="0" fontId="72" fillId="0" borderId="0" xfId="46" applyFont="1" applyFill="1" applyBorder="1" applyAlignment="1" applyProtection="1">
      <alignment horizontal="center"/>
    </xf>
    <xf numFmtId="9" fontId="1" fillId="0" borderId="0" xfId="46" applyNumberFormat="1" applyFill="1"/>
    <xf numFmtId="170" fontId="4" fillId="0" borderId="11" xfId="47" applyNumberFormat="1" applyFont="1" applyFill="1" applyBorder="1" applyAlignment="1"/>
    <xf numFmtId="164" fontId="73" fillId="0" borderId="0" xfId="0" applyNumberFormat="1" applyFont="1" applyFill="1" applyBorder="1" applyAlignment="1"/>
    <xf numFmtId="164" fontId="74" fillId="0" borderId="0" xfId="0" applyNumberFormat="1" applyFont="1" applyFill="1" applyBorder="1" applyAlignment="1"/>
    <xf numFmtId="170" fontId="74" fillId="0" borderId="10" xfId="47" applyNumberFormat="1" applyFont="1" applyFill="1" applyBorder="1" applyAlignment="1"/>
    <xf numFmtId="170" fontId="74" fillId="0" borderId="0" xfId="47" applyNumberFormat="1" applyFont="1" applyFill="1" applyBorder="1" applyAlignment="1"/>
    <xf numFmtId="170" fontId="74" fillId="0" borderId="8" xfId="47" applyNumberFormat="1" applyFont="1" applyFill="1" applyBorder="1" applyAlignment="1"/>
    <xf numFmtId="170" fontId="74" fillId="0" borderId="0" xfId="47" applyNumberFormat="1" applyFont="1" applyFill="1" applyBorder="1" applyAlignment="1">
      <alignment horizontal="right"/>
    </xf>
    <xf numFmtId="170" fontId="74" fillId="0" borderId="10" xfId="47" applyNumberFormat="1" applyFont="1" applyFill="1" applyBorder="1" applyAlignment="1">
      <alignment horizontal="right"/>
    </xf>
    <xf numFmtId="170" fontId="74" fillId="0" borderId="16" xfId="47" applyNumberFormat="1" applyFont="1" applyFill="1" applyBorder="1" applyAlignment="1"/>
    <xf numFmtId="170" fontId="74" fillId="0" borderId="10" xfId="47" applyNumberFormat="1" applyFont="1" applyFill="1" applyBorder="1" applyAlignment="1">
      <alignment vertical="center"/>
    </xf>
    <xf numFmtId="170" fontId="74" fillId="0" borderId="0" xfId="47" applyNumberFormat="1" applyFont="1" applyFill="1" applyBorder="1" applyAlignment="1">
      <alignment vertical="center"/>
    </xf>
    <xf numFmtId="170" fontId="74" fillId="0" borderId="10" xfId="47" applyNumberFormat="1" applyFont="1" applyFill="1" applyBorder="1"/>
    <xf numFmtId="170" fontId="74" fillId="0" borderId="0" xfId="47" applyNumberFormat="1" applyFont="1" applyFill="1" applyBorder="1"/>
    <xf numFmtId="170" fontId="74" fillId="0" borderId="12" xfId="47" applyNumberFormat="1" applyFont="1" applyFill="1" applyBorder="1"/>
    <xf numFmtId="170" fontId="74" fillId="0" borderId="2" xfId="47" applyNumberFormat="1" applyFont="1" applyFill="1" applyBorder="1"/>
    <xf numFmtId="170" fontId="74" fillId="0" borderId="12" xfId="47" applyNumberFormat="1" applyFont="1" applyFill="1" applyBorder="1" applyAlignment="1"/>
    <xf numFmtId="170" fontId="74" fillId="0" borderId="2" xfId="47" applyNumberFormat="1" applyFont="1" applyFill="1" applyBorder="1" applyAlignment="1"/>
    <xf numFmtId="170" fontId="74" fillId="0" borderId="11" xfId="47" applyNumberFormat="1" applyFont="1" applyFill="1" applyBorder="1" applyAlignment="1"/>
    <xf numFmtId="37" fontId="74" fillId="0" borderId="0" xfId="47" applyNumberFormat="1" applyFont="1" applyFill="1" applyBorder="1" applyAlignment="1">
      <alignment horizontal="right"/>
    </xf>
    <xf numFmtId="0" fontId="74" fillId="0" borderId="12" xfId="47" applyFont="1" applyBorder="1"/>
    <xf numFmtId="37" fontId="74" fillId="0" borderId="2" xfId="47" applyNumberFormat="1" applyFont="1" applyFill="1" applyBorder="1" applyAlignment="1">
      <alignment horizontal="right"/>
    </xf>
    <xf numFmtId="37" fontId="74" fillId="0" borderId="12" xfId="47" applyNumberFormat="1" applyFont="1" applyFill="1" applyBorder="1" applyAlignment="1">
      <alignment horizontal="right"/>
    </xf>
    <xf numFmtId="164" fontId="74" fillId="0" borderId="10" xfId="47" applyNumberFormat="1" applyFont="1" applyFill="1" applyBorder="1" applyAlignment="1"/>
    <xf numFmtId="164" fontId="74" fillId="0" borderId="0" xfId="47" applyNumberFormat="1" applyFont="1" applyFill="1" applyBorder="1" applyAlignment="1"/>
    <xf numFmtId="170" fontId="75" fillId="0" borderId="0" xfId="47" applyNumberFormat="1" applyFont="1" applyFill="1" applyBorder="1" applyAlignment="1"/>
    <xf numFmtId="170" fontId="75" fillId="0" borderId="10" xfId="47" applyNumberFormat="1" applyFont="1" applyFill="1" applyBorder="1" applyAlignment="1"/>
    <xf numFmtId="170" fontId="75" fillId="0" borderId="0" xfId="47" applyNumberFormat="1" applyFont="1" applyFill="1" applyBorder="1" applyAlignment="1">
      <alignment horizontal="right"/>
    </xf>
    <xf numFmtId="165" fontId="76" fillId="6" borderId="10" xfId="59" applyNumberFormat="1" applyFont="1" applyFill="1" applyBorder="1" applyAlignment="1"/>
    <xf numFmtId="165" fontId="76" fillId="6" borderId="0" xfId="59" applyNumberFormat="1" applyFont="1" applyFill="1" applyBorder="1" applyAlignment="1"/>
    <xf numFmtId="165" fontId="76" fillId="0" borderId="10" xfId="59" applyNumberFormat="1" applyFont="1" applyFill="1" applyBorder="1" applyAlignment="1"/>
    <xf numFmtId="165" fontId="76" fillId="0" borderId="0" xfId="59" applyNumberFormat="1" applyFont="1" applyFill="1" applyBorder="1" applyAlignment="1"/>
    <xf numFmtId="165" fontId="76" fillId="0" borderId="0" xfId="59" applyNumberFormat="1" applyFont="1" applyFill="1" applyBorder="1" applyAlignment="1">
      <alignment horizontal="right"/>
    </xf>
    <xf numFmtId="165" fontId="76" fillId="0" borderId="10" xfId="59" applyNumberFormat="1" applyFont="1" applyFill="1" applyBorder="1" applyAlignment="1">
      <alignment horizontal="right"/>
    </xf>
    <xf numFmtId="165" fontId="74" fillId="0" borderId="0" xfId="59" applyNumberFormat="1" applyFont="1" applyFill="1" applyBorder="1" applyAlignment="1"/>
    <xf numFmtId="165" fontId="74" fillId="0" borderId="10" xfId="59" applyNumberFormat="1" applyFont="1" applyFill="1" applyBorder="1" applyAlignment="1"/>
    <xf numFmtId="170" fontId="74" fillId="0" borderId="10" xfId="36" applyNumberFormat="1" applyFont="1" applyFill="1" applyBorder="1" applyAlignment="1"/>
    <xf numFmtId="170" fontId="74" fillId="0" borderId="0" xfId="36" applyNumberFormat="1" applyFont="1" applyFill="1" applyBorder="1" applyAlignment="1"/>
    <xf numFmtId="170" fontId="74" fillId="0" borderId="16" xfId="36" applyNumberFormat="1" applyFont="1" applyFill="1" applyBorder="1" applyAlignment="1"/>
    <xf numFmtId="172" fontId="77" fillId="0" borderId="10" xfId="36" applyNumberFormat="1" applyFont="1" applyFill="1" applyBorder="1" applyAlignment="1"/>
    <xf numFmtId="170" fontId="74" fillId="6" borderId="10" xfId="36" applyNumberFormat="1" applyFont="1" applyFill="1" applyBorder="1" applyAlignment="1"/>
    <xf numFmtId="170" fontId="74" fillId="6" borderId="0" xfId="36" applyNumberFormat="1" applyFont="1" applyFill="1" applyBorder="1" applyAlignment="1"/>
    <xf numFmtId="171" fontId="74" fillId="0" borderId="10" xfId="36" applyNumberFormat="1" applyFont="1" applyFill="1" applyBorder="1" applyAlignment="1"/>
    <xf numFmtId="171" fontId="74" fillId="0" borderId="0" xfId="36" applyNumberFormat="1" applyFont="1" applyFill="1" applyBorder="1" applyAlignment="1"/>
    <xf numFmtId="171" fontId="74" fillId="0" borderId="16" xfId="36" applyNumberFormat="1" applyFont="1" applyFill="1" applyBorder="1" applyAlignment="1"/>
    <xf numFmtId="170" fontId="75" fillId="0" borderId="0" xfId="36" applyNumberFormat="1" applyFont="1" applyFill="1" applyBorder="1" applyAlignment="1"/>
    <xf numFmtId="170" fontId="75" fillId="0" borderId="16" xfId="36" applyNumberFormat="1" applyFont="1" applyFill="1" applyBorder="1" applyAlignment="1"/>
    <xf numFmtId="171" fontId="75" fillId="0" borderId="10" xfId="36" applyNumberFormat="1" applyFont="1" applyFill="1" applyBorder="1" applyAlignment="1"/>
    <xf numFmtId="171" fontId="75" fillId="0" borderId="0" xfId="36" applyNumberFormat="1" applyFont="1" applyFill="1" applyBorder="1" applyAlignment="1"/>
    <xf numFmtId="171" fontId="75" fillId="0" borderId="16" xfId="36" applyNumberFormat="1" applyFont="1" applyFill="1" applyBorder="1" applyAlignment="1"/>
    <xf numFmtId="170" fontId="75" fillId="0" borderId="10" xfId="36" applyNumberFormat="1" applyFont="1" applyFill="1" applyBorder="1" applyAlignment="1"/>
    <xf numFmtId="9" fontId="74" fillId="0" borderId="10" xfId="47" applyNumberFormat="1" applyFont="1" applyFill="1" applyBorder="1" applyAlignment="1">
      <alignment horizontal="right"/>
    </xf>
    <xf numFmtId="9" fontId="74" fillId="0" borderId="0" xfId="47" applyNumberFormat="1" applyFont="1" applyFill="1" applyBorder="1" applyAlignment="1">
      <alignment horizontal="right"/>
    </xf>
    <xf numFmtId="9" fontId="74" fillId="0" borderId="8" xfId="47" applyNumberFormat="1" applyFont="1" applyFill="1" applyBorder="1" applyAlignment="1">
      <alignment horizontal="right"/>
    </xf>
    <xf numFmtId="9" fontId="74" fillId="0" borderId="0" xfId="47" applyNumberFormat="1" applyFont="1" applyFill="1" applyAlignment="1">
      <alignment horizontal="right"/>
    </xf>
    <xf numFmtId="0" fontId="74" fillId="0" borderId="0" xfId="47" applyFont="1" applyFill="1" applyBorder="1" applyAlignment="1">
      <alignment horizontal="right"/>
    </xf>
    <xf numFmtId="0" fontId="74" fillId="0" borderId="10" xfId="47" applyFont="1" applyFill="1" applyBorder="1" applyAlignment="1">
      <alignment horizontal="right"/>
    </xf>
    <xf numFmtId="0" fontId="74" fillId="0" borderId="8" xfId="47" applyFont="1" applyFill="1" applyBorder="1" applyAlignment="1">
      <alignment horizontal="right"/>
    </xf>
    <xf numFmtId="0" fontId="74" fillId="0" borderId="0" xfId="47" applyFont="1" applyFill="1" applyAlignment="1">
      <alignment horizontal="right"/>
    </xf>
    <xf numFmtId="0" fontId="74" fillId="0" borderId="0" xfId="47" applyFont="1" applyFill="1" applyBorder="1"/>
    <xf numFmtId="168" fontId="9" fillId="5" borderId="14" xfId="47" applyNumberFormat="1" applyFont="1" applyFill="1" applyBorder="1" applyAlignment="1">
      <alignment horizontal="center"/>
    </xf>
    <xf numFmtId="168" fontId="9" fillId="5" borderId="3" xfId="47" applyNumberFormat="1" applyFont="1" applyFill="1" applyBorder="1" applyAlignment="1">
      <alignment horizontal="center"/>
    </xf>
    <xf numFmtId="0" fontId="9" fillId="5" borderId="6" xfId="47" applyFont="1" applyFill="1" applyBorder="1" applyAlignment="1">
      <alignment horizontal="center"/>
    </xf>
    <xf numFmtId="170" fontId="74" fillId="6" borderId="0" xfId="47" applyNumberFormat="1" applyFont="1" applyFill="1" applyBorder="1"/>
    <xf numFmtId="170" fontId="74" fillId="6" borderId="9" xfId="47" applyNumberFormat="1" applyFont="1" applyFill="1" applyBorder="1"/>
    <xf numFmtId="170" fontId="74" fillId="6" borderId="16" xfId="36" applyNumberFormat="1" applyFont="1" applyFill="1" applyBorder="1" applyAlignment="1"/>
    <xf numFmtId="165" fontId="74" fillId="6" borderId="0" xfId="59" applyNumberFormat="1" applyFont="1" applyFill="1" applyBorder="1"/>
    <xf numFmtId="165" fontId="74" fillId="6" borderId="10" xfId="59" applyNumberFormat="1" applyFont="1" applyFill="1" applyBorder="1"/>
    <xf numFmtId="165" fontId="74" fillId="6" borderId="8" xfId="59" applyNumberFormat="1" applyFont="1" applyFill="1" applyBorder="1"/>
    <xf numFmtId="165" fontId="74" fillId="6" borderId="0" xfId="59" applyNumberFormat="1" applyFont="1" applyFill="1" applyBorder="1" applyAlignment="1"/>
    <xf numFmtId="170" fontId="74" fillId="6" borderId="10" xfId="59" applyNumberFormat="1" applyFont="1" applyFill="1" applyBorder="1" applyAlignment="1"/>
    <xf numFmtId="170" fontId="74" fillId="6" borderId="0" xfId="59" applyNumberFormat="1" applyFont="1" applyFill="1" applyBorder="1" applyAlignment="1"/>
    <xf numFmtId="165" fontId="74" fillId="6" borderId="10" xfId="59" applyNumberFormat="1" applyFont="1" applyFill="1" applyBorder="1" applyAlignment="1"/>
    <xf numFmtId="165" fontId="74" fillId="0" borderId="10" xfId="59" applyNumberFormat="1" applyFont="1" applyFill="1" applyBorder="1"/>
    <xf numFmtId="165" fontId="74" fillId="0" borderId="0" xfId="59" applyNumberFormat="1" applyFont="1" applyFill="1" applyBorder="1"/>
    <xf numFmtId="165" fontId="74" fillId="0" borderId="8" xfId="59" applyNumberFormat="1" applyFont="1" applyFill="1" applyBorder="1"/>
    <xf numFmtId="9" fontId="74" fillId="0" borderId="10" xfId="59" applyFont="1" applyFill="1" applyBorder="1" applyAlignment="1"/>
    <xf numFmtId="9" fontId="74" fillId="0" borderId="0" xfId="59" applyFont="1" applyFill="1" applyBorder="1" applyAlignment="1"/>
    <xf numFmtId="9" fontId="74" fillId="0" borderId="14" xfId="59" applyFont="1" applyFill="1" applyBorder="1" applyAlignment="1"/>
    <xf numFmtId="9" fontId="74" fillId="0" borderId="16" xfId="59" applyFont="1" applyFill="1" applyBorder="1" applyAlignment="1"/>
    <xf numFmtId="9" fontId="74" fillId="0" borderId="12" xfId="59" applyFont="1" applyFill="1" applyBorder="1" applyAlignment="1"/>
    <xf numFmtId="9" fontId="74" fillId="0" borderId="2" xfId="59" applyFont="1" applyFill="1" applyBorder="1" applyAlignment="1"/>
    <xf numFmtId="9" fontId="74" fillId="0" borderId="15" xfId="59" applyFont="1" applyFill="1" applyBorder="1" applyAlignment="1"/>
    <xf numFmtId="9" fontId="74" fillId="0" borderId="9" xfId="59" applyFont="1" applyFill="1" applyBorder="1" applyAlignment="1"/>
    <xf numFmtId="0" fontId="78" fillId="0" borderId="0" xfId="47" applyFont="1" applyFill="1"/>
    <xf numFmtId="170" fontId="74" fillId="0" borderId="8" xfId="36" applyNumberFormat="1" applyFont="1" applyFill="1" applyBorder="1" applyAlignment="1"/>
    <xf numFmtId="9" fontId="76" fillId="6" borderId="10" xfId="59" applyFont="1" applyFill="1" applyBorder="1" applyAlignment="1"/>
    <xf numFmtId="9" fontId="76" fillId="6" borderId="0" xfId="59" applyFont="1" applyFill="1" applyBorder="1" applyAlignment="1"/>
    <xf numFmtId="9" fontId="76" fillId="6" borderId="16" xfId="59" applyFont="1" applyFill="1" applyBorder="1" applyAlignment="1"/>
    <xf numFmtId="165" fontId="74" fillId="0" borderId="16" xfId="59" applyNumberFormat="1" applyFont="1" applyFill="1" applyBorder="1" applyAlignment="1"/>
    <xf numFmtId="165" fontId="74" fillId="0" borderId="12" xfId="59" applyNumberFormat="1" applyFont="1" applyFill="1" applyBorder="1" applyAlignment="1"/>
    <xf numFmtId="165" fontId="74" fillId="0" borderId="2" xfId="59" applyNumberFormat="1" applyFont="1" applyFill="1" applyBorder="1" applyAlignment="1"/>
    <xf numFmtId="165" fontId="74" fillId="0" borderId="15" xfId="59" applyNumberFormat="1" applyFont="1" applyFill="1" applyBorder="1" applyAlignment="1"/>
    <xf numFmtId="9" fontId="76" fillId="0" borderId="10" xfId="59" applyFont="1" applyFill="1" applyBorder="1" applyAlignment="1"/>
    <xf numFmtId="9" fontId="76" fillId="0" borderId="0" xfId="59" applyFont="1" applyFill="1" applyBorder="1" applyAlignment="1"/>
    <xf numFmtId="9" fontId="76" fillId="0" borderId="16" xfId="59" applyFont="1" applyFill="1" applyBorder="1" applyAlignment="1"/>
    <xf numFmtId="9" fontId="76" fillId="0" borderId="12" xfId="59" applyFont="1" applyFill="1" applyBorder="1" applyAlignment="1"/>
    <xf numFmtId="9" fontId="76" fillId="0" borderId="2" xfId="59" applyFont="1" applyFill="1" applyBorder="1" applyAlignment="1"/>
    <xf numFmtId="9" fontId="76" fillId="0" borderId="15" xfId="59" applyFont="1" applyFill="1" applyBorder="1" applyAlignment="1"/>
    <xf numFmtId="170" fontId="74" fillId="6" borderId="9" xfId="47" applyNumberFormat="1" applyFont="1" applyFill="1" applyBorder="1" applyAlignment="1">
      <alignment horizontal="center"/>
    </xf>
    <xf numFmtId="170" fontId="74" fillId="6" borderId="13" xfId="47" applyNumberFormat="1" applyFont="1" applyFill="1" applyBorder="1" applyAlignment="1">
      <alignment horizontal="center"/>
    </xf>
    <xf numFmtId="170" fontId="74" fillId="6" borderId="10" xfId="47" applyNumberFormat="1" applyFont="1" applyFill="1" applyBorder="1" applyAlignment="1">
      <alignment horizontal="center"/>
    </xf>
    <xf numFmtId="170" fontId="74" fillId="6" borderId="0" xfId="47" applyNumberFormat="1" applyFont="1" applyFill="1" applyBorder="1" applyAlignment="1">
      <alignment horizontal="center"/>
    </xf>
    <xf numFmtId="170" fontId="74" fillId="6" borderId="8" xfId="47" applyNumberFormat="1" applyFont="1" applyFill="1" applyBorder="1" applyAlignment="1">
      <alignment horizontal="center"/>
    </xf>
    <xf numFmtId="165" fontId="77" fillId="0" borderId="0" xfId="59" applyNumberFormat="1" applyFont="1" applyFill="1" applyBorder="1" applyAlignment="1"/>
    <xf numFmtId="165" fontId="74" fillId="0" borderId="10" xfId="59" applyNumberFormat="1" applyFont="1" applyFill="1" applyBorder="1" applyAlignment="1">
      <alignment horizontal="right"/>
    </xf>
    <xf numFmtId="165" fontId="74" fillId="0" borderId="0" xfId="59" applyNumberFormat="1" applyFont="1" applyFill="1" applyBorder="1" applyAlignment="1">
      <alignment horizontal="right"/>
    </xf>
    <xf numFmtId="165" fontId="74" fillId="0" borderId="10" xfId="59" applyNumberFormat="1" applyFont="1" applyFill="1" applyBorder="1" applyAlignment="1">
      <alignment horizontal="right" indent="1"/>
    </xf>
    <xf numFmtId="165" fontId="74" fillId="0" borderId="0" xfId="59" applyNumberFormat="1" applyFont="1" applyFill="1" applyBorder="1" applyAlignment="1">
      <alignment horizontal="right" indent="1"/>
    </xf>
    <xf numFmtId="165" fontId="74" fillId="0" borderId="8" xfId="59" applyNumberFormat="1" applyFont="1" applyFill="1" applyBorder="1" applyAlignment="1">
      <alignment horizontal="right" indent="1"/>
    </xf>
    <xf numFmtId="165" fontId="74" fillId="0" borderId="12" xfId="59" applyNumberFormat="1" applyFont="1" applyFill="1" applyBorder="1"/>
    <xf numFmtId="165" fontId="74" fillId="0" borderId="2" xfId="59" applyNumberFormat="1" applyFont="1" applyFill="1" applyBorder="1"/>
    <xf numFmtId="165" fontId="76" fillId="6" borderId="0" xfId="54" applyNumberFormat="1" applyFont="1" applyFill="1" applyBorder="1"/>
    <xf numFmtId="165" fontId="76" fillId="6" borderId="16" xfId="54" applyNumberFormat="1" applyFont="1" applyFill="1" applyBorder="1"/>
    <xf numFmtId="165" fontId="76" fillId="6" borderId="8" xfId="54" applyNumberFormat="1" applyFont="1" applyFill="1" applyBorder="1"/>
    <xf numFmtId="165" fontId="74" fillId="6" borderId="10" xfId="54" applyNumberFormat="1" applyFont="1" applyFill="1" applyBorder="1"/>
    <xf numFmtId="165" fontId="74" fillId="6" borderId="0" xfId="54" applyNumberFormat="1" applyFont="1" applyFill="1" applyBorder="1"/>
    <xf numFmtId="165" fontId="74" fillId="6" borderId="16" xfId="54" applyNumberFormat="1" applyFont="1" applyFill="1" applyBorder="1"/>
    <xf numFmtId="165" fontId="74" fillId="6" borderId="8" xfId="54" applyNumberFormat="1" applyFont="1" applyFill="1" applyBorder="1"/>
    <xf numFmtId="165" fontId="74" fillId="0" borderId="10" xfId="54" applyNumberFormat="1" applyFont="1" applyFill="1" applyBorder="1"/>
    <xf numFmtId="165" fontId="74" fillId="0" borderId="0" xfId="54" applyNumberFormat="1" applyFont="1" applyFill="1" applyBorder="1"/>
    <xf numFmtId="165" fontId="74" fillId="0" borderId="16" xfId="54" applyNumberFormat="1" applyFont="1" applyFill="1" applyBorder="1"/>
    <xf numFmtId="9" fontId="74" fillId="0" borderId="9" xfId="47" applyNumberFormat="1" applyFont="1" applyFill="1" applyBorder="1" applyAlignment="1">
      <alignment horizontal="right"/>
    </xf>
    <xf numFmtId="9" fontId="74" fillId="0" borderId="13" xfId="47" applyNumberFormat="1" applyFont="1" applyFill="1" applyBorder="1" applyAlignment="1">
      <alignment horizontal="right"/>
    </xf>
    <xf numFmtId="9" fontId="74" fillId="0" borderId="0" xfId="59" applyNumberFormat="1" applyFont="1" applyFill="1" applyBorder="1" applyAlignment="1">
      <alignment horizontal="right"/>
    </xf>
    <xf numFmtId="9" fontId="74" fillId="0" borderId="10" xfId="36" applyNumberFormat="1" applyFont="1" applyFill="1" applyBorder="1" applyAlignment="1">
      <alignment horizontal="right"/>
    </xf>
    <xf numFmtId="9" fontId="74" fillId="0" borderId="14" xfId="47" applyNumberFormat="1" applyFont="1" applyFill="1" applyBorder="1" applyAlignment="1">
      <alignment horizontal="right"/>
    </xf>
    <xf numFmtId="9" fontId="74" fillId="0" borderId="16" xfId="47" applyNumberFormat="1" applyFont="1" applyFill="1" applyBorder="1" applyAlignment="1">
      <alignment horizontal="right"/>
    </xf>
    <xf numFmtId="9" fontId="74" fillId="0" borderId="15" xfId="59" applyNumberFormat="1" applyFont="1" applyFill="1" applyBorder="1" applyAlignment="1">
      <alignment horizontal="right"/>
    </xf>
    <xf numFmtId="9" fontId="74" fillId="0" borderId="9" xfId="59" applyFont="1" applyBorder="1"/>
    <xf numFmtId="9" fontId="74" fillId="0" borderId="13" xfId="59" applyNumberFormat="1" applyFont="1" applyBorder="1"/>
    <xf numFmtId="9" fontId="74" fillId="0" borderId="10" xfId="59" applyFont="1" applyBorder="1"/>
    <xf numFmtId="9" fontId="74" fillId="0" borderId="0" xfId="59" applyNumberFormat="1" applyFont="1" applyBorder="1"/>
    <xf numFmtId="9" fontId="74" fillId="0" borderId="12" xfId="59" applyFont="1" applyBorder="1"/>
    <xf numFmtId="9" fontId="74" fillId="0" borderId="2" xfId="59" applyNumberFormat="1" applyFont="1" applyFill="1" applyBorder="1"/>
    <xf numFmtId="9" fontId="74" fillId="0" borderId="2" xfId="59" applyNumberFormat="1" applyFont="1" applyBorder="1"/>
    <xf numFmtId="9" fontId="74" fillId="0" borderId="9" xfId="59" applyNumberFormat="1" applyFont="1" applyFill="1" applyBorder="1"/>
    <xf numFmtId="9" fontId="74" fillId="0" borderId="13" xfId="47" applyNumberFormat="1" applyFont="1" applyBorder="1"/>
    <xf numFmtId="9" fontId="74" fillId="0" borderId="10" xfId="59" applyNumberFormat="1" applyFont="1" applyBorder="1"/>
    <xf numFmtId="9" fontId="74" fillId="0" borderId="0" xfId="59" applyNumberFormat="1" applyFont="1"/>
    <xf numFmtId="9" fontId="74" fillId="0" borderId="16" xfId="59" applyNumberFormat="1" applyFont="1" applyBorder="1"/>
    <xf numFmtId="9" fontId="74" fillId="0" borderId="12" xfId="59" applyNumberFormat="1" applyFont="1" applyBorder="1"/>
    <xf numFmtId="9" fontId="74" fillId="0" borderId="15" xfId="59" applyNumberFormat="1" applyFont="1" applyBorder="1"/>
    <xf numFmtId="9" fontId="74" fillId="0" borderId="10" xfId="59" applyNumberFormat="1" applyFont="1" applyFill="1" applyBorder="1"/>
    <xf numFmtId="9" fontId="74" fillId="0" borderId="9" xfId="59" applyFont="1" applyBorder="1" applyAlignment="1">
      <alignment horizontal="right"/>
    </xf>
    <xf numFmtId="9" fontId="74" fillId="0" borderId="13" xfId="59" applyNumberFormat="1" applyFont="1" applyBorder="1" applyAlignment="1">
      <alignment horizontal="right"/>
    </xf>
    <xf numFmtId="9" fontId="74" fillId="0" borderId="10" xfId="59" applyFont="1" applyBorder="1" applyAlignment="1">
      <alignment horizontal="right"/>
    </xf>
    <xf numFmtId="9" fontId="74" fillId="0" borderId="0" xfId="59" applyNumberFormat="1" applyFont="1" applyBorder="1" applyAlignment="1">
      <alignment horizontal="right"/>
    </xf>
    <xf numFmtId="9" fontId="74" fillId="0" borderId="12" xfId="59" applyFont="1" applyBorder="1" applyAlignment="1">
      <alignment horizontal="right"/>
    </xf>
    <xf numFmtId="9" fontId="74" fillId="0" borderId="2" xfId="59" applyNumberFormat="1" applyFont="1" applyFill="1" applyBorder="1" applyAlignment="1">
      <alignment horizontal="right"/>
    </xf>
    <xf numFmtId="9" fontId="74" fillId="0" borderId="2" xfId="59" applyNumberFormat="1" applyFont="1" applyBorder="1" applyAlignment="1">
      <alignment horizontal="right"/>
    </xf>
    <xf numFmtId="9" fontId="74" fillId="0" borderId="0" xfId="59" applyNumberFormat="1" applyFont="1" applyBorder="1" applyAlignment="1">
      <alignment horizontal="left"/>
    </xf>
    <xf numFmtId="165" fontId="74" fillId="0" borderId="8" xfId="54" applyNumberFormat="1" applyFont="1" applyFill="1" applyBorder="1" applyAlignment="1">
      <alignment horizontal="right"/>
    </xf>
    <xf numFmtId="165" fontId="74" fillId="0" borderId="10" xfId="54" applyNumberFormat="1" applyFont="1" applyFill="1" applyBorder="1" applyAlignment="1">
      <alignment horizontal="right"/>
    </xf>
    <xf numFmtId="165" fontId="74" fillId="0" borderId="0" xfId="54" applyNumberFormat="1" applyFont="1" applyFill="1" applyBorder="1" applyAlignment="1">
      <alignment horizontal="right"/>
    </xf>
    <xf numFmtId="165" fontId="74" fillId="0" borderId="16" xfId="54" applyNumberFormat="1" applyFont="1" applyFill="1" applyBorder="1" applyAlignment="1">
      <alignment horizontal="right"/>
    </xf>
    <xf numFmtId="172" fontId="74" fillId="0" borderId="0" xfId="47" applyNumberFormat="1" applyFont="1" applyFill="1" applyBorder="1" applyAlignment="1">
      <alignment horizontal="right"/>
    </xf>
    <xf numFmtId="172" fontId="74" fillId="0" borderId="10" xfId="47" applyNumberFormat="1" applyFont="1" applyFill="1" applyBorder="1" applyAlignment="1">
      <alignment horizontal="right"/>
    </xf>
    <xf numFmtId="170" fontId="74" fillId="0" borderId="0" xfId="47" applyNumberFormat="1" applyFont="1" applyFill="1" applyBorder="1" applyAlignment="1" applyProtection="1">
      <alignment horizontal="right"/>
    </xf>
    <xf numFmtId="170" fontId="74" fillId="0" borderId="10" xfId="47" applyNumberFormat="1" applyFont="1" applyFill="1" applyBorder="1" applyAlignment="1" applyProtection="1">
      <alignment horizontal="right"/>
    </xf>
    <xf numFmtId="170" fontId="74" fillId="0" borderId="9" xfId="47" applyNumberFormat="1" applyFont="1" applyFill="1" applyBorder="1" applyAlignment="1" applyProtection="1">
      <alignment horizontal="right"/>
    </xf>
    <xf numFmtId="9" fontId="74" fillId="0" borderId="10" xfId="59" applyFont="1" applyFill="1" applyBorder="1" applyAlignment="1">
      <alignment horizontal="right"/>
    </xf>
    <xf numFmtId="9" fontId="74" fillId="0" borderId="0" xfId="59" applyFont="1" applyFill="1" applyBorder="1" applyAlignment="1">
      <alignment horizontal="right"/>
    </xf>
    <xf numFmtId="9" fontId="74" fillId="0" borderId="12" xfId="59" applyFont="1" applyFill="1" applyBorder="1" applyAlignment="1">
      <alignment horizontal="right"/>
    </xf>
    <xf numFmtId="9" fontId="74" fillId="0" borderId="2" xfId="59" applyFont="1" applyFill="1" applyBorder="1" applyAlignment="1">
      <alignment horizontal="right"/>
    </xf>
    <xf numFmtId="169" fontId="74" fillId="0" borderId="10" xfId="47" applyNumberFormat="1" applyFont="1" applyFill="1" applyBorder="1" applyAlignment="1">
      <alignment horizontal="right"/>
    </xf>
    <xf numFmtId="169" fontId="74" fillId="0" borderId="0" xfId="47" applyNumberFormat="1" applyFont="1" applyFill="1" applyBorder="1" applyAlignment="1">
      <alignment horizontal="right"/>
    </xf>
    <xf numFmtId="169" fontId="74" fillId="0" borderId="16" xfId="47" applyNumberFormat="1" applyFont="1" applyFill="1" applyBorder="1" applyAlignment="1">
      <alignment horizontal="right"/>
    </xf>
    <xf numFmtId="165" fontId="74" fillId="6" borderId="13" xfId="47" applyNumberFormat="1" applyFont="1" applyFill="1" applyBorder="1" applyAlignment="1">
      <alignment horizontal="right"/>
    </xf>
    <xf numFmtId="165" fontId="74" fillId="6" borderId="9" xfId="47" applyNumberFormat="1" applyFont="1" applyFill="1" applyBorder="1" applyAlignment="1">
      <alignment horizontal="right"/>
    </xf>
    <xf numFmtId="165" fontId="74" fillId="6" borderId="10" xfId="47" applyNumberFormat="1" applyFont="1" applyFill="1" applyBorder="1" applyAlignment="1">
      <alignment horizontal="right"/>
    </xf>
    <xf numFmtId="165" fontId="74" fillId="6" borderId="0" xfId="47" applyNumberFormat="1" applyFont="1" applyFill="1" applyBorder="1" applyAlignment="1">
      <alignment horizontal="right"/>
    </xf>
    <xf numFmtId="165" fontId="74" fillId="6" borderId="14" xfId="47" applyNumberFormat="1" applyFont="1" applyFill="1" applyBorder="1" applyAlignment="1">
      <alignment horizontal="right"/>
    </xf>
    <xf numFmtId="165" fontId="74" fillId="6" borderId="16" xfId="47" applyNumberFormat="1" applyFont="1" applyFill="1" applyBorder="1" applyAlignment="1">
      <alignment horizontal="right"/>
    </xf>
    <xf numFmtId="170" fontId="75" fillId="0" borderId="10" xfId="47" applyNumberFormat="1" applyFont="1" applyFill="1" applyBorder="1" applyAlignment="1">
      <alignment horizontal="right"/>
    </xf>
    <xf numFmtId="170" fontId="75" fillId="0" borderId="16" xfId="47" applyNumberFormat="1" applyFont="1" applyFill="1" applyBorder="1" applyAlignment="1">
      <alignment horizontal="right"/>
    </xf>
    <xf numFmtId="170" fontId="74" fillId="0" borderId="10" xfId="46" applyNumberFormat="1" applyFont="1" applyFill="1" applyBorder="1" applyAlignment="1">
      <alignment horizontal="right"/>
    </xf>
    <xf numFmtId="170" fontId="74" fillId="0" borderId="0" xfId="46" applyNumberFormat="1" applyFont="1" applyFill="1" applyBorder="1" applyAlignment="1">
      <alignment horizontal="right"/>
    </xf>
    <xf numFmtId="170" fontId="74" fillId="0" borderId="10" xfId="46" applyNumberFormat="1" applyFont="1" applyFill="1" applyBorder="1" applyAlignment="1" applyProtection="1">
      <alignment horizontal="right"/>
    </xf>
    <xf numFmtId="170" fontId="74" fillId="0" borderId="0" xfId="46" applyNumberFormat="1" applyFont="1" applyFill="1" applyBorder="1" applyAlignment="1" applyProtection="1">
      <alignment horizontal="right"/>
    </xf>
    <xf numFmtId="170" fontId="74" fillId="0" borderId="10" xfId="46" applyNumberFormat="1" applyFont="1" applyFill="1" applyBorder="1"/>
    <xf numFmtId="170" fontId="74" fillId="7" borderId="10" xfId="46" applyNumberFormat="1" applyFont="1" applyFill="1" applyBorder="1"/>
    <xf numFmtId="170" fontId="74" fillId="7" borderId="10" xfId="46" applyNumberFormat="1" applyFont="1" applyFill="1" applyBorder="1" applyAlignment="1">
      <alignment horizontal="right"/>
    </xf>
    <xf numFmtId="170" fontId="74" fillId="0" borderId="8" xfId="46" applyNumberFormat="1" applyFont="1" applyFill="1" applyBorder="1"/>
    <xf numFmtId="170" fontId="74" fillId="6" borderId="9" xfId="46" applyNumberFormat="1" applyFont="1" applyFill="1" applyBorder="1" applyAlignment="1" applyProtection="1">
      <alignment horizontal="right"/>
      <protection locked="0"/>
    </xf>
    <xf numFmtId="7" fontId="74" fillId="0" borderId="12" xfId="46" applyNumberFormat="1" applyFont="1" applyFill="1" applyBorder="1" applyAlignment="1">
      <alignment horizontal="right"/>
    </xf>
    <xf numFmtId="7" fontId="74" fillId="0" borderId="2" xfId="46" applyNumberFormat="1" applyFont="1" applyFill="1" applyBorder="1" applyAlignment="1">
      <alignment horizontal="right"/>
    </xf>
    <xf numFmtId="7" fontId="74" fillId="0" borderId="11" xfId="46" applyNumberFormat="1" applyFont="1" applyFill="1" applyBorder="1" applyAlignment="1">
      <alignment horizontal="right"/>
    </xf>
    <xf numFmtId="44" fontId="74" fillId="0" borderId="8" xfId="37" applyNumberFormat="1" applyFont="1" applyFill="1" applyBorder="1"/>
    <xf numFmtId="167" fontId="74" fillId="0" borderId="0" xfId="46" applyNumberFormat="1" applyFont="1" applyFill="1" applyBorder="1" applyAlignment="1" applyProtection="1">
      <alignment horizontal="right"/>
    </xf>
    <xf numFmtId="167" fontId="74" fillId="0" borderId="10" xfId="46" applyNumberFormat="1" applyFont="1" applyFill="1" applyBorder="1" applyAlignment="1" applyProtection="1">
      <alignment horizontal="right"/>
    </xf>
    <xf numFmtId="170" fontId="74" fillId="0" borderId="0" xfId="46" applyNumberFormat="1" applyFont="1" applyFill="1" applyBorder="1"/>
    <xf numFmtId="170" fontId="74" fillId="0" borderId="0" xfId="46" applyNumberFormat="1" applyFont="1" applyFill="1"/>
    <xf numFmtId="167" fontId="74" fillId="0" borderId="0" xfId="46" applyNumberFormat="1" applyFont="1" applyFill="1" applyBorder="1" applyAlignment="1" applyProtection="1">
      <alignment horizontal="left"/>
    </xf>
    <xf numFmtId="167" fontId="74" fillId="0" borderId="0" xfId="46" applyNumberFormat="1" applyFont="1" applyFill="1" applyAlignment="1" applyProtection="1">
      <alignment horizontal="left"/>
    </xf>
    <xf numFmtId="9" fontId="4" fillId="0" borderId="0" xfId="58" applyFont="1" applyFill="1" applyBorder="1"/>
    <xf numFmtId="9" fontId="4" fillId="0" borderId="0" xfId="58" applyFont="1"/>
    <xf numFmtId="14" fontId="79" fillId="0" borderId="0" xfId="50" applyNumberFormat="1" applyFont="1" applyFill="1" applyAlignment="1">
      <alignment horizontal="center" vertical="center"/>
    </xf>
    <xf numFmtId="14" fontId="72" fillId="0" borderId="0" xfId="50" applyNumberFormat="1" applyFont="1" applyFill="1" applyBorder="1" applyAlignment="1">
      <alignment horizontal="center" vertical="center"/>
    </xf>
    <xf numFmtId="14" fontId="79" fillId="0" borderId="0" xfId="50" applyNumberFormat="1" applyFont="1" applyFill="1" applyBorder="1" applyAlignment="1">
      <alignment horizontal="center" vertical="center"/>
    </xf>
    <xf numFmtId="14" fontId="72" fillId="0" borderId="0" xfId="50" applyNumberFormat="1" applyFont="1" applyFill="1" applyAlignment="1">
      <alignment horizontal="center" vertical="center"/>
    </xf>
    <xf numFmtId="0" fontId="79" fillId="0" borderId="0" xfId="50" applyFont="1" applyFill="1" applyAlignment="1">
      <alignment horizontal="center" vertical="center"/>
    </xf>
    <xf numFmtId="172" fontId="72" fillId="0" borderId="0" xfId="50" applyNumberFormat="1" applyFont="1" applyFill="1" applyAlignment="1">
      <alignment horizontal="center" vertical="center"/>
    </xf>
    <xf numFmtId="0" fontId="79" fillId="0" borderId="0" xfId="50" applyFont="1" applyFill="1" applyBorder="1" applyAlignment="1">
      <alignment horizontal="center" vertical="center"/>
    </xf>
    <xf numFmtId="0" fontId="72" fillId="0" borderId="0" xfId="46" applyFont="1" applyFill="1" applyBorder="1" applyAlignment="1">
      <alignment horizontal="center" vertical="center"/>
    </xf>
    <xf numFmtId="0" fontId="72" fillId="0" borderId="0" xfId="46" applyFont="1" applyFill="1" applyAlignment="1">
      <alignment horizontal="center" vertical="center"/>
    </xf>
    <xf numFmtId="0" fontId="72" fillId="0" borderId="0" xfId="50" applyFont="1" applyFill="1" applyBorder="1" applyAlignment="1">
      <alignment horizontal="center" vertical="center"/>
    </xf>
    <xf numFmtId="10" fontId="74" fillId="0" borderId="0" xfId="46" applyNumberFormat="1" applyFont="1" applyFill="1"/>
    <xf numFmtId="170" fontId="74" fillId="0" borderId="33" xfId="46" applyNumberFormat="1" applyFont="1" applyFill="1" applyBorder="1" applyAlignment="1">
      <alignment horizontal="right"/>
    </xf>
    <xf numFmtId="170" fontId="74" fillId="0" borderId="24" xfId="46" applyNumberFormat="1" applyFont="1" applyFill="1" applyBorder="1" applyAlignment="1">
      <alignment horizontal="right"/>
    </xf>
    <xf numFmtId="10" fontId="74" fillId="0" borderId="0" xfId="59" applyNumberFormat="1" applyFont="1" applyFill="1" applyBorder="1" applyAlignment="1" applyProtection="1"/>
    <xf numFmtId="14" fontId="74" fillId="0" borderId="0" xfId="46" applyNumberFormat="1" applyFont="1" applyFill="1" applyBorder="1" applyAlignment="1" applyProtection="1"/>
    <xf numFmtId="14" fontId="74" fillId="0" borderId="0" xfId="46" applyNumberFormat="1" applyFont="1" applyFill="1" applyBorder="1" applyAlignment="1" applyProtection="1">
      <alignment horizontal="right"/>
    </xf>
    <xf numFmtId="170" fontId="74" fillId="0" borderId="8" xfId="46" applyNumberFormat="1" applyFont="1" applyFill="1" applyBorder="1" applyAlignment="1">
      <alignment horizontal="right"/>
    </xf>
    <xf numFmtId="170" fontId="74" fillId="0" borderId="0" xfId="46" applyNumberFormat="1" applyFont="1" applyFill="1" applyAlignment="1">
      <alignment horizontal="right"/>
    </xf>
    <xf numFmtId="170" fontId="77" fillId="0" borderId="27" xfId="46" applyNumberFormat="1" applyFont="1" applyFill="1" applyBorder="1" applyAlignment="1">
      <alignment horizontal="right"/>
    </xf>
    <xf numFmtId="170" fontId="74" fillId="0" borderId="9" xfId="46" applyNumberFormat="1" applyFont="1" applyFill="1" applyBorder="1"/>
    <xf numFmtId="170" fontId="30" fillId="0" borderId="34" xfId="46" applyNumberFormat="1" applyFont="1" applyFill="1" applyBorder="1" applyAlignment="1">
      <alignment horizontal="right"/>
    </xf>
    <xf numFmtId="170" fontId="7" fillId="0" borderId="34" xfId="46" applyNumberFormat="1" applyFont="1" applyFill="1" applyBorder="1" applyAlignment="1">
      <alignment horizontal="right"/>
    </xf>
    <xf numFmtId="172" fontId="4" fillId="0" borderId="8" xfId="46" applyNumberFormat="1" applyFont="1" applyFill="1" applyBorder="1" applyAlignment="1">
      <alignment horizontal="right"/>
    </xf>
    <xf numFmtId="170" fontId="4" fillId="0" borderId="3" xfId="46" applyNumberFormat="1" applyFont="1" applyFill="1" applyBorder="1" applyAlignment="1">
      <alignment horizontal="right"/>
    </xf>
    <xf numFmtId="170" fontId="30" fillId="0" borderId="3" xfId="46" applyNumberFormat="1" applyFont="1" applyFill="1" applyBorder="1" applyAlignment="1">
      <alignment horizontal="right"/>
    </xf>
    <xf numFmtId="0" fontId="7" fillId="0" borderId="35" xfId="46" applyNumberFormat="1" applyFont="1" applyFill="1" applyBorder="1" applyAlignment="1">
      <alignment horizontal="center"/>
    </xf>
    <xf numFmtId="43" fontId="27" fillId="0" borderId="36" xfId="36" applyFont="1" applyFill="1" applyBorder="1" applyAlignment="1">
      <alignment horizontal="right"/>
    </xf>
    <xf numFmtId="0" fontId="4" fillId="0" borderId="3" xfId="46" applyFont="1" applyFill="1" applyBorder="1"/>
    <xf numFmtId="168" fontId="9" fillId="0" borderId="37" xfId="46" applyNumberFormat="1" applyFont="1" applyFill="1" applyBorder="1" applyAlignment="1">
      <alignment horizontal="center"/>
    </xf>
    <xf numFmtId="170" fontId="74" fillId="0" borderId="16" xfId="46" applyNumberFormat="1" applyFont="1" applyFill="1" applyBorder="1" applyAlignment="1">
      <alignment horizontal="right"/>
    </xf>
    <xf numFmtId="170" fontId="7" fillId="0" borderId="38" xfId="46" applyNumberFormat="1" applyFont="1" applyFill="1" applyBorder="1" applyAlignment="1">
      <alignment horizontal="right"/>
    </xf>
    <xf numFmtId="170" fontId="30" fillId="0" borderId="16" xfId="46" applyNumberFormat="1" applyFont="1" applyFill="1" applyBorder="1" applyAlignment="1">
      <alignment horizontal="right"/>
    </xf>
    <xf numFmtId="43" fontId="27" fillId="0" borderId="16" xfId="36" applyFont="1" applyFill="1" applyBorder="1" applyAlignment="1">
      <alignment horizontal="right"/>
    </xf>
    <xf numFmtId="170" fontId="10" fillId="0" borderId="16" xfId="46" applyNumberFormat="1" applyFont="1" applyFill="1" applyBorder="1" applyAlignment="1">
      <alignment horizontal="right"/>
    </xf>
    <xf numFmtId="172" fontId="4" fillId="0" borderId="16" xfId="46" applyNumberFormat="1" applyFont="1" applyFill="1" applyBorder="1" applyAlignment="1">
      <alignment horizontal="right"/>
    </xf>
    <xf numFmtId="170" fontId="4" fillId="0" borderId="7" xfId="46" applyNumberFormat="1" applyFont="1" applyFill="1" applyBorder="1" applyAlignment="1">
      <alignment horizontal="right"/>
    </xf>
    <xf numFmtId="170" fontId="30" fillId="0" borderId="7" xfId="46" applyNumberFormat="1" applyFont="1" applyFill="1" applyBorder="1" applyAlignment="1">
      <alignment horizontal="right"/>
    </xf>
    <xf numFmtId="170" fontId="4" fillId="0" borderId="34" xfId="46" applyNumberFormat="1" applyFont="1" applyFill="1" applyBorder="1" applyAlignment="1">
      <alignment horizontal="right"/>
    </xf>
    <xf numFmtId="172" fontId="7" fillId="0" borderId="3" xfId="46" applyNumberFormat="1" applyFont="1" applyFill="1" applyBorder="1" applyAlignment="1">
      <alignment horizontal="right"/>
    </xf>
    <xf numFmtId="0" fontId="30" fillId="0" borderId="6" xfId="46" applyFont="1" applyFill="1" applyBorder="1"/>
    <xf numFmtId="9" fontId="74" fillId="0" borderId="12" xfId="59" applyNumberFormat="1" applyFont="1" applyBorder="1" applyAlignment="1">
      <alignment horizontal="right"/>
    </xf>
    <xf numFmtId="172" fontId="10" fillId="0" borderId="0" xfId="47" applyNumberFormat="1" applyFont="1" applyFill="1" applyBorder="1" applyAlignment="1">
      <alignment horizontal="right"/>
    </xf>
    <xf numFmtId="12" fontId="4" fillId="0" borderId="0" xfId="47" applyNumberFormat="1" applyFont="1" applyFill="1" applyBorder="1"/>
    <xf numFmtId="9" fontId="41" fillId="0" borderId="2" xfId="47" applyNumberFormat="1" applyFont="1" applyFill="1" applyBorder="1" applyAlignment="1">
      <alignment horizontal="right"/>
    </xf>
    <xf numFmtId="9" fontId="4" fillId="0" borderId="9" xfId="47" applyNumberFormat="1" applyFont="1" applyFill="1" applyBorder="1" applyAlignment="1">
      <alignment horizontal="right"/>
    </xf>
    <xf numFmtId="9" fontId="4" fillId="0" borderId="13" xfId="47" applyNumberFormat="1" applyFont="1" applyFill="1" applyBorder="1" applyAlignment="1">
      <alignment horizontal="right"/>
    </xf>
    <xf numFmtId="9" fontId="4" fillId="0" borderId="14" xfId="47" applyNumberFormat="1" applyFont="1" applyFill="1" applyBorder="1" applyAlignment="1">
      <alignment horizontal="right"/>
    </xf>
    <xf numFmtId="9" fontId="4" fillId="0" borderId="16" xfId="47" applyNumberFormat="1" applyFont="1" applyFill="1" applyBorder="1" applyAlignment="1">
      <alignment horizontal="right"/>
    </xf>
    <xf numFmtId="9" fontId="4" fillId="0" borderId="12" xfId="59" applyNumberFormat="1" applyFont="1" applyFill="1" applyBorder="1" applyAlignment="1">
      <alignment horizontal="right"/>
    </xf>
    <xf numFmtId="9" fontId="4" fillId="0" borderId="2" xfId="59" applyNumberFormat="1" applyFont="1" applyFill="1" applyBorder="1" applyAlignment="1">
      <alignment horizontal="right"/>
    </xf>
    <xf numFmtId="9" fontId="4" fillId="0" borderId="15" xfId="59" applyNumberFormat="1" applyFont="1" applyFill="1" applyBorder="1" applyAlignment="1">
      <alignment horizontal="right"/>
    </xf>
    <xf numFmtId="170" fontId="13" fillId="0" borderId="12" xfId="36" applyNumberFormat="1" applyFont="1" applyFill="1" applyBorder="1" applyAlignment="1">
      <alignment horizontal="right"/>
    </xf>
    <xf numFmtId="170" fontId="13" fillId="0" borderId="2" xfId="36" applyNumberFormat="1" applyFont="1" applyFill="1" applyBorder="1" applyAlignment="1">
      <alignment horizontal="right"/>
    </xf>
    <xf numFmtId="170" fontId="13" fillId="0" borderId="11" xfId="36" applyNumberFormat="1" applyFont="1" applyFill="1" applyBorder="1" applyAlignment="1">
      <alignment horizontal="right"/>
    </xf>
    <xf numFmtId="170" fontId="23" fillId="0" borderId="0" xfId="36" applyNumberFormat="1" applyFont="1" applyFill="1" applyBorder="1" applyAlignment="1">
      <alignment horizontal="right"/>
    </xf>
    <xf numFmtId="170" fontId="4" fillId="0" borderId="12" xfId="59" applyNumberFormat="1" applyFont="1" applyFill="1" applyBorder="1" applyAlignment="1">
      <alignment horizontal="right"/>
    </xf>
    <xf numFmtId="170" fontId="4" fillId="0" borderId="2" xfId="59" applyNumberFormat="1" applyFont="1" applyFill="1" applyBorder="1" applyAlignment="1">
      <alignment horizontal="right"/>
    </xf>
    <xf numFmtId="170" fontId="13" fillId="0" borderId="3" xfId="36" applyNumberFormat="1" applyFont="1" applyFill="1" applyBorder="1" applyAlignment="1">
      <alignment horizontal="right"/>
    </xf>
    <xf numFmtId="170" fontId="23" fillId="0" borderId="13" xfId="36" applyNumberFormat="1" applyFont="1" applyFill="1" applyBorder="1" applyAlignment="1">
      <alignment horizontal="right"/>
    </xf>
    <xf numFmtId="170" fontId="13" fillId="0" borderId="4" xfId="59" applyNumberFormat="1" applyFont="1" applyFill="1" applyBorder="1" applyAlignment="1">
      <alignment horizontal="right"/>
    </xf>
    <xf numFmtId="170" fontId="13" fillId="0" borderId="5" xfId="59" applyNumberFormat="1" applyFont="1" applyFill="1" applyBorder="1" applyAlignment="1">
      <alignment horizontal="right"/>
    </xf>
    <xf numFmtId="170" fontId="74" fillId="0" borderId="5" xfId="59" applyNumberFormat="1" applyFont="1" applyFill="1" applyBorder="1" applyAlignment="1">
      <alignment horizontal="right"/>
    </xf>
    <xf numFmtId="170" fontId="4" fillId="0" borderId="3" xfId="59" applyNumberFormat="1" applyFont="1" applyFill="1" applyBorder="1" applyAlignment="1">
      <alignment horizontal="right"/>
    </xf>
    <xf numFmtId="170" fontId="4" fillId="0" borderId="4" xfId="59" applyNumberFormat="1" applyFont="1" applyFill="1" applyBorder="1" applyAlignment="1">
      <alignment horizontal="right"/>
    </xf>
    <xf numFmtId="170" fontId="4" fillId="0" borderId="5" xfId="59" applyNumberFormat="1" applyFont="1" applyFill="1" applyBorder="1" applyAlignment="1">
      <alignment horizontal="right"/>
    </xf>
    <xf numFmtId="170" fontId="74" fillId="0" borderId="16" xfId="47" applyNumberFormat="1" applyFont="1" applyFill="1" applyBorder="1" applyAlignment="1">
      <alignment horizontal="right"/>
    </xf>
    <xf numFmtId="0" fontId="74" fillId="0" borderId="2" xfId="47" applyFont="1" applyBorder="1"/>
    <xf numFmtId="170" fontId="4" fillId="6" borderId="11" xfId="46" applyNumberFormat="1" applyFont="1" applyFill="1" applyBorder="1" applyAlignment="1" applyProtection="1">
      <alignment horizontal="left"/>
      <protection locked="0"/>
    </xf>
    <xf numFmtId="172" fontId="74" fillId="0" borderId="10" xfId="46" applyNumberFormat="1" applyFont="1" applyFill="1" applyBorder="1" applyAlignment="1" applyProtection="1">
      <alignment horizontal="right"/>
    </xf>
    <xf numFmtId="165" fontId="7" fillId="0" borderId="15" xfId="59" applyNumberFormat="1" applyFont="1" applyFill="1" applyBorder="1" applyAlignment="1"/>
    <xf numFmtId="0" fontId="3" fillId="0" borderId="0" xfId="47" applyFont="1" applyFill="1" applyBorder="1" applyAlignment="1"/>
    <xf numFmtId="165" fontId="7" fillId="0" borderId="4" xfId="59" applyNumberFormat="1" applyFont="1" applyFill="1" applyBorder="1" applyAlignment="1"/>
    <xf numFmtId="165" fontId="7" fillId="0" borderId="5" xfId="59" applyNumberFormat="1" applyFont="1" applyFill="1" applyBorder="1" applyAlignment="1"/>
    <xf numFmtId="165" fontId="7" fillId="0" borderId="7" xfId="59" applyNumberFormat="1" applyFont="1" applyFill="1" applyBorder="1" applyAlignment="1"/>
    <xf numFmtId="165" fontId="7" fillId="0" borderId="3" xfId="59" applyNumberFormat="1" applyFont="1" applyFill="1" applyBorder="1" applyAlignment="1"/>
    <xf numFmtId="170" fontId="13" fillId="0" borderId="7" xfId="59" applyNumberFormat="1" applyFont="1" applyFill="1" applyBorder="1" applyAlignment="1">
      <alignment horizontal="right"/>
    </xf>
    <xf numFmtId="4" fontId="4" fillId="0" borderId="0" xfId="59" applyNumberFormat="1" applyFont="1" applyFill="1" applyBorder="1" applyAlignment="1">
      <alignment horizontal="center"/>
    </xf>
    <xf numFmtId="170" fontId="1" fillId="0" borderId="0" xfId="46" applyNumberFormat="1"/>
    <xf numFmtId="9" fontId="74" fillId="0" borderId="8" xfId="59" applyFont="1" applyFill="1" applyBorder="1" applyAlignment="1"/>
    <xf numFmtId="9" fontId="74" fillId="0" borderId="11" xfId="59" applyFont="1" applyFill="1" applyBorder="1" applyAlignment="1"/>
    <xf numFmtId="0" fontId="6" fillId="0" borderId="9" xfId="50" applyFont="1" applyFill="1" applyBorder="1" applyAlignment="1" applyProtection="1">
      <alignment horizontal="left"/>
    </xf>
    <xf numFmtId="4" fontId="4" fillId="0" borderId="10" xfId="50" applyNumberFormat="1" applyFont="1" applyFill="1" applyBorder="1" applyAlignment="1">
      <alignment horizontal="left"/>
    </xf>
    <xf numFmtId="0" fontId="7" fillId="0" borderId="11" xfId="47" applyFont="1" applyBorder="1" applyAlignment="1">
      <alignment horizontal="center"/>
    </xf>
    <xf numFmtId="0" fontId="7" fillId="0" borderId="15" xfId="47" applyFont="1" applyFill="1" applyBorder="1" applyAlignment="1">
      <alignment horizontal="center"/>
    </xf>
    <xf numFmtId="0" fontId="7" fillId="0" borderId="11" xfId="47" applyFont="1" applyFill="1" applyBorder="1" applyAlignment="1">
      <alignment horizontal="center"/>
    </xf>
    <xf numFmtId="170" fontId="28" fillId="6" borderId="0" xfId="36" applyNumberFormat="1" applyFont="1" applyFill="1" applyBorder="1" applyAlignment="1"/>
    <xf numFmtId="0" fontId="9" fillId="0" borderId="2" xfId="47" applyFont="1" applyFill="1" applyBorder="1"/>
    <xf numFmtId="0" fontId="44" fillId="0" borderId="0" xfId="47" applyFont="1" applyFill="1" applyBorder="1"/>
    <xf numFmtId="0" fontId="4" fillId="0" borderId="39" xfId="47" applyFont="1" applyFill="1" applyBorder="1" applyAlignment="1">
      <alignment horizontal="center"/>
    </xf>
    <xf numFmtId="170" fontId="13" fillId="0" borderId="16" xfId="46" applyNumberFormat="1" applyFont="1" applyFill="1" applyBorder="1" applyAlignment="1" applyProtection="1"/>
    <xf numFmtId="167" fontId="4" fillId="0" borderId="16" xfId="46" applyNumberFormat="1" applyFont="1" applyFill="1" applyBorder="1"/>
    <xf numFmtId="172" fontId="7" fillId="0" borderId="3" xfId="46" applyNumberFormat="1" applyFont="1" applyFill="1" applyBorder="1" applyAlignment="1" applyProtection="1">
      <alignment horizontal="left" vertical="center"/>
    </xf>
    <xf numFmtId="172" fontId="7" fillId="0" borderId="3" xfId="46" applyNumberFormat="1" applyFont="1" applyFill="1" applyBorder="1" applyAlignment="1" applyProtection="1">
      <alignment horizontal="left"/>
    </xf>
    <xf numFmtId="170" fontId="4" fillId="4" borderId="10" xfId="46" applyNumberFormat="1" applyFont="1" applyFill="1" applyBorder="1"/>
    <xf numFmtId="170" fontId="7" fillId="0" borderId="11" xfId="46" applyNumberFormat="1" applyFont="1" applyFill="1" applyBorder="1" applyAlignment="1" applyProtection="1">
      <alignment horizontal="left"/>
    </xf>
    <xf numFmtId="0" fontId="7" fillId="0" borderId="6" xfId="47" applyFont="1" applyFill="1" applyBorder="1" applyAlignment="1" applyProtection="1">
      <alignment horizontal="left"/>
    </xf>
    <xf numFmtId="172" fontId="4" fillId="0" borderId="8" xfId="47" applyNumberFormat="1" applyFont="1" applyFill="1" applyBorder="1" applyAlignment="1" applyProtection="1">
      <alignment horizontal="left"/>
    </xf>
    <xf numFmtId="170" fontId="4" fillId="0" borderId="8" xfId="47" applyNumberFormat="1" applyFont="1" applyFill="1" applyBorder="1" applyAlignment="1" applyProtection="1">
      <alignment horizontal="left"/>
    </xf>
    <xf numFmtId="172" fontId="7" fillId="0" borderId="3" xfId="47" applyNumberFormat="1" applyFont="1" applyFill="1" applyBorder="1" applyAlignment="1" applyProtection="1">
      <alignment horizontal="left"/>
    </xf>
    <xf numFmtId="0" fontId="7" fillId="0" borderId="8" xfId="47" applyFont="1" applyFill="1" applyBorder="1" applyAlignment="1" applyProtection="1">
      <alignment horizontal="left"/>
    </xf>
    <xf numFmtId="170" fontId="4" fillId="0" borderId="6" xfId="47" applyNumberFormat="1" applyFont="1" applyFill="1" applyBorder="1" applyAlignment="1" applyProtection="1">
      <alignment horizontal="left"/>
    </xf>
    <xf numFmtId="172" fontId="7" fillId="0" borderId="8" xfId="47" applyNumberFormat="1" applyFont="1" applyFill="1" applyBorder="1" applyAlignment="1" applyProtection="1">
      <alignment horizontal="left"/>
    </xf>
    <xf numFmtId="170" fontId="4" fillId="0" borderId="8" xfId="0" applyNumberFormat="1" applyFont="1" applyFill="1" applyBorder="1"/>
    <xf numFmtId="170" fontId="4" fillId="0" borderId="0" xfId="0" applyNumberFormat="1" applyFont="1" applyFill="1" applyBorder="1"/>
    <xf numFmtId="9" fontId="12" fillId="0" borderId="0" xfId="36" applyNumberFormat="1" applyFont="1" applyFill="1" applyBorder="1" applyAlignment="1"/>
    <xf numFmtId="49" fontId="0" fillId="0" borderId="0" xfId="0" applyNumberFormat="1"/>
    <xf numFmtId="172" fontId="4" fillId="0" borderId="9" xfId="47" applyNumberFormat="1" applyFont="1" applyFill="1" applyBorder="1" applyAlignment="1"/>
    <xf numFmtId="172" fontId="4" fillId="0" borderId="13" xfId="47" applyNumberFormat="1" applyFont="1" applyFill="1" applyBorder="1" applyAlignment="1"/>
    <xf numFmtId="172" fontId="4" fillId="0" borderId="14" xfId="47" applyNumberFormat="1" applyFont="1" applyFill="1" applyBorder="1" applyAlignment="1"/>
    <xf numFmtId="180" fontId="74" fillId="0" borderId="10" xfId="59" applyNumberFormat="1" applyFont="1" applyFill="1" applyBorder="1" applyAlignment="1"/>
    <xf numFmtId="180" fontId="74" fillId="0" borderId="0" xfId="59" applyNumberFormat="1" applyFont="1" applyFill="1" applyBorder="1" applyAlignment="1"/>
    <xf numFmtId="180" fontId="74" fillId="0" borderId="16" xfId="59" applyNumberFormat="1" applyFont="1" applyFill="1" applyBorder="1" applyAlignment="1"/>
    <xf numFmtId="180" fontId="4" fillId="0" borderId="8" xfId="59" applyNumberFormat="1" applyFont="1" applyFill="1" applyBorder="1" applyAlignment="1"/>
    <xf numFmtId="172" fontId="4" fillId="0" borderId="8" xfId="47" quotePrefix="1" applyNumberFormat="1" applyFont="1" applyFill="1" applyBorder="1"/>
    <xf numFmtId="172" fontId="7" fillId="0" borderId="0" xfId="36" applyNumberFormat="1" applyFont="1" applyFill="1" applyBorder="1" applyAlignment="1"/>
    <xf numFmtId="172" fontId="7" fillId="0" borderId="16" xfId="36" applyNumberFormat="1" applyFont="1" applyFill="1" applyBorder="1" applyAlignment="1"/>
    <xf numFmtId="214" fontId="4" fillId="0" borderId="8" xfId="47" applyNumberFormat="1" applyFont="1" applyFill="1" applyBorder="1" applyAlignment="1"/>
    <xf numFmtId="165" fontId="4" fillId="0" borderId="12" xfId="47" applyNumberFormat="1" applyFont="1" applyFill="1" applyBorder="1" applyAlignment="1"/>
    <xf numFmtId="165" fontId="4" fillId="0" borderId="2" xfId="47" applyNumberFormat="1" applyFont="1" applyFill="1" applyBorder="1" applyAlignment="1"/>
    <xf numFmtId="165" fontId="4" fillId="0" borderId="15" xfId="47" applyNumberFormat="1" applyFont="1" applyFill="1" applyBorder="1" applyAlignment="1"/>
    <xf numFmtId="165" fontId="4" fillId="0" borderId="11" xfId="47" applyNumberFormat="1" applyFont="1" applyFill="1" applyBorder="1" applyAlignment="1"/>
    <xf numFmtId="176" fontId="4" fillId="0" borderId="0" xfId="47" applyNumberFormat="1" applyFont="1" applyFill="1" applyBorder="1" applyAlignment="1"/>
    <xf numFmtId="9" fontId="4" fillId="0" borderId="0" xfId="47" applyNumberFormat="1" applyFont="1"/>
    <xf numFmtId="215" fontId="4" fillId="0" borderId="0" xfId="47" applyNumberFormat="1" applyFont="1"/>
    <xf numFmtId="216" fontId="1" fillId="0" borderId="0" xfId="47" applyNumberFormat="1"/>
    <xf numFmtId="170" fontId="74" fillId="0" borderId="9" xfId="47" applyNumberFormat="1" applyFont="1" applyFill="1" applyBorder="1" applyAlignment="1">
      <alignment vertical="center"/>
    </xf>
    <xf numFmtId="172" fontId="4" fillId="0" borderId="13" xfId="47" applyNumberFormat="1" applyFont="1" applyFill="1" applyBorder="1" applyAlignment="1">
      <alignment horizontal="right"/>
    </xf>
    <xf numFmtId="175" fontId="16" fillId="0" borderId="0" xfId="47" applyNumberFormat="1" applyFont="1" applyFill="1" applyBorder="1" applyAlignment="1">
      <alignment horizontal="right"/>
    </xf>
    <xf numFmtId="9" fontId="74" fillId="0" borderId="13" xfId="59" applyNumberFormat="1" applyFont="1" applyFill="1" applyBorder="1"/>
    <xf numFmtId="9" fontId="74" fillId="0" borderId="0" xfId="59" applyNumberFormat="1" applyFont="1" applyFill="1" applyBorder="1"/>
    <xf numFmtId="9" fontId="4" fillId="0" borderId="2" xfId="36" applyNumberFormat="1" applyFont="1" applyFill="1" applyBorder="1"/>
    <xf numFmtId="0" fontId="7" fillId="0" borderId="0" xfId="54" applyFont="1" applyFill="1" applyAlignment="1">
      <alignment horizontal="left"/>
    </xf>
    <xf numFmtId="10" fontId="7" fillId="0" borderId="0" xfId="54" applyNumberFormat="1" applyFont="1" applyFill="1" applyBorder="1"/>
    <xf numFmtId="165" fontId="1" fillId="0" borderId="0" xfId="46" applyNumberFormat="1"/>
    <xf numFmtId="10" fontId="1" fillId="0" borderId="0" xfId="47" applyNumberFormat="1"/>
    <xf numFmtId="165" fontId="1" fillId="0" borderId="0" xfId="47" applyNumberFormat="1" applyFont="1"/>
    <xf numFmtId="183" fontId="1" fillId="0" borderId="0" xfId="47" applyNumberFormat="1" applyFont="1"/>
    <xf numFmtId="10" fontId="4" fillId="0" borderId="0" xfId="47" applyNumberFormat="1" applyFont="1" applyFill="1" applyBorder="1"/>
    <xf numFmtId="170" fontId="4" fillId="0" borderId="8" xfId="92" applyNumberFormat="1" applyFont="1" applyFill="1" applyBorder="1" applyAlignment="1" applyProtection="1">
      <alignment horizontal="left"/>
    </xf>
    <xf numFmtId="170" fontId="4" fillId="0" borderId="32" xfId="92" applyNumberFormat="1" applyFont="1" applyFill="1" applyBorder="1" applyProtection="1"/>
    <xf numFmtId="165" fontId="4" fillId="0" borderId="32" xfId="59" applyNumberFormat="1" applyFont="1" applyFill="1" applyBorder="1"/>
    <xf numFmtId="168" fontId="7" fillId="0" borderId="12" xfId="47" applyNumberFormat="1" applyFont="1" applyFill="1" applyBorder="1" applyAlignment="1" applyProtection="1">
      <alignment horizontal="center"/>
    </xf>
    <xf numFmtId="168" fontId="7" fillId="0" borderId="2" xfId="47" applyNumberFormat="1" applyFont="1" applyFill="1" applyBorder="1" applyAlignment="1" applyProtection="1">
      <alignment horizontal="center"/>
    </xf>
    <xf numFmtId="0" fontId="4" fillId="0" borderId="11" xfId="47" applyFont="1" applyBorder="1"/>
    <xf numFmtId="168" fontId="7" fillId="0" borderId="11" xfId="47" applyNumberFormat="1" applyFont="1" applyFill="1" applyBorder="1" applyAlignment="1" applyProtection="1">
      <alignment horizontal="right"/>
    </xf>
    <xf numFmtId="168" fontId="9" fillId="5" borderId="12" xfId="47" applyNumberFormat="1" applyFont="1" applyFill="1" applyBorder="1" applyAlignment="1" applyProtection="1">
      <alignment horizontal="center"/>
    </xf>
    <xf numFmtId="168" fontId="9" fillId="5" borderId="2" xfId="47" applyNumberFormat="1" applyFont="1" applyFill="1" applyBorder="1" applyAlignment="1" applyProtection="1">
      <alignment horizontal="center"/>
    </xf>
    <xf numFmtId="165" fontId="76" fillId="6" borderId="10" xfId="54" applyNumberFormat="1" applyFont="1" applyFill="1" applyBorder="1"/>
    <xf numFmtId="165" fontId="76" fillId="6" borderId="16" xfId="59" applyNumberFormat="1" applyFont="1" applyFill="1" applyBorder="1" applyAlignment="1"/>
    <xf numFmtId="0" fontId="7" fillId="0" borderId="11" xfId="47" applyFont="1" applyBorder="1"/>
    <xf numFmtId="172" fontId="13" fillId="0" borderId="8" xfId="46" applyNumberFormat="1" applyFont="1" applyFill="1" applyBorder="1"/>
    <xf numFmtId="168" fontId="7" fillId="4" borderId="5" xfId="46" applyNumberFormat="1" applyFont="1" applyFill="1" applyBorder="1" applyAlignment="1">
      <alignment horizontal="center"/>
    </xf>
    <xf numFmtId="168" fontId="7" fillId="4" borderId="4" xfId="46" applyNumberFormat="1" applyFont="1" applyFill="1" applyBorder="1" applyAlignment="1">
      <alignment horizontal="center"/>
    </xf>
    <xf numFmtId="165" fontId="10" fillId="0" borderId="8" xfId="46" applyNumberFormat="1" applyFont="1" applyFill="1" applyBorder="1"/>
    <xf numFmtId="165" fontId="1" fillId="0" borderId="0" xfId="46" applyNumberFormat="1" applyFill="1"/>
    <xf numFmtId="0" fontId="1" fillId="0" borderId="5" xfId="47" applyFill="1" applyBorder="1" applyAlignment="1">
      <alignment horizontal="right"/>
    </xf>
    <xf numFmtId="0" fontId="1" fillId="0" borderId="5" xfId="47" applyFill="1" applyBorder="1"/>
    <xf numFmtId="172" fontId="74" fillId="0" borderId="0" xfId="46" applyNumberFormat="1" applyFont="1" applyFill="1" applyBorder="1" applyAlignment="1" applyProtection="1">
      <alignment horizontal="right"/>
    </xf>
    <xf numFmtId="44" fontId="74" fillId="0" borderId="2" xfId="37" applyFont="1" applyFill="1" applyBorder="1"/>
    <xf numFmtId="44" fontId="74" fillId="0" borderId="12" xfId="37" applyFont="1" applyFill="1" applyBorder="1"/>
    <xf numFmtId="170" fontId="30" fillId="0" borderId="27" xfId="46" applyNumberFormat="1" applyFont="1" applyFill="1" applyBorder="1" applyAlignment="1">
      <alignment horizontal="right"/>
    </xf>
    <xf numFmtId="9" fontId="10" fillId="0" borderId="13" xfId="46" applyNumberFormat="1" applyFont="1" applyFill="1" applyBorder="1"/>
    <xf numFmtId="9" fontId="72" fillId="0" borderId="0" xfId="50" applyNumberFormat="1" applyFont="1" applyFill="1" applyAlignment="1">
      <alignment horizontal="center" vertical="center"/>
    </xf>
    <xf numFmtId="165" fontId="74" fillId="0" borderId="4" xfId="59" applyNumberFormat="1" applyFont="1" applyFill="1" applyBorder="1" applyAlignment="1"/>
    <xf numFmtId="165" fontId="74" fillId="0" borderId="5" xfId="59" applyNumberFormat="1" applyFont="1" applyFill="1" applyBorder="1" applyAlignment="1"/>
    <xf numFmtId="165" fontId="12" fillId="0" borderId="10" xfId="54" applyNumberFormat="1" applyFont="1" applyFill="1" applyBorder="1"/>
    <xf numFmtId="165" fontId="12" fillId="0" borderId="0" xfId="54" applyNumberFormat="1" applyFont="1" applyFill="1" applyBorder="1"/>
    <xf numFmtId="165" fontId="12" fillId="0" borderId="16" xfId="54" applyNumberFormat="1" applyFont="1" applyFill="1" applyBorder="1"/>
    <xf numFmtId="165" fontId="74" fillId="0" borderId="8" xfId="54" applyNumberFormat="1" applyFont="1" applyFill="1" applyBorder="1"/>
    <xf numFmtId="170" fontId="4" fillId="6" borderId="8" xfId="52" applyNumberFormat="1" applyFont="1" applyFill="1" applyBorder="1"/>
    <xf numFmtId="170" fontId="4" fillId="6" borderId="9" xfId="47" applyNumberFormat="1" applyFont="1" applyFill="1" applyBorder="1" applyAlignment="1">
      <alignment horizontal="right"/>
    </xf>
    <xf numFmtId="170" fontId="4" fillId="6" borderId="13" xfId="47" applyNumberFormat="1" applyFont="1" applyFill="1" applyBorder="1" applyAlignment="1">
      <alignment horizontal="right"/>
    </xf>
    <xf numFmtId="170" fontId="4" fillId="6" borderId="6" xfId="47" applyNumberFormat="1" applyFont="1" applyFill="1" applyBorder="1" applyAlignment="1">
      <alignment horizontal="right"/>
    </xf>
    <xf numFmtId="170" fontId="4" fillId="6" borderId="0" xfId="47" applyNumberFormat="1" applyFont="1" applyFill="1" applyBorder="1" applyAlignment="1">
      <alignment horizontal="right"/>
    </xf>
    <xf numFmtId="170" fontId="4" fillId="6" borderId="10" xfId="47" applyNumberFormat="1" applyFont="1" applyFill="1" applyBorder="1" applyAlignment="1">
      <alignment horizontal="right"/>
    </xf>
    <xf numFmtId="170" fontId="4" fillId="6" borderId="8" xfId="47" applyNumberFormat="1" applyFont="1" applyFill="1" applyBorder="1" applyAlignment="1">
      <alignment horizontal="right"/>
    </xf>
    <xf numFmtId="170" fontId="4" fillId="6" borderId="11" xfId="52" applyNumberFormat="1" applyFont="1" applyFill="1" applyBorder="1"/>
    <xf numFmtId="170" fontId="4" fillId="6" borderId="12" xfId="47" applyNumberFormat="1" applyFont="1" applyFill="1" applyBorder="1" applyAlignment="1">
      <alignment horizontal="right"/>
    </xf>
    <xf numFmtId="170" fontId="4" fillId="6" borderId="2" xfId="47" applyNumberFormat="1" applyFont="1" applyFill="1" applyBorder="1" applyAlignment="1">
      <alignment horizontal="right"/>
    </xf>
    <xf numFmtId="170" fontId="4" fillId="6" borderId="11" xfId="47" applyNumberFormat="1" applyFont="1" applyFill="1" applyBorder="1" applyAlignment="1">
      <alignment horizontal="right"/>
    </xf>
    <xf numFmtId="170" fontId="4" fillId="6" borderId="2" xfId="47" applyNumberFormat="1" applyFont="1" applyFill="1" applyBorder="1" applyAlignment="1">
      <alignment horizontal="center"/>
    </xf>
    <xf numFmtId="4" fontId="17" fillId="0" borderId="0" xfId="59" applyNumberFormat="1" applyFont="1" applyFill="1"/>
    <xf numFmtId="4" fontId="7" fillId="0" borderId="0" xfId="59" applyNumberFormat="1" applyFont="1" applyFill="1" applyBorder="1" applyAlignment="1"/>
    <xf numFmtId="9" fontId="4" fillId="0" borderId="13" xfId="59" applyNumberFormat="1" applyFont="1" applyFill="1" applyBorder="1"/>
    <xf numFmtId="170" fontId="4" fillId="0" borderId="7" xfId="59" applyNumberFormat="1" applyFont="1" applyFill="1" applyBorder="1" applyAlignment="1">
      <alignment horizontal="right"/>
    </xf>
    <xf numFmtId="165" fontId="1" fillId="0" borderId="5" xfId="47" applyNumberFormat="1" applyFill="1" applyBorder="1" applyAlignment="1"/>
    <xf numFmtId="165" fontId="7" fillId="0" borderId="0" xfId="54" applyNumberFormat="1" applyFont="1" applyFill="1" applyAlignment="1">
      <alignment horizontal="right"/>
    </xf>
    <xf numFmtId="172" fontId="11" fillId="0" borderId="12" xfId="47" applyNumberFormat="1" applyFont="1" applyFill="1" applyBorder="1" applyAlignment="1" applyProtection="1">
      <alignment horizontal="right"/>
    </xf>
    <xf numFmtId="170" fontId="74" fillId="6" borderId="10" xfId="47" applyNumberFormat="1" applyFont="1" applyFill="1" applyBorder="1"/>
    <xf numFmtId="165" fontId="80" fillId="0" borderId="0" xfId="59" applyNumberFormat="1" applyFont="1" applyFill="1" applyBorder="1"/>
    <xf numFmtId="0" fontId="4" fillId="0" borderId="6" xfId="55" applyFont="1" applyFill="1" applyBorder="1" applyAlignment="1">
      <alignment horizontal="left"/>
    </xf>
    <xf numFmtId="0" fontId="1" fillId="0" borderId="9" xfId="47" applyFont="1" applyFill="1" applyBorder="1"/>
    <xf numFmtId="0" fontId="1" fillId="0" borderId="13" xfId="47" applyFont="1" applyFill="1" applyBorder="1"/>
    <xf numFmtId="0" fontId="1" fillId="0" borderId="6" xfId="47" applyFont="1" applyFill="1" applyBorder="1"/>
    <xf numFmtId="172" fontId="4" fillId="0" borderId="9" xfId="47" applyNumberFormat="1" applyFont="1" applyFill="1" applyBorder="1" applyAlignment="1">
      <alignment horizontal="right"/>
    </xf>
    <xf numFmtId="0" fontId="15" fillId="0" borderId="8" xfId="55" applyFont="1" applyFill="1" applyBorder="1" applyAlignment="1">
      <alignment horizontal="left"/>
    </xf>
    <xf numFmtId="0" fontId="1" fillId="0" borderId="10" xfId="47" applyFont="1" applyFill="1" applyBorder="1"/>
    <xf numFmtId="165" fontId="4" fillId="0" borderId="10" xfId="47" applyNumberFormat="1" applyFont="1" applyFill="1" applyBorder="1" applyAlignment="1">
      <alignment horizontal="right"/>
    </xf>
    <xf numFmtId="0" fontId="15" fillId="0" borderId="11" xfId="55" applyFont="1" applyFill="1" applyBorder="1" applyAlignment="1">
      <alignment horizontal="left"/>
    </xf>
    <xf numFmtId="0" fontId="1" fillId="0" borderId="12" xfId="47" applyFont="1" applyFill="1" applyBorder="1"/>
    <xf numFmtId="0" fontId="1" fillId="0" borderId="2" xfId="47" applyFont="1" applyFill="1" applyBorder="1"/>
    <xf numFmtId="0" fontId="1" fillId="0" borderId="11" xfId="47" applyFont="1" applyFill="1" applyBorder="1"/>
    <xf numFmtId="0" fontId="15" fillId="0" borderId="0" xfId="47" applyFont="1" applyFill="1" applyBorder="1"/>
    <xf numFmtId="9" fontId="10" fillId="0" borderId="0" xfId="59" applyFont="1" applyFill="1" applyBorder="1"/>
    <xf numFmtId="169" fontId="10" fillId="0" borderId="0" xfId="47" applyNumberFormat="1" applyFont="1" applyFill="1" applyBorder="1"/>
    <xf numFmtId="43" fontId="10" fillId="0" borderId="0" xfId="36" applyFont="1" applyFill="1" applyBorder="1"/>
    <xf numFmtId="189" fontId="81" fillId="0" borderId="0" xfId="47" applyNumberFormat="1" applyFont="1" applyFill="1" applyAlignment="1">
      <alignment horizontal="right"/>
    </xf>
    <xf numFmtId="189" fontId="81" fillId="0" borderId="0" xfId="47" applyNumberFormat="1" applyFont="1" applyFill="1" applyBorder="1" applyAlignment="1">
      <alignment horizontal="center"/>
    </xf>
    <xf numFmtId="189" fontId="81" fillId="0" borderId="0" xfId="47" applyNumberFormat="1" applyFont="1" applyFill="1" applyBorder="1" applyAlignment="1">
      <alignment horizontal="right"/>
    </xf>
    <xf numFmtId="165" fontId="1" fillId="0" borderId="0" xfId="47" applyNumberFormat="1"/>
    <xf numFmtId="9" fontId="0" fillId="0" borderId="0" xfId="0" applyNumberFormat="1"/>
    <xf numFmtId="179" fontId="29" fillId="6" borderId="4" xfId="47" applyNumberFormat="1" applyFont="1" applyFill="1" applyBorder="1" applyAlignment="1"/>
    <xf numFmtId="179" fontId="29" fillId="6" borderId="5" xfId="47" applyNumberFormat="1" applyFont="1" applyFill="1" applyBorder="1" applyAlignment="1"/>
    <xf numFmtId="4" fontId="1" fillId="0" borderId="0" xfId="59" applyNumberFormat="1" applyFont="1" applyFill="1" applyAlignment="1"/>
    <xf numFmtId="3" fontId="1" fillId="0" borderId="0" xfId="59" applyNumberFormat="1" applyFont="1" applyFill="1" applyAlignment="1"/>
    <xf numFmtId="165" fontId="82" fillId="0" borderId="10" xfId="47" applyNumberFormat="1" applyFont="1" applyFill="1" applyBorder="1" applyAlignment="1"/>
    <xf numFmtId="165" fontId="82" fillId="0" borderId="0" xfId="47" applyNumberFormat="1" applyFont="1" applyFill="1" applyBorder="1" applyAlignment="1"/>
    <xf numFmtId="165" fontId="82" fillId="0" borderId="8" xfId="47" applyNumberFormat="1" applyFont="1" applyFill="1" applyBorder="1" applyAlignment="1"/>
    <xf numFmtId="165" fontId="10" fillId="4" borderId="0" xfId="47" applyNumberFormat="1" applyFont="1" applyFill="1" applyBorder="1" applyAlignment="1"/>
    <xf numFmtId="165" fontId="16" fillId="4" borderId="0" xfId="47" applyNumberFormat="1" applyFont="1" applyFill="1" applyBorder="1" applyAlignment="1"/>
    <xf numFmtId="181" fontId="83" fillId="0" borderId="0" xfId="59" applyNumberFormat="1" applyFont="1" applyFill="1" applyBorder="1"/>
    <xf numFmtId="181" fontId="83" fillId="0" borderId="0" xfId="47" applyNumberFormat="1" applyFont="1" applyFill="1" applyBorder="1"/>
    <xf numFmtId="165" fontId="4" fillId="0" borderId="0" xfId="36" applyNumberFormat="1" applyFont="1" applyFill="1" applyBorder="1"/>
    <xf numFmtId="165" fontId="27" fillId="0" borderId="2" xfId="47" applyNumberFormat="1" applyFont="1" applyFill="1" applyBorder="1"/>
    <xf numFmtId="9" fontId="1" fillId="0" borderId="0" xfId="47" applyNumberFormat="1" applyFont="1" applyFill="1"/>
    <xf numFmtId="165" fontId="7" fillId="0" borderId="11" xfId="54" applyNumberFormat="1" applyFont="1" applyFill="1" applyBorder="1" applyAlignment="1">
      <alignment horizontal="left"/>
    </xf>
    <xf numFmtId="165" fontId="7" fillId="0" borderId="12" xfId="54" applyNumberFormat="1" applyFont="1" applyFill="1" applyBorder="1"/>
    <xf numFmtId="165" fontId="7" fillId="0" borderId="2" xfId="54" applyNumberFormat="1" applyFont="1" applyFill="1" applyBorder="1"/>
    <xf numFmtId="165" fontId="7" fillId="0" borderId="15" xfId="54" applyNumberFormat="1" applyFont="1" applyFill="1" applyBorder="1"/>
    <xf numFmtId="165" fontId="7" fillId="0" borderId="11" xfId="54" applyNumberFormat="1" applyFont="1" applyFill="1" applyBorder="1"/>
    <xf numFmtId="217" fontId="1" fillId="0" borderId="0" xfId="47" applyNumberFormat="1"/>
    <xf numFmtId="9" fontId="1" fillId="0" borderId="0" xfId="47" applyNumberFormat="1"/>
    <xf numFmtId="172" fontId="4" fillId="0" borderId="6" xfId="47" applyNumberFormat="1" applyFont="1" applyFill="1" applyBorder="1" applyAlignment="1"/>
    <xf numFmtId="169" fontId="10" fillId="0" borderId="10" xfId="47" applyNumberFormat="1" applyFont="1" applyFill="1" applyBorder="1" applyAlignment="1"/>
    <xf numFmtId="169" fontId="10" fillId="0" borderId="8" xfId="47" applyNumberFormat="1" applyFont="1" applyFill="1" applyBorder="1" applyAlignment="1"/>
    <xf numFmtId="183" fontId="1" fillId="0" borderId="0" xfId="47" applyNumberFormat="1" applyFont="1" applyFill="1"/>
    <xf numFmtId="167" fontId="1" fillId="0" borderId="0" xfId="46" applyNumberFormat="1" applyFill="1"/>
    <xf numFmtId="9" fontId="83" fillId="0" borderId="0" xfId="47" applyNumberFormat="1" applyFont="1" applyFill="1" applyBorder="1"/>
    <xf numFmtId="9" fontId="4" fillId="0" borderId="0" xfId="47" applyNumberFormat="1" applyFont="1" applyFill="1" applyBorder="1" applyAlignment="1">
      <alignment horizontal="center"/>
    </xf>
    <xf numFmtId="37" fontId="74" fillId="0" borderId="8" xfId="47" applyNumberFormat="1" applyFont="1" applyFill="1" applyBorder="1" applyAlignment="1"/>
    <xf numFmtId="37" fontId="74" fillId="0" borderId="11" xfId="47" applyNumberFormat="1" applyFont="1" applyFill="1" applyBorder="1" applyAlignment="1"/>
    <xf numFmtId="172" fontId="4" fillId="0" borderId="0" xfId="59" applyNumberFormat="1" applyFont="1" applyFill="1" applyBorder="1" applyAlignment="1"/>
    <xf numFmtId="172" fontId="4" fillId="0" borderId="8" xfId="59" applyNumberFormat="1" applyFont="1" applyFill="1" applyBorder="1" applyAlignment="1"/>
    <xf numFmtId="172" fontId="4" fillId="0" borderId="10" xfId="59" applyNumberFormat="1" applyFont="1" applyFill="1" applyBorder="1" applyAlignment="1"/>
    <xf numFmtId="43" fontId="7" fillId="6" borderId="3" xfId="36" applyFont="1" applyFill="1" applyBorder="1" applyAlignment="1"/>
    <xf numFmtId="0" fontId="84" fillId="0" borderId="3" xfId="47" applyFont="1" applyFill="1" applyBorder="1" applyAlignment="1">
      <alignment horizontal="center"/>
    </xf>
    <xf numFmtId="10" fontId="4" fillId="0" borderId="10" xfId="47" applyNumberFormat="1" applyFont="1" applyFill="1" applyBorder="1" applyAlignment="1"/>
    <xf numFmtId="9" fontId="27" fillId="0" borderId="2" xfId="47" applyNumberFormat="1" applyFont="1" applyFill="1" applyBorder="1"/>
    <xf numFmtId="170" fontId="4" fillId="0" borderId="10" xfId="47" applyNumberFormat="1" applyFont="1" applyFill="1" applyBorder="1" applyAlignment="1">
      <alignment horizontal="left"/>
    </xf>
    <xf numFmtId="170" fontId="4" fillId="0" borderId="4" xfId="59" applyNumberFormat="1" applyFont="1" applyFill="1" applyBorder="1" applyAlignment="1">
      <alignment horizontal="left"/>
    </xf>
    <xf numFmtId="0" fontId="1" fillId="0" borderId="0" xfId="47" applyFill="1" applyAlignment="1">
      <alignment horizontal="left"/>
    </xf>
    <xf numFmtId="0" fontId="1" fillId="0" borderId="4" xfId="47" applyFill="1" applyBorder="1" applyAlignment="1">
      <alignment horizontal="left"/>
    </xf>
    <xf numFmtId="165" fontId="4" fillId="6" borderId="9" xfId="59" applyNumberFormat="1" applyFont="1" applyFill="1" applyBorder="1" applyAlignment="1">
      <alignment horizontal="left"/>
    </xf>
    <xf numFmtId="165" fontId="4" fillId="6" borderId="10" xfId="59" applyNumberFormat="1" applyFont="1" applyFill="1" applyBorder="1" applyAlignment="1">
      <alignment horizontal="left"/>
    </xf>
    <xf numFmtId="165" fontId="4" fillId="0" borderId="10" xfId="59" applyNumberFormat="1" applyFont="1" applyFill="1" applyBorder="1" applyAlignment="1">
      <alignment horizontal="left"/>
    </xf>
    <xf numFmtId="165" fontId="4" fillId="0" borderId="4" xfId="59" applyNumberFormat="1" applyFont="1" applyFill="1" applyBorder="1" applyAlignment="1">
      <alignment horizontal="left"/>
    </xf>
    <xf numFmtId="165" fontId="4" fillId="0" borderId="0" xfId="59" applyNumberFormat="1" applyFont="1" applyFill="1" applyBorder="1" applyAlignment="1">
      <alignment horizontal="left"/>
    </xf>
    <xf numFmtId="0" fontId="1" fillId="0" borderId="2" xfId="47" applyFill="1" applyBorder="1" applyAlignment="1">
      <alignment horizontal="left"/>
    </xf>
    <xf numFmtId="0" fontId="1" fillId="6" borderId="10" xfId="47" applyFill="1" applyBorder="1" applyAlignment="1">
      <alignment horizontal="left"/>
    </xf>
    <xf numFmtId="0" fontId="1" fillId="0" borderId="0" xfId="47" applyAlignment="1">
      <alignment horizontal="left"/>
    </xf>
    <xf numFmtId="9" fontId="1" fillId="0" borderId="0" xfId="47" applyNumberFormat="1" applyFill="1" applyAlignment="1"/>
    <xf numFmtId="0" fontId="85" fillId="0" borderId="3" xfId="47" applyFont="1" applyFill="1" applyBorder="1" applyAlignment="1">
      <alignment horizontal="center"/>
    </xf>
    <xf numFmtId="165" fontId="1" fillId="0" borderId="0" xfId="58" applyNumberFormat="1" applyFont="1"/>
    <xf numFmtId="165" fontId="27" fillId="0" borderId="2" xfId="58" applyNumberFormat="1" applyFont="1" applyFill="1" applyBorder="1"/>
    <xf numFmtId="165" fontId="15" fillId="0" borderId="11" xfId="59" applyNumberFormat="1" applyFont="1" applyFill="1" applyBorder="1"/>
    <xf numFmtId="165" fontId="4" fillId="0" borderId="0" xfId="58" applyNumberFormat="1" applyFont="1" applyFill="1" applyBorder="1"/>
    <xf numFmtId="165" fontId="4" fillId="0" borderId="0" xfId="58" applyNumberFormat="1" applyFont="1" applyFill="1" applyBorder="1" applyAlignment="1"/>
    <xf numFmtId="9" fontId="74" fillId="0" borderId="12" xfId="59" quotePrefix="1" applyNumberFormat="1" applyFont="1" applyBorder="1" applyAlignment="1">
      <alignment horizontal="right"/>
    </xf>
    <xf numFmtId="9" fontId="74" fillId="0" borderId="0" xfId="36" applyNumberFormat="1" applyFont="1" applyFill="1" applyBorder="1" applyAlignment="1">
      <alignment horizontal="right"/>
    </xf>
    <xf numFmtId="165" fontId="74" fillId="0" borderId="2" xfId="47" quotePrefix="1" applyNumberFormat="1" applyFont="1" applyFill="1" applyBorder="1"/>
    <xf numFmtId="172" fontId="7" fillId="0" borderId="14" xfId="46" applyNumberFormat="1" applyFont="1" applyFill="1" applyBorder="1" applyAlignment="1" applyProtection="1">
      <alignment horizontal="left"/>
    </xf>
    <xf numFmtId="172" fontId="11" fillId="0" borderId="8" xfId="46" applyNumberFormat="1" applyFont="1" applyFill="1" applyBorder="1" applyAlignment="1" applyProtection="1"/>
    <xf numFmtId="172" fontId="25" fillId="0" borderId="0" xfId="47" applyNumberFormat="1" applyFont="1" applyFill="1" applyBorder="1" applyAlignment="1">
      <alignment horizontal="right"/>
    </xf>
    <xf numFmtId="172" fontId="10" fillId="0" borderId="10" xfId="47" applyNumberFormat="1" applyFont="1" applyFill="1" applyBorder="1" applyAlignment="1"/>
    <xf numFmtId="170" fontId="74" fillId="0" borderId="12" xfId="36" applyNumberFormat="1" applyFont="1" applyFill="1" applyBorder="1" applyAlignment="1"/>
    <xf numFmtId="170" fontId="74" fillId="0" borderId="2" xfId="36" applyNumberFormat="1" applyFont="1" applyFill="1" applyBorder="1" applyAlignment="1"/>
    <xf numFmtId="37" fontId="74" fillId="0" borderId="0" xfId="47" applyNumberFormat="1" applyFont="1" applyFill="1" applyBorder="1" applyAlignment="1"/>
    <xf numFmtId="37" fontId="74" fillId="0" borderId="2" xfId="47" applyNumberFormat="1" applyFont="1" applyFill="1" applyBorder="1" applyAlignment="1"/>
    <xf numFmtId="198" fontId="7" fillId="6" borderId="2" xfId="36" applyNumberFormat="1" applyFont="1" applyFill="1" applyBorder="1" applyAlignment="1"/>
    <xf numFmtId="9" fontId="1" fillId="0" borderId="0" xfId="58" applyFont="1" applyFill="1" applyAlignment="1"/>
    <xf numFmtId="43" fontId="1" fillId="0" borderId="0" xfId="35" applyFont="1" applyFill="1" applyAlignment="1"/>
    <xf numFmtId="165" fontId="77" fillId="0" borderId="10" xfId="59" applyNumberFormat="1" applyFont="1" applyFill="1" applyBorder="1" applyAlignment="1"/>
    <xf numFmtId="9" fontId="7" fillId="0" borderId="7" xfId="58" applyFont="1" applyFill="1" applyBorder="1" applyAlignment="1">
      <alignment horizontal="center"/>
    </xf>
    <xf numFmtId="194" fontId="10" fillId="0" borderId="13" xfId="46" applyNumberFormat="1" applyFont="1" applyFill="1" applyBorder="1"/>
    <xf numFmtId="172" fontId="74" fillId="0" borderId="0" xfId="59" applyNumberFormat="1" applyFont="1" applyFill="1" applyBorder="1" applyAlignment="1">
      <alignment horizontal="right"/>
    </xf>
    <xf numFmtId="165" fontId="86" fillId="0" borderId="10" xfId="59" applyNumberFormat="1" applyFont="1" applyFill="1" applyBorder="1" applyAlignment="1">
      <alignment horizontal="right"/>
    </xf>
    <xf numFmtId="165" fontId="86" fillId="0" borderId="0" xfId="59" applyNumberFormat="1" applyFont="1" applyFill="1" applyBorder="1" applyAlignment="1">
      <alignment horizontal="right"/>
    </xf>
    <xf numFmtId="170" fontId="86" fillId="0" borderId="13" xfId="47" applyNumberFormat="1" applyFont="1" applyFill="1" applyBorder="1" applyAlignment="1">
      <alignment horizontal="right"/>
    </xf>
    <xf numFmtId="170" fontId="86" fillId="0" borderId="0" xfId="47" applyNumberFormat="1" applyFont="1" applyFill="1" applyBorder="1" applyAlignment="1">
      <alignment horizontal="right"/>
    </xf>
    <xf numFmtId="170" fontId="86" fillId="0" borderId="9" xfId="47" applyNumberFormat="1" applyFont="1" applyFill="1" applyBorder="1" applyAlignment="1">
      <alignment horizontal="right"/>
    </xf>
    <xf numFmtId="170" fontId="86" fillId="0" borderId="10" xfId="47" applyNumberFormat="1" applyFont="1" applyFill="1" applyBorder="1" applyAlignment="1">
      <alignment horizontal="right"/>
    </xf>
    <xf numFmtId="165" fontId="86" fillId="0" borderId="12" xfId="59" applyNumberFormat="1" applyFont="1" applyFill="1" applyBorder="1" applyAlignment="1">
      <alignment horizontal="right"/>
    </xf>
    <xf numFmtId="165" fontId="86" fillId="0" borderId="2" xfId="59" applyNumberFormat="1" applyFont="1" applyFill="1" applyBorder="1" applyAlignment="1">
      <alignment horizontal="right"/>
    </xf>
    <xf numFmtId="170" fontId="12" fillId="0" borderId="0" xfId="47" applyNumberFormat="1" applyFont="1" applyFill="1" applyBorder="1"/>
    <xf numFmtId="0" fontId="74" fillId="0" borderId="10" xfId="47" applyFont="1" applyBorder="1"/>
    <xf numFmtId="0" fontId="74" fillId="0" borderId="0" xfId="47" applyFont="1" applyBorder="1"/>
    <xf numFmtId="37" fontId="74" fillId="0" borderId="10" xfId="47" applyNumberFormat="1" applyFont="1" applyFill="1" applyBorder="1" applyAlignment="1">
      <alignment horizontal="right"/>
    </xf>
    <xf numFmtId="171" fontId="7" fillId="6" borderId="11" xfId="36" applyNumberFormat="1" applyFont="1" applyFill="1" applyBorder="1"/>
    <xf numFmtId="165" fontId="7" fillId="0" borderId="11" xfId="59" applyNumberFormat="1" applyFont="1" applyFill="1" applyBorder="1"/>
    <xf numFmtId="165" fontId="11" fillId="0" borderId="12" xfId="59" applyNumberFormat="1" applyFont="1" applyFill="1" applyBorder="1" applyAlignment="1">
      <alignment horizontal="center"/>
    </xf>
    <xf numFmtId="165" fontId="11" fillId="0" borderId="2" xfId="59" applyNumberFormat="1" applyFont="1" applyFill="1" applyBorder="1" applyAlignment="1">
      <alignment horizontal="center"/>
    </xf>
    <xf numFmtId="165" fontId="11" fillId="0" borderId="11" xfId="59" applyNumberFormat="1" applyFont="1" applyFill="1" applyBorder="1" applyAlignment="1">
      <alignment horizontal="center"/>
    </xf>
    <xf numFmtId="165" fontId="11" fillId="0" borderId="11" xfId="59" applyNumberFormat="1" applyFont="1" applyFill="1" applyBorder="1" applyAlignment="1">
      <alignment horizontal="right"/>
    </xf>
    <xf numFmtId="165" fontId="11" fillId="0" borderId="12" xfId="59" applyNumberFormat="1" applyFont="1" applyFill="1" applyBorder="1" applyAlignment="1">
      <alignment horizontal="right"/>
    </xf>
    <xf numFmtId="165" fontId="11" fillId="0" borderId="2" xfId="59" applyNumberFormat="1" applyFont="1" applyFill="1" applyBorder="1" applyAlignment="1">
      <alignment horizontal="right"/>
    </xf>
    <xf numFmtId="165" fontId="4" fillId="0" borderId="10" xfId="36" applyNumberFormat="1" applyFont="1" applyFill="1" applyBorder="1" applyAlignment="1"/>
    <xf numFmtId="165" fontId="4" fillId="0" borderId="0" xfId="36" applyNumberFormat="1" applyFont="1" applyFill="1" applyBorder="1" applyAlignment="1"/>
    <xf numFmtId="165" fontId="4" fillId="0" borderId="8" xfId="36" applyNumberFormat="1" applyFont="1" applyFill="1" applyBorder="1" applyAlignment="1"/>
    <xf numFmtId="165" fontId="4" fillId="0" borderId="16" xfId="36" applyNumberFormat="1" applyFont="1" applyFill="1" applyBorder="1" applyAlignment="1"/>
    <xf numFmtId="41" fontId="7" fillId="0" borderId="8" xfId="47" applyNumberFormat="1" applyFont="1" applyFill="1" applyBorder="1" applyAlignment="1"/>
    <xf numFmtId="172" fontId="11" fillId="0" borderId="10" xfId="47" applyNumberFormat="1" applyFont="1" applyFill="1" applyBorder="1" applyAlignment="1">
      <alignment horizontal="center"/>
    </xf>
    <xf numFmtId="172" fontId="11" fillId="0" borderId="0" xfId="47" applyNumberFormat="1" applyFont="1" applyFill="1" applyBorder="1" applyAlignment="1">
      <alignment horizontal="center"/>
    </xf>
    <xf numFmtId="172" fontId="11" fillId="0" borderId="8" xfId="47" applyNumberFormat="1" applyFont="1" applyFill="1" applyBorder="1" applyAlignment="1">
      <alignment horizontal="center"/>
    </xf>
    <xf numFmtId="172" fontId="11" fillId="0" borderId="8" xfId="47" applyNumberFormat="1" applyFont="1" applyFill="1" applyBorder="1" applyAlignment="1">
      <alignment horizontal="right"/>
    </xf>
    <xf numFmtId="172" fontId="11" fillId="0" borderId="10" xfId="47" applyNumberFormat="1" applyFont="1" applyFill="1" applyBorder="1" applyAlignment="1">
      <alignment horizontal="right"/>
    </xf>
    <xf numFmtId="172" fontId="11" fillId="0" borderId="0" xfId="47" applyNumberFormat="1" applyFont="1" applyFill="1" applyBorder="1" applyAlignment="1">
      <alignment horizontal="right"/>
    </xf>
    <xf numFmtId="43" fontId="29" fillId="0" borderId="0" xfId="36" applyFont="1" applyFill="1" applyBorder="1"/>
    <xf numFmtId="9" fontId="4" fillId="0" borderId="11" xfId="47" applyNumberFormat="1" applyFont="1" applyFill="1" applyBorder="1"/>
    <xf numFmtId="9" fontId="38" fillId="8" borderId="0" xfId="59" applyFont="1" applyFill="1" applyBorder="1" applyAlignment="1">
      <alignment horizontal="right"/>
    </xf>
    <xf numFmtId="9" fontId="40" fillId="8" borderId="0" xfId="59" applyFont="1" applyFill="1" applyAlignment="1">
      <alignment horizontal="right"/>
    </xf>
    <xf numFmtId="9" fontId="39" fillId="9" borderId="0" xfId="59" applyFont="1" applyFill="1" applyAlignment="1">
      <alignment horizontal="left" indent="1"/>
    </xf>
    <xf numFmtId="9" fontId="39" fillId="9" borderId="0" xfId="59" applyFont="1" applyFill="1"/>
    <xf numFmtId="9" fontId="39" fillId="10" borderId="0" xfId="59" applyFont="1" applyFill="1" applyAlignment="1">
      <alignment horizontal="left" indent="1"/>
    </xf>
    <xf numFmtId="9" fontId="39" fillId="10" borderId="0" xfId="59" applyFont="1" applyFill="1"/>
    <xf numFmtId="9" fontId="40" fillId="8" borderId="0" xfId="59" applyFont="1" applyFill="1" applyAlignment="1">
      <alignment horizontal="center" vertical="center"/>
    </xf>
    <xf numFmtId="0" fontId="1" fillId="6" borderId="0" xfId="47" applyFill="1" applyAlignment="1">
      <alignment horizontal="center" vertical="center"/>
    </xf>
    <xf numFmtId="0" fontId="1" fillId="0" borderId="0" xfId="47" applyFill="1" applyAlignment="1">
      <alignment horizontal="center" vertical="center"/>
    </xf>
    <xf numFmtId="9" fontId="39" fillId="6" borderId="0" xfId="59" applyFont="1" applyFill="1" applyAlignment="1">
      <alignment horizontal="center" vertical="center"/>
    </xf>
    <xf numFmtId="9" fontId="39" fillId="10" borderId="0" xfId="59" applyFont="1" applyFill="1" applyAlignment="1">
      <alignment horizontal="center" vertical="center"/>
    </xf>
    <xf numFmtId="165" fontId="39" fillId="10" borderId="0" xfId="59" applyNumberFormat="1" applyFont="1" applyFill="1" applyAlignment="1">
      <alignment horizontal="center" vertical="center"/>
    </xf>
    <xf numFmtId="9" fontId="39" fillId="9" borderId="0" xfId="59" applyFont="1" applyFill="1" applyAlignment="1">
      <alignment horizontal="center" vertical="center"/>
    </xf>
    <xf numFmtId="165" fontId="39" fillId="9" borderId="0" xfId="59" applyNumberFormat="1" applyFont="1" applyFill="1" applyAlignment="1">
      <alignment horizontal="center" vertical="center"/>
    </xf>
    <xf numFmtId="9" fontId="37" fillId="10" borderId="0" xfId="59" applyFont="1" applyFill="1" applyAlignment="1">
      <alignment horizontal="center" vertical="center"/>
    </xf>
    <xf numFmtId="165" fontId="37" fillId="10" borderId="0" xfId="59" applyNumberFormat="1" applyFont="1" applyFill="1" applyAlignment="1">
      <alignment horizontal="center" vertical="center"/>
    </xf>
    <xf numFmtId="9" fontId="40" fillId="8" borderId="0" xfId="59" applyFont="1" applyFill="1" applyBorder="1" applyAlignment="1">
      <alignment horizontal="left" vertical="center" indent="1"/>
    </xf>
    <xf numFmtId="0" fontId="1" fillId="6" borderId="0" xfId="47" applyFill="1" applyAlignment="1">
      <alignment horizontal="left" vertical="center" indent="1"/>
    </xf>
    <xf numFmtId="9" fontId="39" fillId="6" borderId="0" xfId="59" applyFont="1" applyFill="1" applyAlignment="1">
      <alignment horizontal="left" vertical="center" indent="1"/>
    </xf>
    <xf numFmtId="9" fontId="39" fillId="10" borderId="0" xfId="59" applyFont="1" applyFill="1" applyAlignment="1">
      <alignment horizontal="left" vertical="center" indent="1"/>
    </xf>
    <xf numFmtId="9" fontId="39" fillId="9" borderId="0" xfId="59" applyFont="1" applyFill="1" applyAlignment="1">
      <alignment horizontal="left" vertical="center" indent="1"/>
    </xf>
    <xf numFmtId="9" fontId="37" fillId="10" borderId="0" xfId="59" applyFont="1" applyFill="1" applyAlignment="1">
      <alignment horizontal="left" vertical="center" indent="1"/>
    </xf>
    <xf numFmtId="0" fontId="1" fillId="10" borderId="0" xfId="47" applyFill="1" applyAlignment="1">
      <alignment horizontal="center" vertical="center"/>
    </xf>
    <xf numFmtId="0" fontId="1" fillId="9" borderId="0" xfId="47" applyFill="1" applyAlignment="1">
      <alignment horizontal="center" vertical="center"/>
    </xf>
    <xf numFmtId="175" fontId="15" fillId="4" borderId="0" xfId="47" applyNumberFormat="1" applyFont="1" applyFill="1" applyBorder="1"/>
    <xf numFmtId="175" fontId="4" fillId="0" borderId="0" xfId="47" applyNumberFormat="1" applyFont="1" applyFill="1" applyBorder="1"/>
    <xf numFmtId="175" fontId="10" fillId="4" borderId="0" xfId="47" applyNumberFormat="1" applyFont="1" applyFill="1" applyBorder="1" applyAlignment="1"/>
    <xf numFmtId="175" fontId="10" fillId="0" borderId="0" xfId="47" applyNumberFormat="1" applyFont="1" applyFill="1" applyBorder="1" applyAlignment="1"/>
    <xf numFmtId="175" fontId="10" fillId="4" borderId="0" xfId="36" applyNumberFormat="1" applyFont="1" applyFill="1" applyBorder="1" applyAlignment="1"/>
    <xf numFmtId="9" fontId="1" fillId="0" borderId="0" xfId="46" applyNumberFormat="1" applyFill="1" applyBorder="1"/>
    <xf numFmtId="9" fontId="10" fillId="0" borderId="2" xfId="46" applyNumberFormat="1" applyFont="1" applyFill="1" applyBorder="1"/>
    <xf numFmtId="43" fontId="87" fillId="0" borderId="8" xfId="36" applyFont="1" applyFill="1" applyBorder="1" applyAlignment="1">
      <alignment horizontal="right"/>
    </xf>
    <xf numFmtId="0" fontId="1" fillId="0" borderId="0" xfId="46"/>
    <xf numFmtId="170" fontId="4" fillId="0" borderId="6" xfId="36" applyNumberFormat="1" applyFont="1" applyFill="1" applyBorder="1" applyAlignment="1"/>
    <xf numFmtId="170" fontId="88" fillId="0" borderId="8" xfId="46" applyNumberFormat="1" applyFont="1" applyFill="1" applyBorder="1"/>
    <xf numFmtId="44" fontId="88" fillId="0" borderId="8" xfId="37" applyNumberFormat="1" applyFont="1" applyFill="1" applyBorder="1"/>
    <xf numFmtId="170" fontId="89" fillId="0" borderId="8" xfId="46" applyNumberFormat="1" applyFont="1" applyFill="1" applyBorder="1"/>
    <xf numFmtId="165" fontId="4" fillId="0" borderId="2" xfId="47" applyNumberFormat="1" applyFont="1" applyFill="1" applyBorder="1" applyAlignment="1">
      <alignment horizontal="right"/>
    </xf>
    <xf numFmtId="0" fontId="4" fillId="0" borderId="0" xfId="47" applyFont="1" applyFill="1" applyAlignment="1">
      <alignment horizontal="right"/>
    </xf>
    <xf numFmtId="165" fontId="15" fillId="0" borderId="10" xfId="47" applyNumberFormat="1" applyFont="1" applyFill="1" applyBorder="1" applyAlignment="1"/>
    <xf numFmtId="165" fontId="15" fillId="0" borderId="0" xfId="47" applyNumberFormat="1" applyFont="1" applyFill="1" applyBorder="1" applyAlignment="1"/>
    <xf numFmtId="0" fontId="34" fillId="0" borderId="0" xfId="47" applyFont="1" applyFill="1" applyBorder="1" applyAlignment="1"/>
    <xf numFmtId="0" fontId="1" fillId="0" borderId="0" xfId="46"/>
    <xf numFmtId="0" fontId="84" fillId="0" borderId="0" xfId="47" applyFont="1" applyFill="1" applyBorder="1" applyAlignment="1">
      <alignment horizontal="center"/>
    </xf>
    <xf numFmtId="169" fontId="10" fillId="0" borderId="0" xfId="47" applyNumberFormat="1" applyFont="1" applyFill="1" applyBorder="1" applyAlignment="1">
      <alignment horizontal="center"/>
    </xf>
    <xf numFmtId="175" fontId="15" fillId="0" borderId="0" xfId="47" applyNumberFormat="1" applyFont="1" applyFill="1" applyBorder="1" applyAlignment="1"/>
    <xf numFmtId="0" fontId="9" fillId="5" borderId="0" xfId="47" applyFont="1" applyFill="1" applyBorder="1" applyAlignment="1">
      <alignment horizontal="center"/>
    </xf>
    <xf numFmtId="165" fontId="15" fillId="0" borderId="0" xfId="36" applyNumberFormat="1" applyFont="1" applyFill="1" applyBorder="1" applyAlignment="1"/>
    <xf numFmtId="165" fontId="6" fillId="0" borderId="0" xfId="36" applyNumberFormat="1" applyFont="1" applyFill="1" applyBorder="1" applyAlignment="1"/>
    <xf numFmtId="168" fontId="9" fillId="5" borderId="0" xfId="47" applyNumberFormat="1" applyFont="1" applyFill="1" applyBorder="1" applyAlignment="1">
      <alignment horizontal="right"/>
    </xf>
    <xf numFmtId="165" fontId="7" fillId="0" borderId="0" xfId="59" applyNumberFormat="1" applyFont="1" applyFill="1" applyBorder="1" applyAlignment="1">
      <alignment horizontal="right"/>
    </xf>
    <xf numFmtId="180" fontId="4" fillId="0" borderId="0" xfId="59" applyNumberFormat="1" applyFont="1" applyFill="1" applyBorder="1" applyAlignment="1"/>
    <xf numFmtId="214" fontId="4" fillId="0" borderId="0" xfId="47" applyNumberFormat="1" applyFont="1" applyFill="1" applyBorder="1" applyAlignment="1"/>
    <xf numFmtId="165" fontId="27" fillId="0" borderId="0" xfId="47" applyNumberFormat="1" applyFont="1" applyFill="1" applyBorder="1"/>
    <xf numFmtId="0" fontId="7" fillId="5" borderId="0" xfId="47" applyFont="1" applyFill="1" applyBorder="1" applyAlignment="1">
      <alignment horizontal="center"/>
    </xf>
    <xf numFmtId="171" fontId="29" fillId="6" borderId="0" xfId="47" applyNumberFormat="1" applyFont="1" applyFill="1" applyBorder="1" applyAlignment="1"/>
    <xf numFmtId="165" fontId="35" fillId="0" borderId="0" xfId="59" applyNumberFormat="1" applyFont="1" applyFill="1" applyBorder="1"/>
    <xf numFmtId="170" fontId="4" fillId="0" borderId="0" xfId="59" applyNumberFormat="1" applyFont="1" applyFill="1" applyBorder="1" applyAlignment="1">
      <alignment horizontal="right"/>
    </xf>
    <xf numFmtId="185" fontId="7" fillId="0" borderId="0" xfId="47" applyNumberFormat="1" applyFont="1" applyFill="1" applyBorder="1" applyAlignment="1" applyProtection="1">
      <alignment horizontal="center"/>
    </xf>
    <xf numFmtId="0" fontId="9" fillId="5" borderId="0" xfId="54" applyFont="1" applyFill="1" applyBorder="1" applyAlignment="1">
      <alignment horizontal="center"/>
    </xf>
    <xf numFmtId="0" fontId="18" fillId="5" borderId="0" xfId="47" applyFont="1" applyFill="1" applyBorder="1"/>
    <xf numFmtId="0" fontId="7" fillId="4" borderId="0" xfId="47" applyFont="1" applyFill="1" applyBorder="1" applyAlignment="1">
      <alignment horizontal="center"/>
    </xf>
    <xf numFmtId="189" fontId="13" fillId="0" borderId="0" xfId="47" applyNumberFormat="1" applyFont="1" applyFill="1" applyBorder="1" applyAlignment="1">
      <alignment horizontal="right"/>
    </xf>
    <xf numFmtId="189" fontId="18" fillId="5" borderId="0" xfId="47" applyNumberFormat="1" applyFont="1" applyFill="1" applyBorder="1" applyAlignment="1">
      <alignment horizontal="right"/>
    </xf>
    <xf numFmtId="165" fontId="9" fillId="5" borderId="0" xfId="59" applyNumberFormat="1" applyFont="1" applyFill="1" applyBorder="1" applyAlignment="1">
      <alignment horizontal="right"/>
    </xf>
    <xf numFmtId="181" fontId="13" fillId="0" borderId="0" xfId="47" applyNumberFormat="1" applyFont="1" applyFill="1" applyBorder="1" applyAlignment="1">
      <alignment horizontal="right"/>
    </xf>
    <xf numFmtId="0" fontId="7" fillId="4" borderId="0" xfId="46" applyFont="1" applyFill="1" applyBorder="1" applyAlignment="1">
      <alignment horizontal="center"/>
    </xf>
    <xf numFmtId="172" fontId="11" fillId="0" borderId="0" xfId="46" applyNumberFormat="1" applyFont="1" applyFill="1" applyBorder="1"/>
    <xf numFmtId="172" fontId="7" fillId="0" borderId="0" xfId="46" applyNumberFormat="1" applyFont="1" applyFill="1" applyBorder="1" applyAlignment="1" applyProtection="1">
      <alignment horizontal="right" vertical="center"/>
    </xf>
    <xf numFmtId="43" fontId="10" fillId="0" borderId="0" xfId="36" applyFont="1" applyFill="1" applyBorder="1" applyAlignment="1">
      <alignment horizontal="right"/>
    </xf>
    <xf numFmtId="170" fontId="4" fillId="6" borderId="0" xfId="46" applyNumberFormat="1" applyFont="1" applyFill="1" applyBorder="1"/>
    <xf numFmtId="172" fontId="7" fillId="6" borderId="0" xfId="46" applyNumberFormat="1" applyFont="1" applyFill="1" applyBorder="1" applyAlignment="1" applyProtection="1">
      <alignment horizontal="right" vertical="center"/>
    </xf>
    <xf numFmtId="167" fontId="10" fillId="0" borderId="0" xfId="46" applyNumberFormat="1" applyFont="1" applyFill="1" applyBorder="1"/>
    <xf numFmtId="9" fontId="10" fillId="0" borderId="0" xfId="46" applyNumberFormat="1" applyFont="1" applyFill="1" applyBorder="1"/>
    <xf numFmtId="44" fontId="4" fillId="0" borderId="0" xfId="37" applyNumberFormat="1" applyFont="1" applyFill="1" applyBorder="1"/>
    <xf numFmtId="172" fontId="4" fillId="0" borderId="0" xfId="37" applyNumberFormat="1" applyFont="1" applyFill="1" applyBorder="1"/>
    <xf numFmtId="165" fontId="10" fillId="0" borderId="0" xfId="46" applyNumberFormat="1" applyFont="1" applyFill="1" applyBorder="1"/>
    <xf numFmtId="196" fontId="1" fillId="0" borderId="0" xfId="46" applyNumberFormat="1" applyFont="1" applyFill="1" applyBorder="1"/>
    <xf numFmtId="166" fontId="7" fillId="0" borderId="0" xfId="46" applyNumberFormat="1" applyFont="1" applyFill="1" applyBorder="1" applyAlignment="1">
      <alignment horizontal="center"/>
    </xf>
    <xf numFmtId="0" fontId="55" fillId="0" borderId="0" xfId="46" applyFont="1" applyFill="1" applyAlignment="1">
      <alignment horizontal="center" vertical="center"/>
    </xf>
    <xf numFmtId="0" fontId="55" fillId="0" borderId="0" xfId="46" applyFont="1" applyFill="1" applyBorder="1" applyAlignment="1">
      <alignment horizontal="center" vertical="center"/>
    </xf>
    <xf numFmtId="170" fontId="91" fillId="0" borderId="10" xfId="36" applyNumberFormat="1" applyFont="1" applyFill="1" applyBorder="1" applyAlignment="1"/>
    <xf numFmtId="170" fontId="88" fillId="0" borderId="10" xfId="36" applyNumberFormat="1" applyFont="1" applyFill="1" applyBorder="1" applyAlignment="1"/>
    <xf numFmtId="170" fontId="91" fillId="0" borderId="10" xfId="47" applyNumberFormat="1" applyFont="1" applyFill="1" applyBorder="1" applyAlignment="1"/>
    <xf numFmtId="170" fontId="92" fillId="0" borderId="10" xfId="47" applyNumberFormat="1" applyFont="1" applyFill="1" applyBorder="1" applyAlignment="1"/>
    <xf numFmtId="170" fontId="92" fillId="0" borderId="10" xfId="36" applyNumberFormat="1" applyFont="1" applyFill="1" applyBorder="1" applyAlignment="1"/>
    <xf numFmtId="37" fontId="91" fillId="0" borderId="10" xfId="47" applyNumberFormat="1" applyFont="1" applyFill="1" applyBorder="1" applyAlignment="1"/>
    <xf numFmtId="37" fontId="91" fillId="0" borderId="12" xfId="47" applyNumberFormat="1" applyFont="1" applyFill="1" applyBorder="1" applyAlignment="1"/>
    <xf numFmtId="9" fontId="92" fillId="0" borderId="9" xfId="59" applyFont="1" applyFill="1" applyBorder="1" applyAlignment="1"/>
    <xf numFmtId="9" fontId="92" fillId="0" borderId="10" xfId="59" applyFont="1" applyFill="1" applyBorder="1" applyAlignment="1"/>
    <xf numFmtId="9" fontId="92" fillId="0" borderId="12" xfId="59" applyFont="1" applyFill="1" applyBorder="1" applyAlignment="1"/>
    <xf numFmtId="170" fontId="91" fillId="0" borderId="12" xfId="36" applyNumberFormat="1" applyFont="1" applyFill="1" applyBorder="1" applyAlignment="1"/>
    <xf numFmtId="0" fontId="55" fillId="0" borderId="0" xfId="46" applyFont="1" applyFill="1" applyBorder="1" applyAlignment="1">
      <alignment horizontal="center"/>
    </xf>
    <xf numFmtId="165" fontId="93" fillId="0" borderId="10" xfId="59" applyNumberFormat="1" applyFont="1" applyFill="1" applyBorder="1" applyAlignment="1">
      <alignment horizontal="right"/>
    </xf>
    <xf numFmtId="9" fontId="4" fillId="0" borderId="12" xfId="36" applyNumberFormat="1" applyFont="1" applyFill="1" applyBorder="1"/>
    <xf numFmtId="165" fontId="92" fillId="0" borderId="10" xfId="47" applyNumberFormat="1" applyFont="1" applyFill="1" applyBorder="1"/>
    <xf numFmtId="165" fontId="94" fillId="0" borderId="12" xfId="59" applyNumberFormat="1" applyFont="1" applyFill="1" applyBorder="1"/>
    <xf numFmtId="44" fontId="88" fillId="0" borderId="12" xfId="37" applyFont="1" applyFill="1" applyBorder="1"/>
    <xf numFmtId="0" fontId="7" fillId="12" borderId="8" xfId="54" applyFont="1" applyFill="1" applyBorder="1" applyAlignment="1">
      <alignment horizontal="left"/>
    </xf>
    <xf numFmtId="0" fontId="7" fillId="12" borderId="0" xfId="54" applyFont="1" applyFill="1" applyBorder="1" applyAlignment="1">
      <alignment horizontal="left"/>
    </xf>
    <xf numFmtId="165" fontId="7" fillId="12" borderId="10" xfId="54" applyNumberFormat="1" applyFont="1" applyFill="1" applyBorder="1"/>
    <xf numFmtId="165" fontId="7" fillId="12" borderId="0" xfId="54" applyNumberFormat="1" applyFont="1" applyFill="1" applyBorder="1"/>
    <xf numFmtId="165" fontId="7" fillId="12" borderId="16" xfId="54" applyNumberFormat="1" applyFont="1" applyFill="1" applyBorder="1"/>
    <xf numFmtId="165" fontId="7" fillId="12" borderId="8" xfId="54" applyNumberFormat="1" applyFont="1" applyFill="1" applyBorder="1"/>
    <xf numFmtId="9" fontId="7" fillId="12" borderId="0" xfId="54" applyNumberFormat="1" applyFont="1" applyFill="1" applyBorder="1"/>
    <xf numFmtId="9" fontId="4" fillId="0" borderId="8" xfId="59" applyFont="1" applyFill="1" applyBorder="1" applyAlignment="1">
      <alignment horizontal="left" indent="1"/>
    </xf>
    <xf numFmtId="165" fontId="52" fillId="0" borderId="10" xfId="59" applyNumberFormat="1" applyFont="1" applyFill="1" applyBorder="1"/>
    <xf numFmtId="165" fontId="52" fillId="0" borderId="0" xfId="59" applyNumberFormat="1" applyFont="1" applyFill="1" applyBorder="1"/>
    <xf numFmtId="165" fontId="52" fillId="0" borderId="8" xfId="59" applyNumberFormat="1" applyFont="1" applyFill="1" applyBorder="1"/>
    <xf numFmtId="165" fontId="34" fillId="0" borderId="8" xfId="59" applyNumberFormat="1" applyFont="1" applyFill="1" applyBorder="1"/>
    <xf numFmtId="165" fontId="34" fillId="0" borderId="10" xfId="59" applyNumberFormat="1" applyFont="1" applyFill="1" applyBorder="1"/>
    <xf numFmtId="9" fontId="4" fillId="0" borderId="9" xfId="59" applyFont="1" applyBorder="1" applyAlignment="1">
      <alignment horizontal="right"/>
    </xf>
    <xf numFmtId="9" fontId="4" fillId="0" borderId="13" xfId="59" applyNumberFormat="1" applyFont="1" applyBorder="1" applyAlignment="1">
      <alignment horizontal="right"/>
    </xf>
    <xf numFmtId="9" fontId="4" fillId="0" borderId="10" xfId="59" applyFont="1" applyBorder="1" applyAlignment="1">
      <alignment horizontal="right"/>
    </xf>
    <xf numFmtId="9" fontId="4" fillId="0" borderId="0" xfId="59" applyNumberFormat="1" applyFont="1" applyBorder="1" applyAlignment="1">
      <alignment horizontal="right"/>
    </xf>
    <xf numFmtId="9" fontId="4" fillId="0" borderId="12" xfId="59" applyFont="1" applyBorder="1" applyAlignment="1">
      <alignment horizontal="right"/>
    </xf>
    <xf numFmtId="9" fontId="4" fillId="0" borderId="2" xfId="59" applyNumberFormat="1" applyFont="1" applyBorder="1" applyAlignment="1">
      <alignment horizontal="right"/>
    </xf>
    <xf numFmtId="216" fontId="83" fillId="0" borderId="0" xfId="47" applyNumberFormat="1" applyFont="1" applyFill="1" applyBorder="1"/>
    <xf numFmtId="0" fontId="9" fillId="13" borderId="3" xfId="47" applyFont="1" applyFill="1" applyBorder="1"/>
    <xf numFmtId="0" fontId="1" fillId="13" borderId="0" xfId="47" applyFill="1"/>
    <xf numFmtId="168" fontId="9" fillId="13" borderId="4" xfId="47" applyNumberFormat="1" applyFont="1" applyFill="1" applyBorder="1" applyAlignment="1">
      <alignment horizontal="center"/>
    </xf>
    <xf numFmtId="168" fontId="9" fillId="13" borderId="5" xfId="47" applyNumberFormat="1" applyFont="1" applyFill="1" applyBorder="1" applyAlignment="1">
      <alignment horizontal="center"/>
    </xf>
    <xf numFmtId="0" fontId="9" fillId="13" borderId="3" xfId="47" applyFont="1" applyFill="1" applyBorder="1" applyAlignment="1">
      <alignment horizontal="center"/>
    </xf>
    <xf numFmtId="0" fontId="9" fillId="13" borderId="0" xfId="47" applyFont="1" applyFill="1" applyBorder="1" applyAlignment="1"/>
    <xf numFmtId="168" fontId="9" fillId="13" borderId="3" xfId="47" applyNumberFormat="1" applyFont="1" applyFill="1" applyBorder="1" applyAlignment="1">
      <alignment horizontal="center"/>
    </xf>
    <xf numFmtId="168" fontId="7" fillId="13" borderId="5" xfId="47" applyNumberFormat="1" applyFont="1" applyFill="1" applyBorder="1" applyAlignment="1">
      <alignment horizontal="center"/>
    </xf>
    <xf numFmtId="0" fontId="7" fillId="13" borderId="3" xfId="47" applyFont="1" applyFill="1" applyBorder="1" applyAlignment="1">
      <alignment horizontal="center"/>
    </xf>
    <xf numFmtId="168" fontId="7" fillId="13" borderId="4" xfId="47" applyNumberFormat="1" applyFont="1" applyFill="1" applyBorder="1" applyAlignment="1">
      <alignment horizontal="center"/>
    </xf>
    <xf numFmtId="168" fontId="7" fillId="13" borderId="13" xfId="47" applyNumberFormat="1" applyFont="1" applyFill="1" applyBorder="1" applyAlignment="1">
      <alignment horizontal="center"/>
    </xf>
    <xf numFmtId="168" fontId="7" fillId="13" borderId="7" xfId="47" applyNumberFormat="1" applyFont="1" applyFill="1" applyBorder="1" applyAlignment="1">
      <alignment horizontal="center"/>
    </xf>
    <xf numFmtId="0" fontId="9" fillId="13" borderId="6" xfId="47" applyFont="1" applyFill="1" applyBorder="1"/>
    <xf numFmtId="168" fontId="9" fillId="13" borderId="13" xfId="47" applyNumberFormat="1" applyFont="1" applyFill="1" applyBorder="1" applyAlignment="1">
      <alignment horizontal="center"/>
    </xf>
    <xf numFmtId="0" fontId="9" fillId="13" borderId="14" xfId="47" applyFont="1" applyFill="1" applyBorder="1" applyAlignment="1">
      <alignment horizontal="center"/>
    </xf>
    <xf numFmtId="168" fontId="9" fillId="13" borderId="9" xfId="47" applyNumberFormat="1" applyFont="1" applyFill="1" applyBorder="1" applyAlignment="1">
      <alignment horizontal="center"/>
    </xf>
    <xf numFmtId="0" fontId="9" fillId="13" borderId="13" xfId="47" applyFont="1" applyFill="1" applyBorder="1" applyAlignment="1">
      <alignment horizontal="center"/>
    </xf>
    <xf numFmtId="10" fontId="9" fillId="13" borderId="13" xfId="47" applyNumberFormat="1" applyFont="1" applyFill="1" applyBorder="1" applyAlignment="1">
      <alignment horizontal="center"/>
    </xf>
    <xf numFmtId="168" fontId="9" fillId="13" borderId="7" xfId="47" applyNumberFormat="1" applyFont="1" applyFill="1" applyBorder="1" applyAlignment="1">
      <alignment horizontal="center"/>
    </xf>
    <xf numFmtId="0" fontId="9" fillId="13" borderId="0" xfId="47" applyFont="1" applyFill="1" applyBorder="1" applyAlignment="1">
      <alignment horizontal="center"/>
    </xf>
    <xf numFmtId="0" fontId="9" fillId="13" borderId="3" xfId="47" applyFont="1" applyFill="1" applyBorder="1" applyAlignment="1">
      <alignment horizontal="left"/>
    </xf>
    <xf numFmtId="0" fontId="9" fillId="13" borderId="7" xfId="47" applyFont="1" applyFill="1" applyBorder="1" applyAlignment="1">
      <alignment horizontal="center"/>
    </xf>
    <xf numFmtId="0" fontId="9" fillId="13" borderId="5" xfId="47" applyFont="1" applyFill="1" applyBorder="1" applyAlignment="1"/>
    <xf numFmtId="41" fontId="9" fillId="13" borderId="3" xfId="47" applyNumberFormat="1" applyFont="1" applyFill="1" applyBorder="1"/>
    <xf numFmtId="165" fontId="34" fillId="0" borderId="16" xfId="59" applyNumberFormat="1" applyFont="1" applyFill="1" applyBorder="1"/>
    <xf numFmtId="175" fontId="6" fillId="0" borderId="2" xfId="47" applyNumberFormat="1" applyFont="1" applyFill="1" applyBorder="1" applyAlignment="1"/>
    <xf numFmtId="37" fontId="91" fillId="0" borderId="0" xfId="47" applyNumberFormat="1" applyFont="1" applyFill="1" applyBorder="1" applyAlignment="1"/>
    <xf numFmtId="37" fontId="91" fillId="0" borderId="2" xfId="47" applyNumberFormat="1" applyFont="1" applyFill="1" applyBorder="1" applyAlignment="1"/>
    <xf numFmtId="170" fontId="91" fillId="0" borderId="0" xfId="47" applyNumberFormat="1" applyFont="1" applyFill="1" applyBorder="1" applyAlignment="1"/>
    <xf numFmtId="165" fontId="93" fillId="0" borderId="0" xfId="59" applyNumberFormat="1" applyFont="1" applyFill="1" applyBorder="1" applyAlignment="1">
      <alignment horizontal="right"/>
    </xf>
    <xf numFmtId="170" fontId="91" fillId="0" borderId="0" xfId="36" applyNumberFormat="1" applyFont="1" applyFill="1" applyBorder="1" applyAlignment="1"/>
    <xf numFmtId="171" fontId="29" fillId="6" borderId="2" xfId="47" applyNumberFormat="1" applyFont="1" applyFill="1" applyBorder="1" applyAlignment="1"/>
    <xf numFmtId="165" fontId="74" fillId="0" borderId="5" xfId="59" applyNumberFormat="1" applyFont="1" applyFill="1" applyBorder="1"/>
    <xf numFmtId="165" fontId="95" fillId="0" borderId="2" xfId="59" applyNumberFormat="1" applyFont="1" applyFill="1" applyBorder="1"/>
    <xf numFmtId="165" fontId="96" fillId="0" borderId="2" xfId="59" applyNumberFormat="1" applyFont="1" applyFill="1" applyBorder="1"/>
    <xf numFmtId="170" fontId="97" fillId="0" borderId="0" xfId="47" applyNumberFormat="1" applyFont="1" applyFill="1" applyBorder="1" applyAlignment="1"/>
    <xf numFmtId="170" fontId="97" fillId="0" borderId="10" xfId="47" applyNumberFormat="1" applyFont="1" applyFill="1" applyBorder="1" applyAlignment="1"/>
    <xf numFmtId="170" fontId="98" fillId="0" borderId="0" xfId="47" applyNumberFormat="1" applyFont="1" applyFill="1" applyBorder="1" applyAlignment="1"/>
    <xf numFmtId="170" fontId="98" fillId="0" borderId="10" xfId="47" applyNumberFormat="1" applyFont="1" applyFill="1" applyBorder="1" applyAlignment="1"/>
    <xf numFmtId="9" fontId="74" fillId="0" borderId="9" xfId="59" applyFont="1" applyFill="1" applyBorder="1" applyAlignment="1">
      <alignment horizontal="right"/>
    </xf>
    <xf numFmtId="165" fontId="88" fillId="0" borderId="16" xfId="54" applyNumberFormat="1" applyFont="1" applyFill="1" applyBorder="1"/>
    <xf numFmtId="165" fontId="88" fillId="0" borderId="0" xfId="47" applyNumberFormat="1" applyFont="1" applyFill="1" applyBorder="1"/>
    <xf numFmtId="168" fontId="90" fillId="5" borderId="4" xfId="47" applyNumberFormat="1" applyFont="1" applyFill="1" applyBorder="1" applyAlignment="1">
      <alignment horizontal="center"/>
    </xf>
    <xf numFmtId="168" fontId="90" fillId="5" borderId="5" xfId="47" applyNumberFormat="1" applyFont="1" applyFill="1" applyBorder="1" applyAlignment="1">
      <alignment horizontal="center"/>
    </xf>
    <xf numFmtId="9" fontId="88" fillId="0" borderId="10" xfId="47" applyNumberFormat="1" applyFont="1" applyFill="1" applyBorder="1"/>
    <xf numFmtId="9" fontId="88" fillId="0" borderId="13" xfId="59" applyNumberFormat="1" applyFont="1" applyFill="1" applyBorder="1"/>
    <xf numFmtId="9" fontId="88" fillId="0" borderId="10" xfId="36" applyNumberFormat="1" applyFont="1" applyFill="1" applyBorder="1"/>
    <xf numFmtId="9" fontId="88" fillId="0" borderId="0" xfId="59" applyNumberFormat="1" applyFont="1" applyFill="1" applyBorder="1"/>
    <xf numFmtId="9" fontId="88" fillId="0" borderId="12" xfId="54" applyNumberFormat="1" applyFont="1" applyFill="1" applyBorder="1"/>
    <xf numFmtId="9" fontId="88" fillId="0" borderId="2" xfId="59" applyNumberFormat="1" applyFont="1" applyBorder="1"/>
    <xf numFmtId="7" fontId="7" fillId="12" borderId="8" xfId="47" applyNumberFormat="1" applyFont="1" applyFill="1" applyBorder="1" applyAlignment="1">
      <alignment horizontal="left" vertical="center"/>
    </xf>
    <xf numFmtId="7" fontId="7" fillId="12" borderId="0" xfId="47" applyNumberFormat="1" applyFont="1" applyFill="1" applyBorder="1" applyAlignment="1">
      <alignment vertical="center"/>
    </xf>
    <xf numFmtId="7" fontId="4" fillId="12" borderId="10" xfId="47" applyNumberFormat="1" applyFont="1" applyFill="1" applyBorder="1" applyAlignment="1">
      <alignment vertical="center"/>
    </xf>
    <xf numFmtId="7" fontId="4" fillId="12" borderId="0" xfId="47" applyNumberFormat="1" applyFont="1" applyFill="1" applyBorder="1" applyAlignment="1">
      <alignment vertical="center"/>
    </xf>
    <xf numFmtId="7" fontId="4" fillId="12" borderId="8" xfId="47" applyNumberFormat="1" applyFont="1" applyFill="1" applyBorder="1" applyAlignment="1">
      <alignment vertical="center"/>
    </xf>
    <xf numFmtId="7" fontId="7" fillId="12" borderId="10" xfId="47" applyNumberFormat="1" applyFont="1" applyFill="1" applyBorder="1" applyAlignment="1">
      <alignment vertical="center"/>
    </xf>
    <xf numFmtId="7" fontId="7" fillId="12" borderId="8" xfId="47" applyNumberFormat="1" applyFont="1" applyFill="1" applyBorder="1" applyAlignment="1">
      <alignment vertical="center"/>
    </xf>
    <xf numFmtId="0" fontId="4" fillId="12" borderId="8" xfId="55" applyFont="1" applyFill="1" applyBorder="1" applyAlignment="1">
      <alignment horizontal="left" indent="1"/>
    </xf>
    <xf numFmtId="0" fontId="4" fillId="12" borderId="0" xfId="47" applyFont="1" applyFill="1" applyBorder="1"/>
    <xf numFmtId="172" fontId="13" fillId="12" borderId="10" xfId="47" applyNumberFormat="1" applyFont="1" applyFill="1" applyBorder="1" applyAlignment="1"/>
    <xf numFmtId="172" fontId="13" fillId="12" borderId="0" xfId="47" applyNumberFormat="1" applyFont="1" applyFill="1" applyBorder="1" applyAlignment="1"/>
    <xf numFmtId="172" fontId="4" fillId="12" borderId="0" xfId="47" applyNumberFormat="1" applyFont="1" applyFill="1" applyBorder="1" applyAlignment="1"/>
    <xf numFmtId="172" fontId="4" fillId="12" borderId="8" xfId="47" applyNumberFormat="1" applyFont="1" applyFill="1" applyBorder="1" applyAlignment="1"/>
    <xf numFmtId="0" fontId="22" fillId="12" borderId="0" xfId="47" applyFont="1" applyFill="1" applyBorder="1" applyAlignment="1"/>
    <xf numFmtId="165" fontId="15" fillId="12" borderId="8" xfId="59" applyNumberFormat="1" applyFont="1" applyFill="1" applyBorder="1" applyAlignment="1">
      <alignment horizontal="left" indent="2"/>
    </xf>
    <xf numFmtId="165" fontId="15" fillId="12" borderId="0" xfId="59" applyNumberFormat="1" applyFont="1" applyFill="1" applyBorder="1"/>
    <xf numFmtId="165" fontId="6" fillId="12" borderId="10" xfId="59" applyNumberFormat="1" applyFont="1" applyFill="1" applyBorder="1" applyAlignment="1"/>
    <xf numFmtId="165" fontId="6" fillId="12" borderId="0" xfId="59" applyNumberFormat="1" applyFont="1" applyFill="1" applyBorder="1" applyAlignment="1"/>
    <xf numFmtId="165" fontId="15" fillId="12" borderId="0" xfId="59" applyNumberFormat="1" applyFont="1" applyFill="1" applyBorder="1" applyAlignment="1"/>
    <xf numFmtId="165" fontId="15" fillId="12" borderId="8" xfId="59" applyNumberFormat="1" applyFont="1" applyFill="1" applyBorder="1" applyAlignment="1"/>
    <xf numFmtId="165" fontId="17" fillId="12" borderId="0" xfId="59" applyNumberFormat="1" applyFont="1" applyFill="1" applyBorder="1" applyAlignment="1"/>
    <xf numFmtId="172" fontId="4" fillId="12" borderId="10" xfId="59" applyNumberFormat="1" applyFont="1" applyFill="1" applyBorder="1" applyAlignment="1"/>
    <xf numFmtId="172" fontId="4" fillId="12" borderId="0" xfId="59" applyNumberFormat="1" applyFont="1" applyFill="1" applyBorder="1" applyAlignment="1"/>
    <xf numFmtId="172" fontId="4" fillId="12" borderId="8" xfId="59" applyNumberFormat="1" applyFont="1" applyFill="1" applyBorder="1" applyAlignment="1"/>
    <xf numFmtId="172" fontId="4" fillId="12" borderId="10" xfId="47" applyNumberFormat="1" applyFont="1" applyFill="1" applyBorder="1" applyAlignment="1"/>
    <xf numFmtId="165" fontId="15" fillId="12" borderId="10" xfId="59" applyNumberFormat="1" applyFont="1" applyFill="1" applyBorder="1" applyAlignment="1"/>
    <xf numFmtId="165" fontId="16" fillId="12" borderId="10" xfId="59" applyNumberFormat="1" applyFont="1" applyFill="1" applyBorder="1" applyAlignment="1"/>
    <xf numFmtId="165" fontId="16" fillId="12" borderId="0" xfId="59" applyNumberFormat="1" applyFont="1" applyFill="1" applyBorder="1" applyAlignment="1"/>
    <xf numFmtId="165" fontId="16" fillId="12" borderId="16" xfId="59" applyNumberFormat="1" applyFont="1" applyFill="1" applyBorder="1" applyAlignment="1"/>
    <xf numFmtId="172" fontId="10" fillId="12" borderId="0" xfId="47" applyNumberFormat="1" applyFont="1" applyFill="1" applyBorder="1" applyAlignment="1"/>
    <xf numFmtId="165" fontId="76" fillId="12" borderId="10" xfId="59" applyNumberFormat="1" applyFont="1" applyFill="1" applyBorder="1" applyAlignment="1"/>
    <xf numFmtId="165" fontId="76" fillId="12" borderId="0" xfId="59" applyNumberFormat="1" applyFont="1" applyFill="1" applyBorder="1" applyAlignment="1"/>
    <xf numFmtId="172" fontId="4" fillId="12" borderId="16" xfId="47" applyNumberFormat="1" applyFont="1" applyFill="1" applyBorder="1" applyAlignment="1"/>
    <xf numFmtId="165" fontId="17" fillId="12" borderId="8" xfId="59" applyNumberFormat="1" applyFont="1" applyFill="1" applyBorder="1" applyAlignment="1"/>
    <xf numFmtId="165" fontId="15" fillId="12" borderId="16" xfId="59" applyNumberFormat="1" applyFont="1" applyFill="1" applyBorder="1" applyAlignment="1"/>
    <xf numFmtId="165" fontId="76" fillId="12" borderId="10" xfId="59" applyNumberFormat="1" applyFont="1" applyFill="1" applyBorder="1"/>
    <xf numFmtId="165" fontId="76" fillId="12" borderId="0" xfId="59" applyNumberFormat="1" applyFont="1" applyFill="1" applyBorder="1"/>
    <xf numFmtId="165" fontId="23" fillId="12" borderId="0" xfId="59" applyNumberFormat="1" applyFont="1" applyFill="1" applyBorder="1" applyAlignment="1"/>
    <xf numFmtId="165" fontId="76" fillId="12" borderId="8" xfId="59" applyNumberFormat="1" applyFont="1" applyFill="1" applyBorder="1" applyAlignment="1"/>
    <xf numFmtId="165" fontId="23" fillId="12" borderId="0" xfId="59" applyNumberFormat="1" applyFont="1" applyFill="1" applyBorder="1"/>
    <xf numFmtId="165" fontId="24" fillId="12" borderId="10" xfId="59" applyNumberFormat="1" applyFont="1" applyFill="1" applyBorder="1" applyAlignment="1"/>
    <xf numFmtId="165" fontId="24" fillId="12" borderId="0" xfId="59" applyNumberFormat="1" applyFont="1" applyFill="1" applyBorder="1" applyAlignment="1"/>
    <xf numFmtId="172" fontId="74" fillId="12" borderId="10" xfId="47" applyNumberFormat="1" applyFont="1" applyFill="1" applyBorder="1" applyAlignment="1"/>
    <xf numFmtId="172" fontId="74" fillId="12" borderId="0" xfId="47" applyNumberFormat="1" applyFont="1" applyFill="1" applyBorder="1" applyAlignment="1"/>
    <xf numFmtId="0" fontId="1" fillId="12" borderId="0" xfId="47" applyFont="1" applyFill="1" applyBorder="1" applyAlignment="1"/>
    <xf numFmtId="0" fontId="22" fillId="12" borderId="6" xfId="47" applyFont="1" applyFill="1" applyBorder="1" applyAlignment="1"/>
    <xf numFmtId="0" fontId="1" fillId="12" borderId="0" xfId="47" applyFont="1" applyFill="1"/>
    <xf numFmtId="165" fontId="23" fillId="12" borderId="8" xfId="59" applyNumberFormat="1" applyFont="1" applyFill="1" applyBorder="1" applyAlignment="1"/>
    <xf numFmtId="172" fontId="10" fillId="12" borderId="10" xfId="47" applyNumberFormat="1" applyFont="1" applyFill="1" applyBorder="1" applyAlignment="1"/>
    <xf numFmtId="165" fontId="76" fillId="12" borderId="10" xfId="59" applyNumberFormat="1" applyFont="1" applyFill="1" applyBorder="1" applyAlignment="1">
      <alignment horizontal="right"/>
    </xf>
    <xf numFmtId="165" fontId="16" fillId="12" borderId="10" xfId="59" applyNumberFormat="1" applyFont="1" applyFill="1" applyBorder="1" applyAlignment="1">
      <alignment horizontal="right"/>
    </xf>
    <xf numFmtId="172" fontId="74" fillId="12" borderId="10" xfId="47" applyNumberFormat="1" applyFont="1" applyFill="1" applyBorder="1" applyAlignment="1">
      <alignment horizontal="right"/>
    </xf>
    <xf numFmtId="172" fontId="74" fillId="12" borderId="0" xfId="47" applyNumberFormat="1" applyFont="1" applyFill="1" applyBorder="1" applyAlignment="1">
      <alignment horizontal="right"/>
    </xf>
    <xf numFmtId="172" fontId="4" fillId="12" borderId="8" xfId="47" applyNumberFormat="1" applyFont="1" applyFill="1" applyBorder="1" applyAlignment="1">
      <alignment horizontal="right"/>
    </xf>
    <xf numFmtId="172" fontId="4" fillId="12" borderId="0" xfId="47" applyNumberFormat="1" applyFont="1" applyFill="1" applyBorder="1" applyAlignment="1">
      <alignment horizontal="right"/>
    </xf>
    <xf numFmtId="172" fontId="10" fillId="12" borderId="8" xfId="47" applyNumberFormat="1" applyFont="1" applyFill="1" applyBorder="1" applyAlignment="1">
      <alignment horizontal="right"/>
    </xf>
    <xf numFmtId="172" fontId="10" fillId="12" borderId="8" xfId="47" applyNumberFormat="1" applyFont="1" applyFill="1" applyBorder="1" applyAlignment="1"/>
    <xf numFmtId="165" fontId="16" fillId="12" borderId="0" xfId="59" applyNumberFormat="1" applyFont="1" applyFill="1" applyBorder="1" applyAlignment="1">
      <alignment horizontal="right"/>
    </xf>
    <xf numFmtId="0" fontId="7" fillId="12" borderId="8" xfId="55" applyFont="1" applyFill="1" applyBorder="1" applyAlignment="1"/>
    <xf numFmtId="0" fontId="7" fillId="12" borderId="0" xfId="47" applyFont="1" applyFill="1" applyBorder="1"/>
    <xf numFmtId="165" fontId="7" fillId="12" borderId="10" xfId="47" applyNumberFormat="1" applyFont="1" applyFill="1" applyBorder="1" applyAlignment="1"/>
    <xf numFmtId="165" fontId="7" fillId="12" borderId="0" xfId="47" applyNumberFormat="1" applyFont="1" applyFill="1" applyBorder="1" applyAlignment="1"/>
    <xf numFmtId="165" fontId="7" fillId="12" borderId="8" xfId="47" applyNumberFormat="1" applyFont="1" applyFill="1" applyBorder="1" applyAlignment="1"/>
    <xf numFmtId="0" fontId="26" fillId="12" borderId="0" xfId="47" applyFont="1" applyFill="1" applyBorder="1" applyAlignment="1"/>
    <xf numFmtId="171" fontId="4" fillId="12" borderId="8" xfId="36" applyNumberFormat="1" applyFont="1" applyFill="1" applyBorder="1" applyAlignment="1">
      <alignment horizontal="left" indent="1"/>
    </xf>
    <xf numFmtId="171" fontId="4" fillId="12" borderId="0" xfId="36" applyNumberFormat="1" applyFont="1" applyFill="1" applyBorder="1" applyAlignment="1">
      <alignment horizontal="left" indent="1"/>
    </xf>
    <xf numFmtId="164" fontId="74" fillId="12" borderId="10" xfId="47" applyNumberFormat="1" applyFont="1" applyFill="1" applyBorder="1"/>
    <xf numFmtId="164" fontId="74" fillId="12" borderId="0" xfId="47" applyNumberFormat="1" applyFont="1" applyFill="1" applyBorder="1"/>
    <xf numFmtId="164" fontId="74" fillId="12" borderId="16" xfId="47" applyNumberFormat="1" applyFont="1" applyFill="1" applyBorder="1"/>
    <xf numFmtId="164" fontId="4" fillId="12" borderId="6" xfId="47" applyNumberFormat="1" applyFont="1" applyFill="1" applyBorder="1"/>
    <xf numFmtId="171" fontId="10" fillId="12" borderId="16" xfId="36" applyNumberFormat="1" applyFont="1" applyFill="1" applyBorder="1" applyAlignment="1"/>
    <xf numFmtId="171" fontId="10" fillId="12" borderId="0" xfId="36" applyNumberFormat="1" applyFont="1" applyFill="1" applyBorder="1" applyAlignment="1"/>
    <xf numFmtId="164" fontId="10" fillId="12" borderId="10" xfId="47" applyNumberFormat="1" applyFont="1" applyFill="1" applyBorder="1"/>
    <xf numFmtId="164" fontId="10" fillId="12" borderId="0" xfId="47" applyNumberFormat="1" applyFont="1" applyFill="1" applyBorder="1"/>
    <xf numFmtId="164" fontId="10" fillId="12" borderId="16" xfId="47" applyNumberFormat="1" applyFont="1" applyFill="1" applyBorder="1"/>
    <xf numFmtId="0" fontId="4" fillId="12" borderId="9" xfId="47" applyFont="1" applyFill="1" applyBorder="1"/>
    <xf numFmtId="0" fontId="4" fillId="12" borderId="13" xfId="47" applyFont="1" applyFill="1" applyBorder="1"/>
    <xf numFmtId="0" fontId="4" fillId="12" borderId="14" xfId="47" applyFont="1" applyFill="1" applyBorder="1"/>
    <xf numFmtId="0" fontId="4" fillId="12" borderId="16" xfId="47" applyFont="1" applyFill="1" applyBorder="1"/>
    <xf numFmtId="170" fontId="74" fillId="12" borderId="10" xfId="36" applyNumberFormat="1" applyFont="1" applyFill="1" applyBorder="1" applyAlignment="1"/>
    <xf numFmtId="170" fontId="74" fillId="12" borderId="0" xfId="36" applyNumberFormat="1" applyFont="1" applyFill="1" applyBorder="1" applyAlignment="1"/>
    <xf numFmtId="170" fontId="10" fillId="12" borderId="8" xfId="36" applyNumberFormat="1" applyFont="1" applyFill="1" applyBorder="1" applyAlignment="1"/>
    <xf numFmtId="170" fontId="74" fillId="12" borderId="8" xfId="36" applyNumberFormat="1" applyFont="1" applyFill="1" applyBorder="1" applyAlignment="1"/>
    <xf numFmtId="170" fontId="4" fillId="12" borderId="8" xfId="47" applyNumberFormat="1" applyFont="1" applyFill="1" applyBorder="1" applyAlignment="1"/>
    <xf numFmtId="170" fontId="4" fillId="12" borderId="8" xfId="36" applyNumberFormat="1" applyFont="1" applyFill="1" applyBorder="1" applyAlignment="1"/>
    <xf numFmtId="170" fontId="10" fillId="12" borderId="10" xfId="36" applyNumberFormat="1" applyFont="1" applyFill="1" applyBorder="1" applyAlignment="1"/>
    <xf numFmtId="170" fontId="10" fillId="12" borderId="0" xfId="36" applyNumberFormat="1" applyFont="1" applyFill="1" applyBorder="1" applyAlignment="1"/>
    <xf numFmtId="0" fontId="4" fillId="12" borderId="10" xfId="47" applyFont="1" applyFill="1" applyBorder="1"/>
    <xf numFmtId="171" fontId="4" fillId="12" borderId="0" xfId="36" applyNumberFormat="1" applyFont="1" applyFill="1" applyBorder="1" applyAlignment="1"/>
    <xf numFmtId="171" fontId="7" fillId="12" borderId="11" xfId="36" applyNumberFormat="1" applyFont="1" applyFill="1" applyBorder="1"/>
    <xf numFmtId="171" fontId="7" fillId="12" borderId="0" xfId="36" applyNumberFormat="1" applyFont="1" applyFill="1" applyBorder="1"/>
    <xf numFmtId="171" fontId="7" fillId="12" borderId="12" xfId="36" applyNumberFormat="1" applyFont="1" applyFill="1" applyBorder="1" applyAlignment="1"/>
    <xf numFmtId="171" fontId="7" fillId="12" borderId="2" xfId="36" applyNumberFormat="1" applyFont="1" applyFill="1" applyBorder="1" applyAlignment="1"/>
    <xf numFmtId="171" fontId="7" fillId="12" borderId="15" xfId="36" applyNumberFormat="1" applyFont="1" applyFill="1" applyBorder="1" applyAlignment="1"/>
    <xf numFmtId="171" fontId="7" fillId="12" borderId="11" xfId="36" applyNumberFormat="1" applyFont="1" applyFill="1" applyBorder="1" applyAlignment="1"/>
    <xf numFmtId="171" fontId="12" fillId="12" borderId="0" xfId="36" applyNumberFormat="1" applyFont="1" applyFill="1" applyBorder="1" applyAlignment="1"/>
    <xf numFmtId="171" fontId="7" fillId="12" borderId="0" xfId="36" applyNumberFormat="1" applyFont="1" applyFill="1" applyBorder="1" applyAlignment="1"/>
    <xf numFmtId="0" fontId="4" fillId="12" borderId="6" xfId="55" applyFont="1" applyFill="1" applyBorder="1" applyAlignment="1">
      <alignment horizontal="left" indent="1"/>
    </xf>
    <xf numFmtId="165" fontId="4" fillId="12" borderId="8" xfId="59" applyNumberFormat="1" applyFont="1" applyFill="1" applyBorder="1" applyAlignment="1">
      <alignment horizontal="left" indent="2"/>
    </xf>
    <xf numFmtId="165" fontId="4" fillId="12" borderId="0" xfId="59" applyNumberFormat="1" applyFont="1" applyFill="1" applyBorder="1"/>
    <xf numFmtId="165" fontId="22" fillId="12" borderId="0" xfId="59" applyNumberFormat="1" applyFont="1" applyFill="1" applyBorder="1" applyAlignment="1"/>
    <xf numFmtId="0" fontId="4" fillId="12" borderId="6" xfId="55" applyFont="1" applyFill="1" applyBorder="1" applyAlignment="1">
      <alignment horizontal="left"/>
    </xf>
    <xf numFmtId="172" fontId="4" fillId="12" borderId="9" xfId="47" applyNumberFormat="1" applyFont="1" applyFill="1" applyBorder="1" applyAlignment="1">
      <alignment horizontal="right"/>
    </xf>
    <xf numFmtId="172" fontId="4" fillId="12" borderId="13" xfId="47" applyNumberFormat="1" applyFont="1" applyFill="1" applyBorder="1" applyAlignment="1">
      <alignment horizontal="right"/>
    </xf>
    <xf numFmtId="172" fontId="4" fillId="12" borderId="6" xfId="47" applyNumberFormat="1" applyFont="1" applyFill="1" applyBorder="1" applyAlignment="1">
      <alignment horizontal="right"/>
    </xf>
    <xf numFmtId="165" fontId="23" fillId="12" borderId="0" xfId="59" applyNumberFormat="1" applyFont="1" applyFill="1" applyBorder="1" applyAlignment="1">
      <alignment horizontal="right"/>
    </xf>
    <xf numFmtId="172" fontId="4" fillId="12" borderId="9" xfId="47" applyNumberFormat="1" applyFont="1" applyFill="1" applyBorder="1" applyAlignment="1"/>
    <xf numFmtId="172" fontId="4" fillId="12" borderId="13" xfId="47" applyNumberFormat="1" applyFont="1" applyFill="1" applyBorder="1" applyAlignment="1"/>
    <xf numFmtId="172" fontId="4" fillId="12" borderId="6" xfId="47" applyNumberFormat="1" applyFont="1" applyFill="1" applyBorder="1" applyAlignment="1"/>
    <xf numFmtId="0" fontId="15" fillId="12" borderId="8" xfId="55" applyFont="1" applyFill="1" applyBorder="1" applyAlignment="1">
      <alignment horizontal="left"/>
    </xf>
    <xf numFmtId="165" fontId="4" fillId="12" borderId="10" xfId="47" applyNumberFormat="1" applyFont="1" applyFill="1" applyBorder="1" applyAlignment="1">
      <alignment horizontal="right"/>
    </xf>
    <xf numFmtId="165" fontId="4" fillId="12" borderId="0" xfId="47" applyNumberFormat="1" applyFont="1" applyFill="1" applyBorder="1" applyAlignment="1">
      <alignment horizontal="right"/>
    </xf>
    <xf numFmtId="165" fontId="4" fillId="12" borderId="8" xfId="47" applyNumberFormat="1" applyFont="1" applyFill="1" applyBorder="1" applyAlignment="1">
      <alignment horizontal="right"/>
    </xf>
    <xf numFmtId="165" fontId="4" fillId="12" borderId="10" xfId="47" applyNumberFormat="1" applyFont="1" applyFill="1" applyBorder="1"/>
    <xf numFmtId="165" fontId="4" fillId="12" borderId="0" xfId="47" applyNumberFormat="1" applyFont="1" applyFill="1" applyBorder="1"/>
    <xf numFmtId="165" fontId="4" fillId="12" borderId="8" xfId="47" applyNumberFormat="1" applyFont="1" applyFill="1" applyBorder="1"/>
    <xf numFmtId="170" fontId="92" fillId="0" borderId="0" xfId="36" applyNumberFormat="1" applyFont="1" applyFill="1" applyBorder="1" applyAlignment="1"/>
    <xf numFmtId="165" fontId="99" fillId="0" borderId="0" xfId="59" applyNumberFormat="1" applyFont="1" applyFill="1" applyBorder="1" applyAlignment="1">
      <alignment horizontal="right"/>
    </xf>
    <xf numFmtId="9" fontId="4" fillId="0" borderId="2" xfId="54" applyNumberFormat="1" applyFont="1" applyFill="1" applyBorder="1"/>
    <xf numFmtId="219" fontId="4" fillId="0" borderId="0" xfId="47" applyNumberFormat="1" applyFont="1" applyFill="1" applyBorder="1"/>
    <xf numFmtId="165" fontId="34" fillId="12" borderId="0" xfId="59" applyNumberFormat="1" applyFont="1" applyFill="1" applyBorder="1"/>
    <xf numFmtId="165" fontId="7" fillId="12" borderId="10" xfId="59" applyNumberFormat="1" applyFont="1" applyFill="1" applyBorder="1" applyAlignment="1"/>
    <xf numFmtId="165" fontId="7" fillId="12" borderId="0" xfId="59" applyNumberFormat="1" applyFont="1" applyFill="1" applyBorder="1" applyAlignment="1"/>
    <xf numFmtId="165" fontId="7" fillId="12" borderId="8" xfId="59" applyNumberFormat="1" applyFont="1" applyFill="1" applyBorder="1" applyAlignment="1"/>
    <xf numFmtId="165" fontId="100" fillId="12" borderId="0" xfId="59" applyNumberFormat="1" applyFont="1" applyFill="1" applyBorder="1" applyAlignment="1"/>
    <xf numFmtId="165" fontId="7" fillId="12" borderId="8" xfId="59" applyNumberFormat="1" applyFont="1" applyFill="1" applyBorder="1"/>
    <xf numFmtId="0" fontId="1" fillId="0" borderId="0" xfId="46"/>
    <xf numFmtId="0" fontId="1" fillId="0" borderId="0" xfId="46" applyFill="1" applyBorder="1"/>
    <xf numFmtId="170" fontId="88" fillId="0" borderId="0" xfId="47" applyNumberFormat="1" applyFont="1" applyFill="1" applyBorder="1" applyAlignment="1"/>
    <xf numFmtId="44" fontId="88" fillId="0" borderId="2" xfId="37" applyFont="1" applyFill="1" applyBorder="1"/>
    <xf numFmtId="165" fontId="41" fillId="0" borderId="0" xfId="36" applyNumberFormat="1" applyFont="1" applyFill="1" applyBorder="1"/>
    <xf numFmtId="165" fontId="41" fillId="0" borderId="16" xfId="36" applyNumberFormat="1" applyFont="1" applyFill="1" applyBorder="1"/>
    <xf numFmtId="165" fontId="41" fillId="0" borderId="10" xfId="36" applyNumberFormat="1" applyFont="1" applyFill="1" applyBorder="1"/>
    <xf numFmtId="165" fontId="41" fillId="0" borderId="8" xfId="36" applyNumberFormat="1" applyFont="1" applyFill="1" applyBorder="1"/>
    <xf numFmtId="165" fontId="9" fillId="5" borderId="9" xfId="54" applyNumberFormat="1" applyFont="1" applyFill="1" applyBorder="1" applyAlignment="1">
      <alignment horizontal="center"/>
    </xf>
    <xf numFmtId="165" fontId="9" fillId="5" borderId="13" xfId="54" applyNumberFormat="1" applyFont="1" applyFill="1" applyBorder="1" applyAlignment="1">
      <alignment horizontal="center"/>
    </xf>
    <xf numFmtId="165" fontId="9" fillId="5" borderId="14" xfId="54" applyNumberFormat="1" applyFont="1" applyFill="1" applyBorder="1" applyAlignment="1">
      <alignment horizontal="center"/>
    </xf>
    <xf numFmtId="165" fontId="9" fillId="5" borderId="6" xfId="54" applyNumberFormat="1" applyFont="1" applyFill="1" applyBorder="1" applyAlignment="1">
      <alignment horizontal="center"/>
    </xf>
    <xf numFmtId="165" fontId="9" fillId="0" borderId="0" xfId="54" applyNumberFormat="1" applyFont="1" applyFill="1" applyBorder="1" applyAlignment="1">
      <alignment horizontal="center"/>
    </xf>
    <xf numFmtId="9" fontId="40" fillId="0" borderId="0" xfId="59" applyFont="1" applyFill="1" applyAlignment="1">
      <alignment horizontal="center" vertical="center"/>
    </xf>
    <xf numFmtId="165" fontId="39" fillId="0" borderId="0" xfId="59" applyNumberFormat="1" applyFont="1" applyFill="1" applyAlignment="1">
      <alignment horizontal="center" vertical="center"/>
    </xf>
    <xf numFmtId="165" fontId="37" fillId="0" borderId="0" xfId="59" applyNumberFormat="1" applyFont="1" applyFill="1" applyAlignment="1">
      <alignment horizontal="center" vertical="center"/>
    </xf>
    <xf numFmtId="165" fontId="7" fillId="12" borderId="3" xfId="54" applyNumberFormat="1" applyFont="1" applyFill="1" applyBorder="1" applyAlignment="1">
      <alignment horizontal="left"/>
    </xf>
    <xf numFmtId="165" fontId="7" fillId="12" borderId="0" xfId="54" applyNumberFormat="1" applyFont="1" applyFill="1" applyBorder="1" applyAlignment="1">
      <alignment horizontal="left"/>
    </xf>
    <xf numFmtId="165" fontId="7" fillId="12" borderId="4" xfId="54" applyNumberFormat="1" applyFont="1" applyFill="1" applyBorder="1"/>
    <xf numFmtId="165" fontId="7" fillId="12" borderId="5" xfId="54" applyNumberFormat="1" applyFont="1" applyFill="1" applyBorder="1"/>
    <xf numFmtId="165" fontId="7" fillId="12" borderId="7" xfId="54" applyNumberFormat="1" applyFont="1" applyFill="1" applyBorder="1"/>
    <xf numFmtId="165" fontId="7" fillId="12" borderId="3" xfId="54" applyNumberFormat="1" applyFont="1" applyFill="1" applyBorder="1"/>
    <xf numFmtId="0" fontId="3" fillId="0" borderId="0" xfId="47" applyFont="1"/>
    <xf numFmtId="0" fontId="9" fillId="5" borderId="6" xfId="54" applyFont="1" applyFill="1" applyBorder="1" applyAlignment="1">
      <alignment horizontal="center"/>
    </xf>
    <xf numFmtId="0" fontId="11" fillId="0" borderId="3" xfId="47" applyFont="1" applyFill="1" applyBorder="1" applyAlignment="1">
      <alignment horizontal="center"/>
    </xf>
    <xf numFmtId="0" fontId="90" fillId="13" borderId="0" xfId="0" applyFont="1" applyFill="1"/>
    <xf numFmtId="0" fontId="4" fillId="0" borderId="0" xfId="0" applyFont="1" applyFill="1"/>
    <xf numFmtId="0" fontId="7" fillId="0" borderId="0" xfId="0" applyFont="1" applyFill="1"/>
    <xf numFmtId="0" fontId="15" fillId="0" borderId="0" xfId="0" applyFont="1" applyFill="1"/>
    <xf numFmtId="0" fontId="7" fillId="0" borderId="2" xfId="0" applyFont="1" applyFill="1" applyBorder="1"/>
    <xf numFmtId="0" fontId="103" fillId="13" borderId="0" xfId="0" applyFont="1" applyFill="1"/>
    <xf numFmtId="0" fontId="103" fillId="13" borderId="0" xfId="0" applyFont="1" applyFill="1" applyBorder="1"/>
    <xf numFmtId="181" fontId="4" fillId="0" borderId="10" xfId="0" applyNumberFormat="1" applyFont="1" applyFill="1" applyBorder="1"/>
    <xf numFmtId="181" fontId="4" fillId="0" borderId="0" xfId="0" applyNumberFormat="1" applyFont="1" applyFill="1" applyBorder="1"/>
    <xf numFmtId="181" fontId="4" fillId="0" borderId="8" xfId="0" applyNumberFormat="1" applyFont="1" applyFill="1" applyBorder="1"/>
    <xf numFmtId="181" fontId="7" fillId="0" borderId="10" xfId="0" applyNumberFormat="1" applyFont="1" applyFill="1" applyBorder="1"/>
    <xf numFmtId="181" fontId="7" fillId="0" borderId="0" xfId="0" applyNumberFormat="1" applyFont="1" applyFill="1" applyBorder="1"/>
    <xf numFmtId="181" fontId="7" fillId="0" borderId="8" xfId="0" applyNumberFormat="1" applyFont="1" applyFill="1" applyBorder="1"/>
    <xf numFmtId="165" fontId="7" fillId="0" borderId="10" xfId="0" applyNumberFormat="1" applyFont="1" applyFill="1" applyBorder="1"/>
    <xf numFmtId="165" fontId="7" fillId="0" borderId="0" xfId="0" applyNumberFormat="1" applyFont="1" applyFill="1" applyBorder="1"/>
    <xf numFmtId="165" fontId="7" fillId="0" borderId="8" xfId="0" applyNumberFormat="1" applyFont="1" applyFill="1" applyBorder="1"/>
    <xf numFmtId="0" fontId="4" fillId="0" borderId="10" xfId="0" applyFont="1" applyFill="1" applyBorder="1"/>
    <xf numFmtId="0" fontId="4" fillId="0" borderId="0" xfId="0" applyFont="1" applyFill="1" applyBorder="1"/>
    <xf numFmtId="0" fontId="4" fillId="0" borderId="8" xfId="0" applyFont="1" applyFill="1" applyBorder="1"/>
    <xf numFmtId="170" fontId="7" fillId="0" borderId="10" xfId="0" applyNumberFormat="1" applyFont="1" applyFill="1" applyBorder="1"/>
    <xf numFmtId="170" fontId="7" fillId="0" borderId="0" xfId="0" applyNumberFormat="1" applyFont="1" applyFill="1" applyBorder="1"/>
    <xf numFmtId="170" fontId="7" fillId="0" borderId="8" xfId="0" applyNumberFormat="1" applyFont="1" applyFill="1" applyBorder="1"/>
    <xf numFmtId="0" fontId="7" fillId="0" borderId="10" xfId="0" applyFont="1" applyFill="1" applyBorder="1"/>
    <xf numFmtId="0" fontId="7" fillId="0" borderId="0" xfId="0" applyFont="1" applyFill="1" applyBorder="1"/>
    <xf numFmtId="0" fontId="7" fillId="0" borderId="8" xfId="0" applyFont="1" applyFill="1" applyBorder="1"/>
    <xf numFmtId="165" fontId="7" fillId="0" borderId="12" xfId="0" applyNumberFormat="1" applyFont="1" applyFill="1" applyBorder="1"/>
    <xf numFmtId="165" fontId="7" fillId="0" borderId="2" xfId="0" applyNumberFormat="1" applyFont="1" applyFill="1" applyBorder="1"/>
    <xf numFmtId="165" fontId="7" fillId="0" borderId="11" xfId="0" applyNumberFormat="1" applyFont="1" applyFill="1" applyBorder="1"/>
    <xf numFmtId="0" fontId="1" fillId="13" borderId="0" xfId="47" applyFill="1" applyBorder="1"/>
    <xf numFmtId="170" fontId="104" fillId="0" borderId="10" xfId="0" applyNumberFormat="1" applyFont="1" applyFill="1" applyBorder="1"/>
    <xf numFmtId="170" fontId="104" fillId="0" borderId="0" xfId="0" applyNumberFormat="1" applyFont="1" applyFill="1" applyBorder="1"/>
    <xf numFmtId="170" fontId="104" fillId="0" borderId="8" xfId="0" applyNumberFormat="1" applyFont="1" applyFill="1" applyBorder="1"/>
    <xf numFmtId="165" fontId="104" fillId="0" borderId="10" xfId="0" applyNumberFormat="1" applyFont="1" applyFill="1" applyBorder="1"/>
    <xf numFmtId="165" fontId="104" fillId="0" borderId="0" xfId="0" applyNumberFormat="1" applyFont="1" applyFill="1" applyBorder="1"/>
    <xf numFmtId="165" fontId="104" fillId="0" borderId="8" xfId="0" applyNumberFormat="1" applyFont="1" applyFill="1" applyBorder="1"/>
    <xf numFmtId="170" fontId="4" fillId="0" borderId="10" xfId="0" applyNumberFormat="1" applyFont="1" applyFill="1" applyBorder="1"/>
    <xf numFmtId="170" fontId="88" fillId="0" borderId="10" xfId="0" applyNumberFormat="1" applyFont="1" applyFill="1" applyBorder="1"/>
    <xf numFmtId="170" fontId="88" fillId="0" borderId="0" xfId="0" applyNumberFormat="1" applyFont="1" applyFill="1" applyBorder="1"/>
    <xf numFmtId="170" fontId="88" fillId="0" borderId="8" xfId="0" applyNumberFormat="1" applyFont="1" applyFill="1" applyBorder="1"/>
    <xf numFmtId="9" fontId="41" fillId="0" borderId="10" xfId="36" applyNumberFormat="1" applyFont="1" applyFill="1" applyBorder="1"/>
    <xf numFmtId="165" fontId="4" fillId="0" borderId="8" xfId="36" applyNumberFormat="1" applyFont="1" applyFill="1" applyBorder="1"/>
    <xf numFmtId="170" fontId="88" fillId="0" borderId="16" xfId="36" applyNumberFormat="1" applyFont="1" applyFill="1" applyBorder="1" applyAlignment="1"/>
    <xf numFmtId="165" fontId="94" fillId="0" borderId="2" xfId="59" applyNumberFormat="1" applyFont="1" applyFill="1" applyBorder="1"/>
    <xf numFmtId="9" fontId="88" fillId="0" borderId="0" xfId="59" applyFont="1" applyFill="1" applyBorder="1" applyAlignment="1"/>
    <xf numFmtId="9" fontId="88" fillId="0" borderId="2" xfId="59" applyFont="1" applyFill="1" applyBorder="1" applyAlignment="1"/>
    <xf numFmtId="170" fontId="88" fillId="0" borderId="0" xfId="46" applyNumberFormat="1" applyFont="1" applyFill="1" applyBorder="1" applyAlignment="1">
      <alignment horizontal="right"/>
    </xf>
    <xf numFmtId="170" fontId="88" fillId="0" borderId="0" xfId="46" applyNumberFormat="1" applyFont="1" applyFill="1" applyBorder="1" applyAlignment="1" applyProtection="1">
      <alignment horizontal="right"/>
    </xf>
    <xf numFmtId="9" fontId="4" fillId="0" borderId="6" xfId="59" applyFont="1" applyBorder="1"/>
    <xf numFmtId="9" fontId="92" fillId="0" borderId="10" xfId="36" applyNumberFormat="1" applyFont="1" applyFill="1" applyBorder="1"/>
    <xf numFmtId="165" fontId="94" fillId="0" borderId="0" xfId="59" applyNumberFormat="1" applyFont="1" applyFill="1" applyBorder="1" applyAlignment="1">
      <alignment horizontal="right"/>
    </xf>
    <xf numFmtId="37" fontId="88" fillId="0" borderId="0" xfId="47" applyNumberFormat="1" applyFont="1" applyFill="1" applyBorder="1" applyAlignment="1"/>
    <xf numFmtId="37" fontId="88" fillId="0" borderId="2" xfId="47" applyNumberFormat="1" applyFont="1" applyFill="1" applyBorder="1" applyAlignment="1"/>
    <xf numFmtId="170" fontId="6" fillId="0" borderId="10" xfId="46" quotePrefix="1" applyNumberFormat="1" applyFont="1" applyFill="1" applyBorder="1" applyAlignment="1" applyProtection="1">
      <alignment horizontal="right"/>
    </xf>
    <xf numFmtId="170" fontId="88" fillId="0" borderId="0" xfId="47" applyNumberFormat="1" applyFont="1" applyFill="1" applyBorder="1" applyAlignment="1">
      <alignment horizontal="right"/>
    </xf>
    <xf numFmtId="9" fontId="15" fillId="13" borderId="0" xfId="59" applyFont="1" applyFill="1" applyBorder="1" applyAlignment="1">
      <alignment horizontal="right"/>
    </xf>
    <xf numFmtId="9" fontId="35" fillId="13" borderId="10" xfId="59" applyFont="1" applyFill="1" applyBorder="1" applyAlignment="1">
      <alignment horizontal="right"/>
    </xf>
    <xf numFmtId="9" fontId="35" fillId="13" borderId="0" xfId="59" applyFont="1" applyFill="1" applyBorder="1" applyAlignment="1">
      <alignment horizontal="right"/>
    </xf>
    <xf numFmtId="9" fontId="35" fillId="13" borderId="8" xfId="59" applyFont="1" applyFill="1" applyBorder="1" applyAlignment="1">
      <alignment horizontal="right"/>
    </xf>
    <xf numFmtId="9" fontId="7" fillId="0" borderId="0" xfId="47" applyNumberFormat="1" applyFont="1" applyFill="1" applyBorder="1" applyAlignment="1">
      <alignment horizontal="right"/>
    </xf>
    <xf numFmtId="9" fontId="11" fillId="0" borderId="10" xfId="47" applyNumberFormat="1" applyFont="1" applyFill="1" applyBorder="1" applyAlignment="1">
      <alignment horizontal="right"/>
    </xf>
    <xf numFmtId="9" fontId="11" fillId="0" borderId="0" xfId="47" applyNumberFormat="1" applyFont="1" applyFill="1" applyBorder="1" applyAlignment="1">
      <alignment horizontal="right"/>
    </xf>
    <xf numFmtId="9" fontId="11" fillId="0" borderId="8" xfId="47" applyNumberFormat="1" applyFont="1" applyFill="1" applyBorder="1" applyAlignment="1">
      <alignment horizontal="right"/>
    </xf>
    <xf numFmtId="9" fontId="90" fillId="13" borderId="8" xfId="59" applyFont="1" applyFill="1" applyBorder="1"/>
    <xf numFmtId="9" fontId="1" fillId="0" borderId="0" xfId="47" applyNumberFormat="1" applyFill="1"/>
    <xf numFmtId="165" fontId="92" fillId="0" borderId="12" xfId="47" quotePrefix="1" applyNumberFormat="1" applyFont="1" applyFill="1" applyBorder="1" applyAlignment="1">
      <alignment horizontal="right"/>
    </xf>
    <xf numFmtId="10" fontId="76" fillId="0" borderId="10" xfId="59" applyNumberFormat="1" applyFont="1" applyFill="1" applyBorder="1" applyAlignment="1">
      <alignment horizontal="right"/>
    </xf>
    <xf numFmtId="9" fontId="10" fillId="4" borderId="0" xfId="47" applyNumberFormat="1" applyFont="1" applyFill="1" applyBorder="1" applyAlignment="1"/>
    <xf numFmtId="8" fontId="1" fillId="0" borderId="0" xfId="47" applyNumberFormat="1" applyFont="1" applyFill="1"/>
    <xf numFmtId="8" fontId="1" fillId="0" borderId="0" xfId="47" applyNumberFormat="1" applyFill="1"/>
    <xf numFmtId="6" fontId="1" fillId="0" borderId="0" xfId="47" applyNumberFormat="1" applyFont="1" applyFill="1"/>
    <xf numFmtId="6" fontId="1" fillId="0" borderId="0" xfId="47" applyNumberFormat="1" applyFill="1"/>
    <xf numFmtId="165" fontId="1" fillId="0" borderId="0" xfId="47" applyNumberFormat="1" applyFill="1"/>
    <xf numFmtId="165" fontId="4" fillId="0" borderId="9" xfId="59" applyNumberFormat="1" applyFont="1" applyFill="1" applyBorder="1"/>
    <xf numFmtId="165" fontId="4" fillId="0" borderId="10" xfId="36" applyNumberFormat="1" applyFont="1" applyFill="1" applyBorder="1"/>
    <xf numFmtId="165" fontId="4" fillId="0" borderId="12" xfId="36" applyNumberFormat="1" applyFont="1" applyFill="1" applyBorder="1"/>
    <xf numFmtId="165" fontId="4" fillId="0" borderId="12" xfId="59" applyNumberFormat="1" applyFont="1" applyBorder="1"/>
    <xf numFmtId="9" fontId="1" fillId="0" borderId="0" xfId="47" applyNumberFormat="1" applyFont="1" applyFill="1" applyBorder="1"/>
    <xf numFmtId="9" fontId="38" fillId="0" borderId="0" xfId="59" applyFont="1" applyFill="1" applyBorder="1" applyAlignment="1">
      <alignment horizontal="right"/>
    </xf>
    <xf numFmtId="9" fontId="40" fillId="0" borderId="0" xfId="59" applyFont="1" applyFill="1" applyAlignment="1">
      <alignment horizontal="right"/>
    </xf>
    <xf numFmtId="9" fontId="39" fillId="0" borderId="0" xfId="59" applyFont="1" applyFill="1" applyAlignment="1">
      <alignment horizontal="left" indent="1"/>
    </xf>
    <xf numFmtId="9" fontId="74" fillId="0" borderId="0" xfId="59" quotePrefix="1" applyNumberFormat="1" applyFont="1" applyBorder="1" applyAlignment="1">
      <alignment horizontal="right"/>
    </xf>
    <xf numFmtId="165" fontId="74" fillId="0" borderId="0" xfId="47" quotePrefix="1" applyNumberFormat="1" applyFont="1" applyFill="1" applyBorder="1"/>
    <xf numFmtId="9" fontId="4" fillId="0" borderId="16" xfId="54" applyNumberFormat="1" applyFont="1" applyFill="1" applyBorder="1"/>
    <xf numFmtId="9" fontId="4" fillId="0" borderId="12" xfId="59" quotePrefix="1" applyNumberFormat="1" applyFont="1" applyBorder="1" applyAlignment="1">
      <alignment horizontal="right"/>
    </xf>
    <xf numFmtId="0" fontId="7" fillId="11" borderId="8" xfId="54" applyFont="1" applyFill="1" applyBorder="1" applyAlignment="1">
      <alignment horizontal="left"/>
    </xf>
    <xf numFmtId="0" fontId="7" fillId="11" borderId="0" xfId="54" applyFont="1" applyFill="1" applyBorder="1" applyAlignment="1">
      <alignment horizontal="left"/>
    </xf>
    <xf numFmtId="165" fontId="7" fillId="11" borderId="10" xfId="54" applyNumberFormat="1" applyFont="1" applyFill="1" applyBorder="1"/>
    <xf numFmtId="165" fontId="7" fillId="11" borderId="0" xfId="54" applyNumberFormat="1" applyFont="1" applyFill="1" applyBorder="1"/>
    <xf numFmtId="165" fontId="7" fillId="11" borderId="16" xfId="54" applyNumberFormat="1" applyFont="1" applyFill="1" applyBorder="1"/>
    <xf numFmtId="165" fontId="7" fillId="11" borderId="8" xfId="54" applyNumberFormat="1" applyFont="1" applyFill="1" applyBorder="1"/>
    <xf numFmtId="9" fontId="7" fillId="11" borderId="0" xfId="54" applyNumberFormat="1" applyFont="1" applyFill="1" applyBorder="1"/>
    <xf numFmtId="165" fontId="7" fillId="11" borderId="11" xfId="54" applyNumberFormat="1" applyFont="1" applyFill="1" applyBorder="1" applyAlignment="1">
      <alignment horizontal="left"/>
    </xf>
    <xf numFmtId="165" fontId="7" fillId="11" borderId="0" xfId="54" applyNumberFormat="1" applyFont="1" applyFill="1" applyBorder="1" applyAlignment="1">
      <alignment horizontal="left"/>
    </xf>
    <xf numFmtId="165" fontId="7" fillId="11" borderId="12" xfId="54" applyNumberFormat="1" applyFont="1" applyFill="1" applyBorder="1"/>
    <xf numFmtId="165" fontId="7" fillId="11" borderId="2" xfId="54" applyNumberFormat="1" applyFont="1" applyFill="1" applyBorder="1"/>
    <xf numFmtId="165" fontId="7" fillId="11" borderId="15" xfId="54" applyNumberFormat="1" applyFont="1" applyFill="1" applyBorder="1"/>
    <xf numFmtId="165" fontId="7" fillId="11" borderId="11" xfId="54" applyNumberFormat="1" applyFont="1" applyFill="1" applyBorder="1"/>
    <xf numFmtId="170" fontId="88" fillId="0" borderId="10" xfId="47" applyNumberFormat="1" applyFont="1" applyFill="1" applyBorder="1" applyAlignment="1"/>
    <xf numFmtId="37" fontId="88" fillId="0" borderId="10" xfId="47" applyNumberFormat="1" applyFont="1" applyFill="1" applyBorder="1" applyAlignment="1"/>
    <xf numFmtId="37" fontId="88" fillId="0" borderId="12" xfId="47" applyNumberFormat="1" applyFont="1" applyFill="1" applyBorder="1" applyAlignment="1"/>
    <xf numFmtId="224" fontId="27" fillId="6" borderId="0" xfId="47" applyNumberFormat="1" applyFont="1" applyFill="1" applyAlignment="1">
      <alignment horizontal="right"/>
    </xf>
    <xf numFmtId="224" fontId="27" fillId="0" borderId="0" xfId="47" applyNumberFormat="1" applyFont="1" applyFill="1" applyBorder="1" applyAlignment="1">
      <alignment horizontal="right"/>
    </xf>
    <xf numFmtId="224" fontId="4" fillId="0" borderId="0" xfId="47" applyNumberFormat="1" applyFont="1" applyFill="1" applyBorder="1"/>
    <xf numFmtId="225" fontId="27" fillId="0" borderId="0" xfId="36" applyNumberFormat="1" applyFont="1" applyFill="1" applyBorder="1" applyAlignment="1" applyProtection="1">
      <alignment horizontal="right" vertical="center"/>
    </xf>
    <xf numFmtId="183" fontId="76" fillId="0" borderId="10" xfId="59" applyNumberFormat="1" applyFont="1" applyFill="1" applyBorder="1" applyAlignment="1"/>
    <xf numFmtId="165" fontId="88" fillId="0" borderId="0" xfId="59" applyNumberFormat="1" applyFont="1" applyFill="1" applyBorder="1" applyAlignment="1"/>
    <xf numFmtId="9" fontId="4" fillId="0" borderId="15" xfId="59" applyNumberFormat="1" applyFont="1" applyBorder="1" applyAlignment="1">
      <alignment horizontal="right"/>
    </xf>
    <xf numFmtId="165" fontId="4" fillId="0" borderId="16" xfId="36" applyNumberFormat="1" applyFont="1" applyFill="1" applyBorder="1"/>
    <xf numFmtId="165" fontId="88" fillId="0" borderId="10" xfId="36" applyNumberFormat="1" applyFont="1" applyFill="1" applyBorder="1"/>
    <xf numFmtId="165" fontId="88" fillId="0" borderId="0" xfId="36" applyNumberFormat="1" applyFont="1" applyFill="1" applyBorder="1"/>
    <xf numFmtId="165" fontId="88" fillId="0" borderId="16" xfId="36" applyNumberFormat="1" applyFont="1" applyFill="1" applyBorder="1"/>
    <xf numFmtId="165" fontId="88" fillId="0" borderId="10" xfId="47" applyNumberFormat="1" applyFont="1" applyFill="1" applyBorder="1"/>
    <xf numFmtId="165" fontId="88" fillId="0" borderId="16" xfId="47" applyNumberFormat="1" applyFont="1" applyFill="1" applyBorder="1"/>
    <xf numFmtId="165" fontId="88" fillId="0" borderId="0" xfId="54" applyNumberFormat="1" applyFont="1" applyFill="1" applyBorder="1" applyAlignment="1">
      <alignment horizontal="left" indent="2"/>
    </xf>
    <xf numFmtId="0" fontId="1" fillId="0" borderId="0" xfId="46"/>
    <xf numFmtId="0" fontId="1" fillId="14" borderId="0" xfId="146" applyFont="1" applyFill="1" applyAlignment="1">
      <alignment vertical="top"/>
    </xf>
    <xf numFmtId="0" fontId="1" fillId="14" borderId="0" xfId="46" applyFill="1" applyAlignment="1">
      <alignment vertical="top"/>
    </xf>
    <xf numFmtId="0" fontId="1" fillId="14" borderId="0" xfId="46" applyFill="1"/>
    <xf numFmtId="0" fontId="53" fillId="14" borderId="0" xfId="146" applyFont="1" applyFill="1" applyAlignment="1">
      <alignment horizontal="left" vertical="top"/>
    </xf>
    <xf numFmtId="0" fontId="1" fillId="14" borderId="0" xfId="46" applyFont="1" applyFill="1" applyAlignment="1">
      <alignment vertical="top"/>
    </xf>
    <xf numFmtId="0" fontId="17" fillId="14" borderId="0" xfId="146" applyFont="1" applyFill="1" applyAlignment="1">
      <alignment vertical="top"/>
    </xf>
    <xf numFmtId="0" fontId="0" fillId="14" borderId="0" xfId="0" applyFill="1" applyAlignment="1">
      <alignment vertical="top"/>
    </xf>
    <xf numFmtId="0" fontId="106" fillId="14" borderId="0" xfId="0" applyFont="1" applyFill="1" applyAlignment="1">
      <alignment vertical="top"/>
    </xf>
    <xf numFmtId="0" fontId="107" fillId="14" borderId="0" xfId="0" applyFont="1" applyFill="1" applyAlignment="1">
      <alignment vertical="top"/>
    </xf>
    <xf numFmtId="0" fontId="107" fillId="14" borderId="0" xfId="0" applyFont="1" applyFill="1" applyAlignment="1">
      <alignment vertical="top"/>
    </xf>
    <xf numFmtId="0" fontId="106" fillId="14" borderId="0" xfId="0" applyFont="1" applyFill="1" applyAlignment="1">
      <alignment vertical="top"/>
    </xf>
    <xf numFmtId="0" fontId="0" fillId="14" borderId="0" xfId="0" applyFill="1" applyAlignment="1">
      <alignment vertical="top"/>
    </xf>
    <xf numFmtId="0" fontId="0" fillId="14" borderId="44" xfId="0" applyFill="1" applyBorder="1" applyAlignment="1">
      <alignment vertical="top"/>
    </xf>
    <xf numFmtId="0" fontId="106" fillId="14" borderId="40" xfId="0" applyFont="1" applyFill="1" applyBorder="1" applyAlignment="1">
      <alignment vertical="top"/>
    </xf>
    <xf numFmtId="0" fontId="106" fillId="14" borderId="41" xfId="0" applyFont="1" applyFill="1" applyBorder="1" applyAlignment="1">
      <alignment vertical="top"/>
    </xf>
    <xf numFmtId="0" fontId="106" fillId="14" borderId="42" xfId="0" applyFont="1" applyFill="1" applyBorder="1" applyAlignment="1">
      <alignment vertical="top"/>
    </xf>
    <xf numFmtId="0" fontId="106" fillId="14" borderId="43" xfId="0" applyFont="1" applyFill="1" applyBorder="1" applyAlignment="1">
      <alignment vertical="top"/>
    </xf>
    <xf numFmtId="9" fontId="106" fillId="14" borderId="40" xfId="0" applyNumberFormat="1" applyFont="1" applyFill="1" applyBorder="1" applyAlignment="1">
      <alignment vertical="top"/>
    </xf>
    <xf numFmtId="3" fontId="106" fillId="14" borderId="40" xfId="0" applyNumberFormat="1" applyFont="1" applyFill="1" applyBorder="1" applyAlignment="1">
      <alignment vertical="top"/>
    </xf>
    <xf numFmtId="0" fontId="0" fillId="14" borderId="45" xfId="0" applyFill="1" applyBorder="1" applyAlignment="1">
      <alignment vertical="top"/>
    </xf>
    <xf numFmtId="2" fontId="1" fillId="0" borderId="0" xfId="46" applyNumberFormat="1" applyAlignment="1">
      <alignment horizontal="left"/>
    </xf>
    <xf numFmtId="0" fontId="1" fillId="0" borderId="0" xfId="46" applyNumberFormat="1" applyAlignment="1">
      <alignment horizontal="left"/>
    </xf>
    <xf numFmtId="1" fontId="1" fillId="0" borderId="0" xfId="46" applyNumberFormat="1" applyAlignment="1">
      <alignment horizontal="left"/>
    </xf>
    <xf numFmtId="231" fontId="1" fillId="0" borderId="0" xfId="46" applyNumberFormat="1" applyAlignment="1">
      <alignment horizontal="left"/>
    </xf>
    <xf numFmtId="49" fontId="1" fillId="0" borderId="0" xfId="46" applyNumberFormat="1"/>
  </cellXfs>
  <cellStyles count="147">
    <cellStyle name="%" xfId="1"/>
    <cellStyle name="_AFFX" xfId="2"/>
    <cellStyle name="_Bal Sheet" xfId="3"/>
    <cellStyle name="_COV" xfId="4"/>
    <cellStyle name="_COV_A_Nov20" xfId="5"/>
    <cellStyle name="_COV_A_Nov20 2 2" xfId="6"/>
    <cellStyle name="_ILMN" xfId="7"/>
    <cellStyle name="_IS" xfId="8"/>
    <cellStyle name="_LIFE" xfId="9"/>
    <cellStyle name="_PKI" xfId="10"/>
    <cellStyle name="_Q Variance" xfId="11"/>
    <cellStyle name="_RevBuild" xfId="12"/>
    <cellStyle name="_SUMMARY " xfId="13"/>
    <cellStyle name="_TMO" xfId="14"/>
    <cellStyle name="_WAT" xfId="15"/>
    <cellStyle name="=C:\WINNT35\SYSTEM32\COMMAND.COM" xfId="16"/>
    <cellStyle name="0_Capex &amp; Depreciation " xfId="17"/>
    <cellStyle name="0_Capex &amp; Depreciation _RRST2" xfId="124"/>
    <cellStyle name="0_Capex &amp; Depreciation _RRST5" xfId="125"/>
    <cellStyle name="0_Valuing BP " xfId="18"/>
    <cellStyle name="0_Valuing BP _RRST2" xfId="126"/>
    <cellStyle name="0_Valuing BP _RRST5" xfId="127"/>
    <cellStyle name="Blue" xfId="19"/>
    <cellStyle name="c_HardInc " xfId="20"/>
    <cellStyle name="c_HardInc _AFFX" xfId="21"/>
    <cellStyle name="c_HardInc _AFFX Work in Progress" xfId="22"/>
    <cellStyle name="c_HardInc _Bal Sheet" xfId="23"/>
    <cellStyle name="c_HardInc _BBB" xfId="24"/>
    <cellStyle name="c_HardInc _Cash Flow" xfId="25"/>
    <cellStyle name="c_HardInc _DCF" xfId="26"/>
    <cellStyle name="c_HardInc _ILMN" xfId="27"/>
    <cellStyle name="c_HardInc _IS" xfId="28"/>
    <cellStyle name="c_HardInc _MTD Work in Progress" xfId="29"/>
    <cellStyle name="c_HardInc _P&amp;L" xfId="30"/>
    <cellStyle name="c_HardInc _PKI" xfId="31"/>
    <cellStyle name="c_HardInc _RevBuild" xfId="32"/>
    <cellStyle name="c_HardInc _RRST15" xfId="33"/>
    <cellStyle name="c_HardInc _RRST2" xfId="128"/>
    <cellStyle name="c_HardInc _RRST21" xfId="34"/>
    <cellStyle name="c_HardInc _RRST5" xfId="129"/>
    <cellStyle name="Comma" xfId="35" builtinId="3"/>
    <cellStyle name="Comma 2" xfId="36"/>
    <cellStyle name="Comma 3" xfId="130"/>
    <cellStyle name="Currency 2" xfId="37"/>
    <cellStyle name="Currency 3" xfId="38"/>
    <cellStyle name="Currency 4" xfId="121"/>
    <cellStyle name="Currency 5" xfId="131"/>
    <cellStyle name="Fail" xfId="39"/>
    <cellStyle name="FiscalPeriod" xfId="40"/>
    <cellStyle name="Hidden" xfId="41"/>
    <cellStyle name="Input 2" xfId="42"/>
    <cellStyle name="MetricLabel" xfId="43"/>
    <cellStyle name="MetricLabelBlue" xfId="44"/>
    <cellStyle name="MetricValue" xfId="45"/>
    <cellStyle name="Normal" xfId="0" builtinId="0"/>
    <cellStyle name="Normal 1" xfId="46"/>
    <cellStyle name="Normal 1 2" xfId="132"/>
    <cellStyle name="Normal 10" xfId="133"/>
    <cellStyle name="Normal 11" xfId="134"/>
    <cellStyle name="Normal 2" xfId="47"/>
    <cellStyle name="Normal 3" xfId="48"/>
    <cellStyle name="Normal 3 2" xfId="135"/>
    <cellStyle name="Normal 4" xfId="49"/>
    <cellStyle name="Normal 4 2" xfId="123"/>
    <cellStyle name="Normal 5" xfId="120"/>
    <cellStyle name="Normal 6" xfId="136"/>
    <cellStyle name="Normal 7" xfId="137"/>
    <cellStyle name="Normal 8" xfId="138"/>
    <cellStyle name="Normal 9" xfId="139"/>
    <cellStyle name="Normal_bec" xfId="50"/>
    <cellStyle name="Normal_bec_LIFE_Draft_030813" xfId="51"/>
    <cellStyle name="Normal_BS" xfId="52"/>
    <cellStyle name="Normal_COV_1" xfId="53"/>
    <cellStyle name="Normal_DisclaimerSheet Samples" xfId="146"/>
    <cellStyle name="Normal_HRC(1)" xfId="54"/>
    <cellStyle name="Normal_Internet Security Systems Model" xfId="55"/>
    <cellStyle name="p " xfId="56"/>
    <cellStyle name="Pass" xfId="57"/>
    <cellStyle name="Percent" xfId="58" builtinId="5"/>
    <cellStyle name="Percent 2" xfId="59"/>
    <cellStyle name="Percent 2 2" xfId="140"/>
    <cellStyle name="Percent 3" xfId="122"/>
    <cellStyle name="RRSInstruction" xfId="60"/>
    <cellStyle name="RRSInstruction 2" xfId="141"/>
    <cellStyle name="s_HardInc " xfId="61"/>
    <cellStyle name="s_HardInc _AFFX" xfId="62"/>
    <cellStyle name="s_HardInc _AFFX Work in Progress" xfId="63"/>
    <cellStyle name="s_HardInc _Bal Sheet" xfId="64"/>
    <cellStyle name="s_HardInc _BBB" xfId="65"/>
    <cellStyle name="s_HardInc _Cash Flow" xfId="66"/>
    <cellStyle name="s_HardInc _DCF" xfId="67"/>
    <cellStyle name="s_HardInc _ILMN" xfId="68"/>
    <cellStyle name="s_HardInc _IS" xfId="69"/>
    <cellStyle name="s_HardInc _MTD Work in Progress" xfId="70"/>
    <cellStyle name="s_HardInc _P&amp;L" xfId="71"/>
    <cellStyle name="s_HardInc _PKI" xfId="72"/>
    <cellStyle name="s_HardInc _RevBuild" xfId="73"/>
    <cellStyle name="s_HardInc _RRST15" xfId="74"/>
    <cellStyle name="s_HardInc _RRST2" xfId="142"/>
    <cellStyle name="s_HardInc _RRST21" xfId="75"/>
    <cellStyle name="s_HardInc _RRST5" xfId="143"/>
    <cellStyle name="s_Valuation " xfId="76"/>
    <cellStyle name="s_Valuation _AFFX" xfId="77"/>
    <cellStyle name="s_Valuation _AFFX Work in Progress" xfId="78"/>
    <cellStyle name="s_Valuation _Bal Sheet" xfId="79"/>
    <cellStyle name="s_Valuation _BBB" xfId="80"/>
    <cellStyle name="s_Valuation _Cash Flow" xfId="81"/>
    <cellStyle name="s_Valuation _DCF" xfId="82"/>
    <cellStyle name="s_Valuation _ILMN" xfId="83"/>
    <cellStyle name="s_Valuation _IS" xfId="84"/>
    <cellStyle name="s_Valuation _MTD Work in Progress" xfId="85"/>
    <cellStyle name="s_Valuation _P&amp;L" xfId="86"/>
    <cellStyle name="s_Valuation _PKI" xfId="87"/>
    <cellStyle name="s_Valuation _RevBuild" xfId="88"/>
    <cellStyle name="s_Valuation _RRST15" xfId="89"/>
    <cellStyle name="s_Valuation _RRST2" xfId="144"/>
    <cellStyle name="s_Valuation _RRST21" xfId="90"/>
    <cellStyle name="s_Valuation _RRST5" xfId="145"/>
    <cellStyle name="ssp " xfId="91"/>
    <cellStyle name="Style 1" xfId="92"/>
    <cellStyle name="Style 10" xfId="93"/>
    <cellStyle name="Style 11" xfId="94"/>
    <cellStyle name="Style 12" xfId="95"/>
    <cellStyle name="Style 13" xfId="96"/>
    <cellStyle name="Style 14" xfId="97"/>
    <cellStyle name="Style 15" xfId="98"/>
    <cellStyle name="Style 16" xfId="99"/>
    <cellStyle name="Style 17" xfId="100"/>
    <cellStyle name="Style 18" xfId="101"/>
    <cellStyle name="Style 19" xfId="102"/>
    <cellStyle name="Style 2" xfId="103"/>
    <cellStyle name="Style 20" xfId="104"/>
    <cellStyle name="Style 21" xfId="105"/>
    <cellStyle name="Style 22" xfId="106"/>
    <cellStyle name="Style 23" xfId="107"/>
    <cellStyle name="Style 24" xfId="108"/>
    <cellStyle name="Style 25" xfId="109"/>
    <cellStyle name="Style 26" xfId="110"/>
    <cellStyle name="Style 27" xfId="111"/>
    <cellStyle name="Style 3" xfId="112"/>
    <cellStyle name="Style 4" xfId="113"/>
    <cellStyle name="Style 5" xfId="114"/>
    <cellStyle name="Style 6" xfId="115"/>
    <cellStyle name="Style 7" xfId="116"/>
    <cellStyle name="Style 8" xfId="117"/>
    <cellStyle name="Style 9" xfId="118"/>
    <cellStyle name="쬞\?1@" xfId="119"/>
  </cellStyles>
  <dxfs count="0"/>
  <tableStyles count="0" defaultTableStyle="TableStyleMedium2" defaultPivotStyle="PivotStyleLight16"/>
  <colors>
    <mruColors>
      <color rgb="FF238B45"/>
      <color rgb="FF2270AB"/>
      <color rgb="FF137CB1"/>
      <color rgb="FF0066CC"/>
      <color rgb="FF00666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externalLinks/externalLink1.xml" Type="http://schemas.openxmlformats.org/officeDocument/2006/relationships/externalLink"/>
<Relationship Id="rId12" Target="externalLinks/externalLink2.xml" Type="http://schemas.openxmlformats.org/officeDocument/2006/relationships/externalLink"/>
<Relationship Id="rId13" Target="theme/theme1.xml" Type="http://schemas.openxmlformats.org/officeDocument/2006/relationships/theme"/>
<Relationship Id="rId14" Target="styles.xml" Type="http://schemas.openxmlformats.org/officeDocument/2006/relationships/styles"/>
<Relationship Id="rId15" Target="sharedStrings.xml" Type="http://schemas.openxmlformats.org/officeDocument/2006/relationships/sharedStrings"/>
<Relationship Id="rId16" Target="calcChain.xml" Type="http://schemas.openxmlformats.org/officeDocument/2006/relationships/calcChain"/>
<Relationship Id="rId17" Target="../customXml/item1.xml" Type="http://schemas.openxmlformats.org/officeDocument/2006/relationships/customXml"/>
<Relationship Id="rId18" Target="../customXml/item2.xml" Type="http://schemas.openxmlformats.org/officeDocument/2006/relationships/customXml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7</xdr:col>
      <xdr:colOff>390525</xdr:colOff>
      <xdr:row>194</xdr:row>
      <xdr:rowOff>19050</xdr:rowOff>
    </xdr:to>
    <xdr:pic>
      <xdr:nvPicPr>
        <xdr:cNvPr id="1456129" name="Picture 1" descr="C:\Users\jerrosen\AppData\Local\Temp\MercuryPriceRatingHistoryChart\A.N_2018_04_02_02_10_28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1178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HEALTH/Brennan/Companies/A/Extra%20model%20charts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CENmodel091205b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ian"/>
      <sheetName val="Mgmt Scenario"/>
      <sheetName val="End market b-down"/>
    </sheetNames>
    <sheetDataSet>
      <sheetData sheetId="0">
        <row r="2">
          <cell r="L2" t="str">
            <v>Year</v>
          </cell>
          <cell r="M2">
            <v>0</v>
          </cell>
          <cell r="N2">
            <v>1</v>
          </cell>
          <cell r="O2">
            <v>2</v>
          </cell>
          <cell r="P2">
            <v>3</v>
          </cell>
          <cell r="Q2">
            <v>4</v>
          </cell>
        </row>
        <row r="3">
          <cell r="M3">
            <v>2010</v>
          </cell>
          <cell r="N3">
            <v>2011</v>
          </cell>
          <cell r="O3">
            <v>2012</v>
          </cell>
          <cell r="P3">
            <v>2013</v>
          </cell>
          <cell r="Q3">
            <v>2014</v>
          </cell>
          <cell r="R3">
            <v>2015</v>
          </cell>
        </row>
        <row r="4">
          <cell r="K4" t="str">
            <v>Sales</v>
          </cell>
          <cell r="M4">
            <v>740.03500000000008</v>
          </cell>
          <cell r="N4">
            <v>790</v>
          </cell>
          <cell r="O4">
            <v>869.00000000000011</v>
          </cell>
          <cell r="P4">
            <v>964.59000000000026</v>
          </cell>
          <cell r="Q4">
            <v>1080.3408000000004</v>
          </cell>
          <cell r="R4">
            <v>1209.9816960000005</v>
          </cell>
        </row>
        <row r="5">
          <cell r="L5" t="str">
            <v>Y/Y growth</v>
          </cell>
          <cell r="N5">
            <v>6.7517076895011519E-2</v>
          </cell>
          <cell r="O5">
            <v>0.1</v>
          </cell>
          <cell r="P5">
            <v>0.11</v>
          </cell>
          <cell r="Q5">
            <v>0.12</v>
          </cell>
          <cell r="R5">
            <v>0.12</v>
          </cell>
        </row>
        <row r="6">
          <cell r="K6" t="str">
            <v>(divestitures)</v>
          </cell>
          <cell r="M6">
            <v>100</v>
          </cell>
        </row>
        <row r="7">
          <cell r="L7" t="str">
            <v>YY$</v>
          </cell>
          <cell r="O7">
            <v>79.000000000000114</v>
          </cell>
          <cell r="P7">
            <v>95.590000000000146</v>
          </cell>
          <cell r="Q7">
            <v>115.75080000000014</v>
          </cell>
          <cell r="R7">
            <v>129.64089600000011</v>
          </cell>
        </row>
        <row r="8">
          <cell r="K8" t="str">
            <v>EBIT</v>
          </cell>
          <cell r="N8">
            <v>63.2</v>
          </cell>
          <cell r="O8">
            <v>139.04000000000002</v>
          </cell>
          <cell r="P8">
            <v>241.14750000000006</v>
          </cell>
          <cell r="Q8">
            <v>286.29031200000014</v>
          </cell>
          <cell r="R8">
            <v>350.89469184000012</v>
          </cell>
        </row>
        <row r="9">
          <cell r="L9" t="str">
            <v>margin %</v>
          </cell>
          <cell r="N9">
            <v>0.08</v>
          </cell>
          <cell r="O9">
            <v>0.16</v>
          </cell>
          <cell r="P9">
            <v>0.25</v>
          </cell>
          <cell r="Q9">
            <v>0.26500000000000001</v>
          </cell>
          <cell r="R9">
            <v>0.28999999999999998</v>
          </cell>
        </row>
        <row r="11">
          <cell r="K11" t="str">
            <v>Synergies</v>
          </cell>
          <cell r="N11">
            <v>35</v>
          </cell>
          <cell r="O11">
            <v>23</v>
          </cell>
          <cell r="P11">
            <v>24</v>
          </cell>
          <cell r="Q11">
            <v>19</v>
          </cell>
        </row>
        <row r="12">
          <cell r="L12" t="str">
            <v>Expenses</v>
          </cell>
          <cell r="N12">
            <v>12.25</v>
          </cell>
          <cell r="O12">
            <v>8.0499999999999989</v>
          </cell>
          <cell r="P12">
            <v>8.3999999999999986</v>
          </cell>
          <cell r="Q12">
            <v>6.6499999999999995</v>
          </cell>
        </row>
        <row r="13">
          <cell r="N13">
            <v>0.35</v>
          </cell>
          <cell r="O13">
            <v>0.35</v>
          </cell>
          <cell r="P13">
            <v>0.35</v>
          </cell>
          <cell r="Q13">
            <v>0.35</v>
          </cell>
          <cell r="R13">
            <v>0.35</v>
          </cell>
        </row>
        <row r="14">
          <cell r="L14" t="str">
            <v>Manfacturing</v>
          </cell>
          <cell r="N14">
            <v>22.75</v>
          </cell>
          <cell r="O14">
            <v>14.950000000000001</v>
          </cell>
          <cell r="P14">
            <v>15.600000000000001</v>
          </cell>
          <cell r="Q14">
            <v>12.35</v>
          </cell>
          <cell r="R14">
            <v>0</v>
          </cell>
        </row>
        <row r="15">
          <cell r="N15">
            <v>0.65</v>
          </cell>
          <cell r="O15">
            <v>0.65</v>
          </cell>
          <cell r="P15">
            <v>0.65</v>
          </cell>
          <cell r="Q15">
            <v>0.65</v>
          </cell>
          <cell r="R15">
            <v>0.65</v>
          </cell>
        </row>
        <row r="17">
          <cell r="K17" t="str">
            <v>EBIT</v>
          </cell>
          <cell r="N17">
            <v>98.2</v>
          </cell>
          <cell r="O17">
            <v>162.04000000000002</v>
          </cell>
          <cell r="P17">
            <v>265.14750000000004</v>
          </cell>
          <cell r="Q17">
            <v>305.29031200000014</v>
          </cell>
          <cell r="R17">
            <v>350.89469184000012</v>
          </cell>
        </row>
        <row r="18">
          <cell r="N18">
            <v>0.12430379746835443</v>
          </cell>
          <cell r="O18">
            <v>0.18646720368239356</v>
          </cell>
          <cell r="P18">
            <v>0.27488103753926535</v>
          </cell>
          <cell r="Q18">
            <v>0.28258704290349862</v>
          </cell>
          <cell r="R18">
            <v>0.28999999999999998</v>
          </cell>
        </row>
        <row r="20">
          <cell r="K20" t="str">
            <v>Debt</v>
          </cell>
          <cell r="M20">
            <v>1500</v>
          </cell>
          <cell r="N20">
            <v>1500</v>
          </cell>
          <cell r="O20">
            <v>1250</v>
          </cell>
          <cell r="P20">
            <v>1250</v>
          </cell>
          <cell r="Q20">
            <v>1250</v>
          </cell>
          <cell r="R20">
            <v>750</v>
          </cell>
        </row>
        <row r="21">
          <cell r="L21" t="str">
            <v>interest</v>
          </cell>
          <cell r="M21">
            <v>0.04</v>
          </cell>
          <cell r="N21">
            <v>0.04</v>
          </cell>
          <cell r="O21">
            <v>0.04</v>
          </cell>
          <cell r="P21">
            <v>0.04</v>
          </cell>
          <cell r="Q21">
            <v>0.04</v>
          </cell>
          <cell r="R21">
            <v>0.04</v>
          </cell>
        </row>
        <row r="22">
          <cell r="K22" t="str">
            <v>Int Exp</v>
          </cell>
          <cell r="M22">
            <v>60</v>
          </cell>
          <cell r="N22">
            <v>60</v>
          </cell>
          <cell r="O22">
            <v>50</v>
          </cell>
          <cell r="P22">
            <v>50</v>
          </cell>
          <cell r="Q22">
            <v>50</v>
          </cell>
          <cell r="R22">
            <v>30</v>
          </cell>
        </row>
        <row r="24">
          <cell r="K24" t="str">
            <v>Post-Tax</v>
          </cell>
          <cell r="M24">
            <v>0</v>
          </cell>
          <cell r="N24">
            <v>81.508339952343135</v>
          </cell>
          <cell r="O24">
            <v>134.49084213673865</v>
          </cell>
          <cell r="P24">
            <v>220.07242500000001</v>
          </cell>
          <cell r="Q24">
            <v>253.39095896000012</v>
          </cell>
          <cell r="R24">
            <v>291.24259422720007</v>
          </cell>
        </row>
        <row r="25">
          <cell r="L25" t="str">
            <v>tax rate</v>
          </cell>
          <cell r="M25">
            <v>0.18</v>
          </cell>
          <cell r="N25">
            <v>0.16997617156473391</v>
          </cell>
          <cell r="O25">
            <v>0.17001455111862121</v>
          </cell>
          <cell r="P25">
            <v>0.17</v>
          </cell>
          <cell r="Q25">
            <v>0.17000000000000004</v>
          </cell>
          <cell r="R25">
            <v>0.17000000000000004</v>
          </cell>
        </row>
        <row r="27">
          <cell r="L27" t="str">
            <v>Shares</v>
          </cell>
          <cell r="M27">
            <v>353</v>
          </cell>
          <cell r="N27">
            <v>354.5</v>
          </cell>
          <cell r="O27">
            <v>355.14725113153008</v>
          </cell>
          <cell r="P27">
            <v>360.89166447605959</v>
          </cell>
          <cell r="Q27">
            <v>368.47246419609928</v>
          </cell>
          <cell r="R27">
            <v>375.68604215853378</v>
          </cell>
        </row>
        <row r="29">
          <cell r="K29" t="str">
            <v>EPS impact</v>
          </cell>
          <cell r="N29">
            <v>6.067232708700461E-2</v>
          </cell>
          <cell r="O29">
            <v>0.23790369168716205</v>
          </cell>
          <cell r="P29">
            <v>0.4712561739183147</v>
          </cell>
          <cell r="Q29">
            <v>0.5519841473195034</v>
          </cell>
          <cell r="R29">
            <v>0.69537476752186522</v>
          </cell>
        </row>
        <row r="30">
          <cell r="L30" t="str">
            <v>% of total</v>
          </cell>
          <cell r="O30">
            <v>7.4063724128615629E-2</v>
          </cell>
          <cell r="P30">
            <v>0.13039245935692187</v>
          </cell>
          <cell r="Q30">
            <v>0.13660527308187659</v>
          </cell>
          <cell r="R30">
            <v>0.15340702613442103</v>
          </cell>
        </row>
        <row r="31">
          <cell r="K31" t="str">
            <v>ROIC</v>
          </cell>
          <cell r="N31">
            <v>5.4338893301562087E-2</v>
          </cell>
          <cell r="O31">
            <v>8.9660561424492427E-2</v>
          </cell>
          <cell r="P31">
            <v>0.14671495000000001</v>
          </cell>
          <cell r="Q31">
            <v>0.16892730597333341</v>
          </cell>
          <cell r="R31">
            <v>0.19764494798880006</v>
          </cell>
        </row>
      </sheetData>
      <sheetData sheetId="1">
        <row r="1">
          <cell r="C1">
            <v>2011</v>
          </cell>
          <cell r="G1">
            <v>2011</v>
          </cell>
          <cell r="H1">
            <v>2012</v>
          </cell>
        </row>
        <row r="2">
          <cell r="C2">
            <v>40770</v>
          </cell>
          <cell r="G2" t="str">
            <v>Actuals</v>
          </cell>
          <cell r="H2">
            <v>40862</v>
          </cell>
        </row>
        <row r="3">
          <cell r="C3" t="str">
            <v>-1 σ</v>
          </cell>
          <cell r="D3" t="str">
            <v>BASE</v>
          </cell>
          <cell r="E3" t="str">
            <v>+1 σ</v>
          </cell>
          <cell r="H3" t="str">
            <v>-1 σ</v>
          </cell>
          <cell r="I3" t="str">
            <v>BASE</v>
          </cell>
          <cell r="J3" t="str">
            <v>+1 σ</v>
          </cell>
        </row>
        <row r="4">
          <cell r="A4" t="str">
            <v>Org rev growth- guidance midpt</v>
          </cell>
          <cell r="D4">
            <v>0.17</v>
          </cell>
          <cell r="I4">
            <v>0.06</v>
          </cell>
        </row>
        <row r="5">
          <cell r="A5" t="str">
            <v>Organic Revenue Growth</v>
          </cell>
          <cell r="C5">
            <v>0.04</v>
          </cell>
          <cell r="D5">
            <v>0.08</v>
          </cell>
          <cell r="E5">
            <v>0.12</v>
          </cell>
          <cell r="G5">
            <v>0.21288669229361168</v>
          </cell>
          <cell r="H5">
            <v>0.04</v>
          </cell>
          <cell r="I5">
            <v>0.08</v>
          </cell>
          <cell r="J5">
            <v>0.12</v>
          </cell>
        </row>
        <row r="6">
          <cell r="B6" t="str">
            <v>Maximum Expense Growth</v>
          </cell>
          <cell r="D6">
            <v>4.8000000000000001E-2</v>
          </cell>
          <cell r="G6">
            <v>0.17409874088800548</v>
          </cell>
          <cell r="I6">
            <v>4.8000000000000001E-2</v>
          </cell>
        </row>
        <row r="7">
          <cell r="A7" t="str">
            <v>Operating Margin %</v>
          </cell>
          <cell r="C7">
            <v>0.18</v>
          </cell>
          <cell r="D7">
            <v>0.2</v>
          </cell>
          <cell r="E7">
            <v>0.21</v>
          </cell>
          <cell r="G7">
            <v>0.1978350437669785</v>
          </cell>
          <cell r="H7">
            <v>0.18</v>
          </cell>
          <cell r="I7">
            <v>0.2</v>
          </cell>
          <cell r="J7">
            <v>0.21</v>
          </cell>
        </row>
        <row r="8">
          <cell r="A8" t="str">
            <v>YoY OM Incremental %</v>
          </cell>
          <cell r="C8">
            <v>0.2</v>
          </cell>
          <cell r="D8">
            <v>0.36</v>
          </cell>
          <cell r="E8">
            <v>0.43</v>
          </cell>
          <cell r="G8">
            <v>0.31986242476354254</v>
          </cell>
          <cell r="H8">
            <v>0.2</v>
          </cell>
          <cell r="I8">
            <v>0.36</v>
          </cell>
          <cell r="J8">
            <v>0.43</v>
          </cell>
        </row>
        <row r="9">
          <cell r="A9" t="str">
            <v>ROIC %</v>
          </cell>
          <cell r="C9">
            <v>0.23</v>
          </cell>
          <cell r="D9">
            <v>0.25</v>
          </cell>
          <cell r="E9">
            <v>0.27</v>
          </cell>
          <cell r="G9">
            <v>0.27872284919856061</v>
          </cell>
          <cell r="H9">
            <v>0.23</v>
          </cell>
          <cell r="I9">
            <v>0.25</v>
          </cell>
          <cell r="J9">
            <v>0.27</v>
          </cell>
        </row>
        <row r="11">
          <cell r="A11" t="str">
            <v>EMG</v>
          </cell>
        </row>
        <row r="12">
          <cell r="A12" t="str">
            <v>Organic Revenue Growth</v>
          </cell>
          <cell r="C12">
            <v>0.02</v>
          </cell>
          <cell r="D12">
            <v>0.06</v>
          </cell>
          <cell r="E12">
            <v>0.11</v>
          </cell>
          <cell r="G12">
            <v>0.19109195402298851</v>
          </cell>
          <cell r="H12">
            <v>0.02</v>
          </cell>
          <cell r="I12">
            <v>0.06</v>
          </cell>
          <cell r="J12">
            <v>0.11</v>
          </cell>
        </row>
        <row r="13">
          <cell r="B13" t="str">
            <v>Maximum Expense Growth</v>
          </cell>
          <cell r="D13">
            <v>3.5999999999999997E-2</v>
          </cell>
          <cell r="I13">
            <v>3.5999999999999997E-2</v>
          </cell>
        </row>
        <row r="14">
          <cell r="A14" t="str">
            <v>Operating Margin %</v>
          </cell>
          <cell r="C14">
            <v>0.19</v>
          </cell>
          <cell r="D14">
            <v>0.21</v>
          </cell>
          <cell r="E14">
            <v>0.23</v>
          </cell>
          <cell r="G14">
            <v>0.22919179734620024</v>
          </cell>
          <cell r="H14">
            <v>0.19</v>
          </cell>
          <cell r="I14">
            <v>0.21</v>
          </cell>
          <cell r="J14">
            <v>0.23</v>
          </cell>
        </row>
        <row r="15">
          <cell r="A15" t="str">
            <v>YoY OM Incremental %</v>
          </cell>
          <cell r="C15">
            <v>-0.11</v>
          </cell>
          <cell r="D15">
            <v>0.4</v>
          </cell>
          <cell r="E15">
            <v>0.48</v>
          </cell>
          <cell r="G15">
            <v>0.60526315789473684</v>
          </cell>
          <cell r="H15">
            <v>-0.11</v>
          </cell>
          <cell r="I15">
            <v>0.4</v>
          </cell>
          <cell r="J15">
            <v>0.48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B_Blank"/>
      <sheetName val="mwareTaxoPres"/>
      <sheetName val="Model_Template"/>
      <sheetName val="mwareValPrintout"/>
      <sheetName val="mwarePreview"/>
      <sheetName val="CENMODEL"/>
      <sheetName val="Metrics"/>
      <sheetName val="Valuation"/>
      <sheetName val="Assumptions"/>
      <sheetName val="Variance"/>
      <sheetName val="New Pension Sheet"/>
      <sheetName val="Acqs"/>
      <sheetName val="HRS"/>
      <sheetName val="Options"/>
      <sheetName val="OPEBs"/>
      <sheetName val="mwareDates"/>
      <sheetName val="mwareSettings"/>
      <sheetName val="NY UPLOAD shadow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88"/>
  <sheetViews>
    <sheetView showGridLines="0" tabSelected="1" workbookViewId="0">
      <selection activeCell="Z1" sqref="Z1"/>
    </sheetView>
  </sheetViews>
  <sheetFormatPr defaultRowHeight="12.75"/>
  <cols>
    <col min="1" max="1" width="25.7109375" style="2498" customWidth="1"/>
    <col min="2" max="5" width="9.140625" style="2498"/>
    <col min="6" max="6" width="18.7109375" style="2498" customWidth="1"/>
    <col min="7" max="256" width="9.140625" style="2498"/>
    <col min="257" max="257" width="100.7109375" style="2498" customWidth="1"/>
    <col min="258" max="512" width="9.140625" style="2498"/>
    <col min="513" max="513" width="100.7109375" style="2498" customWidth="1"/>
    <col min="514" max="768" width="9.140625" style="2498"/>
    <col min="769" max="769" width="100.7109375" style="2498" customWidth="1"/>
    <col min="770" max="1024" width="9.140625" style="2498"/>
    <col min="1025" max="1025" width="100.7109375" style="2498" customWidth="1"/>
    <col min="1026" max="1280" width="9.140625" style="2498"/>
    <col min="1281" max="1281" width="100.7109375" style="2498" customWidth="1"/>
    <col min="1282" max="1536" width="9.140625" style="2498"/>
    <col min="1537" max="1537" width="100.7109375" style="2498" customWidth="1"/>
    <col min="1538" max="1792" width="9.140625" style="2498"/>
    <col min="1793" max="1793" width="100.7109375" style="2498" customWidth="1"/>
    <col min="1794" max="2048" width="9.140625" style="2498"/>
    <col min="2049" max="2049" width="100.7109375" style="2498" customWidth="1"/>
    <col min="2050" max="2304" width="9.140625" style="2498"/>
    <col min="2305" max="2305" width="100.7109375" style="2498" customWidth="1"/>
    <col min="2306" max="2560" width="9.140625" style="2498"/>
    <col min="2561" max="2561" width="100.7109375" style="2498" customWidth="1"/>
    <col min="2562" max="2816" width="9.140625" style="2498"/>
    <col min="2817" max="2817" width="100.7109375" style="2498" customWidth="1"/>
    <col min="2818" max="3072" width="9.140625" style="2498"/>
    <col min="3073" max="3073" width="100.7109375" style="2498" customWidth="1"/>
    <col min="3074" max="3328" width="9.140625" style="2498"/>
    <col min="3329" max="3329" width="100.7109375" style="2498" customWidth="1"/>
    <col min="3330" max="3584" width="9.140625" style="2498"/>
    <col min="3585" max="3585" width="100.7109375" style="2498" customWidth="1"/>
    <col min="3586" max="3840" width="9.140625" style="2498"/>
    <col min="3841" max="3841" width="100.7109375" style="2498" customWidth="1"/>
    <col min="3842" max="4096" width="9.140625" style="2498"/>
    <col min="4097" max="4097" width="100.7109375" style="2498" customWidth="1"/>
    <col min="4098" max="4352" width="9.140625" style="2498"/>
    <col min="4353" max="4353" width="100.7109375" style="2498" customWidth="1"/>
    <col min="4354" max="4608" width="9.140625" style="2498"/>
    <col min="4609" max="4609" width="100.7109375" style="2498" customWidth="1"/>
    <col min="4610" max="4864" width="9.140625" style="2498"/>
    <col min="4865" max="4865" width="100.7109375" style="2498" customWidth="1"/>
    <col min="4866" max="5120" width="9.140625" style="2498"/>
    <col min="5121" max="5121" width="100.7109375" style="2498" customWidth="1"/>
    <col min="5122" max="5376" width="9.140625" style="2498"/>
    <col min="5377" max="5377" width="100.7109375" style="2498" customWidth="1"/>
    <col min="5378" max="5632" width="9.140625" style="2498"/>
    <col min="5633" max="5633" width="100.7109375" style="2498" customWidth="1"/>
    <col min="5634" max="5888" width="9.140625" style="2498"/>
    <col min="5889" max="5889" width="100.7109375" style="2498" customWidth="1"/>
    <col min="5890" max="6144" width="9.140625" style="2498"/>
    <col min="6145" max="6145" width="100.7109375" style="2498" customWidth="1"/>
    <col min="6146" max="6400" width="9.140625" style="2498"/>
    <col min="6401" max="6401" width="100.7109375" style="2498" customWidth="1"/>
    <col min="6402" max="6656" width="9.140625" style="2498"/>
    <col min="6657" max="6657" width="100.7109375" style="2498" customWidth="1"/>
    <col min="6658" max="6912" width="9.140625" style="2498"/>
    <col min="6913" max="6913" width="100.7109375" style="2498" customWidth="1"/>
    <col min="6914" max="7168" width="9.140625" style="2498"/>
    <col min="7169" max="7169" width="100.7109375" style="2498" customWidth="1"/>
    <col min="7170" max="7424" width="9.140625" style="2498"/>
    <col min="7425" max="7425" width="100.7109375" style="2498" customWidth="1"/>
    <col min="7426" max="7680" width="9.140625" style="2498"/>
    <col min="7681" max="7681" width="100.7109375" style="2498" customWidth="1"/>
    <col min="7682" max="7936" width="9.140625" style="2498"/>
    <col min="7937" max="7937" width="100.7109375" style="2498" customWidth="1"/>
    <col min="7938" max="8192" width="9.140625" style="2498"/>
    <col min="8193" max="8193" width="100.7109375" style="2498" customWidth="1"/>
    <col min="8194" max="8448" width="9.140625" style="2498"/>
    <col min="8449" max="8449" width="100.7109375" style="2498" customWidth="1"/>
    <col min="8450" max="8704" width="9.140625" style="2498"/>
    <col min="8705" max="8705" width="100.7109375" style="2498" customWidth="1"/>
    <col min="8706" max="8960" width="9.140625" style="2498"/>
    <col min="8961" max="8961" width="100.7109375" style="2498" customWidth="1"/>
    <col min="8962" max="9216" width="9.140625" style="2498"/>
    <col min="9217" max="9217" width="100.7109375" style="2498" customWidth="1"/>
    <col min="9218" max="9472" width="9.140625" style="2498"/>
    <col min="9473" max="9473" width="100.7109375" style="2498" customWidth="1"/>
    <col min="9474" max="9728" width="9.140625" style="2498"/>
    <col min="9729" max="9729" width="100.7109375" style="2498" customWidth="1"/>
    <col min="9730" max="9984" width="9.140625" style="2498"/>
    <col min="9985" max="9985" width="100.7109375" style="2498" customWidth="1"/>
    <col min="9986" max="10240" width="9.140625" style="2498"/>
    <col min="10241" max="10241" width="100.7109375" style="2498" customWidth="1"/>
    <col min="10242" max="10496" width="9.140625" style="2498"/>
    <col min="10497" max="10497" width="100.7109375" style="2498" customWidth="1"/>
    <col min="10498" max="10752" width="9.140625" style="2498"/>
    <col min="10753" max="10753" width="100.7109375" style="2498" customWidth="1"/>
    <col min="10754" max="11008" width="9.140625" style="2498"/>
    <col min="11009" max="11009" width="100.7109375" style="2498" customWidth="1"/>
    <col min="11010" max="11264" width="9.140625" style="2498"/>
    <col min="11265" max="11265" width="100.7109375" style="2498" customWidth="1"/>
    <col min="11266" max="11520" width="9.140625" style="2498"/>
    <col min="11521" max="11521" width="100.7109375" style="2498" customWidth="1"/>
    <col min="11522" max="11776" width="9.140625" style="2498"/>
    <col min="11777" max="11777" width="100.7109375" style="2498" customWidth="1"/>
    <col min="11778" max="12032" width="9.140625" style="2498"/>
    <col min="12033" max="12033" width="100.7109375" style="2498" customWidth="1"/>
    <col min="12034" max="12288" width="9.140625" style="2498"/>
    <col min="12289" max="12289" width="100.7109375" style="2498" customWidth="1"/>
    <col min="12290" max="12544" width="9.140625" style="2498"/>
    <col min="12545" max="12545" width="100.7109375" style="2498" customWidth="1"/>
    <col min="12546" max="12800" width="9.140625" style="2498"/>
    <col min="12801" max="12801" width="100.7109375" style="2498" customWidth="1"/>
    <col min="12802" max="13056" width="9.140625" style="2498"/>
    <col min="13057" max="13057" width="100.7109375" style="2498" customWidth="1"/>
    <col min="13058" max="13312" width="9.140625" style="2498"/>
    <col min="13313" max="13313" width="100.7109375" style="2498" customWidth="1"/>
    <col min="13314" max="13568" width="9.140625" style="2498"/>
    <col min="13569" max="13569" width="100.7109375" style="2498" customWidth="1"/>
    <col min="13570" max="13824" width="9.140625" style="2498"/>
    <col min="13825" max="13825" width="100.7109375" style="2498" customWidth="1"/>
    <col min="13826" max="14080" width="9.140625" style="2498"/>
    <col min="14081" max="14081" width="100.7109375" style="2498" customWidth="1"/>
    <col min="14082" max="14336" width="9.140625" style="2498"/>
    <col min="14337" max="14337" width="100.7109375" style="2498" customWidth="1"/>
    <col min="14338" max="14592" width="9.140625" style="2498"/>
    <col min="14593" max="14593" width="100.7109375" style="2498" customWidth="1"/>
    <col min="14594" max="14848" width="9.140625" style="2498"/>
    <col min="14849" max="14849" width="100.7109375" style="2498" customWidth="1"/>
    <col min="14850" max="15104" width="9.140625" style="2498"/>
    <col min="15105" max="15105" width="100.7109375" style="2498" customWidth="1"/>
    <col min="15106" max="15360" width="9.140625" style="2498"/>
    <col min="15361" max="15361" width="100.7109375" style="2498" customWidth="1"/>
    <col min="15362" max="15616" width="9.140625" style="2498"/>
    <col min="15617" max="15617" width="100.7109375" style="2498" customWidth="1"/>
    <col min="15618" max="15872" width="9.140625" style="2498"/>
    <col min="15873" max="15873" width="100.7109375" style="2498" customWidth="1"/>
    <col min="15874" max="16128" width="9.140625" style="2498"/>
    <col min="16129" max="16129" width="100.7109375" style="2498" customWidth="1"/>
    <col min="16130" max="16384" width="9.140625" style="2498"/>
  </cols>
  <sheetData>
    <row r="1" spans="1:8" ht="30" customHeight="1">
      <c r="A1" s="2496"/>
      <c r="B1" s="2497"/>
      <c r="C1" s="2497"/>
      <c r="D1" s="2497"/>
      <c r="E1" s="2497"/>
      <c r="F1" s="2497"/>
      <c r="G1" s="2497"/>
      <c r="H1" s="2497"/>
    </row>
    <row r="2" spans="1:8" ht="14.25">
      <c r="A2" s="2499" t="s">
        <v>626</v>
      </c>
      <c r="B2" s="2497"/>
      <c r="C2" s="2497"/>
      <c r="D2" s="2497"/>
      <c r="E2" s="2497"/>
      <c r="F2" s="2497"/>
      <c r="G2" s="2497"/>
      <c r="H2" s="2497"/>
    </row>
    <row r="3" spans="1:8" ht="14.25">
      <c r="A3" s="2499" t="s">
        <v>627</v>
      </c>
      <c r="B3" s="2497"/>
      <c r="C3" s="2497"/>
      <c r="D3" s="2497"/>
      <c r="E3" s="2497"/>
      <c r="F3" s="2497"/>
      <c r="G3" s="2497"/>
      <c r="H3" s="2497"/>
    </row>
    <row r="4" spans="1:8" ht="14.25">
      <c r="A4" s="2499" t="s">
        <v>500</v>
      </c>
      <c r="B4" s="2497"/>
      <c r="C4" s="2497"/>
      <c r="D4" s="2497"/>
      <c r="E4" s="2497"/>
      <c r="F4" s="2497"/>
      <c r="G4" s="2497"/>
      <c r="H4" s="2497"/>
    </row>
    <row r="5" spans="1:8" ht="14.25">
      <c r="A5" s="2499" t="s">
        <v>628</v>
      </c>
      <c r="B5" s="2497"/>
      <c r="C5" s="2497"/>
      <c r="D5" s="2497"/>
      <c r="E5" s="2497"/>
      <c r="F5" s="2497"/>
      <c r="G5" s="2497"/>
      <c r="H5" s="2497"/>
    </row>
    <row r="6" spans="1:8" ht="14.25">
      <c r="A6" s="2499"/>
      <c r="B6" s="2497"/>
      <c r="C6" s="2497"/>
      <c r="D6" s="2497"/>
      <c r="E6" s="2497"/>
      <c r="F6" s="2497"/>
      <c r="G6" s="2497"/>
      <c r="H6" s="2497"/>
    </row>
    <row r="7" spans="1:8">
      <c r="A7" s="2496" t="s">
        <v>629</v>
      </c>
      <c r="B7" s="2497"/>
      <c r="C7" s="2497"/>
      <c r="D7" s="2497"/>
      <c r="E7" s="2497"/>
      <c r="F7" s="2497"/>
      <c r="G7" s="2497"/>
      <c r="H7" s="2497"/>
    </row>
    <row r="8" spans="1:8">
      <c r="A8" s="2496" t="s">
        <v>630</v>
      </c>
      <c r="B8" s="2497"/>
      <c r="C8" s="2497"/>
      <c r="D8" s="2497"/>
      <c r="E8" s="2497"/>
      <c r="F8" s="2497"/>
      <c r="G8" s="2497"/>
      <c r="H8" s="2497"/>
    </row>
    <row r="9" spans="1:8">
      <c r="A9" s="2496"/>
      <c r="B9" s="2497"/>
      <c r="C9" s="2497"/>
      <c r="D9" s="2497"/>
      <c r="E9" s="2497"/>
      <c r="F9" s="2497"/>
      <c r="G9" s="2497"/>
      <c r="H9" s="2497"/>
    </row>
    <row r="10" spans="1:8">
      <c r="A10" s="2500" t="s">
        <v>631</v>
      </c>
      <c r="B10" s="2497"/>
      <c r="C10" s="2497"/>
      <c r="D10" s="2497"/>
      <c r="E10" s="2497"/>
      <c r="F10" s="2497"/>
      <c r="G10" s="2497"/>
      <c r="H10" s="2497"/>
    </row>
    <row r="11" spans="1:8">
      <c r="A11" s="2500" t="s">
        <v>632</v>
      </c>
      <c r="B11" s="2497"/>
      <c r="C11" s="2497"/>
      <c r="D11" s="2497"/>
      <c r="E11" s="2497"/>
      <c r="F11" s="2497"/>
      <c r="G11" s="2497"/>
      <c r="H11" s="2497"/>
    </row>
    <row r="12" spans="1:8">
      <c r="A12" s="2500" t="s">
        <v>633</v>
      </c>
      <c r="B12" s="2497"/>
      <c r="C12" s="2497"/>
      <c r="D12" s="2497"/>
      <c r="E12" s="2497"/>
      <c r="F12" s="2497"/>
      <c r="G12" s="2497"/>
      <c r="H12" s="2497"/>
    </row>
    <row r="13" spans="1:8">
      <c r="A13" s="2500" t="s">
        <v>634</v>
      </c>
      <c r="B13" s="2497"/>
      <c r="C13" s="2497"/>
      <c r="D13" s="2497"/>
      <c r="E13" s="2497"/>
      <c r="F13" s="2497"/>
      <c r="G13" s="2497"/>
      <c r="H13" s="2497"/>
    </row>
    <row r="14" spans="1:8">
      <c r="A14" s="2500" t="s">
        <v>635</v>
      </c>
      <c r="B14" s="2497"/>
      <c r="C14" s="2497"/>
      <c r="D14" s="2497"/>
      <c r="E14" s="2497"/>
      <c r="F14" s="2497"/>
      <c r="G14" s="2497"/>
      <c r="H14" s="2497"/>
    </row>
    <row r="15" spans="1:8">
      <c r="A15" s="2500" t="s">
        <v>636</v>
      </c>
      <c r="B15" s="2497"/>
      <c r="C15" s="2497"/>
      <c r="D15" s="2497"/>
      <c r="E15" s="2497"/>
      <c r="F15" s="2497"/>
      <c r="G15" s="2497"/>
      <c r="H15" s="2497"/>
    </row>
    <row r="16" spans="1:8">
      <c r="A16" s="2500"/>
      <c r="B16" s="2497"/>
      <c r="C16" s="2497"/>
      <c r="D16" s="2497"/>
      <c r="E16" s="2497"/>
      <c r="F16" s="2497"/>
      <c r="G16" s="2497"/>
      <c r="H16" s="2497"/>
    </row>
    <row r="17" spans="1:8">
      <c r="A17" s="2500" t="s">
        <v>623</v>
      </c>
      <c r="B17" s="2497"/>
      <c r="C17" s="2497"/>
      <c r="D17" s="2497"/>
      <c r="E17" s="2497"/>
      <c r="F17" s="2497"/>
      <c r="G17" s="2497"/>
      <c r="H17" s="2497"/>
    </row>
    <row r="18" spans="1:8">
      <c r="A18" s="2500"/>
      <c r="B18" s="2497"/>
      <c r="C18" s="2497"/>
      <c r="D18" s="2497"/>
      <c r="E18" s="2497"/>
      <c r="F18" s="2497"/>
      <c r="G18" s="2497"/>
      <c r="H18" s="2497"/>
    </row>
    <row r="19" spans="1:8">
      <c r="A19" s="2500" t="s">
        <v>624</v>
      </c>
      <c r="B19" s="2497"/>
      <c r="C19" s="2497"/>
      <c r="D19" s="2497"/>
      <c r="E19" s="2497"/>
      <c r="F19" s="2497"/>
      <c r="G19" s="2497"/>
      <c r="H19" s="2497"/>
    </row>
    <row r="20" spans="1:8">
      <c r="A20" s="2496"/>
      <c r="B20" s="2497"/>
      <c r="C20" s="2497"/>
      <c r="D20" s="2497"/>
      <c r="E20" s="2497"/>
      <c r="F20" s="2497"/>
      <c r="G20" s="2497"/>
      <c r="H20" s="2497"/>
    </row>
    <row r="21" spans="1:8">
      <c r="A21" s="2501" t="s">
        <v>625</v>
      </c>
      <c r="B21" s="2497"/>
      <c r="C21" s="2497"/>
      <c r="D21" s="2497"/>
      <c r="E21" s="2497"/>
      <c r="F21" s="2497"/>
      <c r="G21" s="2497"/>
      <c r="H21" s="2497"/>
    </row>
    <row r="22" spans="1:8" ht="15">
      <c r="A22" s="2502"/>
      <c r="B22" s="2502"/>
      <c r="C22" s="2502"/>
      <c r="D22" s="2502"/>
      <c r="E22" s="2502"/>
      <c r="F22" s="2502"/>
      <c r="G22" s="2502"/>
      <c r="H22" s="2502"/>
    </row>
    <row r="23" spans="1:8" ht="15">
      <c r="A23" s="2503" t="s">
        <v>912</v>
      </c>
      <c r="B23" s="2502"/>
      <c r="C23" s="2502"/>
      <c r="D23" s="2502"/>
      <c r="E23" s="2502"/>
      <c r="F23" s="2502"/>
      <c r="G23" s="2502"/>
      <c r="H23" s="2502"/>
    </row>
    <row r="24" spans="1:8" ht="15">
      <c r="A24" s="2503" t="s">
        <v>913</v>
      </c>
      <c r="B24" s="2502"/>
      <c r="C24" s="2502"/>
      <c r="D24" s="2502"/>
      <c r="E24" s="2502"/>
      <c r="F24" s="2502"/>
      <c r="G24" s="2502"/>
      <c r="H24" s="2502"/>
    </row>
    <row r="25" spans="1:8" ht="15">
      <c r="A25" s="2503" t="s">
        <v>914</v>
      </c>
      <c r="B25" s="2502"/>
      <c r="C25" s="2502"/>
      <c r="D25" s="2502"/>
      <c r="E25" s="2502"/>
      <c r="F25" s="2502"/>
      <c r="G25" s="2502"/>
      <c r="H25" s="2502"/>
    </row>
    <row r="26" spans="1:8" ht="15">
      <c r="A26" s="2503" t="s">
        <v>915</v>
      </c>
      <c r="B26" s="2502"/>
      <c r="C26" s="2502"/>
      <c r="D26" s="2502"/>
      <c r="E26" s="2502"/>
      <c r="F26" s="2502"/>
      <c r="G26" s="2502"/>
      <c r="H26" s="2502"/>
    </row>
    <row r="27" spans="1:8" ht="15">
      <c r="A27" s="2502"/>
      <c r="B27" s="2502"/>
      <c r="C27" s="2502"/>
      <c r="D27" s="2502"/>
      <c r="E27" s="2502"/>
      <c r="F27" s="2502"/>
      <c r="G27" s="2502"/>
      <c r="H27" s="2502"/>
    </row>
    <row r="28" spans="1:8" ht="15">
      <c r="A28" s="2502"/>
      <c r="B28" s="2502"/>
      <c r="C28" s="2502"/>
      <c r="D28" s="2502"/>
      <c r="E28" s="2502"/>
      <c r="F28" s="2502"/>
      <c r="G28" s="2502"/>
      <c r="H28" s="2502"/>
    </row>
    <row r="29" spans="1:8" ht="15">
      <c r="A29" s="2503" t="s">
        <v>907</v>
      </c>
      <c r="B29" s="2502"/>
      <c r="C29" s="2502"/>
      <c r="D29" s="2502"/>
      <c r="E29" s="2502"/>
      <c r="F29" s="2502"/>
      <c r="G29" s="2502"/>
      <c r="H29" s="2502"/>
    </row>
    <row r="30" spans="1:8" ht="15">
      <c r="A30" s="2503" t="s">
        <v>908</v>
      </c>
      <c r="B30" s="2502"/>
      <c r="C30" s="2502"/>
      <c r="D30" s="2502"/>
      <c r="E30" s="2502"/>
      <c r="F30" s="2502"/>
      <c r="G30" s="2502"/>
      <c r="H30" s="2502"/>
    </row>
    <row r="31" spans="1:8" ht="15">
      <c r="A31" s="2503" t="s">
        <v>909</v>
      </c>
      <c r="B31" s="2502"/>
      <c r="C31" s="2502"/>
      <c r="D31" s="2502"/>
      <c r="E31" s="2502"/>
      <c r="F31" s="2502"/>
      <c r="G31" s="2502"/>
      <c r="H31" s="2502"/>
    </row>
    <row r="32" spans="1:8" ht="15">
      <c r="A32" s="2503" t="s">
        <v>910</v>
      </c>
      <c r="B32" s="2502"/>
      <c r="C32" s="2502"/>
      <c r="D32" s="2502"/>
      <c r="E32" s="2502"/>
      <c r="F32" s="2502"/>
      <c r="G32" s="2502"/>
      <c r="H32" s="2502"/>
    </row>
    <row r="33" spans="1:8" ht="15">
      <c r="A33" s="2503" t="s">
        <v>911</v>
      </c>
      <c r="B33" s="2502"/>
      <c r="C33" s="2502"/>
      <c r="D33" s="2502"/>
      <c r="E33" s="2502"/>
      <c r="F33" s="2502"/>
      <c r="G33" s="2502"/>
      <c r="H33" s="2502"/>
    </row>
    <row r="34" spans="1:8" ht="15">
      <c r="A34" s="2502"/>
      <c r="B34" s="2502"/>
      <c r="C34" s="2502"/>
      <c r="D34" s="2502"/>
      <c r="E34" s="2502"/>
      <c r="F34" s="2502"/>
      <c r="G34" s="2502"/>
      <c r="H34" s="2502"/>
    </row>
    <row r="35" spans="1:8" ht="15">
      <c r="A35" s="2503" t="s">
        <v>903</v>
      </c>
      <c r="B35" s="2502"/>
      <c r="C35" s="2502"/>
      <c r="D35" s="2502"/>
      <c r="E35" s="2502"/>
      <c r="F35" s="2502"/>
      <c r="G35" s="2502"/>
      <c r="H35" s="2502"/>
    </row>
    <row r="36" spans="1:8" ht="15">
      <c r="A36" s="2503" t="s">
        <v>904</v>
      </c>
      <c r="B36" s="2502"/>
      <c r="C36" s="2502"/>
      <c r="D36" s="2502"/>
      <c r="E36" s="2502"/>
      <c r="F36" s="2502"/>
      <c r="G36" s="2502"/>
      <c r="H36" s="2502"/>
    </row>
    <row r="37" spans="1:8" ht="15">
      <c r="A37" s="2503" t="s">
        <v>905</v>
      </c>
      <c r="B37" s="2502"/>
      <c r="C37" s="2502"/>
      <c r="D37" s="2502"/>
      <c r="E37" s="2502"/>
      <c r="F37" s="2502"/>
      <c r="G37" s="2502"/>
      <c r="H37" s="2502"/>
    </row>
    <row r="38" spans="1:8" ht="15">
      <c r="A38" s="2503" t="s">
        <v>906</v>
      </c>
      <c r="B38" s="2502"/>
      <c r="C38" s="2502"/>
      <c r="D38" s="2502"/>
      <c r="E38" s="2502"/>
      <c r="F38" s="2502"/>
      <c r="G38" s="2502"/>
      <c r="H38" s="2502"/>
    </row>
    <row r="39" spans="1:8" ht="15">
      <c r="A39" s="2502"/>
      <c r="B39" s="2502"/>
      <c r="C39" s="2502"/>
      <c r="D39" s="2502"/>
      <c r="E39" s="2502"/>
      <c r="F39" s="2502"/>
      <c r="G39" s="2502"/>
      <c r="H39" s="2502"/>
    </row>
    <row r="40" spans="1:8" ht="15">
      <c r="A40" s="2503" t="s">
        <v>897</v>
      </c>
      <c r="B40" s="2502"/>
      <c r="C40" s="2502"/>
      <c r="D40" s="2502"/>
      <c r="E40" s="2502"/>
      <c r="F40" s="2502"/>
      <c r="G40" s="2502"/>
      <c r="H40" s="2502"/>
    </row>
    <row r="41" spans="1:8" ht="15">
      <c r="A41" s="2503" t="s">
        <v>898</v>
      </c>
      <c r="B41" s="2502"/>
      <c r="C41" s="2502"/>
      <c r="D41" s="2502"/>
      <c r="E41" s="2502"/>
      <c r="F41" s="2502"/>
      <c r="G41" s="2502"/>
      <c r="H41" s="2502"/>
    </row>
    <row r="42" spans="1:8" ht="15">
      <c r="A42" s="2503" t="s">
        <v>899</v>
      </c>
      <c r="B42" s="2502"/>
      <c r="C42" s="2502"/>
      <c r="D42" s="2502"/>
      <c r="E42" s="2502"/>
      <c r="F42" s="2502"/>
      <c r="G42" s="2502"/>
      <c r="H42" s="2502"/>
    </row>
    <row r="43" spans="1:8" ht="15">
      <c r="A43" s="2503" t="s">
        <v>900</v>
      </c>
      <c r="B43" s="2502"/>
      <c r="C43" s="2502"/>
      <c r="D43" s="2502"/>
      <c r="E43" s="2502"/>
      <c r="F43" s="2502"/>
      <c r="G43" s="2502"/>
      <c r="H43" s="2502"/>
    </row>
    <row r="44" spans="1:8" ht="15">
      <c r="A44" s="2503" t="s">
        <v>901</v>
      </c>
      <c r="B44" s="2502"/>
      <c r="C44" s="2502"/>
      <c r="D44" s="2502"/>
      <c r="E44" s="2502"/>
      <c r="F44" s="2502"/>
      <c r="G44" s="2502"/>
      <c r="H44" s="2502"/>
    </row>
    <row r="45" spans="1:8" ht="15">
      <c r="A45" s="2503" t="s">
        <v>902</v>
      </c>
      <c r="B45" s="2502"/>
      <c r="C45" s="2502"/>
      <c r="D45" s="2502"/>
      <c r="E45" s="2502"/>
      <c r="F45" s="2502"/>
      <c r="G45" s="2502"/>
      <c r="H45" s="2502"/>
    </row>
    <row r="46" spans="1:8" ht="15">
      <c r="A46" s="2502"/>
      <c r="B46" s="2502"/>
      <c r="C46" s="2502"/>
      <c r="D46" s="2502"/>
      <c r="E46" s="2502"/>
      <c r="F46" s="2502"/>
      <c r="G46" s="2502"/>
      <c r="H46" s="2502"/>
    </row>
    <row r="47" spans="1:8" ht="15.75">
      <c r="A47" s="2504" t="s">
        <v>637</v>
      </c>
      <c r="B47" s="2502"/>
      <c r="C47" s="2502"/>
      <c r="D47" s="2502"/>
      <c r="E47" s="2502"/>
      <c r="F47" s="2502"/>
      <c r="G47" s="2502"/>
      <c r="H47" s="2502"/>
    </row>
    <row r="48" spans="1:8" ht="15">
      <c r="A48" s="2502"/>
      <c r="B48" s="2502"/>
      <c r="C48" s="2502"/>
      <c r="D48" s="2502"/>
      <c r="E48" s="2502"/>
      <c r="F48" s="2502"/>
      <c r="G48" s="2502"/>
      <c r="H48" s="2502"/>
    </row>
    <row r="49" spans="1:8" ht="15">
      <c r="A49" s="2503" t="s">
        <v>893</v>
      </c>
      <c r="B49" s="2502"/>
      <c r="C49" s="2502"/>
      <c r="D49" s="2502"/>
      <c r="E49" s="2502"/>
      <c r="F49" s="2502"/>
      <c r="G49" s="2502"/>
      <c r="H49" s="2502"/>
    </row>
    <row r="50" spans="1:8" ht="15">
      <c r="A50" s="2503" t="s">
        <v>894</v>
      </c>
      <c r="B50" s="2502"/>
      <c r="C50" s="2502"/>
      <c r="D50" s="2502"/>
      <c r="E50" s="2502"/>
      <c r="F50" s="2502"/>
      <c r="G50" s="2502"/>
      <c r="H50" s="2502"/>
    </row>
    <row r="51" spans="1:8" ht="15">
      <c r="A51" s="2503" t="s">
        <v>895</v>
      </c>
      <c r="B51" s="2502"/>
      <c r="C51" s="2502"/>
      <c r="D51" s="2502"/>
      <c r="E51" s="2502"/>
      <c r="F51" s="2502"/>
      <c r="G51" s="2502"/>
      <c r="H51" s="2502"/>
    </row>
    <row r="52" spans="1:8" ht="15">
      <c r="A52" s="2503" t="s">
        <v>896</v>
      </c>
      <c r="B52" s="2502"/>
      <c r="C52" s="2502"/>
      <c r="D52" s="2502"/>
      <c r="E52" s="2502"/>
      <c r="F52" s="2502"/>
      <c r="G52" s="2502"/>
      <c r="H52" s="2502"/>
    </row>
    <row r="53" spans="1:8" ht="15">
      <c r="A53" s="2502"/>
      <c r="B53" s="2502"/>
      <c r="C53" s="2502"/>
      <c r="D53" s="2502"/>
      <c r="E53" s="2502"/>
      <c r="F53" s="2502"/>
      <c r="G53" s="2502"/>
      <c r="H53" s="2502"/>
    </row>
    <row r="54" spans="1:8" ht="15">
      <c r="A54" s="2503" t="s">
        <v>638</v>
      </c>
      <c r="B54" s="2502"/>
      <c r="C54" s="2502"/>
      <c r="D54" s="2502"/>
      <c r="E54" s="2502"/>
      <c r="F54" s="2502"/>
      <c r="G54" s="2502"/>
      <c r="H54" s="2502"/>
    </row>
    <row r="55" spans="1:8" ht="15">
      <c r="A55" s="2502"/>
      <c r="B55" s="2502"/>
      <c r="C55" s="2502"/>
      <c r="D55" s="2502"/>
      <c r="E55" s="2502"/>
      <c r="F55" s="2502"/>
      <c r="G55" s="2502"/>
      <c r="H55" s="2502"/>
    </row>
    <row r="56" spans="1:8" ht="15.75">
      <c r="A56" s="2504" t="s">
        <v>639</v>
      </c>
      <c r="B56" s="2502"/>
      <c r="C56" s="2502"/>
      <c r="D56" s="2502"/>
      <c r="E56" s="2502"/>
      <c r="F56" s="2502"/>
      <c r="G56" s="2502"/>
      <c r="H56" s="2502"/>
    </row>
    <row r="57" spans="1:8" ht="15">
      <c r="A57" s="2502"/>
      <c r="B57" s="2502"/>
      <c r="C57" s="2502"/>
      <c r="D57" s="2502"/>
      <c r="E57" s="2502"/>
      <c r="F57" s="2502"/>
      <c r="G57" s="2502"/>
      <c r="H57" s="2502"/>
    </row>
    <row r="58" spans="1:8" ht="15">
      <c r="A58" s="2503" t="s">
        <v>891</v>
      </c>
      <c r="B58" s="2502"/>
      <c r="C58" s="2502"/>
      <c r="D58" s="2502"/>
      <c r="E58" s="2502"/>
      <c r="F58" s="2502"/>
      <c r="G58" s="2502"/>
      <c r="H58" s="2502"/>
    </row>
    <row r="59" spans="1:8" ht="15">
      <c r="A59" s="2503" t="s">
        <v>892</v>
      </c>
      <c r="B59" s="2502"/>
      <c r="C59" s="2502"/>
      <c r="D59" s="2502"/>
      <c r="E59" s="2502"/>
      <c r="F59" s="2502"/>
      <c r="G59" s="2502"/>
      <c r="H59" s="2502"/>
    </row>
    <row r="60" spans="1:8" ht="15">
      <c r="A60" s="2502"/>
      <c r="B60" s="2502"/>
      <c r="C60" s="2502"/>
      <c r="D60" s="2502"/>
      <c r="E60" s="2502"/>
      <c r="F60" s="2502"/>
      <c r="G60" s="2502"/>
      <c r="H60" s="2502"/>
    </row>
    <row r="61" spans="1:8" ht="15.75">
      <c r="A61" s="2504" t="s">
        <v>640</v>
      </c>
      <c r="B61" s="2502"/>
      <c r="C61" s="2502"/>
      <c r="D61" s="2502"/>
      <c r="E61" s="2502"/>
      <c r="F61" s="2502"/>
      <c r="G61" s="2502"/>
      <c r="H61" s="2502"/>
    </row>
    <row r="62" spans="1:8" ht="15">
      <c r="A62" s="2502"/>
      <c r="B62" s="2502"/>
      <c r="C62" s="2502"/>
      <c r="D62" s="2502"/>
      <c r="E62" s="2502"/>
      <c r="F62" s="2502"/>
      <c r="G62" s="2502"/>
      <c r="H62" s="2502"/>
    </row>
    <row r="63" spans="1:8" ht="15">
      <c r="A63" s="2503" t="s">
        <v>889</v>
      </c>
      <c r="B63" s="2502"/>
      <c r="C63" s="2502"/>
      <c r="D63" s="2502"/>
      <c r="E63" s="2502"/>
      <c r="F63" s="2502"/>
      <c r="G63" s="2502"/>
      <c r="H63" s="2502"/>
    </row>
    <row r="64" spans="1:8" ht="15">
      <c r="A64" s="2503" t="s">
        <v>890</v>
      </c>
      <c r="B64" s="2502"/>
      <c r="C64" s="2502"/>
      <c r="D64" s="2502"/>
      <c r="E64" s="2502"/>
      <c r="F64" s="2502"/>
      <c r="G64" s="2502"/>
      <c r="H64" s="2502"/>
    </row>
    <row r="65" spans="1:8" ht="15">
      <c r="A65" s="2502"/>
      <c r="B65" s="2502"/>
      <c r="C65" s="2502"/>
      <c r="D65" s="2502"/>
      <c r="E65" s="2502"/>
      <c r="F65" s="2502"/>
      <c r="G65" s="2502"/>
      <c r="H65" s="2502"/>
    </row>
    <row r="66" spans="1:8" ht="15">
      <c r="A66" s="2503" t="s">
        <v>887</v>
      </c>
      <c r="B66" s="2502"/>
      <c r="C66" s="2502"/>
      <c r="D66" s="2502"/>
      <c r="E66" s="2502"/>
      <c r="F66" s="2502"/>
      <c r="G66" s="2502"/>
      <c r="H66" s="2502"/>
    </row>
    <row r="67" spans="1:8" ht="15">
      <c r="A67" s="2503" t="s">
        <v>888</v>
      </c>
      <c r="B67" s="2502"/>
      <c r="C67" s="2502"/>
      <c r="D67" s="2502"/>
      <c r="E67" s="2502"/>
      <c r="F67" s="2502"/>
      <c r="G67" s="2502"/>
      <c r="H67" s="2502"/>
    </row>
    <row r="68" spans="1:8" ht="15">
      <c r="A68" s="2502"/>
      <c r="B68" s="2502"/>
      <c r="C68" s="2502"/>
      <c r="D68" s="2502"/>
      <c r="E68" s="2502"/>
      <c r="F68" s="2502"/>
      <c r="G68" s="2502"/>
      <c r="H68" s="2502"/>
    </row>
    <row r="69" spans="1:8" ht="15">
      <c r="A69" s="2503" t="s">
        <v>885</v>
      </c>
      <c r="B69" s="2502"/>
      <c r="C69" s="2502"/>
      <c r="D69" s="2502"/>
      <c r="E69" s="2502"/>
      <c r="F69" s="2502"/>
      <c r="G69" s="2502"/>
      <c r="H69" s="2502"/>
    </row>
    <row r="70" spans="1:8" ht="15">
      <c r="A70" s="2503" t="s">
        <v>886</v>
      </c>
      <c r="B70" s="2502"/>
      <c r="C70" s="2502"/>
      <c r="D70" s="2502"/>
      <c r="E70" s="2502"/>
      <c r="F70" s="2502"/>
      <c r="G70" s="2502"/>
      <c r="H70" s="2502"/>
    </row>
    <row r="71" spans="1:8" ht="15">
      <c r="A71" s="2502"/>
      <c r="B71" s="2502"/>
      <c r="C71" s="2502"/>
      <c r="D71" s="2502"/>
      <c r="E71" s="2502"/>
      <c r="F71" s="2502"/>
      <c r="G71" s="2502"/>
      <c r="H71" s="2502"/>
    </row>
    <row r="72" spans="1:8" ht="15">
      <c r="A72" s="2503" t="s">
        <v>882</v>
      </c>
      <c r="B72" s="2502"/>
      <c r="C72" s="2502"/>
      <c r="D72" s="2502"/>
      <c r="E72" s="2502"/>
      <c r="F72" s="2502"/>
      <c r="G72" s="2502"/>
      <c r="H72" s="2502"/>
    </row>
    <row r="73" spans="1:8" ht="15">
      <c r="A73" s="2503" t="s">
        <v>883</v>
      </c>
      <c r="B73" s="2502"/>
      <c r="C73" s="2502"/>
      <c r="D73" s="2502"/>
      <c r="E73" s="2502"/>
      <c r="F73" s="2502"/>
      <c r="G73" s="2502"/>
      <c r="H73" s="2502"/>
    </row>
    <row r="74" spans="1:8" ht="15">
      <c r="A74" s="2503" t="s">
        <v>884</v>
      </c>
      <c r="B74" s="2502"/>
      <c r="C74" s="2502"/>
      <c r="D74" s="2502"/>
      <c r="E74" s="2502"/>
      <c r="F74" s="2502"/>
      <c r="G74" s="2502"/>
      <c r="H74" s="2502"/>
    </row>
    <row r="75" spans="1:8" ht="15">
      <c r="A75" s="2502"/>
      <c r="B75" s="2502"/>
      <c r="C75" s="2502"/>
      <c r="D75" s="2502"/>
      <c r="E75" s="2502"/>
      <c r="F75" s="2502"/>
      <c r="G75" s="2502"/>
      <c r="H75" s="2502"/>
    </row>
    <row r="76" spans="1:8" ht="15">
      <c r="A76" s="2503" t="s">
        <v>641</v>
      </c>
      <c r="B76" s="2502"/>
      <c r="C76" s="2502"/>
      <c r="D76" s="2502"/>
      <c r="E76" s="2502"/>
      <c r="F76" s="2502"/>
      <c r="G76" s="2502"/>
      <c r="H76" s="2502"/>
    </row>
    <row r="77" spans="1:8" ht="15">
      <c r="A77" s="2502"/>
      <c r="B77" s="2502"/>
      <c r="C77" s="2502"/>
      <c r="D77" s="2502"/>
      <c r="E77" s="2502"/>
      <c r="F77" s="2502"/>
      <c r="G77" s="2502"/>
      <c r="H77" s="2502"/>
    </row>
    <row r="78" spans="1:8" ht="15">
      <c r="A78" s="2503" t="s">
        <v>877</v>
      </c>
      <c r="B78" s="2502"/>
      <c r="C78" s="2502"/>
      <c r="D78" s="2502"/>
      <c r="E78" s="2502"/>
      <c r="F78" s="2502"/>
      <c r="G78" s="2502"/>
      <c r="H78" s="2502"/>
    </row>
    <row r="79" spans="1:8" ht="15">
      <c r="A79" s="2503" t="s">
        <v>878</v>
      </c>
      <c r="B79" s="2502"/>
      <c r="C79" s="2502"/>
      <c r="D79" s="2502"/>
      <c r="E79" s="2502"/>
      <c r="F79" s="2502"/>
      <c r="G79" s="2502"/>
      <c r="H79" s="2502"/>
    </row>
    <row r="80" spans="1:8" ht="15">
      <c r="A80" s="2503" t="s">
        <v>879</v>
      </c>
      <c r="B80" s="2502"/>
      <c r="C80" s="2502"/>
      <c r="D80" s="2502"/>
      <c r="E80" s="2502"/>
      <c r="F80" s="2502"/>
      <c r="G80" s="2502"/>
      <c r="H80" s="2502"/>
    </row>
    <row r="81" spans="1:8" ht="15">
      <c r="A81" s="2503" t="s">
        <v>880</v>
      </c>
      <c r="B81" s="2502"/>
      <c r="C81" s="2502"/>
      <c r="D81" s="2502"/>
      <c r="E81" s="2502"/>
      <c r="F81" s="2502"/>
      <c r="G81" s="2502"/>
      <c r="H81" s="2502"/>
    </row>
    <row r="82" spans="1:8" ht="15">
      <c r="A82" s="2503" t="s">
        <v>881</v>
      </c>
      <c r="B82" s="2502"/>
      <c r="C82" s="2502"/>
      <c r="D82" s="2502"/>
      <c r="E82" s="2502"/>
      <c r="F82" s="2502"/>
      <c r="G82" s="2502"/>
      <c r="H82" s="2502"/>
    </row>
    <row r="83" spans="1:8" ht="15">
      <c r="A83" s="2503" t="s">
        <v>766</v>
      </c>
      <c r="B83" s="2502"/>
      <c r="C83" s="2502"/>
      <c r="D83" s="2502"/>
      <c r="E83" s="2502"/>
      <c r="F83" s="2502"/>
      <c r="G83" s="2502"/>
      <c r="H83" s="2502"/>
    </row>
    <row r="84" spans="1:8" ht="15">
      <c r="A84" s="2502"/>
      <c r="B84" s="2502"/>
      <c r="C84" s="2502"/>
      <c r="D84" s="2502"/>
      <c r="E84" s="2502"/>
      <c r="F84" s="2502"/>
      <c r="G84" s="2502"/>
      <c r="H84" s="2502"/>
    </row>
    <row r="85" spans="1:8" ht="15">
      <c r="A85" s="2503" t="s">
        <v>870</v>
      </c>
      <c r="B85" s="2502"/>
      <c r="C85" s="2502"/>
      <c r="D85" s="2502"/>
      <c r="E85" s="2502"/>
      <c r="F85" s="2502"/>
      <c r="G85" s="2502"/>
      <c r="H85" s="2502"/>
    </row>
    <row r="86" spans="1:8" ht="15">
      <c r="A86" s="2503" t="s">
        <v>871</v>
      </c>
      <c r="B86" s="2502"/>
      <c r="C86" s="2502"/>
      <c r="D86" s="2502"/>
      <c r="E86" s="2502"/>
      <c r="F86" s="2502"/>
      <c r="G86" s="2502"/>
      <c r="H86" s="2502"/>
    </row>
    <row r="87" spans="1:8" ht="15">
      <c r="A87" s="2503" t="s">
        <v>872</v>
      </c>
      <c r="B87" s="2502"/>
      <c r="C87" s="2502"/>
      <c r="D87" s="2502"/>
      <c r="E87" s="2502"/>
      <c r="F87" s="2502"/>
      <c r="G87" s="2502"/>
      <c r="H87" s="2502"/>
    </row>
    <row r="88" spans="1:8" ht="15">
      <c r="A88" s="2503" t="s">
        <v>873</v>
      </c>
      <c r="B88" s="2502"/>
      <c r="C88" s="2502"/>
      <c r="D88" s="2502"/>
      <c r="E88" s="2502"/>
      <c r="F88" s="2502"/>
      <c r="G88" s="2502"/>
      <c r="H88" s="2502"/>
    </row>
    <row r="89" spans="1:8" ht="15">
      <c r="A89" s="2503" t="s">
        <v>874</v>
      </c>
      <c r="B89" s="2502"/>
      <c r="C89" s="2502"/>
      <c r="D89" s="2502"/>
      <c r="E89" s="2502"/>
      <c r="F89" s="2502"/>
      <c r="G89" s="2502"/>
      <c r="H89" s="2502"/>
    </row>
    <row r="90" spans="1:8" ht="15">
      <c r="A90" s="2503" t="s">
        <v>875</v>
      </c>
      <c r="B90" s="2502"/>
      <c r="C90" s="2502"/>
      <c r="D90" s="2502"/>
      <c r="E90" s="2502"/>
      <c r="F90" s="2502"/>
      <c r="G90" s="2502"/>
      <c r="H90" s="2502"/>
    </row>
    <row r="91" spans="1:8" ht="15">
      <c r="A91" s="2503" t="s">
        <v>876</v>
      </c>
      <c r="B91" s="2502"/>
      <c r="C91" s="2502"/>
      <c r="D91" s="2502"/>
      <c r="E91" s="2502"/>
      <c r="F91" s="2502"/>
      <c r="G91" s="2502"/>
      <c r="H91" s="2502"/>
    </row>
    <row r="92" spans="1:8" ht="15">
      <c r="A92" s="2502"/>
      <c r="B92" s="2502"/>
      <c r="C92" s="2502"/>
      <c r="D92" s="2502"/>
      <c r="E92" s="2502"/>
      <c r="F92" s="2502"/>
      <c r="G92" s="2502"/>
      <c r="H92" s="2502"/>
    </row>
    <row r="93" spans="1:8" ht="15">
      <c r="A93" s="2503" t="s">
        <v>868</v>
      </c>
      <c r="B93" s="2502"/>
      <c r="C93" s="2502"/>
      <c r="D93" s="2502"/>
      <c r="E93" s="2502"/>
      <c r="F93" s="2502"/>
      <c r="G93" s="2502"/>
      <c r="H93" s="2502"/>
    </row>
    <row r="94" spans="1:8" ht="15">
      <c r="A94" s="2503" t="s">
        <v>869</v>
      </c>
      <c r="B94" s="2502"/>
      <c r="C94" s="2502"/>
      <c r="D94" s="2502"/>
      <c r="E94" s="2502"/>
      <c r="F94" s="2502"/>
      <c r="G94" s="2502"/>
      <c r="H94" s="2502"/>
    </row>
    <row r="95" spans="1:8" ht="15">
      <c r="A95" s="2502"/>
      <c r="B95" s="2502"/>
      <c r="C95" s="2502"/>
      <c r="D95" s="2502"/>
      <c r="E95" s="2502"/>
      <c r="F95" s="2502"/>
      <c r="G95" s="2502"/>
      <c r="H95" s="2502"/>
    </row>
    <row r="96" spans="1:8" ht="15.75">
      <c r="A96" s="2504" t="s">
        <v>642</v>
      </c>
      <c r="B96" s="2502"/>
      <c r="C96" s="2502"/>
      <c r="D96" s="2502"/>
      <c r="E96" s="2502"/>
      <c r="F96" s="2502"/>
      <c r="G96" s="2502"/>
      <c r="H96" s="2502"/>
    </row>
    <row r="97" spans="1:8" ht="15">
      <c r="A97" s="2502"/>
      <c r="B97" s="2502"/>
      <c r="C97" s="2502"/>
      <c r="D97" s="2502"/>
      <c r="E97" s="2502"/>
      <c r="F97" s="2502"/>
      <c r="G97" s="2502"/>
      <c r="H97" s="2502"/>
    </row>
    <row r="98" spans="1:8" ht="15">
      <c r="A98" s="2503" t="s">
        <v>859</v>
      </c>
      <c r="B98" s="2502"/>
      <c r="C98" s="2502"/>
      <c r="D98" s="2502"/>
      <c r="E98" s="2502"/>
      <c r="F98" s="2502"/>
      <c r="G98" s="2502"/>
      <c r="H98" s="2502"/>
    </row>
    <row r="99" spans="1:8" ht="15">
      <c r="A99" s="2503" t="s">
        <v>860</v>
      </c>
      <c r="B99" s="2502"/>
      <c r="C99" s="2502"/>
      <c r="D99" s="2502"/>
      <c r="E99" s="2502"/>
      <c r="F99" s="2502"/>
      <c r="G99" s="2502"/>
      <c r="H99" s="2502"/>
    </row>
    <row r="100" spans="1:8" ht="15">
      <c r="A100" s="2503" t="s">
        <v>861</v>
      </c>
      <c r="B100" s="2502"/>
      <c r="C100" s="2502"/>
      <c r="D100" s="2502"/>
      <c r="E100" s="2502"/>
      <c r="F100" s="2502"/>
      <c r="G100" s="2502"/>
      <c r="H100" s="2502"/>
    </row>
    <row r="101" spans="1:8" ht="15">
      <c r="A101" s="2503" t="s">
        <v>862</v>
      </c>
      <c r="B101" s="2502"/>
      <c r="C101" s="2502"/>
      <c r="D101" s="2502"/>
      <c r="E101" s="2502"/>
      <c r="F101" s="2502"/>
      <c r="G101" s="2502"/>
      <c r="H101" s="2502"/>
    </row>
    <row r="102" spans="1:8" ht="15">
      <c r="A102" s="2503" t="s">
        <v>863</v>
      </c>
      <c r="B102" s="2502"/>
      <c r="C102" s="2502"/>
      <c r="D102" s="2502"/>
      <c r="E102" s="2502"/>
      <c r="F102" s="2502"/>
      <c r="G102" s="2502"/>
      <c r="H102" s="2502"/>
    </row>
    <row r="103" spans="1:8" ht="15">
      <c r="A103" s="2503" t="s">
        <v>864</v>
      </c>
      <c r="B103" s="2502"/>
      <c r="C103" s="2502"/>
      <c r="D103" s="2502"/>
      <c r="E103" s="2502"/>
      <c r="F103" s="2502"/>
      <c r="G103" s="2502"/>
      <c r="H103" s="2502"/>
    </row>
    <row r="104" spans="1:8" ht="15">
      <c r="A104" s="2503" t="s">
        <v>865</v>
      </c>
      <c r="B104" s="2502"/>
      <c r="C104" s="2502"/>
      <c r="D104" s="2502"/>
      <c r="E104" s="2502"/>
      <c r="F104" s="2502"/>
      <c r="G104" s="2502"/>
      <c r="H104" s="2502"/>
    </row>
    <row r="105" spans="1:8" ht="15">
      <c r="A105" s="2503" t="s">
        <v>866</v>
      </c>
      <c r="B105" s="2502"/>
      <c r="C105" s="2502"/>
      <c r="D105" s="2502"/>
      <c r="E105" s="2502"/>
      <c r="F105" s="2502"/>
      <c r="G105" s="2502"/>
      <c r="H105" s="2502"/>
    </row>
    <row r="106" spans="1:8" ht="15">
      <c r="A106" s="2503" t="s">
        <v>867</v>
      </c>
      <c r="B106" s="2502"/>
      <c r="C106" s="2502"/>
      <c r="D106" s="2502"/>
      <c r="E106" s="2502"/>
      <c r="F106" s="2502"/>
      <c r="G106" s="2502"/>
      <c r="H106" s="2502"/>
    </row>
    <row r="107" spans="1:8" ht="15">
      <c r="A107" s="2502"/>
      <c r="B107" s="2502"/>
      <c r="C107" s="2502"/>
      <c r="D107" s="2502"/>
      <c r="E107" s="2502"/>
      <c r="F107" s="2502"/>
      <c r="G107" s="2502"/>
      <c r="H107" s="2502"/>
    </row>
    <row r="108" spans="1:8" ht="15.75">
      <c r="A108" s="2505" t="s">
        <v>643</v>
      </c>
      <c r="B108" s="2505"/>
      <c r="C108" s="2505"/>
      <c r="D108" s="2505"/>
      <c r="E108" s="2505"/>
      <c r="F108" s="2505"/>
      <c r="G108" s="2505"/>
      <c r="H108" s="2505"/>
    </row>
    <row r="109" spans="1:8">
      <c r="A109" s="2506" t="s">
        <v>644</v>
      </c>
      <c r="B109" s="2506"/>
      <c r="C109" s="2506"/>
      <c r="D109" s="2506"/>
      <c r="E109" s="2506"/>
      <c r="F109" s="2506"/>
      <c r="G109" s="2506"/>
      <c r="H109" s="2506"/>
    </row>
    <row r="110" spans="1:8" ht="15">
      <c r="A110" s="2507"/>
      <c r="B110" s="2507"/>
      <c r="C110" s="2507"/>
      <c r="D110" s="2507"/>
      <c r="E110" s="2507"/>
      <c r="F110" s="2507"/>
      <c r="G110" s="2507"/>
      <c r="H110" s="2507"/>
    </row>
    <row r="111" spans="1:8">
      <c r="A111" s="2506" t="s">
        <v>857</v>
      </c>
      <c r="B111" s="2506"/>
      <c r="C111" s="2506"/>
      <c r="D111" s="2506"/>
      <c r="E111" s="2506"/>
      <c r="F111" s="2506"/>
      <c r="G111" s="2506"/>
      <c r="H111" s="2506"/>
    </row>
    <row r="112" spans="1:8">
      <c r="A112" s="2503" t="s">
        <v>858</v>
      </c>
      <c r="B112" s="2503"/>
      <c r="C112" s="2503"/>
      <c r="D112" s="2503"/>
      <c r="E112" s="2503"/>
      <c r="F112" s="2503"/>
      <c r="G112" s="2503"/>
      <c r="H112" s="2503"/>
    </row>
    <row r="113" spans="1:8" ht="15">
      <c r="A113" s="2507"/>
      <c r="B113" s="2507"/>
      <c r="C113" s="2507"/>
      <c r="D113" s="2507"/>
      <c r="E113" s="2507"/>
      <c r="F113" s="2507"/>
      <c r="G113" s="2507"/>
      <c r="H113" s="2507"/>
    </row>
    <row r="114" spans="1:8">
      <c r="A114" s="2506" t="s">
        <v>850</v>
      </c>
      <c r="B114" s="2506"/>
      <c r="C114" s="2506"/>
      <c r="D114" s="2506"/>
      <c r="E114" s="2506"/>
      <c r="F114" s="2506"/>
      <c r="G114" s="2506"/>
      <c r="H114" s="2506"/>
    </row>
    <row r="115" spans="1:8">
      <c r="A115" s="2503" t="s">
        <v>851</v>
      </c>
      <c r="B115" s="2503"/>
      <c r="C115" s="2503"/>
      <c r="D115" s="2503"/>
      <c r="E115" s="2503"/>
      <c r="F115" s="2503"/>
      <c r="G115" s="2503"/>
      <c r="H115" s="2503"/>
    </row>
    <row r="116" spans="1:8">
      <c r="A116" s="2503" t="s">
        <v>852</v>
      </c>
      <c r="B116" s="2503"/>
      <c r="C116" s="2503"/>
      <c r="D116" s="2503"/>
      <c r="E116" s="2503"/>
      <c r="F116" s="2503"/>
      <c r="G116" s="2503"/>
      <c r="H116" s="2503"/>
    </row>
    <row r="117" spans="1:8">
      <c r="A117" s="2503" t="s">
        <v>853</v>
      </c>
      <c r="B117" s="2503"/>
      <c r="C117" s="2503"/>
      <c r="D117" s="2503"/>
      <c r="E117" s="2503"/>
      <c r="F117" s="2503"/>
      <c r="G117" s="2503"/>
      <c r="H117" s="2503"/>
    </row>
    <row r="118" spans="1:8">
      <c r="A118" s="2503" t="s">
        <v>854</v>
      </c>
      <c r="B118" s="2503"/>
      <c r="C118" s="2503"/>
      <c r="D118" s="2503"/>
      <c r="E118" s="2503"/>
      <c r="F118" s="2503"/>
      <c r="G118" s="2503"/>
      <c r="H118" s="2503"/>
    </row>
    <row r="119" spans="1:8">
      <c r="A119" s="2503" t="s">
        <v>855</v>
      </c>
      <c r="B119" s="2503"/>
      <c r="C119" s="2503"/>
      <c r="D119" s="2503"/>
      <c r="E119" s="2503"/>
      <c r="F119" s="2503"/>
      <c r="G119" s="2503"/>
      <c r="H119" s="2503"/>
    </row>
    <row r="120" spans="1:8">
      <c r="A120" s="2503" t="s">
        <v>856</v>
      </c>
      <c r="B120" s="2503"/>
      <c r="C120" s="2503"/>
      <c r="D120" s="2503"/>
      <c r="E120" s="2503"/>
      <c r="F120" s="2503"/>
      <c r="G120" s="2503"/>
      <c r="H120" s="2503"/>
    </row>
    <row r="121" spans="1:8" ht="15">
      <c r="A121" s="2508"/>
      <c r="B121" s="2508"/>
      <c r="C121" s="2508"/>
      <c r="D121" s="2508"/>
      <c r="E121" s="2508"/>
      <c r="F121" s="2508"/>
      <c r="G121" s="2508"/>
      <c r="H121" s="2508"/>
    </row>
    <row r="122" spans="1:8">
      <c r="A122" s="2509"/>
      <c r="B122" s="2510" t="s">
        <v>645</v>
      </c>
      <c r="C122" s="2511"/>
      <c r="D122" s="2510" t="s">
        <v>646</v>
      </c>
      <c r="E122" s="2512"/>
      <c r="F122" s="2511"/>
      <c r="G122" s="2510" t="s">
        <v>647</v>
      </c>
      <c r="H122" s="2511"/>
    </row>
    <row r="123" spans="1:8">
      <c r="A123" s="2509" t="s">
        <v>648</v>
      </c>
      <c r="B123" s="2509" t="s">
        <v>504</v>
      </c>
      <c r="C123" s="2509" t="s">
        <v>586</v>
      </c>
      <c r="D123" s="2509" t="s">
        <v>504</v>
      </c>
      <c r="E123" s="2509" t="s">
        <v>649</v>
      </c>
      <c r="F123" s="2509" t="s">
        <v>650</v>
      </c>
      <c r="G123" s="2509" t="s">
        <v>504</v>
      </c>
      <c r="H123" s="2509" t="s">
        <v>651</v>
      </c>
    </row>
    <row r="124" spans="1:8">
      <c r="A124" s="2509" t="s">
        <v>652</v>
      </c>
      <c r="B124" s="2509">
        <v>1189</v>
      </c>
      <c r="C124" s="2513">
        <v>0.38</v>
      </c>
      <c r="D124" s="2509">
        <v>315</v>
      </c>
      <c r="E124" s="2513">
        <v>0.41</v>
      </c>
      <c r="F124" s="2513">
        <v>0.26</v>
      </c>
      <c r="G124" s="2509">
        <v>555</v>
      </c>
      <c r="H124" s="2513">
        <v>0.39</v>
      </c>
    </row>
    <row r="125" spans="1:8">
      <c r="A125" s="2509" t="s">
        <v>653</v>
      </c>
      <c r="B125" s="2509">
        <v>1355</v>
      </c>
      <c r="C125" s="2513">
        <v>0.43</v>
      </c>
      <c r="D125" s="2509">
        <v>364</v>
      </c>
      <c r="E125" s="2513">
        <v>0.47</v>
      </c>
      <c r="F125" s="2513">
        <v>0.27</v>
      </c>
      <c r="G125" s="2509">
        <v>644</v>
      </c>
      <c r="H125" s="2513">
        <v>0.45</v>
      </c>
    </row>
    <row r="126" spans="1:8">
      <c r="A126" s="2509" t="s">
        <v>654</v>
      </c>
      <c r="B126" s="2509">
        <v>53</v>
      </c>
      <c r="C126" s="2513">
        <v>0.02</v>
      </c>
      <c r="D126" s="2509">
        <v>4</v>
      </c>
      <c r="E126" s="2513">
        <v>0.01</v>
      </c>
      <c r="F126" s="2513">
        <v>0.08</v>
      </c>
      <c r="G126" s="2509">
        <v>7</v>
      </c>
      <c r="H126" s="2513">
        <v>0</v>
      </c>
    </row>
    <row r="127" spans="1:8">
      <c r="A127" s="2509" t="s">
        <v>655</v>
      </c>
      <c r="B127" s="2509">
        <v>545</v>
      </c>
      <c r="C127" s="2513">
        <v>0.17</v>
      </c>
      <c r="D127" s="2509">
        <v>84</v>
      </c>
      <c r="E127" s="2513">
        <v>0.11</v>
      </c>
      <c r="F127" s="2513">
        <v>0.15</v>
      </c>
      <c r="G127" s="2509">
        <v>214</v>
      </c>
      <c r="H127" s="2513">
        <v>0.15</v>
      </c>
    </row>
    <row r="128" spans="1:8">
      <c r="A128" s="2509" t="s">
        <v>563</v>
      </c>
      <c r="B128" s="2514">
        <v>3142</v>
      </c>
      <c r="C128" s="2509"/>
      <c r="D128" s="2509">
        <v>767</v>
      </c>
      <c r="E128" s="2509"/>
      <c r="F128" s="2509"/>
      <c r="G128" s="2509">
        <v>1420</v>
      </c>
      <c r="H128" s="2509"/>
    </row>
    <row r="129" spans="1:8" ht="15">
      <c r="A129" s="2515"/>
      <c r="B129" s="2515"/>
      <c r="C129" s="2515"/>
      <c r="D129" s="2515"/>
      <c r="E129" s="2515"/>
      <c r="F129" s="2515"/>
      <c r="G129" s="2515"/>
      <c r="H129" s="2515"/>
    </row>
    <row r="130" spans="1:8">
      <c r="A130" s="2506" t="s">
        <v>846</v>
      </c>
      <c r="B130" s="2506"/>
      <c r="C130" s="2506"/>
      <c r="D130" s="2506"/>
      <c r="E130" s="2506"/>
      <c r="F130" s="2506"/>
      <c r="G130" s="2506"/>
      <c r="H130" s="2506"/>
    </row>
    <row r="131" spans="1:8">
      <c r="A131" s="2503" t="s">
        <v>847</v>
      </c>
      <c r="B131" s="2503"/>
      <c r="C131" s="2503"/>
      <c r="D131" s="2503"/>
      <c r="E131" s="2503"/>
      <c r="F131" s="2503"/>
      <c r="G131" s="2503"/>
      <c r="H131" s="2503"/>
    </row>
    <row r="132" spans="1:8">
      <c r="A132" s="2503" t="s">
        <v>848</v>
      </c>
      <c r="B132" s="2503"/>
      <c r="C132" s="2503"/>
      <c r="D132" s="2503"/>
      <c r="E132" s="2503"/>
      <c r="F132" s="2503"/>
      <c r="G132" s="2503"/>
      <c r="H132" s="2503"/>
    </row>
    <row r="133" spans="1:8">
      <c r="A133" s="2503" t="s">
        <v>849</v>
      </c>
      <c r="B133" s="2503"/>
      <c r="C133" s="2503"/>
      <c r="D133" s="2503"/>
      <c r="E133" s="2503"/>
      <c r="F133" s="2503"/>
      <c r="G133" s="2503"/>
      <c r="H133" s="2503"/>
    </row>
    <row r="134" spans="1:8" ht="15">
      <c r="A134" s="2502"/>
      <c r="B134" s="2502"/>
      <c r="C134" s="2502"/>
      <c r="D134" s="2502"/>
      <c r="E134" s="2502"/>
      <c r="F134" s="2502"/>
      <c r="G134" s="2502"/>
      <c r="H134" s="2502"/>
    </row>
    <row r="135" spans="1:8" ht="15.75">
      <c r="A135" s="2504" t="s">
        <v>656</v>
      </c>
      <c r="B135" s="2502"/>
      <c r="C135" s="2502"/>
      <c r="D135" s="2502"/>
      <c r="E135" s="2502"/>
      <c r="F135" s="2502"/>
      <c r="G135" s="2502"/>
      <c r="H135" s="2502"/>
    </row>
    <row r="136" spans="1:8" ht="15">
      <c r="A136" s="2502"/>
      <c r="B136" s="2502"/>
      <c r="C136" s="2502"/>
      <c r="D136" s="2502"/>
      <c r="E136" s="2502"/>
      <c r="F136" s="2502"/>
      <c r="G136" s="2502"/>
      <c r="H136" s="2502"/>
    </row>
    <row r="137" spans="1:8" ht="15">
      <c r="A137" s="2503" t="s">
        <v>844</v>
      </c>
      <c r="B137" s="2502"/>
      <c r="C137" s="2502"/>
      <c r="D137" s="2502"/>
      <c r="E137" s="2502"/>
      <c r="F137" s="2502"/>
      <c r="G137" s="2502"/>
      <c r="H137" s="2502"/>
    </row>
    <row r="138" spans="1:8" ht="15">
      <c r="A138" s="2503" t="s">
        <v>845</v>
      </c>
      <c r="B138" s="2502"/>
      <c r="C138" s="2502"/>
      <c r="D138" s="2502"/>
      <c r="E138" s="2502"/>
      <c r="F138" s="2502"/>
      <c r="G138" s="2502"/>
      <c r="H138" s="2502"/>
    </row>
    <row r="139" spans="1:8" ht="15">
      <c r="A139" s="2502"/>
      <c r="B139" s="2502"/>
      <c r="C139" s="2502"/>
      <c r="D139" s="2502"/>
      <c r="E139" s="2502"/>
      <c r="F139" s="2502"/>
      <c r="G139" s="2502"/>
      <c r="H139" s="2502"/>
    </row>
    <row r="140" spans="1:8" ht="15">
      <c r="A140" s="2503" t="s">
        <v>841</v>
      </c>
      <c r="B140" s="2502"/>
      <c r="C140" s="2502"/>
      <c r="D140" s="2502"/>
      <c r="E140" s="2502"/>
      <c r="F140" s="2502"/>
      <c r="G140" s="2502"/>
      <c r="H140" s="2502"/>
    </row>
    <row r="141" spans="1:8" ht="15">
      <c r="A141" s="2503" t="s">
        <v>842</v>
      </c>
      <c r="B141" s="2502"/>
      <c r="C141" s="2502"/>
      <c r="D141" s="2502"/>
      <c r="E141" s="2502"/>
      <c r="F141" s="2502"/>
      <c r="G141" s="2502"/>
      <c r="H141" s="2502"/>
    </row>
    <row r="142" spans="1:8" ht="15">
      <c r="A142" s="2503" t="s">
        <v>843</v>
      </c>
      <c r="B142" s="2502"/>
      <c r="C142" s="2502"/>
      <c r="D142" s="2502"/>
      <c r="E142" s="2502"/>
      <c r="F142" s="2502"/>
      <c r="G142" s="2502"/>
      <c r="H142" s="2502"/>
    </row>
    <row r="143" spans="1:8" ht="15">
      <c r="A143" s="2502"/>
      <c r="B143" s="2502"/>
      <c r="C143" s="2502"/>
      <c r="D143" s="2502"/>
      <c r="E143" s="2502"/>
      <c r="F143" s="2502"/>
      <c r="G143" s="2502"/>
      <c r="H143" s="2502"/>
    </row>
    <row r="144" spans="1:8" ht="15">
      <c r="A144" s="2503" t="s">
        <v>838</v>
      </c>
      <c r="B144" s="2502"/>
      <c r="C144" s="2502"/>
      <c r="D144" s="2502"/>
      <c r="E144" s="2502"/>
      <c r="F144" s="2502"/>
      <c r="G144" s="2502"/>
      <c r="H144" s="2502"/>
    </row>
    <row r="145" spans="1:8" ht="15">
      <c r="A145" s="2503" t="s">
        <v>839</v>
      </c>
      <c r="B145" s="2502"/>
      <c r="C145" s="2502"/>
      <c r="D145" s="2502"/>
      <c r="E145" s="2502"/>
      <c r="F145" s="2502"/>
      <c r="G145" s="2502"/>
      <c r="H145" s="2502"/>
    </row>
    <row r="146" spans="1:8" ht="15">
      <c r="A146" s="2503" t="s">
        <v>840</v>
      </c>
      <c r="B146" s="2502"/>
      <c r="C146" s="2502"/>
      <c r="D146" s="2502"/>
      <c r="E146" s="2502"/>
      <c r="F146" s="2502"/>
      <c r="G146" s="2502"/>
      <c r="H146" s="2502"/>
    </row>
    <row r="147" spans="1:8" ht="15">
      <c r="A147" s="2502"/>
      <c r="B147" s="2502"/>
      <c r="C147" s="2502"/>
      <c r="D147" s="2502"/>
      <c r="E147" s="2502"/>
      <c r="F147" s="2502"/>
      <c r="G147" s="2502"/>
      <c r="H147" s="2502"/>
    </row>
    <row r="148" spans="1:8" ht="15">
      <c r="A148" s="2503" t="s">
        <v>835</v>
      </c>
      <c r="B148" s="2502"/>
      <c r="C148" s="2502"/>
      <c r="D148" s="2502"/>
      <c r="E148" s="2502"/>
      <c r="F148" s="2502"/>
      <c r="G148" s="2502"/>
      <c r="H148" s="2502"/>
    </row>
    <row r="149" spans="1:8" ht="15">
      <c r="A149" s="2503" t="s">
        <v>836</v>
      </c>
      <c r="B149" s="2502"/>
      <c r="C149" s="2502"/>
      <c r="D149" s="2502"/>
      <c r="E149" s="2502"/>
      <c r="F149" s="2502"/>
      <c r="G149" s="2502"/>
      <c r="H149" s="2502"/>
    </row>
    <row r="150" spans="1:8" ht="15">
      <c r="A150" s="2503" t="s">
        <v>837</v>
      </c>
      <c r="B150" s="2502"/>
      <c r="C150" s="2502"/>
      <c r="D150" s="2502"/>
      <c r="E150" s="2502"/>
      <c r="F150" s="2502"/>
      <c r="G150" s="2502"/>
      <c r="H150" s="2502"/>
    </row>
    <row r="151" spans="1:8" ht="15">
      <c r="A151" s="2502"/>
      <c r="B151" s="2502"/>
      <c r="C151" s="2502"/>
      <c r="D151" s="2502"/>
      <c r="E151" s="2502"/>
      <c r="F151" s="2502"/>
      <c r="G151" s="2502"/>
      <c r="H151" s="2502"/>
    </row>
    <row r="152" spans="1:8" ht="15">
      <c r="A152" s="2503" t="s">
        <v>833</v>
      </c>
      <c r="B152" s="2502"/>
      <c r="C152" s="2502"/>
      <c r="D152" s="2502"/>
      <c r="E152" s="2502"/>
      <c r="F152" s="2502"/>
      <c r="G152" s="2502"/>
      <c r="H152" s="2502"/>
    </row>
    <row r="153" spans="1:8" ht="15">
      <c r="A153" s="2503" t="s">
        <v>834</v>
      </c>
      <c r="B153" s="2502"/>
      <c r="C153" s="2502"/>
      <c r="D153" s="2502"/>
      <c r="E153" s="2502"/>
      <c r="F153" s="2502"/>
      <c r="G153" s="2502"/>
      <c r="H153" s="2502"/>
    </row>
    <row r="154" spans="1:8" ht="15">
      <c r="A154" s="2502"/>
      <c r="B154" s="2502"/>
      <c r="C154" s="2502"/>
      <c r="D154" s="2502"/>
      <c r="E154" s="2502"/>
      <c r="F154" s="2502"/>
      <c r="G154" s="2502"/>
      <c r="H154" s="2502"/>
    </row>
    <row r="155" spans="1:8" ht="15.75">
      <c r="A155" s="2504" t="s">
        <v>657</v>
      </c>
      <c r="B155" s="2502"/>
      <c r="C155" s="2502"/>
      <c r="D155" s="2502"/>
      <c r="E155" s="2502"/>
      <c r="F155" s="2502"/>
      <c r="G155" s="2502"/>
      <c r="H155" s="2502"/>
    </row>
    <row r="156" spans="1:8" ht="15">
      <c r="A156" s="2502"/>
      <c r="B156" s="2502"/>
      <c r="C156" s="2502"/>
      <c r="D156" s="2502"/>
      <c r="E156" s="2502"/>
      <c r="F156" s="2502"/>
      <c r="G156" s="2502"/>
      <c r="H156" s="2502"/>
    </row>
    <row r="157" spans="1:8" ht="15">
      <c r="A157" s="2503" t="s">
        <v>831</v>
      </c>
      <c r="B157" s="2502"/>
      <c r="C157" s="2502"/>
      <c r="D157" s="2502"/>
      <c r="E157" s="2502"/>
      <c r="F157" s="2502"/>
      <c r="G157" s="2502"/>
      <c r="H157" s="2502"/>
    </row>
    <row r="158" spans="1:8" ht="15">
      <c r="A158" s="2503" t="s">
        <v>832</v>
      </c>
      <c r="B158" s="2502"/>
      <c r="C158" s="2502"/>
      <c r="D158" s="2502"/>
      <c r="E158" s="2502"/>
      <c r="F158" s="2502"/>
      <c r="G158" s="2502"/>
      <c r="H158" s="2502"/>
    </row>
    <row r="159" spans="1:8" ht="15">
      <c r="A159" s="2502"/>
      <c r="B159" s="2502"/>
      <c r="C159" s="2502"/>
      <c r="D159" s="2502"/>
      <c r="E159" s="2502"/>
      <c r="F159" s="2502"/>
      <c r="G159" s="2502"/>
      <c r="H159" s="2502"/>
    </row>
    <row r="160" spans="1:8" ht="15">
      <c r="A160" s="2503" t="s">
        <v>829</v>
      </c>
      <c r="B160" s="2502"/>
      <c r="C160" s="2502"/>
      <c r="D160" s="2502"/>
      <c r="E160" s="2502"/>
      <c r="F160" s="2502"/>
      <c r="G160" s="2502"/>
      <c r="H160" s="2502"/>
    </row>
    <row r="161" spans="1:8" ht="15">
      <c r="A161" s="2503" t="s">
        <v>830</v>
      </c>
      <c r="B161" s="2502"/>
      <c r="C161" s="2502"/>
      <c r="D161" s="2502"/>
      <c r="E161" s="2502"/>
      <c r="F161" s="2502"/>
      <c r="G161" s="2502"/>
      <c r="H161" s="2502"/>
    </row>
    <row r="162" spans="1:8" ht="15">
      <c r="A162" s="2502"/>
      <c r="B162" s="2502"/>
      <c r="C162" s="2502"/>
      <c r="D162" s="2502"/>
      <c r="E162" s="2502"/>
      <c r="F162" s="2502"/>
      <c r="G162" s="2502"/>
      <c r="H162" s="2502"/>
    </row>
    <row r="163" spans="1:8" ht="15">
      <c r="A163" s="2503" t="s">
        <v>827</v>
      </c>
      <c r="B163" s="2502"/>
      <c r="C163" s="2502"/>
      <c r="D163" s="2502"/>
      <c r="E163" s="2502"/>
      <c r="F163" s="2502"/>
      <c r="G163" s="2502"/>
      <c r="H163" s="2502"/>
    </row>
    <row r="164" spans="1:8" ht="15">
      <c r="A164" s="2503" t="s">
        <v>828</v>
      </c>
      <c r="B164" s="2502"/>
      <c r="C164" s="2502"/>
      <c r="D164" s="2502"/>
      <c r="E164" s="2502"/>
      <c r="F164" s="2502"/>
      <c r="G164" s="2502"/>
      <c r="H164" s="2502"/>
    </row>
    <row r="165" spans="1:8" ht="15">
      <c r="A165" s="2502"/>
      <c r="B165" s="2502"/>
      <c r="C165" s="2502"/>
      <c r="D165" s="2502"/>
      <c r="E165" s="2502"/>
      <c r="F165" s="2502"/>
      <c r="G165" s="2502"/>
      <c r="H165" s="2502"/>
    </row>
    <row r="166" spans="1:8" ht="15">
      <c r="A166" s="2503" t="s">
        <v>824</v>
      </c>
      <c r="B166" s="2502"/>
      <c r="C166" s="2502"/>
      <c r="D166" s="2502"/>
      <c r="E166" s="2502"/>
      <c r="F166" s="2502"/>
      <c r="G166" s="2502"/>
      <c r="H166" s="2502"/>
    </row>
    <row r="167" spans="1:8" ht="15">
      <c r="A167" s="2503" t="s">
        <v>825</v>
      </c>
      <c r="B167" s="2502"/>
      <c r="C167" s="2502"/>
      <c r="D167" s="2502"/>
      <c r="E167" s="2502"/>
      <c r="F167" s="2502"/>
      <c r="G167" s="2502"/>
      <c r="H167" s="2502"/>
    </row>
    <row r="168" spans="1:8" ht="15">
      <c r="A168" s="2503" t="s">
        <v>826</v>
      </c>
      <c r="B168" s="2502"/>
      <c r="C168" s="2502"/>
      <c r="D168" s="2502"/>
      <c r="E168" s="2502"/>
      <c r="F168" s="2502"/>
      <c r="G168" s="2502"/>
      <c r="H168" s="2502"/>
    </row>
    <row r="169" spans="1:8" ht="15">
      <c r="A169" s="2502"/>
      <c r="B169" s="2502"/>
      <c r="C169" s="2502"/>
      <c r="D169" s="2502"/>
      <c r="E169" s="2502"/>
      <c r="F169" s="2502"/>
      <c r="G169" s="2502"/>
      <c r="H169" s="2502"/>
    </row>
    <row r="170" spans="1:8" ht="15">
      <c r="A170" s="2502"/>
      <c r="B170" s="2502"/>
      <c r="C170" s="2502"/>
      <c r="D170" s="2502"/>
      <c r="E170" s="2502"/>
      <c r="F170" s="2502"/>
      <c r="G170" s="2502"/>
      <c r="H170" s="2502"/>
    </row>
    <row r="171" spans="1:8" ht="15">
      <c r="A171" s="2503" t="s">
        <v>658</v>
      </c>
      <c r="B171" s="2502"/>
      <c r="C171" s="2502"/>
      <c r="D171" s="2502"/>
      <c r="E171" s="2502"/>
      <c r="F171" s="2502"/>
      <c r="G171" s="2502"/>
      <c r="H171" s="2502"/>
    </row>
    <row r="172" spans="1:8" ht="15">
      <c r="A172" s="2502"/>
      <c r="B172" s="2502"/>
      <c r="C172" s="2502"/>
      <c r="D172" s="2502"/>
      <c r="E172" s="2502"/>
      <c r="F172" s="2502"/>
      <c r="G172" s="2502"/>
      <c r="H172" s="2502"/>
    </row>
    <row r="173" spans="1:8" ht="15.75">
      <c r="A173" s="2504" t="s">
        <v>659</v>
      </c>
      <c r="B173" s="2502"/>
      <c r="C173" s="2502"/>
      <c r="D173" s="2502"/>
      <c r="E173" s="2502"/>
      <c r="F173" s="2502"/>
      <c r="G173" s="2502"/>
      <c r="H173" s="2502"/>
    </row>
    <row r="174" spans="1:8" ht="15">
      <c r="A174" s="2502"/>
      <c r="B174" s="2502"/>
      <c r="C174" s="2502"/>
      <c r="D174" s="2502"/>
      <c r="E174" s="2502"/>
      <c r="F174" s="2502"/>
      <c r="G174" s="2502"/>
      <c r="H174" s="2502"/>
    </row>
    <row r="175" spans="1:8" ht="15">
      <c r="A175" s="2502"/>
      <c r="B175" s="2502"/>
      <c r="C175" s="2502"/>
      <c r="D175" s="2502"/>
      <c r="E175" s="2502"/>
      <c r="F175" s="2502"/>
      <c r="G175" s="2502"/>
      <c r="H175" s="2502"/>
    </row>
    <row r="176" spans="1:8" ht="15">
      <c r="A176" s="2502"/>
      <c r="B176" s="2502"/>
      <c r="C176" s="2502"/>
      <c r="D176" s="2502"/>
      <c r="E176" s="2502"/>
      <c r="F176" s="2502"/>
      <c r="G176" s="2502"/>
      <c r="H176" s="2502"/>
    </row>
    <row r="177" spans="1:8" ht="15">
      <c r="A177" s="2502"/>
      <c r="B177" s="2502"/>
      <c r="C177" s="2502"/>
      <c r="D177" s="2502"/>
      <c r="E177" s="2502"/>
      <c r="F177" s="2502"/>
      <c r="G177" s="2502"/>
      <c r="H177" s="2502"/>
    </row>
    <row r="178" spans="1:8" ht="15">
      <c r="A178" s="2502"/>
      <c r="B178" s="2502"/>
      <c r="C178" s="2502"/>
      <c r="D178" s="2502"/>
      <c r="E178" s="2502"/>
      <c r="F178" s="2502"/>
      <c r="G178" s="2502"/>
      <c r="H178" s="2502"/>
    </row>
    <row r="179" spans="1:8" ht="15">
      <c r="A179" s="2502"/>
      <c r="B179" s="2502"/>
      <c r="C179" s="2502"/>
      <c r="D179" s="2502"/>
      <c r="E179" s="2502"/>
      <c r="F179" s="2502"/>
      <c r="G179" s="2502"/>
      <c r="H179" s="2502"/>
    </row>
    <row r="180" spans="1:8" ht="15">
      <c r="A180" s="2502"/>
      <c r="B180" s="2502"/>
      <c r="C180" s="2502"/>
      <c r="D180" s="2502"/>
      <c r="E180" s="2502"/>
      <c r="F180" s="2502"/>
      <c r="G180" s="2502"/>
      <c r="H180" s="2502"/>
    </row>
    <row r="181" spans="1:8" ht="15">
      <c r="A181" s="2502"/>
      <c r="B181" s="2502"/>
      <c r="C181" s="2502"/>
      <c r="D181" s="2502"/>
      <c r="E181" s="2502"/>
      <c r="F181" s="2502"/>
      <c r="G181" s="2502"/>
      <c r="H181" s="2502"/>
    </row>
    <row r="182" spans="1:8" ht="15">
      <c r="A182" s="2502"/>
      <c r="B182" s="2502"/>
      <c r="C182" s="2502"/>
      <c r="D182" s="2502"/>
      <c r="E182" s="2502"/>
      <c r="F182" s="2502"/>
      <c r="G182" s="2502"/>
      <c r="H182" s="2502"/>
    </row>
    <row r="183" spans="1:8" ht="15">
      <c r="A183" s="2502"/>
      <c r="B183" s="2502"/>
      <c r="C183" s="2502"/>
      <c r="D183" s="2502"/>
      <c r="E183" s="2502"/>
      <c r="F183" s="2502"/>
      <c r="G183" s="2502"/>
      <c r="H183" s="2502"/>
    </row>
    <row r="184" spans="1:8" ht="15">
      <c r="A184" s="2502"/>
      <c r="B184" s="2502"/>
      <c r="C184" s="2502"/>
      <c r="D184" s="2502"/>
      <c r="E184" s="2502"/>
      <c r="F184" s="2502"/>
      <c r="G184" s="2502"/>
      <c r="H184" s="2502"/>
    </row>
    <row r="185" spans="1:8" ht="15">
      <c r="A185" s="2502"/>
      <c r="B185" s="2502"/>
      <c r="C185" s="2502"/>
      <c r="D185" s="2502"/>
      <c r="E185" s="2502"/>
      <c r="F185" s="2502"/>
      <c r="G185" s="2502"/>
      <c r="H185" s="2502"/>
    </row>
    <row r="186" spans="1:8" ht="15">
      <c r="A186" s="2502"/>
      <c r="B186" s="2502"/>
      <c r="C186" s="2502"/>
      <c r="D186" s="2502"/>
      <c r="E186" s="2502"/>
      <c r="F186" s="2502"/>
      <c r="G186" s="2502"/>
      <c r="H186" s="2502"/>
    </row>
    <row r="187" spans="1:8" ht="15">
      <c r="A187" s="2502"/>
      <c r="B187" s="2502"/>
      <c r="C187" s="2502"/>
      <c r="D187" s="2502"/>
      <c r="E187" s="2502"/>
      <c r="F187" s="2502"/>
      <c r="G187" s="2502"/>
      <c r="H187" s="2502"/>
    </row>
    <row r="188" spans="1:8" ht="15">
      <c r="A188" s="2502"/>
      <c r="B188" s="2502"/>
      <c r="C188" s="2502"/>
      <c r="D188" s="2502"/>
      <c r="E188" s="2502"/>
      <c r="F188" s="2502"/>
      <c r="G188" s="2502"/>
      <c r="H188" s="2502"/>
    </row>
    <row r="189" spans="1:8" ht="15">
      <c r="A189" s="2502"/>
      <c r="B189" s="2502"/>
      <c r="C189" s="2502"/>
      <c r="D189" s="2502"/>
      <c r="E189" s="2502"/>
      <c r="F189" s="2502"/>
      <c r="G189" s="2502"/>
      <c r="H189" s="2502"/>
    </row>
    <row r="190" spans="1:8" ht="15">
      <c r="A190" s="2502"/>
      <c r="B190" s="2502"/>
      <c r="C190" s="2502"/>
      <c r="D190" s="2502"/>
      <c r="E190" s="2502"/>
      <c r="F190" s="2502"/>
      <c r="G190" s="2502"/>
      <c r="H190" s="2502"/>
    </row>
    <row r="191" spans="1:8" ht="15">
      <c r="A191" s="2502"/>
      <c r="B191" s="2502"/>
      <c r="C191" s="2502"/>
      <c r="D191" s="2502"/>
      <c r="E191" s="2502"/>
      <c r="F191" s="2502"/>
      <c r="G191" s="2502"/>
      <c r="H191" s="2502"/>
    </row>
    <row r="192" spans="1:8" ht="15">
      <c r="A192" s="2502"/>
      <c r="B192" s="2502"/>
      <c r="C192" s="2502"/>
      <c r="D192" s="2502"/>
      <c r="E192" s="2502"/>
      <c r="F192" s="2502"/>
      <c r="G192" s="2502"/>
      <c r="H192" s="2502"/>
    </row>
    <row r="193" spans="1:8" ht="15">
      <c r="A193" s="2502"/>
      <c r="B193" s="2502"/>
      <c r="C193" s="2502"/>
      <c r="D193" s="2502"/>
      <c r="E193" s="2502"/>
      <c r="F193" s="2502"/>
      <c r="G193" s="2502"/>
      <c r="H193" s="2502"/>
    </row>
    <row r="194" spans="1:8" ht="15">
      <c r="A194" s="2502"/>
      <c r="B194" s="2502"/>
      <c r="C194" s="2502"/>
      <c r="D194" s="2502"/>
      <c r="E194" s="2502"/>
      <c r="F194" s="2502"/>
      <c r="G194" s="2502"/>
      <c r="H194" s="2502"/>
    </row>
    <row r="195" spans="1:8" ht="15">
      <c r="A195" s="2502"/>
      <c r="B195" s="2502"/>
      <c r="C195" s="2502"/>
      <c r="D195" s="2502"/>
      <c r="E195" s="2502"/>
      <c r="F195" s="2502"/>
      <c r="G195" s="2502"/>
      <c r="H195" s="2502"/>
    </row>
    <row r="196" spans="1:8" ht="15">
      <c r="A196" s="2502"/>
      <c r="B196" s="2502"/>
      <c r="C196" s="2502"/>
      <c r="D196" s="2502"/>
      <c r="E196" s="2502"/>
      <c r="F196" s="2502"/>
      <c r="G196" s="2502"/>
      <c r="H196" s="2502"/>
    </row>
    <row r="197" spans="1:8" ht="15">
      <c r="A197" s="2502"/>
      <c r="B197" s="2502"/>
      <c r="C197" s="2502"/>
      <c r="D197" s="2502"/>
      <c r="E197" s="2502"/>
      <c r="F197" s="2502"/>
      <c r="G197" s="2502"/>
      <c r="H197" s="2502"/>
    </row>
    <row r="198" spans="1:8" ht="15">
      <c r="A198" s="2502"/>
      <c r="B198" s="2502"/>
      <c r="C198" s="2502"/>
      <c r="D198" s="2502"/>
      <c r="E198" s="2502"/>
      <c r="F198" s="2502"/>
      <c r="G198" s="2502"/>
      <c r="H198" s="2502"/>
    </row>
    <row r="199" spans="1:8" ht="15">
      <c r="A199" s="2502"/>
      <c r="B199" s="2502"/>
      <c r="C199" s="2502"/>
      <c r="D199" s="2502"/>
      <c r="E199" s="2502"/>
      <c r="F199" s="2502"/>
      <c r="G199" s="2502"/>
      <c r="H199" s="2502"/>
    </row>
    <row r="200" spans="1:8" ht="15.75">
      <c r="A200" s="2504" t="s">
        <v>660</v>
      </c>
      <c r="B200" s="2502"/>
      <c r="C200" s="2502"/>
      <c r="D200" s="2502"/>
      <c r="E200" s="2502"/>
      <c r="F200" s="2502"/>
      <c r="G200" s="2502"/>
      <c r="H200" s="2502"/>
    </row>
    <row r="201" spans="1:8" ht="15">
      <c r="A201" s="2502"/>
      <c r="B201" s="2502"/>
      <c r="C201" s="2502"/>
      <c r="D201" s="2502"/>
      <c r="E201" s="2502"/>
      <c r="F201" s="2502"/>
      <c r="G201" s="2502"/>
      <c r="H201" s="2502"/>
    </row>
    <row r="202" spans="1:8" ht="15">
      <c r="A202" s="2503" t="s">
        <v>819</v>
      </c>
      <c r="B202" s="2502"/>
      <c r="C202" s="2502"/>
      <c r="D202" s="2502"/>
      <c r="E202" s="2502"/>
      <c r="F202" s="2502"/>
      <c r="G202" s="2502"/>
      <c r="H202" s="2502"/>
    </row>
    <row r="203" spans="1:8" ht="15">
      <c r="A203" s="2503" t="s">
        <v>820</v>
      </c>
      <c r="B203" s="2502"/>
      <c r="C203" s="2502"/>
      <c r="D203" s="2502"/>
      <c r="E203" s="2502"/>
      <c r="F203" s="2502"/>
      <c r="G203" s="2502"/>
      <c r="H203" s="2502"/>
    </row>
    <row r="204" spans="1:8" ht="15">
      <c r="A204" s="2503" t="s">
        <v>821</v>
      </c>
      <c r="B204" s="2502"/>
      <c r="C204" s="2502"/>
      <c r="D204" s="2502"/>
      <c r="E204" s="2502"/>
      <c r="F204" s="2502"/>
      <c r="G204" s="2502"/>
      <c r="H204" s="2502"/>
    </row>
    <row r="205" spans="1:8" ht="15">
      <c r="A205" s="2503" t="s">
        <v>822</v>
      </c>
      <c r="B205" s="2502"/>
      <c r="C205" s="2502"/>
      <c r="D205" s="2502"/>
      <c r="E205" s="2502"/>
      <c r="F205" s="2502"/>
      <c r="G205" s="2502"/>
      <c r="H205" s="2502"/>
    </row>
    <row r="206" spans="1:8" ht="15">
      <c r="A206" s="2503" t="s">
        <v>823</v>
      </c>
      <c r="B206" s="2502"/>
      <c r="C206" s="2502"/>
      <c r="D206" s="2502"/>
      <c r="E206" s="2502"/>
      <c r="F206" s="2502"/>
      <c r="G206" s="2502"/>
      <c r="H206" s="2502"/>
    </row>
    <row r="207" spans="1:8" ht="15">
      <c r="A207" s="2502"/>
      <c r="B207" s="2502"/>
      <c r="C207" s="2502"/>
      <c r="D207" s="2502"/>
      <c r="E207" s="2502"/>
      <c r="F207" s="2502"/>
      <c r="G207" s="2502"/>
      <c r="H207" s="2502"/>
    </row>
    <row r="208" spans="1:8" ht="15">
      <c r="A208" s="2503" t="s">
        <v>816</v>
      </c>
      <c r="B208" s="2502"/>
      <c r="C208" s="2502"/>
      <c r="D208" s="2502"/>
      <c r="E208" s="2502"/>
      <c r="F208" s="2502"/>
      <c r="G208" s="2502"/>
      <c r="H208" s="2502"/>
    </row>
    <row r="209" spans="1:8" ht="15">
      <c r="A209" s="2503" t="s">
        <v>817</v>
      </c>
      <c r="B209" s="2502"/>
      <c r="C209" s="2502"/>
      <c r="D209" s="2502"/>
      <c r="E209" s="2502"/>
      <c r="F209" s="2502"/>
      <c r="G209" s="2502"/>
      <c r="H209" s="2502"/>
    </row>
    <row r="210" spans="1:8" ht="15">
      <c r="A210" s="2503" t="s">
        <v>818</v>
      </c>
      <c r="B210" s="2502"/>
      <c r="C210" s="2502"/>
      <c r="D210" s="2502"/>
      <c r="E210" s="2502"/>
      <c r="F210" s="2502"/>
      <c r="G210" s="2502"/>
      <c r="H210" s="2502"/>
    </row>
    <row r="211" spans="1:8" ht="15.75">
      <c r="A211" s="2504" t="s">
        <v>661</v>
      </c>
      <c r="B211" s="2502"/>
      <c r="C211" s="2502"/>
      <c r="D211" s="2502"/>
      <c r="E211" s="2502"/>
      <c r="F211" s="2502"/>
      <c r="G211" s="2502"/>
      <c r="H211" s="2502"/>
    </row>
    <row r="212" spans="1:8" ht="15">
      <c r="A212" s="2502"/>
      <c r="B212" s="2502"/>
      <c r="C212" s="2502"/>
      <c r="D212" s="2502"/>
      <c r="E212" s="2502"/>
      <c r="F212" s="2502"/>
      <c r="G212" s="2502"/>
      <c r="H212" s="2502"/>
    </row>
    <row r="213" spans="1:8" ht="15">
      <c r="A213" s="2503" t="s">
        <v>809</v>
      </c>
      <c r="B213" s="2502"/>
      <c r="C213" s="2502"/>
      <c r="D213" s="2502"/>
      <c r="E213" s="2502"/>
      <c r="F213" s="2502"/>
      <c r="G213" s="2502"/>
      <c r="H213" s="2502"/>
    </row>
    <row r="214" spans="1:8" ht="15">
      <c r="A214" s="2503" t="s">
        <v>810</v>
      </c>
      <c r="B214" s="2502"/>
      <c r="C214" s="2502"/>
      <c r="D214" s="2502"/>
      <c r="E214" s="2502"/>
      <c r="F214" s="2502"/>
      <c r="G214" s="2502"/>
      <c r="H214" s="2502"/>
    </row>
    <row r="215" spans="1:8" ht="15">
      <c r="A215" s="2503" t="s">
        <v>811</v>
      </c>
      <c r="B215" s="2502"/>
      <c r="C215" s="2502"/>
      <c r="D215" s="2502"/>
      <c r="E215" s="2502"/>
      <c r="F215" s="2502"/>
      <c r="G215" s="2502"/>
      <c r="H215" s="2502"/>
    </row>
    <row r="216" spans="1:8" ht="15">
      <c r="A216" s="2503" t="s">
        <v>812</v>
      </c>
      <c r="B216" s="2502"/>
      <c r="C216" s="2502"/>
      <c r="D216" s="2502"/>
      <c r="E216" s="2502"/>
      <c r="F216" s="2502"/>
      <c r="G216" s="2502"/>
      <c r="H216" s="2502"/>
    </row>
    <row r="217" spans="1:8" ht="15">
      <c r="A217" s="2503" t="s">
        <v>813</v>
      </c>
      <c r="B217" s="2502"/>
      <c r="C217" s="2502"/>
      <c r="D217" s="2502"/>
      <c r="E217" s="2502"/>
      <c r="F217" s="2502"/>
      <c r="G217" s="2502"/>
      <c r="H217" s="2502"/>
    </row>
    <row r="218" spans="1:8" ht="15">
      <c r="A218" s="2503" t="s">
        <v>814</v>
      </c>
      <c r="B218" s="2502"/>
      <c r="C218" s="2502"/>
      <c r="D218" s="2502"/>
      <c r="E218" s="2502"/>
      <c r="F218" s="2502"/>
      <c r="G218" s="2502"/>
      <c r="H218" s="2502"/>
    </row>
    <row r="219" spans="1:8" ht="15">
      <c r="A219" s="2503" t="s">
        <v>815</v>
      </c>
      <c r="B219" s="2502"/>
      <c r="C219" s="2502"/>
      <c r="D219" s="2502"/>
      <c r="E219" s="2502"/>
      <c r="F219" s="2502"/>
      <c r="G219" s="2502"/>
      <c r="H219" s="2502"/>
    </row>
    <row r="220" spans="1:8" ht="15">
      <c r="A220" s="2502"/>
      <c r="B220" s="2502"/>
      <c r="C220" s="2502"/>
      <c r="D220" s="2502"/>
      <c r="E220" s="2502"/>
      <c r="F220" s="2502"/>
      <c r="G220" s="2502"/>
      <c r="H220" s="2502"/>
    </row>
    <row r="221" spans="1:8" ht="15">
      <c r="A221" s="2503" t="s">
        <v>806</v>
      </c>
      <c r="B221" s="2502"/>
      <c r="C221" s="2502"/>
      <c r="D221" s="2502"/>
      <c r="E221" s="2502"/>
      <c r="F221" s="2502"/>
      <c r="G221" s="2502"/>
      <c r="H221" s="2502"/>
    </row>
    <row r="222" spans="1:8" ht="15">
      <c r="A222" s="2503" t="s">
        <v>807</v>
      </c>
      <c r="B222" s="2502"/>
      <c r="C222" s="2502"/>
      <c r="D222" s="2502"/>
      <c r="E222" s="2502"/>
      <c r="F222" s="2502"/>
      <c r="G222" s="2502"/>
      <c r="H222" s="2502"/>
    </row>
    <row r="223" spans="1:8" ht="15">
      <c r="A223" s="2503" t="s">
        <v>808</v>
      </c>
      <c r="B223" s="2502"/>
      <c r="C223" s="2502"/>
      <c r="D223" s="2502"/>
      <c r="E223" s="2502"/>
      <c r="F223" s="2502"/>
      <c r="G223" s="2502"/>
      <c r="H223" s="2502"/>
    </row>
    <row r="224" spans="1:8" ht="15">
      <c r="A224" s="2502"/>
      <c r="B224" s="2502"/>
      <c r="C224" s="2502"/>
      <c r="D224" s="2502"/>
      <c r="E224" s="2502"/>
      <c r="F224" s="2502"/>
      <c r="G224" s="2502"/>
      <c r="H224" s="2502"/>
    </row>
    <row r="225" spans="1:8" ht="15">
      <c r="A225" s="2503" t="s">
        <v>801</v>
      </c>
      <c r="B225" s="2502"/>
      <c r="C225" s="2502"/>
      <c r="D225" s="2502"/>
      <c r="E225" s="2502"/>
      <c r="F225" s="2502"/>
      <c r="G225" s="2502"/>
      <c r="H225" s="2502"/>
    </row>
    <row r="226" spans="1:8" ht="15">
      <c r="A226" s="2503" t="s">
        <v>802</v>
      </c>
      <c r="B226" s="2502"/>
      <c r="C226" s="2502"/>
      <c r="D226" s="2502"/>
      <c r="E226" s="2502"/>
      <c r="F226" s="2502"/>
      <c r="G226" s="2502"/>
      <c r="H226" s="2502"/>
    </row>
    <row r="227" spans="1:8" ht="15">
      <c r="A227" s="2503" t="s">
        <v>803</v>
      </c>
      <c r="B227" s="2502"/>
      <c r="C227" s="2502"/>
      <c r="D227" s="2502"/>
      <c r="E227" s="2502"/>
      <c r="F227" s="2502"/>
      <c r="G227" s="2502"/>
      <c r="H227" s="2502"/>
    </row>
    <row r="228" spans="1:8" ht="15">
      <c r="A228" s="2503" t="s">
        <v>804</v>
      </c>
      <c r="B228" s="2502"/>
      <c r="C228" s="2502"/>
      <c r="D228" s="2502"/>
      <c r="E228" s="2502"/>
      <c r="F228" s="2502"/>
      <c r="G228" s="2502"/>
      <c r="H228" s="2502"/>
    </row>
    <row r="229" spans="1:8" ht="15">
      <c r="A229" s="2503" t="s">
        <v>805</v>
      </c>
      <c r="B229" s="2502"/>
      <c r="C229" s="2502"/>
      <c r="D229" s="2502"/>
      <c r="E229" s="2502"/>
      <c r="F229" s="2502"/>
      <c r="G229" s="2502"/>
      <c r="H229" s="2502"/>
    </row>
    <row r="230" spans="1:8" ht="15">
      <c r="A230" s="2502"/>
      <c r="B230" s="2502"/>
      <c r="C230" s="2502"/>
      <c r="D230" s="2502"/>
      <c r="E230" s="2502"/>
      <c r="F230" s="2502"/>
      <c r="G230" s="2502"/>
      <c r="H230" s="2502"/>
    </row>
    <row r="231" spans="1:8" ht="15">
      <c r="A231" s="2503" t="s">
        <v>795</v>
      </c>
      <c r="B231" s="2502"/>
      <c r="C231" s="2502"/>
      <c r="D231" s="2502"/>
      <c r="E231" s="2502"/>
      <c r="F231" s="2502"/>
      <c r="G231" s="2502"/>
      <c r="H231" s="2502"/>
    </row>
    <row r="232" spans="1:8" ht="15">
      <c r="A232" s="2503" t="s">
        <v>796</v>
      </c>
      <c r="B232" s="2502"/>
      <c r="C232" s="2502"/>
      <c r="D232" s="2502"/>
      <c r="E232" s="2502"/>
      <c r="F232" s="2502"/>
      <c r="G232" s="2502"/>
      <c r="H232" s="2502"/>
    </row>
    <row r="233" spans="1:8" ht="15">
      <c r="A233" s="2503" t="s">
        <v>797</v>
      </c>
      <c r="B233" s="2502"/>
      <c r="C233" s="2502"/>
      <c r="D233" s="2502"/>
      <c r="E233" s="2502"/>
      <c r="F233" s="2502"/>
      <c r="G233" s="2502"/>
      <c r="H233" s="2502"/>
    </row>
    <row r="234" spans="1:8" ht="15">
      <c r="A234" s="2503" t="s">
        <v>798</v>
      </c>
      <c r="B234" s="2502"/>
      <c r="C234" s="2502"/>
      <c r="D234" s="2502"/>
      <c r="E234" s="2502"/>
      <c r="F234" s="2502"/>
      <c r="G234" s="2502"/>
      <c r="H234" s="2502"/>
    </row>
    <row r="235" spans="1:8" ht="15">
      <c r="A235" s="2503" t="s">
        <v>799</v>
      </c>
      <c r="B235" s="2502"/>
      <c r="C235" s="2502"/>
      <c r="D235" s="2502"/>
      <c r="E235" s="2502"/>
      <c r="F235" s="2502"/>
      <c r="G235" s="2502"/>
      <c r="H235" s="2502"/>
    </row>
    <row r="236" spans="1:8" ht="15">
      <c r="A236" s="2503" t="s">
        <v>800</v>
      </c>
      <c r="B236" s="2502"/>
      <c r="C236" s="2502"/>
      <c r="D236" s="2502"/>
      <c r="E236" s="2502"/>
      <c r="F236" s="2502"/>
      <c r="G236" s="2502"/>
      <c r="H236" s="2502"/>
    </row>
    <row r="237" spans="1:8" ht="15">
      <c r="A237" s="2502"/>
      <c r="B237" s="2502"/>
      <c r="C237" s="2502"/>
      <c r="D237" s="2502"/>
      <c r="E237" s="2502"/>
      <c r="F237" s="2502"/>
      <c r="G237" s="2502"/>
      <c r="H237" s="2502"/>
    </row>
    <row r="238" spans="1:8" ht="15">
      <c r="A238" s="2503" t="s">
        <v>785</v>
      </c>
      <c r="B238" s="2502"/>
      <c r="C238" s="2502"/>
      <c r="D238" s="2502"/>
      <c r="E238" s="2502"/>
      <c r="F238" s="2502"/>
      <c r="G238" s="2502"/>
      <c r="H238" s="2502"/>
    </row>
    <row r="239" spans="1:8" ht="15">
      <c r="A239" s="2503" t="s">
        <v>786</v>
      </c>
      <c r="B239" s="2502"/>
      <c r="C239" s="2502"/>
      <c r="D239" s="2502"/>
      <c r="E239" s="2502"/>
      <c r="F239" s="2502"/>
      <c r="G239" s="2502"/>
      <c r="H239" s="2502"/>
    </row>
    <row r="240" spans="1:8" ht="15">
      <c r="A240" s="2503" t="s">
        <v>787</v>
      </c>
      <c r="B240" s="2502"/>
      <c r="C240" s="2502"/>
      <c r="D240" s="2502"/>
      <c r="E240" s="2502"/>
      <c r="F240" s="2502"/>
      <c r="G240" s="2502"/>
      <c r="H240" s="2502"/>
    </row>
    <row r="241" spans="1:8" ht="15">
      <c r="A241" s="2503" t="s">
        <v>788</v>
      </c>
      <c r="B241" s="2502"/>
      <c r="C241" s="2502"/>
      <c r="D241" s="2502"/>
      <c r="E241" s="2502"/>
      <c r="F241" s="2502"/>
      <c r="G241" s="2502"/>
      <c r="H241" s="2502"/>
    </row>
    <row r="242" spans="1:8" ht="15">
      <c r="A242" s="2503" t="s">
        <v>789</v>
      </c>
      <c r="B242" s="2502"/>
      <c r="C242" s="2502"/>
      <c r="D242" s="2502"/>
      <c r="E242" s="2502"/>
      <c r="F242" s="2502"/>
      <c r="G242" s="2502"/>
      <c r="H242" s="2502"/>
    </row>
    <row r="243" spans="1:8" ht="15">
      <c r="A243" s="2503" t="s">
        <v>790</v>
      </c>
      <c r="B243" s="2502"/>
      <c r="C243" s="2502"/>
      <c r="D243" s="2502"/>
      <c r="E243" s="2502"/>
      <c r="F243" s="2502"/>
      <c r="G243" s="2502"/>
      <c r="H243" s="2502"/>
    </row>
    <row r="244" spans="1:8" ht="15">
      <c r="A244" s="2503" t="s">
        <v>791</v>
      </c>
      <c r="B244" s="2502"/>
      <c r="C244" s="2502"/>
      <c r="D244" s="2502"/>
      <c r="E244" s="2502"/>
      <c r="F244" s="2502"/>
      <c r="G244" s="2502"/>
      <c r="H244" s="2502"/>
    </row>
    <row r="245" spans="1:8" ht="15">
      <c r="A245" s="2503" t="s">
        <v>792</v>
      </c>
      <c r="B245" s="2502"/>
      <c r="C245" s="2502"/>
      <c r="D245" s="2502"/>
      <c r="E245" s="2502"/>
      <c r="F245" s="2502"/>
      <c r="G245" s="2502"/>
      <c r="H245" s="2502"/>
    </row>
    <row r="246" spans="1:8" ht="15">
      <c r="A246" s="2503" t="s">
        <v>793</v>
      </c>
      <c r="B246" s="2502"/>
      <c r="C246" s="2502"/>
      <c r="D246" s="2502"/>
      <c r="E246" s="2502"/>
      <c r="F246" s="2502"/>
      <c r="G246" s="2502"/>
      <c r="H246" s="2502"/>
    </row>
    <row r="247" spans="1:8" ht="15">
      <c r="A247" s="2503" t="s">
        <v>794</v>
      </c>
      <c r="B247" s="2502"/>
      <c r="C247" s="2502"/>
      <c r="D247" s="2502"/>
      <c r="E247" s="2502"/>
      <c r="F247" s="2502"/>
      <c r="G247" s="2502"/>
      <c r="H247" s="2502"/>
    </row>
    <row r="248" spans="1:8" ht="15">
      <c r="A248" s="2502"/>
      <c r="B248" s="2502"/>
      <c r="C248" s="2502"/>
      <c r="D248" s="2502"/>
      <c r="E248" s="2502"/>
      <c r="F248" s="2502"/>
      <c r="G248" s="2502"/>
      <c r="H248" s="2502"/>
    </row>
    <row r="249" spans="1:8" ht="15">
      <c r="A249" s="2503" t="s">
        <v>783</v>
      </c>
      <c r="B249" s="2502"/>
      <c r="C249" s="2502"/>
      <c r="D249" s="2502"/>
      <c r="E249" s="2502"/>
      <c r="F249" s="2502"/>
      <c r="G249" s="2502"/>
      <c r="H249" s="2502"/>
    </row>
    <row r="250" spans="1:8" ht="15">
      <c r="A250" s="2503" t="s">
        <v>784</v>
      </c>
      <c r="B250" s="2502"/>
      <c r="C250" s="2502"/>
      <c r="D250" s="2502"/>
      <c r="E250" s="2502"/>
      <c r="F250" s="2502"/>
      <c r="G250" s="2502"/>
      <c r="H250" s="2502"/>
    </row>
    <row r="251" spans="1:8" ht="15">
      <c r="A251" s="2502"/>
      <c r="B251" s="2502"/>
      <c r="C251" s="2502"/>
      <c r="D251" s="2502"/>
      <c r="E251" s="2502"/>
      <c r="F251" s="2502"/>
      <c r="G251" s="2502"/>
      <c r="H251" s="2502"/>
    </row>
    <row r="252" spans="1:8" ht="15">
      <c r="A252" s="2503" t="s">
        <v>767</v>
      </c>
      <c r="B252" s="2502"/>
      <c r="C252" s="2502"/>
      <c r="D252" s="2502"/>
      <c r="E252" s="2502"/>
      <c r="F252" s="2502"/>
      <c r="G252" s="2502"/>
      <c r="H252" s="2502"/>
    </row>
    <row r="253" spans="1:8" ht="15">
      <c r="A253" s="2503" t="s">
        <v>768</v>
      </c>
      <c r="B253" s="2502"/>
      <c r="C253" s="2502"/>
      <c r="D253" s="2502"/>
      <c r="E253" s="2502"/>
      <c r="F253" s="2502"/>
      <c r="G253" s="2502"/>
      <c r="H253" s="2502"/>
    </row>
    <row r="254" spans="1:8" ht="15">
      <c r="A254" s="2503" t="s">
        <v>769</v>
      </c>
      <c r="B254" s="2502"/>
      <c r="C254" s="2502"/>
      <c r="D254" s="2502"/>
      <c r="E254" s="2502"/>
      <c r="F254" s="2502"/>
      <c r="G254" s="2502"/>
      <c r="H254" s="2502"/>
    </row>
    <row r="255" spans="1:8" ht="15">
      <c r="A255" s="2503" t="s">
        <v>770</v>
      </c>
      <c r="B255" s="2502"/>
      <c r="C255" s="2502"/>
      <c r="D255" s="2502"/>
      <c r="E255" s="2502"/>
      <c r="F255" s="2502"/>
      <c r="G255" s="2502"/>
      <c r="H255" s="2502"/>
    </row>
    <row r="256" spans="1:8" ht="15">
      <c r="A256" s="2503" t="s">
        <v>771</v>
      </c>
      <c r="B256" s="2502"/>
      <c r="C256" s="2502"/>
      <c r="D256" s="2502"/>
      <c r="E256" s="2502"/>
      <c r="F256" s="2502"/>
      <c r="G256" s="2502"/>
      <c r="H256" s="2502"/>
    </row>
    <row r="257" spans="1:8" ht="15">
      <c r="A257" s="2503" t="s">
        <v>772</v>
      </c>
      <c r="B257" s="2502"/>
      <c r="C257" s="2502"/>
      <c r="D257" s="2502"/>
      <c r="E257" s="2502"/>
      <c r="F257" s="2502"/>
      <c r="G257" s="2502"/>
      <c r="H257" s="2502"/>
    </row>
    <row r="258" spans="1:8" ht="15">
      <c r="A258" s="2503" t="s">
        <v>773</v>
      </c>
      <c r="B258" s="2502"/>
      <c r="C258" s="2502"/>
      <c r="D258" s="2502"/>
      <c r="E258" s="2502"/>
      <c r="F258" s="2502"/>
      <c r="G258" s="2502"/>
      <c r="H258" s="2502"/>
    </row>
    <row r="259" spans="1:8" ht="15">
      <c r="A259" s="2503" t="s">
        <v>774</v>
      </c>
      <c r="B259" s="2502"/>
      <c r="C259" s="2502"/>
      <c r="D259" s="2502"/>
      <c r="E259" s="2502"/>
      <c r="F259" s="2502"/>
      <c r="G259" s="2502"/>
      <c r="H259" s="2502"/>
    </row>
    <row r="260" spans="1:8" ht="15">
      <c r="A260" s="2503" t="s">
        <v>775</v>
      </c>
      <c r="B260" s="2502"/>
      <c r="C260" s="2502"/>
      <c r="D260" s="2502"/>
      <c r="E260" s="2502"/>
      <c r="F260" s="2502"/>
      <c r="G260" s="2502"/>
      <c r="H260" s="2502"/>
    </row>
    <row r="261" spans="1:8" ht="15">
      <c r="A261" s="2503" t="s">
        <v>776</v>
      </c>
      <c r="B261" s="2502"/>
      <c r="C261" s="2502"/>
      <c r="D261" s="2502"/>
      <c r="E261" s="2502"/>
      <c r="F261" s="2502"/>
      <c r="G261" s="2502"/>
      <c r="H261" s="2502"/>
    </row>
    <row r="262" spans="1:8" ht="15">
      <c r="A262" s="2503" t="s">
        <v>777</v>
      </c>
      <c r="B262" s="2502"/>
      <c r="C262" s="2502"/>
      <c r="D262" s="2502"/>
      <c r="E262" s="2502"/>
      <c r="F262" s="2502"/>
      <c r="G262" s="2502"/>
      <c r="H262" s="2502"/>
    </row>
    <row r="263" spans="1:8" ht="15">
      <c r="A263" s="2503" t="s">
        <v>778</v>
      </c>
      <c r="B263" s="2502"/>
      <c r="C263" s="2502"/>
      <c r="D263" s="2502"/>
      <c r="E263" s="2502"/>
      <c r="F263" s="2502"/>
      <c r="G263" s="2502"/>
      <c r="H263" s="2502"/>
    </row>
    <row r="264" spans="1:8" ht="15">
      <c r="A264" s="2503" t="s">
        <v>779</v>
      </c>
      <c r="B264" s="2502"/>
      <c r="C264" s="2502"/>
      <c r="D264" s="2502"/>
      <c r="E264" s="2502"/>
      <c r="F264" s="2502"/>
      <c r="G264" s="2502"/>
      <c r="H264" s="2502"/>
    </row>
    <row r="265" spans="1:8" ht="15">
      <c r="A265" s="2503" t="s">
        <v>780</v>
      </c>
      <c r="B265" s="2502"/>
      <c r="C265" s="2502"/>
      <c r="D265" s="2502"/>
      <c r="E265" s="2502"/>
      <c r="F265" s="2502"/>
      <c r="G265" s="2502"/>
      <c r="H265" s="2502"/>
    </row>
    <row r="266" spans="1:8" ht="15">
      <c r="A266" s="2503" t="s">
        <v>781</v>
      </c>
      <c r="B266" s="2502"/>
      <c r="C266" s="2502"/>
      <c r="D266" s="2502"/>
      <c r="E266" s="2502"/>
      <c r="F266" s="2502"/>
      <c r="G266" s="2502"/>
      <c r="H266" s="2502"/>
    </row>
    <row r="267" spans="1:8" ht="15">
      <c r="A267" s="2503" t="s">
        <v>782</v>
      </c>
      <c r="B267" s="2502"/>
      <c r="C267" s="2502"/>
      <c r="D267" s="2502"/>
      <c r="E267" s="2502"/>
      <c r="F267" s="2502"/>
      <c r="G267" s="2502"/>
      <c r="H267" s="2502"/>
    </row>
    <row r="268" spans="1:8" ht="15">
      <c r="A268" s="2502"/>
      <c r="B268" s="2502"/>
      <c r="C268" s="2502"/>
      <c r="D268" s="2502"/>
      <c r="E268" s="2502"/>
      <c r="F268" s="2502"/>
      <c r="G268" s="2502"/>
      <c r="H268" s="2502"/>
    </row>
    <row r="269" spans="1:8" ht="15">
      <c r="A269" s="2503" t="s">
        <v>760</v>
      </c>
      <c r="B269" s="2502"/>
      <c r="C269" s="2502"/>
      <c r="D269" s="2502"/>
      <c r="E269" s="2502"/>
      <c r="F269" s="2502"/>
      <c r="G269" s="2502"/>
      <c r="H269" s="2502"/>
    </row>
    <row r="270" spans="1:8" ht="15">
      <c r="A270" s="2503" t="s">
        <v>761</v>
      </c>
      <c r="B270" s="2502"/>
      <c r="C270" s="2502"/>
      <c r="D270" s="2502"/>
      <c r="E270" s="2502"/>
      <c r="F270" s="2502"/>
      <c r="G270" s="2502"/>
      <c r="H270" s="2502"/>
    </row>
    <row r="271" spans="1:8" ht="15">
      <c r="A271" s="2503" t="s">
        <v>762</v>
      </c>
      <c r="B271" s="2502"/>
      <c r="C271" s="2502"/>
      <c r="D271" s="2502"/>
      <c r="E271" s="2502"/>
      <c r="F271" s="2502"/>
      <c r="G271" s="2502"/>
      <c r="H271" s="2502"/>
    </row>
    <row r="272" spans="1:8" ht="15">
      <c r="A272" s="2503" t="s">
        <v>763</v>
      </c>
      <c r="B272" s="2502"/>
      <c r="C272" s="2502"/>
      <c r="D272" s="2502"/>
      <c r="E272" s="2502"/>
      <c r="F272" s="2502"/>
      <c r="G272" s="2502"/>
      <c r="H272" s="2502"/>
    </row>
    <row r="273" spans="1:8" ht="15">
      <c r="A273" s="2503" t="s">
        <v>764</v>
      </c>
      <c r="B273" s="2502"/>
      <c r="C273" s="2502"/>
      <c r="D273" s="2502"/>
      <c r="E273" s="2502"/>
      <c r="F273" s="2502"/>
      <c r="G273" s="2502"/>
      <c r="H273" s="2502"/>
    </row>
    <row r="274" spans="1:8" ht="15">
      <c r="A274" s="2503" t="s">
        <v>765</v>
      </c>
      <c r="B274" s="2502"/>
      <c r="C274" s="2502"/>
      <c r="D274" s="2502"/>
      <c r="E274" s="2502"/>
      <c r="F274" s="2502"/>
      <c r="G274" s="2502"/>
      <c r="H274" s="2502"/>
    </row>
    <row r="275" spans="1:8" ht="15">
      <c r="A275" s="2503" t="s">
        <v>766</v>
      </c>
      <c r="B275" s="2502"/>
      <c r="C275" s="2502"/>
      <c r="D275" s="2502"/>
      <c r="E275" s="2502"/>
      <c r="F275" s="2502"/>
      <c r="G275" s="2502"/>
      <c r="H275" s="2502"/>
    </row>
    <row r="276" spans="1:8" ht="15">
      <c r="A276" s="2502"/>
      <c r="B276" s="2502"/>
      <c r="C276" s="2502"/>
      <c r="D276" s="2502"/>
      <c r="E276" s="2502"/>
      <c r="F276" s="2502"/>
      <c r="G276" s="2502"/>
      <c r="H276" s="2502"/>
    </row>
    <row r="277" spans="1:8" ht="15">
      <c r="A277" s="2503" t="s">
        <v>751</v>
      </c>
      <c r="B277" s="2502"/>
      <c r="C277" s="2502"/>
      <c r="D277" s="2502"/>
      <c r="E277" s="2502"/>
      <c r="F277" s="2502"/>
      <c r="G277" s="2502"/>
      <c r="H277" s="2502"/>
    </row>
    <row r="278" spans="1:8" ht="15">
      <c r="A278" s="2503" t="s">
        <v>752</v>
      </c>
      <c r="B278" s="2502"/>
      <c r="C278" s="2502"/>
      <c r="D278" s="2502"/>
      <c r="E278" s="2502"/>
      <c r="F278" s="2502"/>
      <c r="G278" s="2502"/>
      <c r="H278" s="2502"/>
    </row>
    <row r="279" spans="1:8" ht="15">
      <c r="A279" s="2503" t="s">
        <v>753</v>
      </c>
      <c r="B279" s="2502"/>
      <c r="C279" s="2502"/>
      <c r="D279" s="2502"/>
      <c r="E279" s="2502"/>
      <c r="F279" s="2502"/>
      <c r="G279" s="2502"/>
      <c r="H279" s="2502"/>
    </row>
    <row r="280" spans="1:8" ht="15">
      <c r="A280" s="2503" t="s">
        <v>754</v>
      </c>
      <c r="B280" s="2502"/>
      <c r="C280" s="2502"/>
      <c r="D280" s="2502"/>
      <c r="E280" s="2502"/>
      <c r="F280" s="2502"/>
      <c r="G280" s="2502"/>
      <c r="H280" s="2502"/>
    </row>
    <row r="281" spans="1:8" ht="15">
      <c r="A281" s="2503" t="s">
        <v>755</v>
      </c>
      <c r="B281" s="2502"/>
      <c r="C281" s="2502"/>
      <c r="D281" s="2502"/>
      <c r="E281" s="2502"/>
      <c r="F281" s="2502"/>
      <c r="G281" s="2502"/>
      <c r="H281" s="2502"/>
    </row>
    <row r="282" spans="1:8" ht="15">
      <c r="A282" s="2503" t="s">
        <v>756</v>
      </c>
      <c r="B282" s="2502"/>
      <c r="C282" s="2502"/>
      <c r="D282" s="2502"/>
      <c r="E282" s="2502"/>
      <c r="F282" s="2502"/>
      <c r="G282" s="2502"/>
      <c r="H282" s="2502"/>
    </row>
    <row r="283" spans="1:8" ht="15">
      <c r="A283" s="2503" t="s">
        <v>757</v>
      </c>
      <c r="B283" s="2502"/>
      <c r="C283" s="2502"/>
      <c r="D283" s="2502"/>
      <c r="E283" s="2502"/>
      <c r="F283" s="2502"/>
      <c r="G283" s="2502"/>
      <c r="H283" s="2502"/>
    </row>
    <row r="284" spans="1:8" ht="15">
      <c r="A284" s="2503" t="s">
        <v>758</v>
      </c>
      <c r="B284" s="2502"/>
      <c r="C284" s="2502"/>
      <c r="D284" s="2502"/>
      <c r="E284" s="2502"/>
      <c r="F284" s="2502"/>
      <c r="G284" s="2502"/>
      <c r="H284" s="2502"/>
    </row>
    <row r="285" spans="1:8" ht="15">
      <c r="A285" s="2503" t="s">
        <v>759</v>
      </c>
      <c r="B285" s="2502"/>
      <c r="C285" s="2502"/>
      <c r="D285" s="2502"/>
      <c r="E285" s="2502"/>
      <c r="F285" s="2502"/>
      <c r="G285" s="2502"/>
      <c r="H285" s="2502"/>
    </row>
    <row r="286" spans="1:8" ht="15">
      <c r="A286" s="2502"/>
      <c r="B286" s="2502"/>
      <c r="C286" s="2502"/>
      <c r="D286" s="2502"/>
      <c r="E286" s="2502"/>
      <c r="F286" s="2502"/>
      <c r="G286" s="2502"/>
      <c r="H286" s="2502"/>
    </row>
    <row r="287" spans="1:8" ht="15">
      <c r="A287" s="2503" t="s">
        <v>744</v>
      </c>
      <c r="B287" s="2502"/>
      <c r="C287" s="2502"/>
      <c r="D287" s="2502"/>
      <c r="E287" s="2502"/>
      <c r="F287" s="2502"/>
      <c r="G287" s="2502"/>
      <c r="H287" s="2502"/>
    </row>
    <row r="288" spans="1:8" ht="15">
      <c r="A288" s="2503" t="s">
        <v>745</v>
      </c>
      <c r="B288" s="2502"/>
      <c r="C288" s="2502"/>
      <c r="D288" s="2502"/>
      <c r="E288" s="2502"/>
      <c r="F288" s="2502"/>
      <c r="G288" s="2502"/>
      <c r="H288" s="2502"/>
    </row>
    <row r="289" spans="1:8" ht="15">
      <c r="A289" s="2503" t="s">
        <v>746</v>
      </c>
      <c r="B289" s="2502"/>
      <c r="C289" s="2502"/>
      <c r="D289" s="2502"/>
      <c r="E289" s="2502"/>
      <c r="F289" s="2502"/>
      <c r="G289" s="2502"/>
      <c r="H289" s="2502"/>
    </row>
    <row r="290" spans="1:8" ht="15">
      <c r="A290" s="2503" t="s">
        <v>747</v>
      </c>
      <c r="B290" s="2502"/>
      <c r="C290" s="2502"/>
      <c r="D290" s="2502"/>
      <c r="E290" s="2502"/>
      <c r="F290" s="2502"/>
      <c r="G290" s="2502"/>
      <c r="H290" s="2502"/>
    </row>
    <row r="291" spans="1:8" ht="15">
      <c r="A291" s="2503" t="s">
        <v>748</v>
      </c>
      <c r="B291" s="2502"/>
      <c r="C291" s="2502"/>
      <c r="D291" s="2502"/>
      <c r="E291" s="2502"/>
      <c r="F291" s="2502"/>
      <c r="G291" s="2502"/>
      <c r="H291" s="2502"/>
    </row>
    <row r="292" spans="1:8" ht="15">
      <c r="A292" s="2503" t="s">
        <v>749</v>
      </c>
      <c r="B292" s="2502"/>
      <c r="C292" s="2502"/>
      <c r="D292" s="2502"/>
      <c r="E292" s="2502"/>
      <c r="F292" s="2502"/>
      <c r="G292" s="2502"/>
      <c r="H292" s="2502"/>
    </row>
    <row r="293" spans="1:8" ht="15">
      <c r="A293" s="2503" t="s">
        <v>750</v>
      </c>
      <c r="B293" s="2502"/>
      <c r="C293" s="2502"/>
      <c r="D293" s="2502"/>
      <c r="E293" s="2502"/>
      <c r="F293" s="2502"/>
      <c r="G293" s="2502"/>
      <c r="H293" s="2502"/>
    </row>
    <row r="294" spans="1:8" ht="15">
      <c r="A294" s="2502"/>
      <c r="B294" s="2502"/>
      <c r="C294" s="2502"/>
      <c r="D294" s="2502"/>
      <c r="E294" s="2502"/>
      <c r="F294" s="2502"/>
      <c r="G294" s="2502"/>
      <c r="H294" s="2502"/>
    </row>
    <row r="295" spans="1:8" ht="15">
      <c r="A295" s="2503" t="s">
        <v>741</v>
      </c>
      <c r="B295" s="2502"/>
      <c r="C295" s="2502"/>
      <c r="D295" s="2502"/>
      <c r="E295" s="2502"/>
      <c r="F295" s="2502"/>
      <c r="G295" s="2502"/>
      <c r="H295" s="2502"/>
    </row>
    <row r="296" spans="1:8" ht="15">
      <c r="A296" s="2503" t="s">
        <v>742</v>
      </c>
      <c r="B296" s="2502"/>
      <c r="C296" s="2502"/>
      <c r="D296" s="2502"/>
      <c r="E296" s="2502"/>
      <c r="F296" s="2502"/>
      <c r="G296" s="2502"/>
      <c r="H296" s="2502"/>
    </row>
    <row r="297" spans="1:8" ht="15">
      <c r="A297" s="2503" t="s">
        <v>743</v>
      </c>
      <c r="B297" s="2502"/>
      <c r="C297" s="2502"/>
      <c r="D297" s="2502"/>
      <c r="E297" s="2502"/>
      <c r="F297" s="2502"/>
      <c r="G297" s="2502"/>
      <c r="H297" s="2502"/>
    </row>
    <row r="298" spans="1:8" ht="15">
      <c r="A298" s="2502"/>
      <c r="B298" s="2502"/>
      <c r="C298" s="2502"/>
      <c r="D298" s="2502"/>
      <c r="E298" s="2502"/>
      <c r="F298" s="2502"/>
      <c r="G298" s="2502"/>
      <c r="H298" s="2502"/>
    </row>
    <row r="299" spans="1:8" ht="15">
      <c r="A299" s="2503" t="s">
        <v>739</v>
      </c>
      <c r="B299" s="2502"/>
      <c r="C299" s="2502"/>
      <c r="D299" s="2502"/>
      <c r="E299" s="2502"/>
      <c r="F299" s="2502"/>
      <c r="G299" s="2502"/>
      <c r="H299" s="2502"/>
    </row>
    <row r="300" spans="1:8" ht="15">
      <c r="A300" s="2503" t="s">
        <v>740</v>
      </c>
      <c r="B300" s="2502"/>
      <c r="C300" s="2502"/>
      <c r="D300" s="2502"/>
      <c r="E300" s="2502"/>
      <c r="F300" s="2502"/>
      <c r="G300" s="2502"/>
      <c r="H300" s="2502"/>
    </row>
    <row r="301" spans="1:8" ht="15">
      <c r="A301" s="2502"/>
      <c r="B301" s="2502"/>
      <c r="C301" s="2502"/>
      <c r="D301" s="2502"/>
      <c r="E301" s="2502"/>
      <c r="F301" s="2502"/>
      <c r="G301" s="2502"/>
      <c r="H301" s="2502"/>
    </row>
    <row r="302" spans="1:8" ht="15">
      <c r="A302" s="2503" t="s">
        <v>726</v>
      </c>
      <c r="B302" s="2502"/>
      <c r="C302" s="2502"/>
      <c r="D302" s="2502"/>
      <c r="E302" s="2502"/>
      <c r="F302" s="2502"/>
      <c r="G302" s="2502"/>
      <c r="H302" s="2502"/>
    </row>
    <row r="303" spans="1:8" ht="15">
      <c r="A303" s="2503" t="s">
        <v>727</v>
      </c>
      <c r="B303" s="2502"/>
      <c r="C303" s="2502"/>
      <c r="D303" s="2502"/>
      <c r="E303" s="2502"/>
      <c r="F303" s="2502"/>
      <c r="G303" s="2502"/>
      <c r="H303" s="2502"/>
    </row>
    <row r="304" spans="1:8" ht="15">
      <c r="A304" s="2503" t="s">
        <v>728</v>
      </c>
      <c r="B304" s="2502"/>
      <c r="C304" s="2502"/>
      <c r="D304" s="2502"/>
      <c r="E304" s="2502"/>
      <c r="F304" s="2502"/>
      <c r="G304" s="2502"/>
      <c r="H304" s="2502"/>
    </row>
    <row r="305" spans="1:8" ht="15">
      <c r="A305" s="2503" t="s">
        <v>729</v>
      </c>
      <c r="B305" s="2502"/>
      <c r="C305" s="2502"/>
      <c r="D305" s="2502"/>
      <c r="E305" s="2502"/>
      <c r="F305" s="2502"/>
      <c r="G305" s="2502"/>
      <c r="H305" s="2502"/>
    </row>
    <row r="306" spans="1:8" ht="15">
      <c r="A306" s="2503" t="s">
        <v>730</v>
      </c>
      <c r="B306" s="2502"/>
      <c r="C306" s="2502"/>
      <c r="D306" s="2502"/>
      <c r="E306" s="2502"/>
      <c r="F306" s="2502"/>
      <c r="G306" s="2502"/>
      <c r="H306" s="2502"/>
    </row>
    <row r="307" spans="1:8" ht="15">
      <c r="A307" s="2503" t="s">
        <v>731</v>
      </c>
      <c r="B307" s="2502"/>
      <c r="C307" s="2502"/>
      <c r="D307" s="2502"/>
      <c r="E307" s="2502"/>
      <c r="F307" s="2502"/>
      <c r="G307" s="2502"/>
      <c r="H307" s="2502"/>
    </row>
    <row r="308" spans="1:8" ht="15">
      <c r="A308" s="2503" t="s">
        <v>732</v>
      </c>
      <c r="B308" s="2502"/>
      <c r="C308" s="2502"/>
      <c r="D308" s="2502"/>
      <c r="E308" s="2502"/>
      <c r="F308" s="2502"/>
      <c r="G308" s="2502"/>
      <c r="H308" s="2502"/>
    </row>
    <row r="309" spans="1:8" ht="15">
      <c r="A309" s="2503" t="s">
        <v>733</v>
      </c>
      <c r="B309" s="2502"/>
      <c r="C309" s="2502"/>
      <c r="D309" s="2502"/>
      <c r="E309" s="2502"/>
      <c r="F309" s="2502"/>
      <c r="G309" s="2502"/>
      <c r="H309" s="2502"/>
    </row>
    <row r="310" spans="1:8" ht="15">
      <c r="A310" s="2503" t="s">
        <v>734</v>
      </c>
      <c r="B310" s="2502"/>
      <c r="C310" s="2502"/>
      <c r="D310" s="2502"/>
      <c r="E310" s="2502"/>
      <c r="F310" s="2502"/>
      <c r="G310" s="2502"/>
      <c r="H310" s="2502"/>
    </row>
    <row r="311" spans="1:8" ht="15">
      <c r="A311" s="2503" t="s">
        <v>735</v>
      </c>
      <c r="B311" s="2502"/>
      <c r="C311" s="2502"/>
      <c r="D311" s="2502"/>
      <c r="E311" s="2502"/>
      <c r="F311" s="2502"/>
      <c r="G311" s="2502"/>
      <c r="H311" s="2502"/>
    </row>
    <row r="312" spans="1:8" ht="15">
      <c r="A312" s="2503" t="s">
        <v>736</v>
      </c>
      <c r="B312" s="2502"/>
      <c r="C312" s="2502"/>
      <c r="D312" s="2502"/>
      <c r="E312" s="2502"/>
      <c r="F312" s="2502"/>
      <c r="G312" s="2502"/>
      <c r="H312" s="2502"/>
    </row>
    <row r="313" spans="1:8" ht="15">
      <c r="A313" s="2503" t="s">
        <v>737</v>
      </c>
      <c r="B313" s="2502"/>
      <c r="C313" s="2502"/>
      <c r="D313" s="2502"/>
      <c r="E313" s="2502"/>
      <c r="F313" s="2502"/>
      <c r="G313" s="2502"/>
      <c r="H313" s="2502"/>
    </row>
    <row r="314" spans="1:8" ht="15">
      <c r="A314" s="2503" t="s">
        <v>738</v>
      </c>
      <c r="B314" s="2502"/>
      <c r="C314" s="2502"/>
      <c r="D314" s="2502"/>
      <c r="E314" s="2502"/>
      <c r="F314" s="2502"/>
      <c r="G314" s="2502"/>
      <c r="H314" s="2502"/>
    </row>
    <row r="315" spans="1:8" ht="15">
      <c r="A315" s="2502"/>
      <c r="B315" s="2502"/>
      <c r="C315" s="2502"/>
      <c r="D315" s="2502"/>
      <c r="E315" s="2502"/>
      <c r="F315" s="2502"/>
      <c r="G315" s="2502"/>
      <c r="H315" s="2502"/>
    </row>
    <row r="316" spans="1:8" ht="15">
      <c r="A316" s="2503" t="s">
        <v>718</v>
      </c>
      <c r="B316" s="2502"/>
      <c r="C316" s="2502"/>
      <c r="D316" s="2502"/>
      <c r="E316" s="2502"/>
      <c r="F316" s="2502"/>
      <c r="G316" s="2502"/>
      <c r="H316" s="2502"/>
    </row>
    <row r="317" spans="1:8" ht="15">
      <c r="A317" s="2503" t="s">
        <v>719</v>
      </c>
      <c r="B317" s="2502"/>
      <c r="C317" s="2502"/>
      <c r="D317" s="2502"/>
      <c r="E317" s="2502"/>
      <c r="F317" s="2502"/>
      <c r="G317" s="2502"/>
      <c r="H317" s="2502"/>
    </row>
    <row r="318" spans="1:8" ht="15">
      <c r="A318" s="2503" t="s">
        <v>720</v>
      </c>
      <c r="B318" s="2502"/>
      <c r="C318" s="2502"/>
      <c r="D318" s="2502"/>
      <c r="E318" s="2502"/>
      <c r="F318" s="2502"/>
      <c r="G318" s="2502"/>
      <c r="H318" s="2502"/>
    </row>
    <row r="319" spans="1:8" ht="15">
      <c r="A319" s="2503" t="s">
        <v>721</v>
      </c>
      <c r="B319" s="2502"/>
      <c r="C319" s="2502"/>
      <c r="D319" s="2502"/>
      <c r="E319" s="2502"/>
      <c r="F319" s="2502"/>
      <c r="G319" s="2502"/>
      <c r="H319" s="2502"/>
    </row>
    <row r="320" spans="1:8" ht="15">
      <c r="A320" s="2503" t="s">
        <v>722</v>
      </c>
      <c r="B320" s="2502"/>
      <c r="C320" s="2502"/>
      <c r="D320" s="2502"/>
      <c r="E320" s="2502"/>
      <c r="F320" s="2502"/>
      <c r="G320" s="2502"/>
      <c r="H320" s="2502"/>
    </row>
    <row r="321" spans="1:8" ht="15">
      <c r="A321" s="2503" t="s">
        <v>723</v>
      </c>
      <c r="B321" s="2502"/>
      <c r="C321" s="2502"/>
      <c r="D321" s="2502"/>
      <c r="E321" s="2502"/>
      <c r="F321" s="2502"/>
      <c r="G321" s="2502"/>
      <c r="H321" s="2502"/>
    </row>
    <row r="322" spans="1:8" ht="15">
      <c r="A322" s="2503" t="s">
        <v>724</v>
      </c>
      <c r="B322" s="2502"/>
      <c r="C322" s="2502"/>
      <c r="D322" s="2502"/>
      <c r="E322" s="2502"/>
      <c r="F322" s="2502"/>
      <c r="G322" s="2502"/>
      <c r="H322" s="2502"/>
    </row>
    <row r="323" spans="1:8" ht="15">
      <c r="A323" s="2503" t="s">
        <v>725</v>
      </c>
      <c r="B323" s="2502"/>
      <c r="C323" s="2502"/>
      <c r="D323" s="2502"/>
      <c r="E323" s="2502"/>
      <c r="F323" s="2502"/>
      <c r="G323" s="2502"/>
      <c r="H323" s="2502"/>
    </row>
    <row r="324" spans="1:8" ht="15">
      <c r="A324" s="2502"/>
      <c r="B324" s="2502"/>
      <c r="C324" s="2502"/>
      <c r="D324" s="2502"/>
      <c r="E324" s="2502"/>
      <c r="F324" s="2502"/>
      <c r="G324" s="2502"/>
      <c r="H324" s="2502"/>
    </row>
    <row r="325" spans="1:8" ht="15">
      <c r="A325" s="2503" t="s">
        <v>683</v>
      </c>
      <c r="B325" s="2502"/>
      <c r="C325" s="2502"/>
      <c r="D325" s="2502"/>
      <c r="E325" s="2502"/>
      <c r="F325" s="2502"/>
      <c r="G325" s="2502"/>
      <c r="H325" s="2502"/>
    </row>
    <row r="326" spans="1:8" ht="15">
      <c r="A326" s="2503" t="s">
        <v>684</v>
      </c>
      <c r="B326" s="2502"/>
      <c r="C326" s="2502"/>
      <c r="D326" s="2502"/>
      <c r="E326" s="2502"/>
      <c r="F326" s="2502"/>
      <c r="G326" s="2502"/>
      <c r="H326" s="2502"/>
    </row>
    <row r="327" spans="1:8" ht="15">
      <c r="A327" s="2503" t="s">
        <v>685</v>
      </c>
      <c r="B327" s="2502"/>
      <c r="C327" s="2502"/>
      <c r="D327" s="2502"/>
      <c r="E327" s="2502"/>
      <c r="F327" s="2502"/>
      <c r="G327" s="2502"/>
      <c r="H327" s="2502"/>
    </row>
    <row r="328" spans="1:8" ht="15">
      <c r="A328" s="2503" t="s">
        <v>686</v>
      </c>
      <c r="B328" s="2502"/>
      <c r="C328" s="2502"/>
      <c r="D328" s="2502"/>
      <c r="E328" s="2502"/>
      <c r="F328" s="2502"/>
      <c r="G328" s="2502"/>
      <c r="H328" s="2502"/>
    </row>
    <row r="329" spans="1:8" ht="15">
      <c r="A329" s="2503" t="s">
        <v>687</v>
      </c>
      <c r="B329" s="2502"/>
      <c r="C329" s="2502"/>
      <c r="D329" s="2502"/>
      <c r="E329" s="2502"/>
      <c r="F329" s="2502"/>
      <c r="G329" s="2502"/>
      <c r="H329" s="2502"/>
    </row>
    <row r="330" spans="1:8" ht="15">
      <c r="A330" s="2503" t="s">
        <v>688</v>
      </c>
      <c r="B330" s="2502"/>
      <c r="C330" s="2502"/>
      <c r="D330" s="2502"/>
      <c r="E330" s="2502"/>
      <c r="F330" s="2502"/>
      <c r="G330" s="2502"/>
      <c r="H330" s="2502"/>
    </row>
    <row r="331" spans="1:8" ht="15">
      <c r="A331" s="2503" t="s">
        <v>689</v>
      </c>
      <c r="B331" s="2502"/>
      <c r="C331" s="2502"/>
      <c r="D331" s="2502"/>
      <c r="E331" s="2502"/>
      <c r="F331" s="2502"/>
      <c r="G331" s="2502"/>
      <c r="H331" s="2502"/>
    </row>
    <row r="332" spans="1:8" ht="15">
      <c r="A332" s="2503" t="s">
        <v>690</v>
      </c>
      <c r="B332" s="2502"/>
      <c r="C332" s="2502"/>
      <c r="D332" s="2502"/>
      <c r="E332" s="2502"/>
      <c r="F332" s="2502"/>
      <c r="G332" s="2502"/>
      <c r="H332" s="2502"/>
    </row>
    <row r="333" spans="1:8" ht="15">
      <c r="A333" s="2503" t="s">
        <v>691</v>
      </c>
      <c r="B333" s="2502"/>
      <c r="C333" s="2502"/>
      <c r="D333" s="2502"/>
      <c r="E333" s="2502"/>
      <c r="F333" s="2502"/>
      <c r="G333" s="2502"/>
      <c r="H333" s="2502"/>
    </row>
    <row r="334" spans="1:8" ht="15">
      <c r="A334" s="2503" t="s">
        <v>692</v>
      </c>
      <c r="B334" s="2502"/>
      <c r="C334" s="2502"/>
      <c r="D334" s="2502"/>
      <c r="E334" s="2502"/>
      <c r="F334" s="2502"/>
      <c r="G334" s="2502"/>
      <c r="H334" s="2502"/>
    </row>
    <row r="335" spans="1:8" ht="15">
      <c r="A335" s="2503" t="s">
        <v>693</v>
      </c>
      <c r="B335" s="2502"/>
      <c r="C335" s="2502"/>
      <c r="D335" s="2502"/>
      <c r="E335" s="2502"/>
      <c r="F335" s="2502"/>
      <c r="G335" s="2502"/>
      <c r="H335" s="2502"/>
    </row>
    <row r="336" spans="1:8" ht="15">
      <c r="A336" s="2503" t="s">
        <v>694</v>
      </c>
      <c r="B336" s="2502"/>
      <c r="C336" s="2502"/>
      <c r="D336" s="2502"/>
      <c r="E336" s="2502"/>
      <c r="F336" s="2502"/>
      <c r="G336" s="2502"/>
      <c r="H336" s="2502"/>
    </row>
    <row r="337" spans="1:8" ht="15">
      <c r="A337" s="2503" t="s">
        <v>695</v>
      </c>
      <c r="B337" s="2502"/>
      <c r="C337" s="2502"/>
      <c r="D337" s="2502"/>
      <c r="E337" s="2502"/>
      <c r="F337" s="2502"/>
      <c r="G337" s="2502"/>
      <c r="H337" s="2502"/>
    </row>
    <row r="338" spans="1:8" ht="15">
      <c r="A338" s="2503" t="s">
        <v>696</v>
      </c>
      <c r="B338" s="2502"/>
      <c r="C338" s="2502"/>
      <c r="D338" s="2502"/>
      <c r="E338" s="2502"/>
      <c r="F338" s="2502"/>
      <c r="G338" s="2502"/>
      <c r="H338" s="2502"/>
    </row>
    <row r="339" spans="1:8" ht="15">
      <c r="A339" s="2503" t="s">
        <v>697</v>
      </c>
      <c r="B339" s="2502"/>
      <c r="C339" s="2502"/>
      <c r="D339" s="2502"/>
      <c r="E339" s="2502"/>
      <c r="F339" s="2502"/>
      <c r="G339" s="2502"/>
      <c r="H339" s="2502"/>
    </row>
    <row r="340" spans="1:8" ht="15">
      <c r="A340" s="2503" t="s">
        <v>698</v>
      </c>
      <c r="B340" s="2502"/>
      <c r="C340" s="2502"/>
      <c r="D340" s="2502"/>
      <c r="E340" s="2502"/>
      <c r="F340" s="2502"/>
      <c r="G340" s="2502"/>
      <c r="H340" s="2502"/>
    </row>
    <row r="341" spans="1:8" ht="15">
      <c r="A341" s="2503" t="s">
        <v>699</v>
      </c>
      <c r="B341" s="2502"/>
      <c r="C341" s="2502"/>
      <c r="D341" s="2502"/>
      <c r="E341" s="2502"/>
      <c r="F341" s="2502"/>
      <c r="G341" s="2502"/>
      <c r="H341" s="2502"/>
    </row>
    <row r="342" spans="1:8" ht="15">
      <c r="A342" s="2503" t="s">
        <v>700</v>
      </c>
      <c r="B342" s="2502"/>
      <c r="C342" s="2502"/>
      <c r="D342" s="2502"/>
      <c r="E342" s="2502"/>
      <c r="F342" s="2502"/>
      <c r="G342" s="2502"/>
      <c r="H342" s="2502"/>
    </row>
    <row r="343" spans="1:8" ht="15">
      <c r="A343" s="2503" t="s">
        <v>701</v>
      </c>
      <c r="B343" s="2502"/>
      <c r="C343" s="2502"/>
      <c r="D343" s="2502"/>
      <c r="E343" s="2502"/>
      <c r="F343" s="2502"/>
      <c r="G343" s="2502"/>
      <c r="H343" s="2502"/>
    </row>
    <row r="344" spans="1:8" ht="15">
      <c r="A344" s="2503" t="s">
        <v>702</v>
      </c>
      <c r="B344" s="2502"/>
      <c r="C344" s="2502"/>
      <c r="D344" s="2502"/>
      <c r="E344" s="2502"/>
      <c r="F344" s="2502"/>
      <c r="G344" s="2502"/>
      <c r="H344" s="2502"/>
    </row>
    <row r="345" spans="1:8" ht="15">
      <c r="A345" s="2503" t="s">
        <v>703</v>
      </c>
      <c r="B345" s="2502"/>
      <c r="C345" s="2502"/>
      <c r="D345" s="2502"/>
      <c r="E345" s="2502"/>
      <c r="F345" s="2502"/>
      <c r="G345" s="2502"/>
      <c r="H345" s="2502"/>
    </row>
    <row r="346" spans="1:8" ht="15">
      <c r="A346" s="2503" t="s">
        <v>704</v>
      </c>
      <c r="B346" s="2502"/>
      <c r="C346" s="2502"/>
      <c r="D346" s="2502"/>
      <c r="E346" s="2502"/>
      <c r="F346" s="2502"/>
      <c r="G346" s="2502"/>
      <c r="H346" s="2502"/>
    </row>
    <row r="347" spans="1:8" ht="15">
      <c r="A347" s="2503" t="s">
        <v>705</v>
      </c>
      <c r="B347" s="2502"/>
      <c r="C347" s="2502"/>
      <c r="D347" s="2502"/>
      <c r="E347" s="2502"/>
      <c r="F347" s="2502"/>
      <c r="G347" s="2502"/>
      <c r="H347" s="2502"/>
    </row>
    <row r="348" spans="1:8" ht="15">
      <c r="A348" s="2503" t="s">
        <v>706</v>
      </c>
      <c r="B348" s="2502"/>
      <c r="C348" s="2502"/>
      <c r="D348" s="2502"/>
      <c r="E348" s="2502"/>
      <c r="F348" s="2502"/>
      <c r="G348" s="2502"/>
      <c r="H348" s="2502"/>
    </row>
    <row r="349" spans="1:8" ht="15">
      <c r="A349" s="2503" t="s">
        <v>707</v>
      </c>
      <c r="B349" s="2502"/>
      <c r="C349" s="2502"/>
      <c r="D349" s="2502"/>
      <c r="E349" s="2502"/>
      <c r="F349" s="2502"/>
      <c r="G349" s="2502"/>
      <c r="H349" s="2502"/>
    </row>
    <row r="350" spans="1:8" ht="15">
      <c r="A350" s="2503" t="s">
        <v>708</v>
      </c>
      <c r="B350" s="2502"/>
      <c r="C350" s="2502"/>
      <c r="D350" s="2502"/>
      <c r="E350" s="2502"/>
      <c r="F350" s="2502"/>
      <c r="G350" s="2502"/>
      <c r="H350" s="2502"/>
    </row>
    <row r="351" spans="1:8" ht="15">
      <c r="A351" s="2503" t="s">
        <v>709</v>
      </c>
      <c r="B351" s="2502"/>
      <c r="C351" s="2502"/>
      <c r="D351" s="2502"/>
      <c r="E351" s="2502"/>
      <c r="F351" s="2502"/>
      <c r="G351" s="2502"/>
      <c r="H351" s="2502"/>
    </row>
    <row r="352" spans="1:8" ht="15">
      <c r="A352" s="2503" t="s">
        <v>710</v>
      </c>
      <c r="B352" s="2502"/>
      <c r="C352" s="2502"/>
      <c r="D352" s="2502"/>
      <c r="E352" s="2502"/>
      <c r="F352" s="2502"/>
      <c r="G352" s="2502"/>
      <c r="H352" s="2502"/>
    </row>
    <row r="353" spans="1:8" ht="15">
      <c r="A353" s="2503" t="s">
        <v>711</v>
      </c>
      <c r="B353" s="2502"/>
      <c r="C353" s="2502"/>
      <c r="D353" s="2502"/>
      <c r="E353" s="2502"/>
      <c r="F353" s="2502"/>
      <c r="G353" s="2502"/>
      <c r="H353" s="2502"/>
    </row>
    <row r="354" spans="1:8" ht="15">
      <c r="A354" s="2503" t="s">
        <v>712</v>
      </c>
      <c r="B354" s="2502"/>
      <c r="C354" s="2502"/>
      <c r="D354" s="2502"/>
      <c r="E354" s="2502"/>
      <c r="F354" s="2502"/>
      <c r="G354" s="2502"/>
      <c r="H354" s="2502"/>
    </row>
    <row r="355" spans="1:8" ht="15">
      <c r="A355" s="2503" t="s">
        <v>713</v>
      </c>
      <c r="B355" s="2502"/>
      <c r="C355" s="2502"/>
      <c r="D355" s="2502"/>
      <c r="E355" s="2502"/>
      <c r="F355" s="2502"/>
      <c r="G355" s="2502"/>
      <c r="H355" s="2502"/>
    </row>
    <row r="356" spans="1:8" ht="15">
      <c r="A356" s="2503" t="s">
        <v>714</v>
      </c>
      <c r="B356" s="2502"/>
      <c r="C356" s="2502"/>
      <c r="D356" s="2502"/>
      <c r="E356" s="2502"/>
      <c r="F356" s="2502"/>
      <c r="G356" s="2502"/>
      <c r="H356" s="2502"/>
    </row>
    <row r="357" spans="1:8" ht="15">
      <c r="A357" s="2503" t="s">
        <v>715</v>
      </c>
      <c r="B357" s="2502"/>
      <c r="C357" s="2502"/>
      <c r="D357" s="2502"/>
      <c r="E357" s="2502"/>
      <c r="F357" s="2502"/>
      <c r="G357" s="2502"/>
      <c r="H357" s="2502"/>
    </row>
    <row r="358" spans="1:8" ht="15">
      <c r="A358" s="2503" t="s">
        <v>716</v>
      </c>
      <c r="B358" s="2502"/>
      <c r="C358" s="2502"/>
      <c r="D358" s="2502"/>
      <c r="E358" s="2502"/>
      <c r="F358" s="2502"/>
      <c r="G358" s="2502"/>
      <c r="H358" s="2502"/>
    </row>
    <row r="359" spans="1:8" ht="15">
      <c r="A359" s="2503" t="s">
        <v>717</v>
      </c>
      <c r="B359" s="2502"/>
      <c r="C359" s="2502"/>
      <c r="D359" s="2502"/>
      <c r="E359" s="2502"/>
      <c r="F359" s="2502"/>
      <c r="G359" s="2502"/>
      <c r="H359" s="2502"/>
    </row>
    <row r="360" spans="1:8" ht="15">
      <c r="A360" s="2502"/>
      <c r="B360" s="2502"/>
      <c r="C360" s="2502"/>
      <c r="D360" s="2502"/>
      <c r="E360" s="2502"/>
      <c r="F360" s="2502"/>
      <c r="G360" s="2502"/>
      <c r="H360" s="2502"/>
    </row>
    <row r="361" spans="1:8" ht="15">
      <c r="A361" s="2503" t="s">
        <v>675</v>
      </c>
      <c r="B361" s="2502"/>
      <c r="C361" s="2502"/>
      <c r="D361" s="2502"/>
      <c r="E361" s="2502"/>
      <c r="F361" s="2502"/>
      <c r="G361" s="2502"/>
      <c r="H361" s="2502"/>
    </row>
    <row r="362" spans="1:8" ht="15">
      <c r="A362" s="2503" t="s">
        <v>679</v>
      </c>
      <c r="B362" s="2502"/>
      <c r="C362" s="2502"/>
      <c r="D362" s="2502"/>
      <c r="E362" s="2502"/>
      <c r="F362" s="2502"/>
      <c r="G362" s="2502"/>
      <c r="H362" s="2502"/>
    </row>
    <row r="363" spans="1:8" ht="15">
      <c r="A363" s="2503" t="s">
        <v>680</v>
      </c>
      <c r="B363" s="2502"/>
      <c r="C363" s="2502"/>
      <c r="D363" s="2502"/>
      <c r="E363" s="2502"/>
      <c r="F363" s="2502"/>
      <c r="G363" s="2502"/>
      <c r="H363" s="2502"/>
    </row>
    <row r="364" spans="1:8" ht="15">
      <c r="A364" s="2503" t="s">
        <v>681</v>
      </c>
      <c r="B364" s="2502"/>
      <c r="C364" s="2502"/>
      <c r="D364" s="2502"/>
      <c r="E364" s="2502"/>
      <c r="F364" s="2502"/>
      <c r="G364" s="2502"/>
      <c r="H364" s="2502"/>
    </row>
    <row r="365" spans="1:8" ht="15">
      <c r="A365" s="2503" t="s">
        <v>682</v>
      </c>
      <c r="B365" s="2502"/>
      <c r="C365" s="2502"/>
      <c r="D365" s="2502"/>
      <c r="E365" s="2502"/>
      <c r="F365" s="2502"/>
      <c r="G365" s="2502"/>
      <c r="H365" s="2502"/>
    </row>
    <row r="366" spans="1:8" ht="15">
      <c r="A366" s="2502"/>
      <c r="B366" s="2502"/>
      <c r="C366" s="2502"/>
      <c r="D366" s="2502"/>
      <c r="E366" s="2502"/>
      <c r="F366" s="2502"/>
      <c r="G366" s="2502"/>
      <c r="H366" s="2502"/>
    </row>
    <row r="367" spans="1:8" ht="15">
      <c r="A367" s="2503" t="s">
        <v>675</v>
      </c>
      <c r="B367" s="2502"/>
      <c r="C367" s="2502"/>
      <c r="D367" s="2502"/>
      <c r="E367" s="2502"/>
      <c r="F367" s="2502"/>
      <c r="G367" s="2502"/>
      <c r="H367" s="2502"/>
    </row>
    <row r="368" spans="1:8" ht="15">
      <c r="A368" s="2503" t="s">
        <v>676</v>
      </c>
      <c r="B368" s="2502"/>
      <c r="C368" s="2502"/>
      <c r="D368" s="2502"/>
      <c r="E368" s="2502"/>
      <c r="F368" s="2502"/>
      <c r="G368" s="2502"/>
      <c r="H368" s="2502"/>
    </row>
    <row r="369" spans="1:8" ht="15">
      <c r="A369" s="2503" t="s">
        <v>677</v>
      </c>
      <c r="B369" s="2502"/>
      <c r="C369" s="2502"/>
      <c r="D369" s="2502"/>
      <c r="E369" s="2502"/>
      <c r="F369" s="2502"/>
      <c r="G369" s="2502"/>
      <c r="H369" s="2502"/>
    </row>
    <row r="370" spans="1:8" ht="15">
      <c r="A370" s="2503" t="s">
        <v>678</v>
      </c>
      <c r="B370" s="2502"/>
      <c r="C370" s="2502"/>
      <c r="D370" s="2502"/>
      <c r="E370" s="2502"/>
      <c r="F370" s="2502"/>
      <c r="G370" s="2502"/>
      <c r="H370" s="2502"/>
    </row>
    <row r="371" spans="1:8" ht="15">
      <c r="A371" s="2502"/>
      <c r="B371" s="2502"/>
      <c r="C371" s="2502"/>
      <c r="D371" s="2502"/>
      <c r="E371" s="2502"/>
      <c r="F371" s="2502"/>
      <c r="G371" s="2502"/>
      <c r="H371" s="2502"/>
    </row>
    <row r="372" spans="1:8" ht="15">
      <c r="A372" s="2503" t="s">
        <v>669</v>
      </c>
      <c r="B372" s="2502"/>
      <c r="C372" s="2502"/>
      <c r="D372" s="2502"/>
      <c r="E372" s="2502"/>
      <c r="F372" s="2502"/>
      <c r="G372" s="2502"/>
      <c r="H372" s="2502"/>
    </row>
    <row r="373" spans="1:8" ht="15">
      <c r="A373" s="2503" t="s">
        <v>670</v>
      </c>
      <c r="B373" s="2502"/>
      <c r="C373" s="2502"/>
      <c r="D373" s="2502"/>
      <c r="E373" s="2502"/>
      <c r="F373" s="2502"/>
      <c r="G373" s="2502"/>
      <c r="H373" s="2502"/>
    </row>
    <row r="374" spans="1:8" ht="15">
      <c r="A374" s="2503" t="s">
        <v>671</v>
      </c>
      <c r="B374" s="2502"/>
      <c r="C374" s="2502"/>
      <c r="D374" s="2502"/>
      <c r="E374" s="2502"/>
      <c r="F374" s="2502"/>
      <c r="G374" s="2502"/>
      <c r="H374" s="2502"/>
    </row>
    <row r="375" spans="1:8" ht="15">
      <c r="A375" s="2503" t="s">
        <v>672</v>
      </c>
      <c r="B375" s="2502"/>
      <c r="C375" s="2502"/>
      <c r="D375" s="2502"/>
      <c r="E375" s="2502"/>
      <c r="F375" s="2502"/>
      <c r="G375" s="2502"/>
      <c r="H375" s="2502"/>
    </row>
    <row r="376" spans="1:8" ht="15">
      <c r="A376" s="2503" t="s">
        <v>673</v>
      </c>
      <c r="B376" s="2502"/>
      <c r="C376" s="2502"/>
      <c r="D376" s="2502"/>
      <c r="E376" s="2502"/>
      <c r="F376" s="2502"/>
      <c r="G376" s="2502"/>
      <c r="H376" s="2502"/>
    </row>
    <row r="377" spans="1:8" ht="15">
      <c r="A377" s="2503" t="s">
        <v>674</v>
      </c>
      <c r="B377" s="2502"/>
      <c r="C377" s="2502"/>
      <c r="D377" s="2502"/>
      <c r="E377" s="2502"/>
      <c r="F377" s="2502"/>
      <c r="G377" s="2502"/>
      <c r="H377" s="2502"/>
    </row>
    <row r="378" spans="1:8" ht="15">
      <c r="A378" s="2502"/>
      <c r="B378" s="2502"/>
      <c r="C378" s="2502"/>
      <c r="D378" s="2502"/>
      <c r="E378" s="2502"/>
      <c r="F378" s="2502"/>
      <c r="G378" s="2502"/>
      <c r="H378" s="2502"/>
    </row>
    <row r="379" spans="1:8" ht="15">
      <c r="A379" s="2503" t="s">
        <v>664</v>
      </c>
      <c r="B379" s="2502"/>
      <c r="C379" s="2502"/>
      <c r="D379" s="2502"/>
      <c r="E379" s="2502"/>
      <c r="F379" s="2502"/>
      <c r="G379" s="2502"/>
      <c r="H379" s="2502"/>
    </row>
    <row r="380" spans="1:8" ht="15">
      <c r="A380" s="2503" t="s">
        <v>665</v>
      </c>
      <c r="B380" s="2502"/>
      <c r="C380" s="2502"/>
      <c r="D380" s="2502"/>
      <c r="E380" s="2502"/>
      <c r="F380" s="2502"/>
      <c r="G380" s="2502"/>
      <c r="H380" s="2502"/>
    </row>
    <row r="381" spans="1:8" ht="15">
      <c r="A381" s="2503" t="s">
        <v>666</v>
      </c>
      <c r="B381" s="2502"/>
      <c r="C381" s="2502"/>
      <c r="D381" s="2502"/>
      <c r="E381" s="2502"/>
      <c r="F381" s="2502"/>
      <c r="G381" s="2502"/>
      <c r="H381" s="2502"/>
    </row>
    <row r="382" spans="1:8" ht="15">
      <c r="A382" s="2503" t="s">
        <v>667</v>
      </c>
      <c r="B382" s="2502"/>
      <c r="C382" s="2502"/>
      <c r="D382" s="2502"/>
      <c r="E382" s="2502"/>
      <c r="F382" s="2502"/>
      <c r="G382" s="2502"/>
      <c r="H382" s="2502"/>
    </row>
    <row r="383" spans="1:8" ht="15">
      <c r="A383" s="2503" t="s">
        <v>668</v>
      </c>
      <c r="B383" s="2502"/>
      <c r="C383" s="2502"/>
      <c r="D383" s="2502"/>
      <c r="E383" s="2502"/>
      <c r="F383" s="2502"/>
      <c r="G383" s="2502"/>
      <c r="H383" s="2502"/>
    </row>
    <row r="384" spans="1:8" ht="15">
      <c r="A384" s="2502"/>
      <c r="B384" s="2502"/>
      <c r="C384" s="2502"/>
      <c r="D384" s="2502"/>
      <c r="E384" s="2502"/>
      <c r="F384" s="2502"/>
      <c r="G384" s="2502"/>
      <c r="H384" s="2502"/>
    </row>
    <row r="385" spans="1:8" ht="15">
      <c r="A385" s="2503" t="s">
        <v>662</v>
      </c>
      <c r="B385" s="2502"/>
      <c r="C385" s="2502"/>
      <c r="D385" s="2502"/>
      <c r="E385" s="2502"/>
      <c r="F385" s="2502"/>
      <c r="G385" s="2502"/>
      <c r="H385" s="2502"/>
    </row>
    <row r="386" spans="1:8" ht="15">
      <c r="A386" s="2503" t="s">
        <v>663</v>
      </c>
      <c r="B386" s="2502"/>
      <c r="C386" s="2502"/>
      <c r="D386" s="2502"/>
      <c r="E386" s="2502"/>
      <c r="F386" s="2502"/>
      <c r="G386" s="2502"/>
      <c r="H386" s="2502"/>
    </row>
    <row r="388" spans="1:8">
      <c r="A388" s="2498" t="s">
        <v>916</v>
      </c>
    </row>
  </sheetData>
  <mergeCells count="12">
    <mergeCell ref="A129:H129"/>
    <mergeCell ref="A130:H130"/>
    <mergeCell ref="B122:C122"/>
    <mergeCell ref="D122:F122"/>
    <mergeCell ref="G122:H122"/>
    <mergeCell ref="A108:H108"/>
    <mergeCell ref="A109:H109"/>
    <mergeCell ref="A110:H110"/>
    <mergeCell ref="A111:H111"/>
    <mergeCell ref="A113:H113"/>
    <mergeCell ref="A114:H114"/>
    <mergeCell ref="A121:H121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O257"/>
  <sheetViews>
    <sheetView zoomScaleNormal="100" workbookViewId="0">
      <pane xSplit="1" ySplit="8" topLeftCell="B9" activePane="bottomRight" state="frozen"/>
      <selection activeCell="A8" sqref="A8:BU119"/>
      <selection pane="topRight" activeCell="A8" sqref="A8:BU119"/>
      <selection pane="bottomLeft" activeCell="A8" sqref="A8:BU119"/>
      <selection pane="bottomRight"/>
    </sheetView>
  </sheetViews>
  <sheetFormatPr defaultColWidth="8.85546875" defaultRowHeight="15" outlineLevelRow="2" outlineLevelCol="1"/>
  <cols>
    <col min="1" max="1" width="27.7109375" style="2" customWidth="1"/>
    <col min="2" max="2" width="0.85546875" style="6" customWidth="1"/>
    <col min="3" max="7" width="7.42578125" style="2" hidden="1" customWidth="1" outlineLevel="1"/>
    <col min="8" max="8" width="0.85546875" style="6" hidden="1" customWidth="1" outlineLevel="1"/>
    <col min="9" max="13" width="7.42578125" style="2" hidden="1" customWidth="1" outlineLevel="1"/>
    <col min="14" max="14" width="0.85546875" style="6" hidden="1" customWidth="1" outlineLevel="1"/>
    <col min="15" max="19" width="7.42578125" style="2" hidden="1" customWidth="1" outlineLevel="1"/>
    <col min="20" max="20" width="0.85546875" style="6" hidden="1" customWidth="1" outlineLevel="1" collapsed="1"/>
    <col min="21" max="25" width="7.42578125" style="2" hidden="1" customWidth="1" outlineLevel="1"/>
    <col min="26" max="26" width="0.85546875" style="6" hidden="1" customWidth="1" outlineLevel="1" collapsed="1"/>
    <col min="27" max="31" width="7.42578125" style="2" hidden="1" customWidth="1" outlineLevel="1"/>
    <col min="32" max="32" width="0.85546875" style="6" hidden="1" customWidth="1" outlineLevel="1" collapsed="1"/>
    <col min="33" max="36" width="7.42578125" style="2" hidden="1" customWidth="1" outlineLevel="1"/>
    <col min="37" max="37" width="7.42578125" style="2" customWidth="1" collapsed="1"/>
    <col min="38" max="38" width="0.85546875" style="6" customWidth="1" collapsed="1"/>
    <col min="39" max="42" width="7.42578125" style="2" hidden="1" customWidth="1" outlineLevel="1"/>
    <col min="43" max="43" width="7.42578125" style="2" customWidth="1" collapsed="1"/>
    <col min="44" max="44" width="0.85546875" style="6" customWidth="1" collapsed="1"/>
    <col min="45" max="48" width="7.42578125" style="2" hidden="1" customWidth="1" outlineLevel="1"/>
    <col min="49" max="49" width="7.42578125" style="2" customWidth="1" collapsed="1"/>
    <col min="50" max="50" width="0.85546875" style="6" customWidth="1" collapsed="1"/>
    <col min="51" max="54" width="7.42578125" style="2" hidden="1" customWidth="1" outlineLevel="1"/>
    <col min="55" max="55" width="7.42578125" style="2" customWidth="1" collapsed="1"/>
    <col min="56" max="56" width="0.85546875" style="6" customWidth="1" collapsed="1"/>
    <col min="57" max="60" width="7.42578125" style="2" hidden="1" customWidth="1" outlineLevel="1"/>
    <col min="61" max="61" width="7.42578125" style="2" customWidth="1" collapsed="1"/>
    <col min="62" max="62" width="0.85546875" style="6" customWidth="1" collapsed="1"/>
    <col min="63" max="66" width="7.42578125" style="2" hidden="1" customWidth="1" outlineLevel="1"/>
    <col min="67" max="67" width="7.42578125" style="2" customWidth="1" collapsed="1"/>
    <col min="68" max="68" width="0.85546875" style="6" customWidth="1" collapsed="1"/>
    <col min="69" max="72" width="7.42578125" style="2" customWidth="1" outlineLevel="1"/>
    <col min="73" max="73" width="7.42578125" style="2" customWidth="1"/>
    <col min="74" max="74" width="0.85546875" style="6" customWidth="1" collapsed="1"/>
    <col min="75" max="78" width="7.42578125" style="2" customWidth="1" outlineLevel="1"/>
    <col min="79" max="79" width="7.42578125" style="2" customWidth="1"/>
    <col min="80" max="80" width="0.85546875" style="2" customWidth="1"/>
    <col min="81" max="84" width="7.42578125" style="2" hidden="1" customWidth="1" outlineLevel="1"/>
    <col min="85" max="85" width="7.42578125" style="2" customWidth="1" collapsed="1"/>
    <col min="86" max="86" width="0.85546875" style="6" customWidth="1"/>
    <col min="87" max="90" width="7.42578125" style="2" hidden="1" customWidth="1" outlineLevel="1"/>
    <col min="91" max="91" width="7.42578125" style="2" customWidth="1" collapsed="1"/>
    <col min="92" max="94" width="8.85546875" style="6" customWidth="1"/>
    <col min="95" max="95" width="39.7109375" hidden="1" customWidth="1" outlineLevel="1"/>
    <col min="96" max="100" width="8.85546875" hidden="1" customWidth="1" outlineLevel="1"/>
    <col min="101" max="101" width="8.85546875" style="6" collapsed="1"/>
    <col min="102" max="102" width="8.85546875" style="6"/>
    <col min="103" max="106" width="9" style="6" bestFit="1" customWidth="1"/>
    <col min="107" max="107" width="9.28515625" style="6" bestFit="1" customWidth="1"/>
    <col min="108" max="112" width="9" style="6" bestFit="1" customWidth="1"/>
    <col min="113" max="113" width="9.28515625" style="6" bestFit="1" customWidth="1"/>
    <col min="114" max="118" width="9" style="6" bestFit="1" customWidth="1"/>
    <col min="119" max="119" width="9.28515625" style="6" bestFit="1" customWidth="1"/>
    <col min="120" max="16384" width="8.85546875" style="6"/>
  </cols>
  <sheetData>
    <row r="1" spans="1:119">
      <c r="A1" s="3" t="s">
        <v>0</v>
      </c>
      <c r="B1" s="4"/>
      <c r="C1" s="4"/>
      <c r="D1" s="4"/>
      <c r="E1" s="1549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5"/>
      <c r="AX1" s="4"/>
      <c r="AY1" s="6"/>
      <c r="AZ1" s="6"/>
      <c r="BA1" s="6"/>
      <c r="BB1" s="6"/>
      <c r="BC1" s="6"/>
      <c r="BE1" s="6"/>
      <c r="BF1" s="6"/>
      <c r="BG1" s="6"/>
      <c r="BH1" s="6"/>
      <c r="BI1" s="6"/>
      <c r="BK1" s="6"/>
      <c r="BL1" s="6"/>
      <c r="BM1" s="6"/>
      <c r="BN1" s="6"/>
      <c r="BO1" s="6"/>
      <c r="BQ1" s="6"/>
      <c r="BR1" s="6"/>
      <c r="BS1" s="6"/>
      <c r="BT1" s="6"/>
      <c r="BU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I1" s="6"/>
      <c r="CJ1" s="6"/>
      <c r="CK1" s="6"/>
      <c r="CL1" s="6"/>
      <c r="CM1" s="6"/>
    </row>
    <row r="2" spans="1:119">
      <c r="A2" s="7" t="s">
        <v>1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350"/>
      <c r="CC2" s="9"/>
      <c r="CD2" s="9"/>
      <c r="CE2" s="9"/>
      <c r="CF2" s="9"/>
      <c r="CG2" s="9"/>
      <c r="CI2" s="9"/>
      <c r="CJ2" s="9"/>
      <c r="CK2" s="9"/>
      <c r="CL2" s="9"/>
      <c r="CM2" s="9"/>
    </row>
    <row r="3" spans="1:119">
      <c r="A3" s="10" t="s">
        <v>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11"/>
      <c r="AX3" s="11"/>
      <c r="AY3" s="11"/>
      <c r="AZ3" s="11"/>
      <c r="BA3" s="1786"/>
      <c r="BB3" s="11"/>
      <c r="BC3" s="11"/>
      <c r="BD3" s="11"/>
      <c r="BE3" s="11"/>
      <c r="BF3" s="11"/>
      <c r="BG3" s="11"/>
      <c r="BH3" s="11"/>
      <c r="BI3" s="2009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I3" s="11"/>
      <c r="CJ3" s="11"/>
      <c r="CK3" s="11"/>
      <c r="CL3" s="11"/>
      <c r="CM3" s="11"/>
    </row>
    <row r="4" spans="1:119" collapsed="1">
      <c r="A4" s="12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6"/>
      <c r="AX4" s="13"/>
      <c r="AY4" s="13"/>
      <c r="AZ4" s="1881"/>
      <c r="BA4" s="13"/>
      <c r="BB4" s="13"/>
      <c r="BC4" s="6"/>
      <c r="BD4" s="13"/>
      <c r="BE4" s="13"/>
      <c r="BF4" s="13"/>
      <c r="BG4" s="13"/>
      <c r="BH4" s="13"/>
      <c r="BJ4" s="13"/>
      <c r="BK4" s="13"/>
      <c r="BL4" s="13"/>
      <c r="BM4" s="13"/>
      <c r="BN4" s="13"/>
      <c r="BO4" s="2349"/>
      <c r="BP4" s="13"/>
      <c r="BQ4" s="13"/>
      <c r="BR4" s="13"/>
      <c r="BS4" s="218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I4" s="13"/>
      <c r="CJ4" s="13"/>
      <c r="CK4" s="13"/>
      <c r="CL4" s="13"/>
      <c r="CM4" s="13"/>
    </row>
    <row r="5" spans="1:119">
      <c r="A5" s="12"/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5"/>
      <c r="AQ5" s="14"/>
      <c r="AR5" s="14"/>
      <c r="AS5" s="14"/>
      <c r="AT5" s="14"/>
      <c r="AU5" s="14"/>
      <c r="AV5" s="14"/>
      <c r="AW5" s="14"/>
      <c r="AX5" s="13"/>
      <c r="AY5" s="13"/>
      <c r="AZ5" s="13"/>
      <c r="BA5" s="13"/>
      <c r="BB5" s="14"/>
      <c r="BC5" s="1820"/>
      <c r="BD5" s="13"/>
      <c r="BE5" s="13"/>
      <c r="BF5" s="13"/>
      <c r="BG5" s="13"/>
      <c r="BH5" s="14"/>
      <c r="BJ5" s="13"/>
      <c r="BK5" s="13"/>
      <c r="BL5" s="13"/>
      <c r="BM5" s="13"/>
      <c r="BN5" s="14"/>
      <c r="BO5" s="14"/>
      <c r="BP5" s="13"/>
      <c r="BR5" s="13"/>
      <c r="BS5" s="13"/>
      <c r="BT5" s="14"/>
      <c r="BU5" s="14"/>
      <c r="BV5" s="13"/>
      <c r="BW5" s="13"/>
      <c r="BX5" s="13"/>
      <c r="BY5" s="13"/>
      <c r="BZ5" s="14"/>
      <c r="CA5" s="14"/>
      <c r="CB5" s="14"/>
      <c r="CC5" s="13"/>
      <c r="CD5" s="13"/>
      <c r="CE5" s="13"/>
      <c r="CF5" s="14"/>
      <c r="CG5" s="14"/>
      <c r="CI5" s="13"/>
      <c r="CJ5" s="13"/>
      <c r="CK5" s="13"/>
      <c r="CL5" s="14"/>
      <c r="CM5" s="14"/>
    </row>
    <row r="6" spans="1:119" s="1331" customFormat="1" outlineLevel="1">
      <c r="A6" s="1330"/>
      <c r="B6" s="18"/>
      <c r="C6" s="349"/>
      <c r="D6" s="349"/>
      <c r="E6" s="1542"/>
      <c r="F6" s="349"/>
      <c r="G6" s="19"/>
      <c r="H6" s="18"/>
      <c r="I6" s="349"/>
      <c r="J6" s="349"/>
      <c r="K6" s="349"/>
      <c r="L6" s="349"/>
      <c r="M6" s="19"/>
      <c r="N6" s="18"/>
      <c r="O6" s="20"/>
      <c r="P6" s="20"/>
      <c r="Q6" s="20"/>
      <c r="R6" s="20"/>
      <c r="S6" s="19"/>
      <c r="T6" s="19"/>
      <c r="U6" s="20"/>
      <c r="V6" s="20"/>
      <c r="W6" s="20"/>
      <c r="X6" s="20"/>
      <c r="Y6" s="19"/>
      <c r="Z6" s="19"/>
      <c r="AA6" s="20"/>
      <c r="AB6" s="20"/>
      <c r="AC6" s="20"/>
      <c r="AD6" s="20"/>
      <c r="AE6" s="19"/>
      <c r="AF6" s="19"/>
      <c r="AG6" s="20"/>
      <c r="AH6" s="20"/>
      <c r="AI6" s="20"/>
      <c r="AJ6" s="20"/>
      <c r="AK6" s="19"/>
      <c r="AL6" s="19"/>
      <c r="AM6" s="20"/>
      <c r="AN6" s="20"/>
      <c r="AO6" s="20"/>
      <c r="AP6" s="20"/>
      <c r="AQ6" s="19"/>
      <c r="AR6" s="19"/>
      <c r="AS6" s="349"/>
      <c r="AT6" s="349"/>
      <c r="AU6" s="349"/>
      <c r="AV6" s="20"/>
      <c r="AW6" s="19"/>
      <c r="AX6" s="19"/>
      <c r="AY6" s="19"/>
      <c r="AZ6" s="19"/>
      <c r="BA6" s="19"/>
      <c r="BB6" s="20"/>
      <c r="BC6" s="19"/>
      <c r="BD6" s="19"/>
      <c r="BE6" s="19"/>
      <c r="BF6" s="19"/>
      <c r="BG6" s="19"/>
      <c r="BH6" s="20"/>
      <c r="BI6" s="19"/>
      <c r="BJ6" s="19"/>
      <c r="BK6" s="19"/>
      <c r="BL6" s="19"/>
      <c r="BM6" s="19"/>
      <c r="BN6" s="20"/>
      <c r="BO6" s="19"/>
      <c r="BP6" s="19"/>
      <c r="BQ6" s="1752"/>
      <c r="BR6" s="1752"/>
      <c r="BS6" s="1752"/>
      <c r="BT6" s="1752"/>
      <c r="BU6" s="1751"/>
      <c r="BV6" s="19"/>
      <c r="BW6" s="1752"/>
      <c r="BX6" s="1752"/>
      <c r="BY6" s="1752"/>
      <c r="BZ6" s="1752"/>
      <c r="CA6" s="1751"/>
      <c r="CB6" s="1751"/>
      <c r="CC6" s="2141"/>
      <c r="CD6" s="2141"/>
      <c r="CE6" s="2141"/>
      <c r="CF6" s="2141"/>
      <c r="CG6" s="2142"/>
      <c r="CH6" s="696"/>
      <c r="CI6" s="2141"/>
      <c r="CJ6" s="2141"/>
      <c r="CK6" s="2141"/>
      <c r="CL6" s="2141"/>
      <c r="CM6" s="2142"/>
      <c r="CN6" s="696"/>
      <c r="CO6" s="699"/>
      <c r="CP6" s="699"/>
      <c r="CQ6"/>
      <c r="CR6"/>
      <c r="CS6"/>
      <c r="CT6"/>
      <c r="CU6"/>
      <c r="CV6"/>
      <c r="CW6" s="699"/>
      <c r="CX6" s="699"/>
      <c r="CY6" s="699"/>
      <c r="CZ6" s="699"/>
      <c r="DA6" s="699"/>
      <c r="DB6" s="699"/>
      <c r="DC6" s="699"/>
      <c r="DD6" s="699"/>
      <c r="DE6" s="699"/>
      <c r="DF6" s="699"/>
      <c r="DG6" s="699"/>
      <c r="DH6" s="699"/>
      <c r="DI6" s="699"/>
      <c r="DJ6" s="699"/>
      <c r="DK6" s="699"/>
      <c r="DL6" s="699"/>
      <c r="DM6" s="699"/>
      <c r="DN6" s="699"/>
      <c r="DO6" s="699"/>
    </row>
    <row r="7" spans="1:119" s="149" customFormat="1">
      <c r="A7" s="22"/>
      <c r="B7" s="18"/>
      <c r="C7" s="23" t="s">
        <v>59</v>
      </c>
      <c r="D7" s="24"/>
      <c r="E7" s="24"/>
      <c r="F7" s="24"/>
      <c r="G7" s="25" t="str">
        <f>C7</f>
        <v>2007A</v>
      </c>
      <c r="H7" s="18"/>
      <c r="I7" s="23" t="s">
        <v>60</v>
      </c>
      <c r="J7" s="24"/>
      <c r="K7" s="24"/>
      <c r="L7" s="24"/>
      <c r="M7" s="25" t="str">
        <f>I7</f>
        <v>2008A</v>
      </c>
      <c r="N7" s="18"/>
      <c r="O7" s="23" t="s">
        <v>61</v>
      </c>
      <c r="P7" s="24"/>
      <c r="Q7" s="24"/>
      <c r="R7" s="24"/>
      <c r="S7" s="26" t="str">
        <f>O7</f>
        <v>2009A</v>
      </c>
      <c r="T7" s="18"/>
      <c r="U7" s="23" t="s">
        <v>62</v>
      </c>
      <c r="V7" s="24"/>
      <c r="W7" s="24"/>
      <c r="X7" s="24"/>
      <c r="Y7" s="26" t="str">
        <f>U7</f>
        <v>2010A</v>
      </c>
      <c r="Z7" s="18"/>
      <c r="AA7" s="23" t="s">
        <v>63</v>
      </c>
      <c r="AB7" s="24"/>
      <c r="AC7" s="24"/>
      <c r="AD7" s="24"/>
      <c r="AE7" s="26" t="str">
        <f>AA7</f>
        <v>2011A</v>
      </c>
      <c r="AF7" s="18"/>
      <c r="AG7" s="23" t="s">
        <v>64</v>
      </c>
      <c r="AH7" s="24"/>
      <c r="AI7" s="24"/>
      <c r="AJ7" s="24"/>
      <c r="AK7" s="26" t="str">
        <f>AG7</f>
        <v>2012A</v>
      </c>
      <c r="AL7" s="18"/>
      <c r="AM7" s="23" t="s">
        <v>65</v>
      </c>
      <c r="AN7" s="24"/>
      <c r="AO7" s="24"/>
      <c r="AP7" s="24"/>
      <c r="AQ7" s="26" t="str">
        <f>AM7</f>
        <v>2013A</v>
      </c>
      <c r="AR7" s="18"/>
      <c r="AS7" s="23" t="s">
        <v>66</v>
      </c>
      <c r="AT7" s="24"/>
      <c r="AU7" s="24"/>
      <c r="AV7" s="24"/>
      <c r="AW7" s="26" t="str">
        <f>AS7</f>
        <v>2014A</v>
      </c>
      <c r="AX7" s="18"/>
      <c r="AY7" s="23" t="s">
        <v>536</v>
      </c>
      <c r="AZ7" s="24"/>
      <c r="BA7" s="24"/>
      <c r="BB7" s="24"/>
      <c r="BC7" s="26" t="str">
        <f>AY7</f>
        <v>2015A</v>
      </c>
      <c r="BD7" s="18"/>
      <c r="BE7" s="23" t="s">
        <v>562</v>
      </c>
      <c r="BF7" s="24"/>
      <c r="BG7" s="24"/>
      <c r="BH7" s="24"/>
      <c r="BI7" s="26" t="str">
        <f>BE7</f>
        <v>2016A</v>
      </c>
      <c r="BJ7" s="18"/>
      <c r="BK7" s="23" t="s">
        <v>544</v>
      </c>
      <c r="BL7" s="24"/>
      <c r="BM7" s="24"/>
      <c r="BN7" s="24"/>
      <c r="BO7" s="26" t="str">
        <f>BK7</f>
        <v>2017A</v>
      </c>
      <c r="BP7" s="18"/>
      <c r="BQ7" s="959" t="s">
        <v>464</v>
      </c>
      <c r="BR7" s="960"/>
      <c r="BS7" s="960"/>
      <c r="BT7" s="960"/>
      <c r="BU7" s="961" t="str">
        <f>BQ7</f>
        <v>2018E</v>
      </c>
      <c r="BV7" s="18"/>
      <c r="BW7" s="959" t="s">
        <v>465</v>
      </c>
      <c r="BX7" s="960"/>
      <c r="BY7" s="960"/>
      <c r="BZ7" s="960"/>
      <c r="CA7" s="961" t="str">
        <f>BW7</f>
        <v>2019E</v>
      </c>
      <c r="CB7" s="962"/>
      <c r="CC7" s="959" t="s">
        <v>466</v>
      </c>
      <c r="CD7" s="960"/>
      <c r="CE7" s="960"/>
      <c r="CF7" s="960"/>
      <c r="CG7" s="961" t="str">
        <f>CC7</f>
        <v>2020E</v>
      </c>
      <c r="CI7" s="959" t="s">
        <v>467</v>
      </c>
      <c r="CJ7" s="960"/>
      <c r="CK7" s="960"/>
      <c r="CL7" s="960"/>
      <c r="CM7" s="961" t="str">
        <f>CI7</f>
        <v>2021E</v>
      </c>
      <c r="CQ7"/>
      <c r="CR7"/>
      <c r="CS7"/>
      <c r="CT7"/>
      <c r="CU7"/>
      <c r="CV7"/>
    </row>
    <row r="8" spans="1:119" s="149" customFormat="1">
      <c r="A8" s="27"/>
      <c r="B8" s="18"/>
      <c r="C8" s="362">
        <v>39113</v>
      </c>
      <c r="D8" s="362">
        <f>C8+FLOOR(359/4,1)</f>
        <v>39202</v>
      </c>
      <c r="E8" s="362">
        <f>D8+FLOOR(365/4,1)</f>
        <v>39293</v>
      </c>
      <c r="F8" s="362">
        <f>E8+FLOOR(365/4,1)</f>
        <v>39384</v>
      </c>
      <c r="G8" s="29" t="s">
        <v>59</v>
      </c>
      <c r="H8" s="18">
        <v>0</v>
      </c>
      <c r="I8" s="362">
        <f>C8+365</f>
        <v>39478</v>
      </c>
      <c r="J8" s="362">
        <f>I8+FLOOR(359/4,1)</f>
        <v>39567</v>
      </c>
      <c r="K8" s="362">
        <f>J8+FLOOR(365/4,1)</f>
        <v>39658</v>
      </c>
      <c r="L8" s="362">
        <f>K8+FLOOR(365/4,1)</f>
        <v>39749</v>
      </c>
      <c r="M8" s="29" t="s">
        <v>60</v>
      </c>
      <c r="N8" s="18"/>
      <c r="O8" s="365">
        <v>39843</v>
      </c>
      <c r="P8" s="362">
        <f>O8+FLOOR(359/4,1)</f>
        <v>39932</v>
      </c>
      <c r="Q8" s="362">
        <f>P8+FLOOR(365/4,1)</f>
        <v>40023</v>
      </c>
      <c r="R8" s="362">
        <f>Q8+FLOOR(365/4,1)</f>
        <v>40114</v>
      </c>
      <c r="S8" s="31" t="s">
        <v>61</v>
      </c>
      <c r="T8" s="18"/>
      <c r="U8" s="365">
        <f>O8+365</f>
        <v>40208</v>
      </c>
      <c r="V8" s="362">
        <f>U8+FLOOR(359/4,1)</f>
        <v>40297</v>
      </c>
      <c r="W8" s="362">
        <f>V8+FLOOR(365/4,1)</f>
        <v>40388</v>
      </c>
      <c r="X8" s="362">
        <f>W8+FLOOR(365/4,1)</f>
        <v>40479</v>
      </c>
      <c r="Y8" s="31" t="s">
        <v>62</v>
      </c>
      <c r="Z8" s="18"/>
      <c r="AA8" s="365">
        <f>U8+365</f>
        <v>40573</v>
      </c>
      <c r="AB8" s="362">
        <f>AA8+FLOOR(359/4,1)</f>
        <v>40662</v>
      </c>
      <c r="AC8" s="362">
        <f>AB8+FLOOR(365/4,1)</f>
        <v>40753</v>
      </c>
      <c r="AD8" s="362">
        <f>AC8+FLOOR(365/4,1)</f>
        <v>40844</v>
      </c>
      <c r="AE8" s="31" t="s">
        <v>63</v>
      </c>
      <c r="AF8" s="18"/>
      <c r="AG8" s="365">
        <f>AA8+365</f>
        <v>40938</v>
      </c>
      <c r="AH8" s="362">
        <f>AG8+FLOOR(359/4,1)</f>
        <v>41027</v>
      </c>
      <c r="AI8" s="362">
        <f>AH8+FLOOR(365/4,1)</f>
        <v>41118</v>
      </c>
      <c r="AJ8" s="362">
        <f>AI8+FLOOR(365/4,1)</f>
        <v>41209</v>
      </c>
      <c r="AK8" s="32" t="s">
        <v>64</v>
      </c>
      <c r="AL8" s="18"/>
      <c r="AM8" s="365">
        <f>AG8+365</f>
        <v>41303</v>
      </c>
      <c r="AN8" s="362">
        <f>AM8+FLOOR(359/4,1)</f>
        <v>41392</v>
      </c>
      <c r="AO8" s="362">
        <f>AN8+FLOOR(365/4,1)</f>
        <v>41483</v>
      </c>
      <c r="AP8" s="362">
        <f>AO8+FLOOR(365/4,1)</f>
        <v>41574</v>
      </c>
      <c r="AQ8" s="32" t="s">
        <v>65</v>
      </c>
      <c r="AR8" s="18"/>
      <c r="AS8" s="2222">
        <f>AM8+365</f>
        <v>41668</v>
      </c>
      <c r="AT8" s="2223">
        <f>AS8+FLOOR(359/4,1)</f>
        <v>41757</v>
      </c>
      <c r="AU8" s="2223">
        <f>AT8+FLOOR(359/4,1)</f>
        <v>41846</v>
      </c>
      <c r="AV8" s="2223">
        <f>AU8+FLOOR(365/4,1)</f>
        <v>41937</v>
      </c>
      <c r="AW8" s="32" t="s">
        <v>66</v>
      </c>
      <c r="AX8" s="18"/>
      <c r="AY8" s="28">
        <f>AS8+365</f>
        <v>42033</v>
      </c>
      <c r="AZ8" s="28">
        <f>AY8+FLOOR(359/4,1)</f>
        <v>42122</v>
      </c>
      <c r="BA8" s="28">
        <f>AZ8+FLOOR(365/4,1)</f>
        <v>42213</v>
      </c>
      <c r="BB8" s="28">
        <f>BA8+FLOOR(365/4,1)</f>
        <v>42304</v>
      </c>
      <c r="BC8" s="2005" t="s">
        <v>536</v>
      </c>
      <c r="BD8" s="18"/>
      <c r="BE8" s="28">
        <f>AY8+365</f>
        <v>42398</v>
      </c>
      <c r="BF8" s="28">
        <f>BE8+FLOOR(359/4,1)</f>
        <v>42487</v>
      </c>
      <c r="BG8" s="28">
        <f>BF8+FLOOR(365/4,1)</f>
        <v>42578</v>
      </c>
      <c r="BH8" s="28">
        <f>BG8+FLOOR(365/4,1)</f>
        <v>42669</v>
      </c>
      <c r="BI8" s="2005" t="s">
        <v>562</v>
      </c>
      <c r="BJ8" s="18"/>
      <c r="BK8" s="28">
        <f>BE8+365</f>
        <v>42763</v>
      </c>
      <c r="BL8" s="28">
        <f>BK8+FLOOR(359/4,1)</f>
        <v>42852</v>
      </c>
      <c r="BM8" s="28">
        <f>BL8+FLOOR(365/4,1)</f>
        <v>42943</v>
      </c>
      <c r="BN8" s="28">
        <f>BM8+FLOOR(365/4,1)</f>
        <v>43034</v>
      </c>
      <c r="BO8" s="2380" t="s">
        <v>544</v>
      </c>
      <c r="BP8" s="18"/>
      <c r="BQ8" s="28">
        <f>BK8+365</f>
        <v>43128</v>
      </c>
      <c r="BR8" s="33">
        <f>BQ8+FLOOR(359/4,1)</f>
        <v>43217</v>
      </c>
      <c r="BS8" s="33">
        <f>BR8+FLOOR(365/4,1)</f>
        <v>43308</v>
      </c>
      <c r="BT8" s="34">
        <f>BS8+FLOOR(365/4,1)</f>
        <v>43399</v>
      </c>
      <c r="BU8" s="1989" t="str">
        <f>+BU7</f>
        <v>2018E</v>
      </c>
      <c r="BV8" s="18"/>
      <c r="BW8" s="35">
        <f>BQ8+365</f>
        <v>43493</v>
      </c>
      <c r="BX8" s="33">
        <f>BW8+FLOOR(359/4,1)</f>
        <v>43582</v>
      </c>
      <c r="BY8" s="33">
        <f>BX8+FLOOR(365/4,1)</f>
        <v>43673</v>
      </c>
      <c r="BZ8" s="34">
        <f>BY8+FLOOR(365/4,1)</f>
        <v>43764</v>
      </c>
      <c r="CA8" s="1989" t="str">
        <f>+CA7</f>
        <v>2019E</v>
      </c>
      <c r="CB8" s="2105"/>
      <c r="CC8" s="35">
        <f>BW8+365</f>
        <v>43858</v>
      </c>
      <c r="CD8" s="33">
        <f>CC8+FLOOR(359/4,1)</f>
        <v>43947</v>
      </c>
      <c r="CE8" s="33">
        <f>CD8+FLOOR(365/4,1)</f>
        <v>44038</v>
      </c>
      <c r="CF8" s="34">
        <f>CE8+FLOOR(365/4,1)</f>
        <v>44129</v>
      </c>
      <c r="CG8" s="1989" t="str">
        <f>+CG7</f>
        <v>2020E</v>
      </c>
      <c r="CI8" s="35">
        <f>CC8+365</f>
        <v>44223</v>
      </c>
      <c r="CJ8" s="33">
        <f>CI8+FLOOR(359/4,1)</f>
        <v>44312</v>
      </c>
      <c r="CK8" s="33">
        <f>CJ8+FLOOR(365/4,1)</f>
        <v>44403</v>
      </c>
      <c r="CL8" s="34">
        <f>CK8+FLOOR(365/4,1)</f>
        <v>44494</v>
      </c>
      <c r="CM8" s="1989" t="str">
        <f>+CM7</f>
        <v>2021E</v>
      </c>
      <c r="CQ8"/>
      <c r="CR8"/>
      <c r="CS8"/>
      <c r="CT8"/>
      <c r="CU8"/>
      <c r="CV8"/>
    </row>
    <row r="9" spans="1:119" s="149" customFormat="1">
      <c r="A9" s="36"/>
      <c r="B9" s="4"/>
      <c r="C9" s="37"/>
      <c r="D9" s="38"/>
      <c r="E9" s="39"/>
      <c r="F9" s="39"/>
      <c r="G9" s="40"/>
      <c r="H9" s="4"/>
      <c r="I9" s="37"/>
      <c r="J9" s="38"/>
      <c r="K9" s="39"/>
      <c r="L9" s="39"/>
      <c r="M9" s="40"/>
      <c r="N9" s="4"/>
      <c r="O9" s="37"/>
      <c r="P9" s="38"/>
      <c r="Q9" s="39"/>
      <c r="R9" s="39"/>
      <c r="S9" s="40"/>
      <c r="T9" s="41"/>
      <c r="U9" s="37"/>
      <c r="V9" s="38"/>
      <c r="W9" s="39"/>
      <c r="X9" s="39"/>
      <c r="Y9" s="40"/>
      <c r="Z9" s="38"/>
      <c r="AA9" s="37"/>
      <c r="AB9" s="38"/>
      <c r="AC9" s="39"/>
      <c r="AD9" s="39"/>
      <c r="AE9" s="40"/>
      <c r="AF9" s="38"/>
      <c r="AG9" s="37"/>
      <c r="AH9" s="38"/>
      <c r="AI9" s="39"/>
      <c r="AJ9" s="39"/>
      <c r="AK9" s="40"/>
      <c r="AL9" s="38"/>
      <c r="AM9" s="37"/>
      <c r="AN9" s="38"/>
      <c r="AO9" s="39"/>
      <c r="AP9" s="39"/>
      <c r="AQ9" s="40"/>
      <c r="AR9" s="38"/>
      <c r="AS9" s="37"/>
      <c r="AT9" s="39"/>
      <c r="AU9" s="39"/>
      <c r="AV9" s="39"/>
      <c r="AW9" s="40"/>
      <c r="AX9" s="38"/>
      <c r="AY9" s="37"/>
      <c r="AZ9" s="39"/>
      <c r="BA9" s="39"/>
      <c r="BB9" s="39"/>
      <c r="BC9" s="40"/>
      <c r="BD9" s="38"/>
      <c r="BE9" s="37"/>
      <c r="BF9" s="39"/>
      <c r="BG9" s="39"/>
      <c r="BH9" s="39"/>
      <c r="BI9" s="40"/>
      <c r="BJ9" s="38"/>
      <c r="BK9" s="37"/>
      <c r="BL9" s="39"/>
      <c r="BM9" s="39"/>
      <c r="BN9" s="39"/>
      <c r="BO9" s="40"/>
      <c r="BP9" s="38"/>
      <c r="BQ9" s="37"/>
      <c r="BR9" s="39"/>
      <c r="BS9" s="39"/>
      <c r="BT9" s="39"/>
      <c r="BU9" s="40"/>
      <c r="BV9" s="38"/>
      <c r="BW9" s="37"/>
      <c r="BX9" s="39"/>
      <c r="BY9" s="39"/>
      <c r="BZ9" s="39"/>
      <c r="CA9" s="40"/>
      <c r="CB9" s="2106"/>
      <c r="CC9" s="37"/>
      <c r="CD9" s="39"/>
      <c r="CE9" s="39"/>
      <c r="CF9" s="39"/>
      <c r="CG9" s="40"/>
      <c r="CI9" s="37"/>
      <c r="CJ9" s="39"/>
      <c r="CK9" s="39"/>
      <c r="CL9" s="39"/>
      <c r="CM9" s="40"/>
      <c r="CQ9"/>
      <c r="CR9"/>
      <c r="CS9"/>
      <c r="CT9"/>
      <c r="CU9"/>
      <c r="CV9"/>
      <c r="CX9" s="1303"/>
      <c r="CY9" s="1303"/>
      <c r="CZ9" s="1303"/>
      <c r="DA9" s="1303"/>
      <c r="DB9" s="1303"/>
      <c r="DC9" s="1303"/>
      <c r="DD9" s="1303"/>
      <c r="DE9" s="1303"/>
      <c r="DF9" s="1303"/>
      <c r="DG9" s="1303"/>
      <c r="DH9" s="1303"/>
      <c r="DI9" s="1303"/>
      <c r="DJ9" s="1303"/>
      <c r="DK9" s="1303"/>
      <c r="DL9" s="1303"/>
      <c r="DM9" s="1303"/>
      <c r="DN9" s="1303"/>
      <c r="DO9" s="1303"/>
    </row>
    <row r="10" spans="1:119" s="149" customFormat="1">
      <c r="A10" s="42" t="s">
        <v>67</v>
      </c>
      <c r="B10" s="43"/>
      <c r="C10" s="44">
        <f>RevBuild!C18</f>
        <v>455</v>
      </c>
      <c r="D10" s="45">
        <f>RevBuild!D18</f>
        <v>428</v>
      </c>
      <c r="E10" s="45">
        <f>RevBuild!E18</f>
        <v>469</v>
      </c>
      <c r="F10" s="45">
        <f>RevBuild!F18</f>
        <v>524</v>
      </c>
      <c r="G10" s="46">
        <f>SUM(C10:F10)</f>
        <v>1876</v>
      </c>
      <c r="H10" s="43"/>
      <c r="I10" s="44">
        <f>RevBuild!I18</f>
        <v>531</v>
      </c>
      <c r="J10" s="45">
        <f>RevBuild!J18</f>
        <v>530</v>
      </c>
      <c r="K10" s="45">
        <f>RevBuild!K18</f>
        <v>540</v>
      </c>
      <c r="L10" s="45">
        <f>RevBuild!L18</f>
        <v>594</v>
      </c>
      <c r="M10" s="46">
        <f>SUM(I10:L10)</f>
        <v>2195</v>
      </c>
      <c r="N10" s="43"/>
      <c r="O10" s="44">
        <f>RevBuild!O18</f>
        <v>525</v>
      </c>
      <c r="P10" s="45">
        <f>RevBuild!P18</f>
        <v>498</v>
      </c>
      <c r="Q10" s="45">
        <f>RevBuild!Q18</f>
        <v>496</v>
      </c>
      <c r="R10" s="45">
        <f>RevBuild!R18</f>
        <v>544</v>
      </c>
      <c r="S10" s="46">
        <f>SUM(O10:R10)</f>
        <v>2063</v>
      </c>
      <c r="T10" s="47"/>
      <c r="U10" s="44">
        <f>RevBuild!U18</f>
        <v>584</v>
      </c>
      <c r="V10" s="45">
        <f>RevBuild!V18</f>
        <v>572</v>
      </c>
      <c r="W10" s="45">
        <f>RevBuild!W18</f>
        <v>703</v>
      </c>
      <c r="X10" s="45">
        <f>RevBuild!X18</f>
        <v>820</v>
      </c>
      <c r="Y10" s="46">
        <f>SUM(U10:X10)</f>
        <v>2679</v>
      </c>
      <c r="Z10" s="47"/>
      <c r="AA10" s="44">
        <f>RevBuild!AA18</f>
        <v>753</v>
      </c>
      <c r="AB10" s="45">
        <f>RevBuild!AB18</f>
        <v>845</v>
      </c>
      <c r="AC10" s="45">
        <f>RevBuild!AC18</f>
        <v>836</v>
      </c>
      <c r="AD10" s="45">
        <f>RevBuild!AD18</f>
        <v>876</v>
      </c>
      <c r="AE10" s="46">
        <f>SUM(AA10:AD10)</f>
        <v>3310</v>
      </c>
      <c r="AF10" s="47"/>
      <c r="AG10" s="44">
        <f>RevBuild!AG18</f>
        <v>857</v>
      </c>
      <c r="AH10" s="45">
        <f>RevBuild!AH18</f>
        <v>857</v>
      </c>
      <c r="AI10" s="45">
        <f>RevBuild!AI18</f>
        <v>878</v>
      </c>
      <c r="AJ10" s="45">
        <f>RevBuild!AJ18</f>
        <v>951</v>
      </c>
      <c r="AK10" s="46">
        <f>SUM(AG10:AJ10)</f>
        <v>3543</v>
      </c>
      <c r="AL10" s="47"/>
      <c r="AM10" s="44">
        <f>RevBuild!AM18</f>
        <v>958</v>
      </c>
      <c r="AN10" s="45">
        <f>RevBuild!AN18</f>
        <v>972</v>
      </c>
      <c r="AO10" s="45">
        <f>RevBuild!AO18</f>
        <v>951</v>
      </c>
      <c r="AP10" s="45">
        <f>RevBuild!AP18</f>
        <v>1013</v>
      </c>
      <c r="AQ10" s="46">
        <f>SUM(AM10:AP10)</f>
        <v>3894</v>
      </c>
      <c r="AR10" s="47"/>
      <c r="AS10" s="44">
        <f>RevBuild!AS18</f>
        <v>1008</v>
      </c>
      <c r="AT10" s="48">
        <f>RevBuild!AT18</f>
        <v>988</v>
      </c>
      <c r="AU10" s="48">
        <f>RevBuild!AU18</f>
        <v>1009</v>
      </c>
      <c r="AV10" s="48">
        <f>RevBuild!AV18</f>
        <v>1043</v>
      </c>
      <c r="AW10" s="46">
        <f>SUM(AS10:AV10)</f>
        <v>4048</v>
      </c>
      <c r="AX10" s="47"/>
      <c r="AY10" s="49">
        <f>RevBuild!AY18</f>
        <v>1026</v>
      </c>
      <c r="AZ10" s="48">
        <f>RevBuild!AZ18</f>
        <v>963</v>
      </c>
      <c r="BA10" s="48">
        <f>RevBuild!BA18</f>
        <v>1014</v>
      </c>
      <c r="BB10" s="48">
        <f>RevBuild!BB18</f>
        <v>1035</v>
      </c>
      <c r="BC10" s="46">
        <f>SUM(AY10:BB10)</f>
        <v>4038</v>
      </c>
      <c r="BD10" s="47"/>
      <c r="BE10" s="49">
        <f>RevBuild!BE18</f>
        <v>1028</v>
      </c>
      <c r="BF10" s="48">
        <f>RevBuild!BF18</f>
        <v>1019</v>
      </c>
      <c r="BG10" s="48">
        <f>RevBuild!BG18</f>
        <v>1044</v>
      </c>
      <c r="BH10" s="48">
        <f>RevBuild!BH18</f>
        <v>1111</v>
      </c>
      <c r="BI10" s="46">
        <f>SUM(BE10:BH10)</f>
        <v>4202</v>
      </c>
      <c r="BJ10" s="47"/>
      <c r="BK10" s="49">
        <f>RevBuild!BK18</f>
        <v>1067</v>
      </c>
      <c r="BL10" s="48">
        <f>RevBuild!BL18</f>
        <v>1102</v>
      </c>
      <c r="BM10" s="48">
        <f>RevBuild!BM18</f>
        <v>1114</v>
      </c>
      <c r="BN10" s="48">
        <f>RevBuild!BN18</f>
        <v>1189</v>
      </c>
      <c r="BO10" s="46">
        <f>SUM(BK10:BN10)</f>
        <v>4472</v>
      </c>
      <c r="BP10" s="47"/>
      <c r="BQ10" s="49">
        <f>RevBuild!BQ18</f>
        <v>1211</v>
      </c>
      <c r="BR10" s="48">
        <f>RevBuild!BR18</f>
        <v>1255.7039079464982</v>
      </c>
      <c r="BS10" s="48">
        <f>RevBuild!BS18</f>
        <v>1242.9393852446947</v>
      </c>
      <c r="BT10" s="48">
        <f>RevBuild!BT18</f>
        <v>1318.3618152719678</v>
      </c>
      <c r="BU10" s="46">
        <f>SUM(BQ10:BT10)</f>
        <v>5028.0051084631614</v>
      </c>
      <c r="BV10" s="47"/>
      <c r="BW10" s="49">
        <f>RevBuild!BW18</f>
        <v>1292.5858578087939</v>
      </c>
      <c r="BX10" s="48">
        <f>RevBuild!BX18</f>
        <v>1340.5450876584282</v>
      </c>
      <c r="BY10" s="48">
        <f>RevBuild!BY18</f>
        <v>1343.5297424805874</v>
      </c>
      <c r="BZ10" s="48">
        <f>RevBuild!BZ18</f>
        <v>1421.6563442949578</v>
      </c>
      <c r="CA10" s="46">
        <f>SUM(BW10:BZ10)</f>
        <v>5398.3170322427668</v>
      </c>
      <c r="CB10" s="48"/>
      <c r="CC10" s="49">
        <f>RevBuild!CC18</f>
        <v>1368.6274699525202</v>
      </c>
      <c r="CD10" s="48">
        <f>RevBuild!CD18</f>
        <v>1423.4069091919321</v>
      </c>
      <c r="CE10" s="48">
        <f>RevBuild!CE18</f>
        <v>1437.5693250064248</v>
      </c>
      <c r="CF10" s="48">
        <f>RevBuild!CF18</f>
        <v>1516.0272040688433</v>
      </c>
      <c r="CG10" s="46">
        <f>SUM(CC10:CF10)</f>
        <v>5745.6309082197204</v>
      </c>
      <c r="CH10" s="1304"/>
      <c r="CI10" s="49">
        <f>RevBuild!CI18</f>
        <v>1451.9030170982001</v>
      </c>
      <c r="CJ10" s="48">
        <f>RevBuild!CJ18</f>
        <v>1514.6789441329943</v>
      </c>
      <c r="CK10" s="48">
        <f>RevBuild!CK18</f>
        <v>1543.5079788487205</v>
      </c>
      <c r="CL10" s="48">
        <f>RevBuild!CL18</f>
        <v>1621.3391531898897</v>
      </c>
      <c r="CM10" s="46">
        <f>SUM(CI10:CL10)</f>
        <v>6131.429093269805</v>
      </c>
      <c r="CN10" s="1304"/>
      <c r="CO10" s="1304"/>
      <c r="CP10" s="51"/>
      <c r="CQ10"/>
      <c r="CR10"/>
      <c r="CS10"/>
      <c r="CT10"/>
      <c r="CU10"/>
      <c r="CV10"/>
      <c r="CW10" s="51"/>
      <c r="CX10" s="1303"/>
      <c r="CY10" s="1303"/>
      <c r="CZ10" s="1303"/>
      <c r="DA10" s="1303"/>
      <c r="DB10" s="1303"/>
      <c r="DC10" s="1303"/>
      <c r="DD10" s="1303"/>
      <c r="DE10" s="1303"/>
      <c r="DF10" s="1303"/>
      <c r="DG10" s="1303"/>
      <c r="DH10" s="1303"/>
      <c r="DI10" s="1303"/>
      <c r="DJ10" s="1303"/>
      <c r="DK10" s="1303"/>
      <c r="DL10" s="1303"/>
      <c r="DM10" s="1303"/>
      <c r="DN10" s="1303"/>
      <c r="DO10" s="1303"/>
    </row>
    <row r="11" spans="1:119" s="149" customFormat="1">
      <c r="A11" s="52" t="s">
        <v>68</v>
      </c>
      <c r="B11" s="53"/>
      <c r="C11" s="1570">
        <f>C56</f>
        <v>215.23500000000001</v>
      </c>
      <c r="D11" s="1571">
        <f>D56</f>
        <v>204.51599999999996</v>
      </c>
      <c r="E11" s="1550">
        <f>E56</f>
        <v>216.81999999999996</v>
      </c>
      <c r="F11" s="1571">
        <f>F56</f>
        <v>237.03399999999999</v>
      </c>
      <c r="G11" s="55">
        <f>SUM(C11:F11)</f>
        <v>873.6049999999999</v>
      </c>
      <c r="H11" s="53"/>
      <c r="I11" s="1570">
        <f>I56</f>
        <v>251.154</v>
      </c>
      <c r="J11" s="1571">
        <f>J56</f>
        <v>251.202</v>
      </c>
      <c r="K11" s="1571">
        <f>K56</f>
        <v>248.31599999999997</v>
      </c>
      <c r="L11" s="1571">
        <f>L56</f>
        <v>263.75400000000002</v>
      </c>
      <c r="M11" s="55">
        <f>SUM(I11:L11)</f>
        <v>1014.426</v>
      </c>
      <c r="N11" s="53"/>
      <c r="O11" s="1570">
        <f>O56</f>
        <v>237.387</v>
      </c>
      <c r="P11" s="1571">
        <f>P56</f>
        <v>228.42499999999998</v>
      </c>
      <c r="Q11" s="1571">
        <f>Q56</f>
        <v>231.00699999999998</v>
      </c>
      <c r="R11" s="1571">
        <f>R56</f>
        <v>246.51799999999997</v>
      </c>
      <c r="S11" s="55">
        <f>SUM(O11:R11)</f>
        <v>943.33699999999999</v>
      </c>
      <c r="T11" s="54"/>
      <c r="U11" s="1570">
        <f>U56</f>
        <v>264.34399999999999</v>
      </c>
      <c r="V11" s="1571">
        <f>V56</f>
        <v>259.899</v>
      </c>
      <c r="W11" s="1571">
        <f>W56</f>
        <v>327.19799999999998</v>
      </c>
      <c r="X11" s="1571">
        <f>X56</f>
        <v>392.84299999999996</v>
      </c>
      <c r="Y11" s="55">
        <f>SUM(U11:X11)</f>
        <v>1244.2839999999999</v>
      </c>
      <c r="Z11" s="54"/>
      <c r="AA11" s="1570">
        <f>AA56</f>
        <v>359.161</v>
      </c>
      <c r="AB11" s="1571">
        <f>AB56</f>
        <v>411.29300000000001</v>
      </c>
      <c r="AC11" s="1571">
        <f>AC56</f>
        <v>409.64499999999998</v>
      </c>
      <c r="AD11" s="1571">
        <f>AD56</f>
        <v>422.39699999999999</v>
      </c>
      <c r="AE11" s="55">
        <f>SUM(AA11:AD11)</f>
        <v>1602.4959999999999</v>
      </c>
      <c r="AF11" s="54"/>
      <c r="AG11" s="1570">
        <f>AG56</f>
        <v>409.44800000000004</v>
      </c>
      <c r="AH11" s="1571">
        <f>AH56</f>
        <v>418.44599999999997</v>
      </c>
      <c r="AI11" s="1571">
        <f>AI56</f>
        <v>425.22199999999998</v>
      </c>
      <c r="AJ11" s="1571">
        <f>AJ56</f>
        <v>432.202</v>
      </c>
      <c r="AK11" s="55">
        <f>SUM(AG11:AJ11)</f>
        <v>1685.318</v>
      </c>
      <c r="AL11" s="54"/>
      <c r="AM11" s="1570">
        <f>AM56</f>
        <v>449.89399999999989</v>
      </c>
      <c r="AN11" s="1571">
        <f>AN56</f>
        <v>456.14400000000001</v>
      </c>
      <c r="AO11" s="1571">
        <f>AO56</f>
        <v>451.25299999999999</v>
      </c>
      <c r="AP11" s="1571">
        <f>AP56</f>
        <v>463.50900000000001</v>
      </c>
      <c r="AQ11" s="55">
        <f>SUM(AM11:AP11)</f>
        <v>1820.8</v>
      </c>
      <c r="AR11" s="54"/>
      <c r="AS11" s="57">
        <f>AS56</f>
        <v>462.73199999999997</v>
      </c>
      <c r="AT11" s="56">
        <v>466</v>
      </c>
      <c r="AU11" s="56">
        <v>471</v>
      </c>
      <c r="AV11" s="56">
        <v>482</v>
      </c>
      <c r="AW11" s="55">
        <f>SUM(AS11:AV11)</f>
        <v>1881.732</v>
      </c>
      <c r="AX11" s="56"/>
      <c r="AY11" s="57">
        <f>AY56</f>
        <v>481.44299999999998</v>
      </c>
      <c r="AZ11" s="56">
        <f>AZ56</f>
        <v>445.81899999999996</v>
      </c>
      <c r="BA11" s="56">
        <f>BA56</f>
        <v>471.73399999999998</v>
      </c>
      <c r="BB11" s="56">
        <f>BB56</f>
        <v>470.25900000000001</v>
      </c>
      <c r="BC11" s="55">
        <f>SUM(AY11:BB11)</f>
        <v>1869.2549999999999</v>
      </c>
      <c r="BD11" s="56"/>
      <c r="BE11" s="57">
        <f>BE56</f>
        <v>463.8</v>
      </c>
      <c r="BF11" s="56">
        <f>BF56</f>
        <v>462.54899999999998</v>
      </c>
      <c r="BG11" s="56">
        <f>BG56</f>
        <v>476.92800000000005</v>
      </c>
      <c r="BH11" s="56">
        <f>BH56</f>
        <v>495.78599999999994</v>
      </c>
      <c r="BI11" s="55">
        <f>SUM(BE11:BH11)</f>
        <v>1899.0630000000001</v>
      </c>
      <c r="BJ11" s="56"/>
      <c r="BK11" s="57">
        <f>BK56</f>
        <v>479.233</v>
      </c>
      <c r="BL11" s="56">
        <f>BL56</f>
        <v>485.08100000000002</v>
      </c>
      <c r="BM11" s="56">
        <f>BM56</f>
        <v>500.56</v>
      </c>
      <c r="BN11" s="56">
        <f>BN10-BN12</f>
        <v>521.94600000000003</v>
      </c>
      <c r="BO11" s="55">
        <f>SUM(BK11:BN11)</f>
        <v>1986.8200000000002</v>
      </c>
      <c r="BP11" s="54"/>
      <c r="BQ11" s="57">
        <f>BQ10-BQ12</f>
        <v>521.98800000000006</v>
      </c>
      <c r="BR11" s="56">
        <f>BR10-BR12</f>
        <v>545.99386842958279</v>
      </c>
      <c r="BS11" s="56">
        <f>BS10-BS12</f>
        <v>552.81603029451708</v>
      </c>
      <c r="BT11" s="56">
        <f>BT10-BT12</f>
        <v>573.25990016548178</v>
      </c>
      <c r="BU11" s="55">
        <f>SUM(BQ11:BT11)</f>
        <v>2194.0577988895816</v>
      </c>
      <c r="BV11" s="54"/>
      <c r="BW11" s="57">
        <f>BW10-BW12</f>
        <v>551.22462187176598</v>
      </c>
      <c r="BX11" s="56">
        <f>BX10-BX12</f>
        <v>576.70275671058937</v>
      </c>
      <c r="BY11" s="56">
        <f>BY10-BY12</f>
        <v>591.6733228085119</v>
      </c>
      <c r="BZ11" s="56">
        <f>BZ10-BZ12</f>
        <v>611.7668360811914</v>
      </c>
      <c r="CA11" s="55">
        <f>SUM(BW11:BZ11)</f>
        <v>2331.3675374720583</v>
      </c>
      <c r="CB11" s="56"/>
      <c r="CC11" s="57">
        <f>CC10-CC12</f>
        <v>579.84642546877649</v>
      </c>
      <c r="CD11" s="56">
        <f>CD10-CD12</f>
        <v>607.59821015209218</v>
      </c>
      <c r="CE11" s="56">
        <f>CE10-CE12</f>
        <v>629.11431906794894</v>
      </c>
      <c r="CF11" s="56">
        <f>CF10-CF12</f>
        <v>647.92996106187775</v>
      </c>
      <c r="CG11" s="55">
        <f>SUM(CC11:CF11)</f>
        <v>2464.4889157506955</v>
      </c>
      <c r="CH11" s="58"/>
      <c r="CI11" s="57">
        <f>CI10-CI12</f>
        <v>612.56699086360084</v>
      </c>
      <c r="CJ11" s="56">
        <f>CJ10-CJ12</f>
        <v>642.95098128664074</v>
      </c>
      <c r="CK11" s="56">
        <f>CK10-CK12</f>
        <v>672.79229064717651</v>
      </c>
      <c r="CL11" s="56">
        <f>CL10-CL12</f>
        <v>689.7824373906426</v>
      </c>
      <c r="CM11" s="55">
        <f>SUM(CI11:CL11)</f>
        <v>2618.0927001880609</v>
      </c>
      <c r="CN11" s="58"/>
      <c r="CO11" s="58"/>
      <c r="CP11" s="58"/>
      <c r="CQ11"/>
      <c r="CR11"/>
      <c r="CS11"/>
      <c r="CT11"/>
      <c r="CU11"/>
      <c r="CV11"/>
      <c r="CW11" s="58"/>
    </row>
    <row r="12" spans="1:119" s="149" customFormat="1">
      <c r="A12" s="42" t="s">
        <v>69</v>
      </c>
      <c r="B12" s="43"/>
      <c r="C12" s="44">
        <f>C10-C11</f>
        <v>239.76499999999999</v>
      </c>
      <c r="D12" s="45">
        <f>D10-D11</f>
        <v>223.48400000000004</v>
      </c>
      <c r="E12" s="45">
        <f>E10-E11</f>
        <v>252.18000000000004</v>
      </c>
      <c r="F12" s="45">
        <f>F10-F11</f>
        <v>286.96600000000001</v>
      </c>
      <c r="G12" s="59">
        <f>G10-G11</f>
        <v>1002.3950000000001</v>
      </c>
      <c r="H12" s="43"/>
      <c r="I12" s="44">
        <f>I10-I11</f>
        <v>279.846</v>
      </c>
      <c r="J12" s="45">
        <f>J10-J11</f>
        <v>278.798</v>
      </c>
      <c r="K12" s="45">
        <f>K10-K11</f>
        <v>291.68400000000003</v>
      </c>
      <c r="L12" s="45">
        <f>L10-L11</f>
        <v>330.24599999999998</v>
      </c>
      <c r="M12" s="59">
        <f>M10-M11</f>
        <v>1180.5740000000001</v>
      </c>
      <c r="N12" s="43"/>
      <c r="O12" s="44">
        <f>O10-O11</f>
        <v>287.613</v>
      </c>
      <c r="P12" s="45">
        <f>P10-P11</f>
        <v>269.57500000000005</v>
      </c>
      <c r="Q12" s="45">
        <f>Q10-Q11</f>
        <v>264.99300000000005</v>
      </c>
      <c r="R12" s="45">
        <f>R10-R11</f>
        <v>297.48200000000003</v>
      </c>
      <c r="S12" s="59">
        <f>S10-S11</f>
        <v>1119.663</v>
      </c>
      <c r="T12" s="47"/>
      <c r="U12" s="44">
        <f>U10-U11</f>
        <v>319.65600000000001</v>
      </c>
      <c r="V12" s="45">
        <f>V10-V11</f>
        <v>312.101</v>
      </c>
      <c r="W12" s="45">
        <f>W10-W11</f>
        <v>375.80200000000002</v>
      </c>
      <c r="X12" s="45">
        <f>X10-X11</f>
        <v>427.15700000000004</v>
      </c>
      <c r="Y12" s="59">
        <f>Y10-Y11</f>
        <v>1434.7160000000001</v>
      </c>
      <c r="Z12" s="47"/>
      <c r="AA12" s="44">
        <f>AA10-AA11</f>
        <v>393.839</v>
      </c>
      <c r="AB12" s="45">
        <f>AB10-AB11</f>
        <v>433.70699999999999</v>
      </c>
      <c r="AC12" s="45">
        <f>AC10-AC11</f>
        <v>426.35500000000002</v>
      </c>
      <c r="AD12" s="45">
        <f>AD10-AD11</f>
        <v>453.60300000000001</v>
      </c>
      <c r="AE12" s="59">
        <f>AE10-AE11</f>
        <v>1707.5040000000001</v>
      </c>
      <c r="AF12" s="47"/>
      <c r="AG12" s="44">
        <f>AG10-AG11</f>
        <v>447.55199999999996</v>
      </c>
      <c r="AH12" s="45">
        <f>AH10-AH11</f>
        <v>438.55400000000003</v>
      </c>
      <c r="AI12" s="45">
        <f>AI10-AI11</f>
        <v>452.77800000000002</v>
      </c>
      <c r="AJ12" s="45">
        <f>AJ10-AJ11</f>
        <v>518.798</v>
      </c>
      <c r="AK12" s="59">
        <f>AK10-AK11</f>
        <v>1857.682</v>
      </c>
      <c r="AL12" s="47"/>
      <c r="AM12" s="44">
        <f>AM10-AM11</f>
        <v>508.10600000000011</v>
      </c>
      <c r="AN12" s="45">
        <f>AN10-AN11</f>
        <v>515.85599999999999</v>
      </c>
      <c r="AO12" s="45">
        <f>AO10-AO11</f>
        <v>499.74700000000001</v>
      </c>
      <c r="AP12" s="45">
        <f>AP10-AP11</f>
        <v>549.49099999999999</v>
      </c>
      <c r="AQ12" s="59">
        <f>AQ10-AQ11</f>
        <v>2073.1999999999998</v>
      </c>
      <c r="AR12" s="47"/>
      <c r="AS12" s="44">
        <f>AS10-AS11</f>
        <v>545.26800000000003</v>
      </c>
      <c r="AT12" s="45">
        <f>AT10-AT11</f>
        <v>522</v>
      </c>
      <c r="AU12" s="45">
        <f>AU10-AU11</f>
        <v>538</v>
      </c>
      <c r="AV12" s="48">
        <f>AV10-AV11</f>
        <v>561</v>
      </c>
      <c r="AW12" s="46">
        <f>AW10-AW11</f>
        <v>2166.268</v>
      </c>
      <c r="AX12" s="47"/>
      <c r="AY12" s="49">
        <f>AY10-AY11</f>
        <v>544.55700000000002</v>
      </c>
      <c r="AZ12" s="45">
        <f>AZ10-AZ11</f>
        <v>517.18100000000004</v>
      </c>
      <c r="BA12" s="45">
        <f>BA10-BA11</f>
        <v>542.26600000000008</v>
      </c>
      <c r="BB12" s="45">
        <f>BB10-BB11</f>
        <v>564.74099999999999</v>
      </c>
      <c r="BC12" s="46">
        <f>BC10-BC11</f>
        <v>2168.7449999999999</v>
      </c>
      <c r="BD12" s="47"/>
      <c r="BE12" s="49">
        <f>BE10-BE11</f>
        <v>564.20000000000005</v>
      </c>
      <c r="BF12" s="45">
        <f>BF10-BF11</f>
        <v>556.45100000000002</v>
      </c>
      <c r="BG12" s="45">
        <f>BG10-BG11</f>
        <v>567.07199999999989</v>
      </c>
      <c r="BH12" s="48">
        <f>BH72</f>
        <v>615.21400000000006</v>
      </c>
      <c r="BI12" s="46">
        <f>BI10-BI11</f>
        <v>2302.9369999999999</v>
      </c>
      <c r="BJ12" s="47"/>
      <c r="BK12" s="49">
        <f>BK72</f>
        <v>587.76700000000005</v>
      </c>
      <c r="BL12" s="48">
        <f>BL72</f>
        <v>616.91899999999998</v>
      </c>
      <c r="BM12" s="48">
        <f>BM72</f>
        <v>613.44000000000005</v>
      </c>
      <c r="BN12" s="48">
        <f>BN72</f>
        <v>667.05399999999997</v>
      </c>
      <c r="BO12" s="46">
        <f>BO10-BO11</f>
        <v>2485.1799999999998</v>
      </c>
      <c r="BP12" s="47"/>
      <c r="BQ12" s="49">
        <f>BQ72</f>
        <v>689.01199999999994</v>
      </c>
      <c r="BR12" s="48">
        <f>BR72</f>
        <v>709.71003951691546</v>
      </c>
      <c r="BS12" s="48">
        <f>BS72</f>
        <v>690.1233549501776</v>
      </c>
      <c r="BT12" s="48">
        <f>BT72</f>
        <v>745.10191510648599</v>
      </c>
      <c r="BU12" s="46">
        <f>BU10-BU11</f>
        <v>2833.9473095735798</v>
      </c>
      <c r="BV12" s="47"/>
      <c r="BW12" s="49">
        <f>BW72</f>
        <v>741.36123593702791</v>
      </c>
      <c r="BX12" s="48">
        <f>BX72</f>
        <v>763.84233094783883</v>
      </c>
      <c r="BY12" s="48">
        <f>BY72</f>
        <v>751.8564196720755</v>
      </c>
      <c r="BZ12" s="48">
        <f>BZ72</f>
        <v>809.88950821376636</v>
      </c>
      <c r="CA12" s="46">
        <f>CA10-CA11</f>
        <v>3066.9494947707085</v>
      </c>
      <c r="CB12" s="48"/>
      <c r="CC12" s="49">
        <f>CC72</f>
        <v>788.7810444837437</v>
      </c>
      <c r="CD12" s="48">
        <f>CD72</f>
        <v>815.80869903983989</v>
      </c>
      <c r="CE12" s="48">
        <f>CE72</f>
        <v>808.45500593847589</v>
      </c>
      <c r="CF12" s="48">
        <f>CF72</f>
        <v>868.09724300696553</v>
      </c>
      <c r="CG12" s="46">
        <f>CG10-CG11</f>
        <v>3281.1419924690249</v>
      </c>
      <c r="CH12" s="51"/>
      <c r="CI12" s="49">
        <f>CI72</f>
        <v>839.33602623459922</v>
      </c>
      <c r="CJ12" s="48">
        <f>CJ72</f>
        <v>871.72796284635353</v>
      </c>
      <c r="CK12" s="48">
        <f>CK72</f>
        <v>870.71568820154403</v>
      </c>
      <c r="CL12" s="48">
        <f>CL72</f>
        <v>931.55671579924706</v>
      </c>
      <c r="CM12" s="46">
        <f>CM10-CM11</f>
        <v>3513.3363930817441</v>
      </c>
      <c r="CN12" s="51"/>
      <c r="CO12" s="51"/>
      <c r="CP12" s="51"/>
      <c r="CQ12"/>
      <c r="CR12"/>
      <c r="CS12"/>
      <c r="CT12"/>
      <c r="CU12"/>
      <c r="CV12"/>
      <c r="CW12" s="51"/>
    </row>
    <row r="13" spans="1:119" s="149" customFormat="1" ht="12.75" customHeight="1">
      <c r="A13" s="60" t="s">
        <v>70</v>
      </c>
      <c r="B13" s="61"/>
      <c r="C13" s="65">
        <f>C89</f>
        <v>45.182080610021764</v>
      </c>
      <c r="D13" s="66">
        <f>D89</f>
        <v>46.141244725738375</v>
      </c>
      <c r="E13" s="66">
        <f>E89</f>
        <v>45.52874470181321</v>
      </c>
      <c r="F13" s="66">
        <f>F89</f>
        <v>50.494195402298907</v>
      </c>
      <c r="G13" s="62">
        <f>SUM(C13:F13)</f>
        <v>187.34626543987227</v>
      </c>
      <c r="H13" s="61"/>
      <c r="I13" s="65">
        <f>I89</f>
        <v>53.742866666666636</v>
      </c>
      <c r="J13" s="66">
        <f>J89</f>
        <v>57.03373839662445</v>
      </c>
      <c r="K13" s="66">
        <f>K89</f>
        <v>53.176294224923986</v>
      </c>
      <c r="L13" s="66">
        <f>L89</f>
        <v>57.998275862069036</v>
      </c>
      <c r="M13" s="62">
        <f>SUM(I13:L13)</f>
        <v>221.95117515028409</v>
      </c>
      <c r="N13" s="61"/>
      <c r="O13" s="65">
        <f>O89</f>
        <v>46</v>
      </c>
      <c r="P13" s="66">
        <f>P89</f>
        <v>46</v>
      </c>
      <c r="Q13" s="66">
        <f>Q89</f>
        <v>43</v>
      </c>
      <c r="R13" s="66">
        <f>R89</f>
        <v>46</v>
      </c>
      <c r="S13" s="62">
        <f>SUM(O13:R13)</f>
        <v>181</v>
      </c>
      <c r="T13" s="63"/>
      <c r="U13" s="65">
        <f>U89</f>
        <v>46</v>
      </c>
      <c r="V13" s="66">
        <f>V89</f>
        <v>47</v>
      </c>
      <c r="W13" s="66">
        <f>W89</f>
        <v>57</v>
      </c>
      <c r="X13" s="66">
        <f>X89</f>
        <v>60</v>
      </c>
      <c r="Y13" s="62">
        <f>SUM(U13:X13)</f>
        <v>210</v>
      </c>
      <c r="Z13" s="63"/>
      <c r="AA13" s="65">
        <f>AA89</f>
        <v>65</v>
      </c>
      <c r="AB13" s="66">
        <f>AB89</f>
        <v>68</v>
      </c>
      <c r="AC13" s="66">
        <f>AC89</f>
        <v>67</v>
      </c>
      <c r="AD13" s="66">
        <f>AD89</f>
        <v>66</v>
      </c>
      <c r="AE13" s="62">
        <f>SUM(AA13:AD13)</f>
        <v>266</v>
      </c>
      <c r="AF13" s="63"/>
      <c r="AG13" s="65">
        <f>AG89</f>
        <v>65</v>
      </c>
      <c r="AH13" s="66">
        <f>AH89</f>
        <v>70</v>
      </c>
      <c r="AI13" s="66">
        <f>AI89</f>
        <v>71.798000000000002</v>
      </c>
      <c r="AJ13" s="66">
        <f>AJ89</f>
        <v>78.497600000000006</v>
      </c>
      <c r="AK13" s="62">
        <f>SUM(AG13:AJ13)</f>
        <v>285.29560000000004</v>
      </c>
      <c r="AL13" s="63"/>
      <c r="AM13" s="65">
        <f>AM89</f>
        <v>86.149999999999991</v>
      </c>
      <c r="AN13" s="66">
        <f>AN89</f>
        <v>82.561499999999995</v>
      </c>
      <c r="AO13" s="66">
        <f>AO89</f>
        <v>83.457999999999998</v>
      </c>
      <c r="AP13" s="66">
        <f>AP89</f>
        <v>86.366</v>
      </c>
      <c r="AQ13" s="62">
        <f>SUM(AM13:AP13)</f>
        <v>338.53550000000001</v>
      </c>
      <c r="AR13" s="63"/>
      <c r="AS13" s="65">
        <f>AS89</f>
        <v>85.68</v>
      </c>
      <c r="AT13" s="66">
        <f>AT89</f>
        <v>85</v>
      </c>
      <c r="AU13" s="66">
        <f>AU89</f>
        <v>86.937999999999988</v>
      </c>
      <c r="AV13" s="66">
        <f>AV89</f>
        <v>87.033999999999992</v>
      </c>
      <c r="AW13" s="62">
        <f>SUM(AS13:AV13)</f>
        <v>344.65199999999999</v>
      </c>
      <c r="AX13" s="63"/>
      <c r="AY13" s="65">
        <f>AY89</f>
        <v>82.08</v>
      </c>
      <c r="AZ13" s="66">
        <f>AZ89</f>
        <v>79.438999999999993</v>
      </c>
      <c r="BA13" s="66">
        <f>BA89</f>
        <v>77.069999999999993</v>
      </c>
      <c r="BB13" s="66">
        <f>BB89</f>
        <v>76.941000000000003</v>
      </c>
      <c r="BC13" s="62">
        <f>SUM(AY13:BB13)</f>
        <v>315.52999999999997</v>
      </c>
      <c r="BD13" s="63"/>
      <c r="BE13" s="65">
        <f>BE89</f>
        <v>80.021999999999991</v>
      </c>
      <c r="BF13" s="66">
        <f>BF89</f>
        <v>80.015999999999991</v>
      </c>
      <c r="BG13" s="66">
        <f>BG89</f>
        <v>80</v>
      </c>
      <c r="BH13" s="66">
        <f>BH89</f>
        <v>83.683700000000002</v>
      </c>
      <c r="BI13" s="62">
        <f>SUM(BE13:BH13)</f>
        <v>323.7217</v>
      </c>
      <c r="BJ13" s="63"/>
      <c r="BK13" s="65">
        <f>BK89</f>
        <v>81.486999999999995</v>
      </c>
      <c r="BL13" s="66">
        <f>BL89</f>
        <v>82.669599999999988</v>
      </c>
      <c r="BM13" s="66">
        <f>BM89</f>
        <v>85.593000000000004</v>
      </c>
      <c r="BN13" s="66">
        <f>BN89</f>
        <v>88.024999999999991</v>
      </c>
      <c r="BO13" s="62">
        <f>SUM(BK13:BN13)</f>
        <v>337.77459999999996</v>
      </c>
      <c r="BP13" s="63"/>
      <c r="BQ13" s="65">
        <f>BQ89</f>
        <v>92.430999999999997</v>
      </c>
      <c r="BR13" s="66">
        <f>BR89</f>
        <v>86.633588289299709</v>
      </c>
      <c r="BS13" s="66">
        <f>BS89</f>
        <v>88.021126122862697</v>
      </c>
      <c r="BT13" s="66">
        <f>BT89</f>
        <v>89.72956525376577</v>
      </c>
      <c r="BU13" s="62">
        <f>SUM(BQ13:BT13)</f>
        <v>356.81527966592819</v>
      </c>
      <c r="BV13" s="63"/>
      <c r="BW13" s="65">
        <f>BW89</f>
        <v>98.001538122372736</v>
      </c>
      <c r="BX13" s="66">
        <f>BX89</f>
        <v>91.815408518470178</v>
      </c>
      <c r="BY13" s="66">
        <f>BY89</f>
        <v>94.498496329842567</v>
      </c>
      <c r="BZ13" s="66">
        <f>BZ89</f>
        <v>96.0718155842046</v>
      </c>
      <c r="CA13" s="62">
        <f>SUM(BW13:BZ13)</f>
        <v>380.38725855489008</v>
      </c>
      <c r="CB13" s="66"/>
      <c r="CC13" s="65">
        <f>CC89</f>
        <v>103.41525925136779</v>
      </c>
      <c r="CD13" s="66">
        <f>CD89</f>
        <v>97.237932091795869</v>
      </c>
      <c r="CE13" s="66">
        <f>CE89</f>
        <v>100.83797852646579</v>
      </c>
      <c r="CF13" s="66">
        <f>CF89</f>
        <v>102.15912182871577</v>
      </c>
      <c r="CG13" s="62">
        <f>SUM(CC13:CF13)</f>
        <v>403.6502916983452</v>
      </c>
      <c r="CH13" s="86"/>
      <c r="CI13" s="65">
        <f>CI89</f>
        <v>108.9061177626083</v>
      </c>
      <c r="CJ13" s="66">
        <f>CJ89</f>
        <v>102.73815316855261</v>
      </c>
      <c r="CK13" s="66">
        <f>CK89</f>
        <v>107.48664542233543</v>
      </c>
      <c r="CL13" s="66">
        <f>CL89</f>
        <v>108.43059155975297</v>
      </c>
      <c r="CM13" s="62">
        <f>SUM(CI13:CL13)</f>
        <v>427.56150791324933</v>
      </c>
      <c r="CN13" s="86"/>
      <c r="CO13" s="86"/>
      <c r="CP13" s="86"/>
      <c r="CQ13"/>
      <c r="CR13"/>
      <c r="CS13"/>
      <c r="CT13"/>
      <c r="CU13"/>
      <c r="CV13"/>
      <c r="CW13" s="86"/>
    </row>
    <row r="14" spans="1:119" s="149" customFormat="1" ht="12" customHeight="1">
      <c r="A14" s="60" t="s">
        <v>71</v>
      </c>
      <c r="B14" s="61"/>
      <c r="C14" s="65">
        <f>C106</f>
        <v>119.58291938997822</v>
      </c>
      <c r="D14" s="66">
        <f>D106</f>
        <v>123.34275527426165</v>
      </c>
      <c r="E14" s="66">
        <f>E106</f>
        <v>129.65125529818681</v>
      </c>
      <c r="F14" s="66">
        <f>F106</f>
        <v>135.47180459770107</v>
      </c>
      <c r="G14" s="62">
        <f>SUM(C14:F14)</f>
        <v>508.04873456012774</v>
      </c>
      <c r="H14" s="61"/>
      <c r="I14" s="65">
        <f>I106</f>
        <v>139.1031333333334</v>
      </c>
      <c r="J14" s="66">
        <f>J106</f>
        <v>136.76426160337556</v>
      </c>
      <c r="K14" s="66">
        <f>K106</f>
        <v>136.50770577507603</v>
      </c>
      <c r="L14" s="66">
        <f>L106</f>
        <v>136.24772413793096</v>
      </c>
      <c r="M14" s="62">
        <f>SUM(I14:L14)</f>
        <v>548.62282484971593</v>
      </c>
      <c r="N14" s="61"/>
      <c r="O14" s="65">
        <f>O106</f>
        <v>140</v>
      </c>
      <c r="P14" s="66">
        <f>P106</f>
        <v>135</v>
      </c>
      <c r="Q14" s="66">
        <f>Q106</f>
        <v>131</v>
      </c>
      <c r="R14" s="66">
        <f>R106</f>
        <v>143</v>
      </c>
      <c r="S14" s="62">
        <f>SUM(O14:R14)</f>
        <v>549</v>
      </c>
      <c r="T14" s="63"/>
      <c r="U14" s="65">
        <f>U106</f>
        <v>151</v>
      </c>
      <c r="V14" s="66">
        <f>V106</f>
        <v>162</v>
      </c>
      <c r="W14" s="66">
        <f>W106</f>
        <v>192</v>
      </c>
      <c r="X14" s="66">
        <f>X106</f>
        <v>216</v>
      </c>
      <c r="Y14" s="62">
        <f>SUM(U14:X14)</f>
        <v>721</v>
      </c>
      <c r="Z14" s="63"/>
      <c r="AA14" s="65">
        <f>AA106</f>
        <v>215</v>
      </c>
      <c r="AB14" s="66">
        <f>AB106</f>
        <v>232</v>
      </c>
      <c r="AC14" s="66">
        <f>AC106</f>
        <v>222</v>
      </c>
      <c r="AD14" s="66">
        <f>AD106</f>
        <v>224</v>
      </c>
      <c r="AE14" s="62">
        <f>SUM(AA14:AD14)</f>
        <v>893</v>
      </c>
      <c r="AF14" s="63"/>
      <c r="AG14" s="65">
        <f>AG106</f>
        <v>228.55199999999996</v>
      </c>
      <c r="AH14" s="66">
        <f>AH106</f>
        <v>236.55400000000003</v>
      </c>
      <c r="AI14" s="66">
        <f>AI106</f>
        <v>227.98000000000002</v>
      </c>
      <c r="AJ14" s="66">
        <f>AJ106</f>
        <v>246.30039999999997</v>
      </c>
      <c r="AK14" s="62">
        <f>SUM(AG14:AJ14)</f>
        <v>939.38639999999998</v>
      </c>
      <c r="AL14" s="63"/>
      <c r="AM14" s="65">
        <f>AM106</f>
        <v>258.95600000000002</v>
      </c>
      <c r="AN14" s="66">
        <f>AN106</f>
        <v>255.29449999999997</v>
      </c>
      <c r="AO14" s="66">
        <f>AO106</f>
        <v>242.28899999999999</v>
      </c>
      <c r="AP14" s="66">
        <f>AP106</f>
        <v>246.125</v>
      </c>
      <c r="AQ14" s="62">
        <f>SUM(AM14:AP14)</f>
        <v>1002.6645</v>
      </c>
      <c r="AR14" s="63"/>
      <c r="AS14" s="65">
        <f>AS106</f>
        <v>266.58800000000002</v>
      </c>
      <c r="AT14" s="66">
        <f>AT106</f>
        <v>270.05899999999997</v>
      </c>
      <c r="AU14" s="66">
        <f>AU106</f>
        <v>260.36400000000003</v>
      </c>
      <c r="AV14" s="66">
        <f>AV106</f>
        <v>261.63499999999988</v>
      </c>
      <c r="AW14" s="62">
        <f>SUM(AS14:AV14)</f>
        <v>1058.6459999999997</v>
      </c>
      <c r="AX14" s="63"/>
      <c r="AY14" s="65">
        <f>AY106</f>
        <v>286.00799999999998</v>
      </c>
      <c r="AZ14" s="66">
        <f>AZ106</f>
        <v>268.64300000000003</v>
      </c>
      <c r="BA14" s="66">
        <f>BA106</f>
        <v>265.64699999999999</v>
      </c>
      <c r="BB14" s="66">
        <f>BB106</f>
        <v>264.78199999999998</v>
      </c>
      <c r="BC14" s="62">
        <f>SUM(AY14:BB14)</f>
        <v>1085.08</v>
      </c>
      <c r="BD14" s="63"/>
      <c r="BE14" s="65">
        <f>BE106</f>
        <v>278.84399999999999</v>
      </c>
      <c r="BF14" s="66">
        <f>BF106</f>
        <v>281.29499999999996</v>
      </c>
      <c r="BG14" s="66">
        <f>BG106</f>
        <v>275.24799999999999</v>
      </c>
      <c r="BH14" s="66">
        <f>BH106</f>
        <v>284.43500000000006</v>
      </c>
      <c r="BI14" s="62">
        <f>SUM(BE14:BH14)</f>
        <v>1119.8220000000001</v>
      </c>
      <c r="BJ14" s="63"/>
      <c r="BK14" s="65">
        <f>BK106</f>
        <v>283.04899999999992</v>
      </c>
      <c r="BL14" s="66">
        <f>BL106</f>
        <v>293.08339999999998</v>
      </c>
      <c r="BM14" s="66">
        <f>BM106</f>
        <v>291.6309</v>
      </c>
      <c r="BN14" s="66">
        <f>BN106</f>
        <v>305.40800000000002</v>
      </c>
      <c r="BO14" s="62">
        <f>SUM(BK14:BN14)</f>
        <v>1173.1713</v>
      </c>
      <c r="BP14" s="63"/>
      <c r="BQ14" s="65">
        <f>BQ106</f>
        <v>327.84840000000003</v>
      </c>
      <c r="BR14" s="66">
        <f>BR106</f>
        <v>326.90355997741921</v>
      </c>
      <c r="BS14" s="66">
        <f>BS106</f>
        <v>316.89895394966868</v>
      </c>
      <c r="BT14" s="66">
        <f>BT106</f>
        <v>329.56581123179944</v>
      </c>
      <c r="BU14" s="62">
        <f>SUM(BQ14:BT14)</f>
        <v>1301.2167251588874</v>
      </c>
      <c r="BV14" s="63"/>
      <c r="BW14" s="65">
        <f>BW106</f>
        <v>346.96015286058383</v>
      </c>
      <c r="BX14" s="66">
        <f>BX106</f>
        <v>345.78827239605607</v>
      </c>
      <c r="BY14" s="66">
        <f>BY106</f>
        <v>339.57001926795999</v>
      </c>
      <c r="BZ14" s="66">
        <f>BZ106</f>
        <v>352.16724556527896</v>
      </c>
      <c r="CA14" s="62">
        <f>SUM(BW14:BZ14)</f>
        <v>1384.4856900898787</v>
      </c>
      <c r="CB14" s="66"/>
      <c r="CC14" s="65">
        <f>CC106</f>
        <v>363.60225118169541</v>
      </c>
      <c r="CD14" s="66">
        <f>CD106</f>
        <v>361.41902928395865</v>
      </c>
      <c r="CE14" s="66">
        <f>CE106</f>
        <v>358.08781552867868</v>
      </c>
      <c r="CF14" s="66">
        <f>CF106</f>
        <v>369.93353758969283</v>
      </c>
      <c r="CG14" s="62">
        <f>SUM(CC14:CF14)</f>
        <v>1453.0426335840255</v>
      </c>
      <c r="CH14" s="86"/>
      <c r="CI14" s="65">
        <f>CI106</f>
        <v>381.20510554132551</v>
      </c>
      <c r="CJ14" s="66">
        <f>CJ106</f>
        <v>377.9843791881209</v>
      </c>
      <c r="CK14" s="66">
        <f>CK106</f>
        <v>378.58467914988807</v>
      </c>
      <c r="CL14" s="66">
        <f>CL106</f>
        <v>389.28041599782188</v>
      </c>
      <c r="CM14" s="62">
        <f>SUM(CI14:CL14)</f>
        <v>1527.0545798771564</v>
      </c>
      <c r="CN14" s="86"/>
      <c r="CO14" s="86"/>
      <c r="CP14" s="86"/>
      <c r="CQ14"/>
      <c r="CR14"/>
      <c r="CS14"/>
      <c r="CT14"/>
      <c r="CU14"/>
      <c r="CV14"/>
      <c r="CW14" s="86"/>
      <c r="CY14" s="1305"/>
      <c r="CZ14" s="1305"/>
      <c r="DA14" s="1305"/>
      <c r="DB14" s="1305"/>
      <c r="DC14" s="1305"/>
      <c r="DD14" s="1305"/>
      <c r="DE14" s="1305"/>
      <c r="DF14" s="1305"/>
      <c r="DG14" s="1305"/>
      <c r="DH14" s="1305"/>
      <c r="DI14" s="1305"/>
      <c r="DJ14" s="1305"/>
      <c r="DK14" s="1305"/>
      <c r="DL14" s="1305"/>
      <c r="DM14" s="1305"/>
      <c r="DN14" s="1305"/>
      <c r="DO14" s="1305"/>
    </row>
    <row r="15" spans="1:119" s="149" customFormat="1" ht="13.5" customHeight="1">
      <c r="A15" s="67" t="s">
        <v>72</v>
      </c>
      <c r="B15" s="68"/>
      <c r="C15" s="69">
        <f>C13+C14+C11</f>
        <v>380</v>
      </c>
      <c r="D15" s="70">
        <f>D13+D14+D11</f>
        <v>374</v>
      </c>
      <c r="E15" s="70">
        <f>E13+E14+E11</f>
        <v>392</v>
      </c>
      <c r="F15" s="70">
        <f>F13+F14+F11</f>
        <v>423</v>
      </c>
      <c r="G15" s="71">
        <f>G13+G14+G11</f>
        <v>1569</v>
      </c>
      <c r="H15" s="68"/>
      <c r="I15" s="69">
        <f>I13+I14+I11</f>
        <v>444</v>
      </c>
      <c r="J15" s="70">
        <f>J13+J14+J11</f>
        <v>445</v>
      </c>
      <c r="K15" s="70">
        <f>K13+K14+K11</f>
        <v>438</v>
      </c>
      <c r="L15" s="70">
        <f>L13+L14+L11</f>
        <v>458</v>
      </c>
      <c r="M15" s="71">
        <f>M13+M14+M11</f>
        <v>1785</v>
      </c>
      <c r="N15" s="68"/>
      <c r="O15" s="69">
        <f>O13+O14+O11</f>
        <v>423.387</v>
      </c>
      <c r="P15" s="70">
        <f>P13+P14+P11</f>
        <v>409.42499999999995</v>
      </c>
      <c r="Q15" s="70">
        <f>Q13+Q14+Q11</f>
        <v>405.00699999999995</v>
      </c>
      <c r="R15" s="70">
        <f>R13+R14+R11</f>
        <v>435.51799999999997</v>
      </c>
      <c r="S15" s="71">
        <f>S13+S14+S11</f>
        <v>1673.337</v>
      </c>
      <c r="T15" s="72"/>
      <c r="U15" s="69">
        <f>U13+U14+U11</f>
        <v>461.34399999999999</v>
      </c>
      <c r="V15" s="70">
        <f>V13+V14+V11</f>
        <v>468.899</v>
      </c>
      <c r="W15" s="70">
        <f>W13+W14+W11</f>
        <v>576.19799999999998</v>
      </c>
      <c r="X15" s="70">
        <f>X13+X14+X11</f>
        <v>668.84299999999996</v>
      </c>
      <c r="Y15" s="71">
        <f>Y13+Y14+Y11</f>
        <v>2175.2839999999997</v>
      </c>
      <c r="Z15" s="72"/>
      <c r="AA15" s="69">
        <f>AA13+AA14+AA11</f>
        <v>639.16100000000006</v>
      </c>
      <c r="AB15" s="70">
        <f>AB13+AB14+AB11</f>
        <v>711.29300000000001</v>
      </c>
      <c r="AC15" s="70">
        <f>AC13+AC14+AC11</f>
        <v>698.64499999999998</v>
      </c>
      <c r="AD15" s="70">
        <f>AD13+AD14+AD11</f>
        <v>712.39699999999993</v>
      </c>
      <c r="AE15" s="71">
        <f>AE13+AE14+AE11</f>
        <v>2761.4960000000001</v>
      </c>
      <c r="AF15" s="72"/>
      <c r="AG15" s="69">
        <f>AG13+AG14+AG11</f>
        <v>703</v>
      </c>
      <c r="AH15" s="70">
        <f>AH13+AH14+AH11</f>
        <v>725</v>
      </c>
      <c r="AI15" s="70">
        <f>AI13+AI14+AI11</f>
        <v>725</v>
      </c>
      <c r="AJ15" s="70">
        <f>AJ13+AJ14+AJ11</f>
        <v>757</v>
      </c>
      <c r="AK15" s="71">
        <f>AK13+AK14+AK11</f>
        <v>2910</v>
      </c>
      <c r="AL15" s="72"/>
      <c r="AM15" s="69">
        <f>AM13+AM14+AM11</f>
        <v>794.99999999999989</v>
      </c>
      <c r="AN15" s="70">
        <f>AN13+AN14+AN11</f>
        <v>794</v>
      </c>
      <c r="AO15" s="70">
        <f>AO13+AO14+AO11</f>
        <v>777</v>
      </c>
      <c r="AP15" s="70">
        <f>AP13+AP14+AP11</f>
        <v>796</v>
      </c>
      <c r="AQ15" s="71">
        <f>AQ13+AQ14+AQ11</f>
        <v>3162</v>
      </c>
      <c r="AR15" s="73"/>
      <c r="AS15" s="70">
        <f>AS13+AS14+AS11</f>
        <v>815</v>
      </c>
      <c r="AT15" s="70">
        <f>AT13+AT14+AT11</f>
        <v>821.05899999999997</v>
      </c>
      <c r="AU15" s="70">
        <f>AU13+AU14+AU11</f>
        <v>818.30200000000002</v>
      </c>
      <c r="AV15" s="70">
        <f>AV13+AV14+AV11</f>
        <v>830.66899999999987</v>
      </c>
      <c r="AW15" s="71">
        <f>AW13+AW14+AW11</f>
        <v>3285.0299999999997</v>
      </c>
      <c r="AX15" s="72"/>
      <c r="AY15" s="69">
        <f>AY13+AY14+AY11</f>
        <v>849.53099999999995</v>
      </c>
      <c r="AZ15" s="70">
        <f>AZ13+AZ14+AZ11</f>
        <v>793.90099999999995</v>
      </c>
      <c r="BA15" s="70">
        <f>BA13+BA14+BA11</f>
        <v>814.45100000000002</v>
      </c>
      <c r="BB15" s="70">
        <f>BB13+BB14+BB11</f>
        <v>811.98199999999997</v>
      </c>
      <c r="BC15" s="71">
        <f>BC13+BC14+BC11</f>
        <v>3269.8649999999998</v>
      </c>
      <c r="BD15" s="72"/>
      <c r="BE15" s="69">
        <f>BE13+BE14+BE11</f>
        <v>822.66599999999994</v>
      </c>
      <c r="BF15" s="70">
        <f>BF13+BF14+BF11</f>
        <v>823.8599999999999</v>
      </c>
      <c r="BG15" s="70">
        <f>BG13+BG14+BG11</f>
        <v>832.17600000000004</v>
      </c>
      <c r="BH15" s="70">
        <f>BH13+BH14+BH11</f>
        <v>863.90470000000005</v>
      </c>
      <c r="BI15" s="71">
        <f>BI13+BI14+BI11</f>
        <v>3342.6067000000003</v>
      </c>
      <c r="BJ15" s="72"/>
      <c r="BK15" s="69">
        <f>BK13+BK14+BK11</f>
        <v>843.76900000000001</v>
      </c>
      <c r="BL15" s="70">
        <f>BL13+BL14+BL11</f>
        <v>860.83400000000006</v>
      </c>
      <c r="BM15" s="70">
        <f>BM13+BM14+BM11</f>
        <v>877.78390000000002</v>
      </c>
      <c r="BN15" s="70">
        <f>BN13+BN14+BN11</f>
        <v>915.37900000000002</v>
      </c>
      <c r="BO15" s="71">
        <f>BO13+BO14+BO11</f>
        <v>3497.7659000000003</v>
      </c>
      <c r="BP15" s="72"/>
      <c r="BQ15" s="69">
        <f>BQ13+BQ14+BQ11</f>
        <v>942.26740000000007</v>
      </c>
      <c r="BR15" s="70">
        <f>BR13+BR14+BR11</f>
        <v>959.53101669630178</v>
      </c>
      <c r="BS15" s="70">
        <f>BS13+BS14+BS11</f>
        <v>957.73611036704847</v>
      </c>
      <c r="BT15" s="70">
        <f>BT13+BT14+BT11</f>
        <v>992.55527665104705</v>
      </c>
      <c r="BU15" s="71">
        <f>BU13+BU14+BU11</f>
        <v>3852.089803714397</v>
      </c>
      <c r="BV15" s="72"/>
      <c r="BW15" s="69">
        <f>BW13+BW14+BW11</f>
        <v>996.18631285472247</v>
      </c>
      <c r="BX15" s="70">
        <f>BX13+BX14+BX11</f>
        <v>1014.3064376251157</v>
      </c>
      <c r="BY15" s="70">
        <f>BY13+BY14+BY11</f>
        <v>1025.7418384063144</v>
      </c>
      <c r="BZ15" s="70">
        <f>BZ13+BZ14+BZ11</f>
        <v>1060.0058972306749</v>
      </c>
      <c r="CA15" s="71">
        <f>CA13+CA14+CA11</f>
        <v>4096.240486116827</v>
      </c>
      <c r="CB15" s="77"/>
      <c r="CC15" s="69">
        <f>CC13+CC14+CC11</f>
        <v>1046.8639359018398</v>
      </c>
      <c r="CD15" s="70">
        <f>CD13+CD14+CD11</f>
        <v>1066.2551715278466</v>
      </c>
      <c r="CE15" s="70">
        <f>CE13+CE14+CE11</f>
        <v>1088.0401131230933</v>
      </c>
      <c r="CF15" s="70">
        <f>CF13+CF14+CF11</f>
        <v>1120.0226204802864</v>
      </c>
      <c r="CG15" s="71">
        <f>CG13+CG14+CG11</f>
        <v>4321.1818410330661</v>
      </c>
      <c r="CH15" s="74"/>
      <c r="CI15" s="69">
        <f>CI13+CI14+CI11</f>
        <v>1102.6782141675346</v>
      </c>
      <c r="CJ15" s="70">
        <f>CJ13+CJ14+CJ11</f>
        <v>1123.6735136433142</v>
      </c>
      <c r="CK15" s="70">
        <f>CK13+CK14+CK11</f>
        <v>1158.8636152193999</v>
      </c>
      <c r="CL15" s="70">
        <f>CL13+CL14+CL11</f>
        <v>1187.4934449482175</v>
      </c>
      <c r="CM15" s="71">
        <f>CM13+CM14+CM11</f>
        <v>4572.7087879784667</v>
      </c>
      <c r="CN15" s="74"/>
      <c r="CO15" s="74"/>
      <c r="CP15" s="74"/>
      <c r="CQ15"/>
      <c r="CR15"/>
      <c r="CS15"/>
      <c r="CT15"/>
      <c r="CU15"/>
      <c r="CV15"/>
      <c r="CW15" s="74"/>
      <c r="CY15" s="1305"/>
      <c r="CZ15" s="1305"/>
      <c r="DA15" s="1305"/>
      <c r="DB15" s="1305"/>
      <c r="DC15" s="1305"/>
      <c r="DD15" s="1305"/>
      <c r="DE15" s="1305"/>
      <c r="DF15" s="1305"/>
      <c r="DG15" s="1305"/>
      <c r="DH15" s="1305"/>
      <c r="DI15" s="1305"/>
      <c r="DJ15" s="1305"/>
      <c r="DK15" s="1305"/>
      <c r="DL15" s="1305"/>
      <c r="DM15" s="1305"/>
      <c r="DN15" s="1305"/>
      <c r="DO15" s="1305"/>
    </row>
    <row r="16" spans="1:119" s="149" customFormat="1" ht="13.5" customHeight="1">
      <c r="A16" s="75" t="s">
        <v>73</v>
      </c>
      <c r="B16" s="68"/>
      <c r="C16" s="76">
        <f>C19+C17+C18-C129</f>
        <v>99</v>
      </c>
      <c r="D16" s="77">
        <f>D19+D17+D18-D129</f>
        <v>78</v>
      </c>
      <c r="E16" s="77">
        <f>E19+E17+E18-E129</f>
        <v>101</v>
      </c>
      <c r="F16" s="77">
        <f>F19+F17+F18-F129</f>
        <v>125.00000000000001</v>
      </c>
      <c r="G16" s="78">
        <f>G19+G17+G18</f>
        <v>456.77777777777777</v>
      </c>
      <c r="H16" s="68"/>
      <c r="I16" s="76">
        <f>I19+I17+I18-I129</f>
        <v>105</v>
      </c>
      <c r="J16" s="77">
        <f>J19+J17+J18-J129</f>
        <v>103</v>
      </c>
      <c r="K16" s="77">
        <f>K19+K17+K18-K129</f>
        <v>120</v>
      </c>
      <c r="L16" s="77">
        <f>L19+L17+L18-L129</f>
        <v>154</v>
      </c>
      <c r="M16" s="78">
        <f>M19+M17+M18</f>
        <v>532.11111111111109</v>
      </c>
      <c r="N16" s="68"/>
      <c r="O16" s="76">
        <f>O19+O17+O18-O129</f>
        <v>123.863</v>
      </c>
      <c r="P16" s="77">
        <f>P19+P17+P18-P129</f>
        <v>107.82500000000005</v>
      </c>
      <c r="Q16" s="77">
        <f>Q19+Q17+Q18-Q129</f>
        <v>109.24300000000005</v>
      </c>
      <c r="R16" s="77">
        <f>R19+R17+R18-R129</f>
        <v>124.73200000000003</v>
      </c>
      <c r="S16" s="78">
        <f>S19+S17+S18</f>
        <v>515.66300000000001</v>
      </c>
      <c r="T16" s="72"/>
      <c r="U16" s="76">
        <f>U19+U17+U18-U129</f>
        <v>153.65600000000001</v>
      </c>
      <c r="V16" s="77">
        <f>V19+V17+V18-V129</f>
        <v>122.101</v>
      </c>
      <c r="W16" s="77">
        <f>W19+W17+W18-W129</f>
        <v>145.80200000000002</v>
      </c>
      <c r="X16" s="77">
        <f>X19+X17+X18-X129</f>
        <v>172.15700000000004</v>
      </c>
      <c r="Y16" s="78">
        <f>Y19+Y17+Y18-Y129</f>
        <v>593.71600000000035</v>
      </c>
      <c r="Z16" s="72"/>
      <c r="AA16" s="76">
        <f>AA19+AA17+AA18-AA129</f>
        <v>151.33899999999994</v>
      </c>
      <c r="AB16" s="77">
        <f>AB19+AB17+AB18-AB129</f>
        <v>160.20699999999999</v>
      </c>
      <c r="AC16" s="77">
        <f>AC19+AC17+AC18-AC129</f>
        <v>159.85500000000002</v>
      </c>
      <c r="AD16" s="77">
        <f>AD19+AD17+AD18-AD129</f>
        <v>187.10300000000007</v>
      </c>
      <c r="AE16" s="78">
        <f>AE19+AE17+AE18-AE129</f>
        <v>658.50399999999991</v>
      </c>
      <c r="AF16" s="72"/>
      <c r="AG16" s="76">
        <f>AG19+AG17+AG18-AG129</f>
        <v>187.75</v>
      </c>
      <c r="AH16" s="77">
        <f>AH19+AH17+AH18-AH129</f>
        <v>154.75</v>
      </c>
      <c r="AI16" s="77">
        <f>AI19+AI17+AI18-AI129</f>
        <v>192.75</v>
      </c>
      <c r="AJ16" s="77">
        <f>AJ19+AJ17+AJ18-AJ129</f>
        <v>222.75</v>
      </c>
      <c r="AK16" s="78">
        <f>AK19+AK17+AK18-AK129</f>
        <v>758</v>
      </c>
      <c r="AL16" s="72"/>
      <c r="AM16" s="76">
        <f>AM19+AM17+AM18-AM129</f>
        <v>204.50000000000011</v>
      </c>
      <c r="AN16" s="77">
        <f>AN19+AN17+AN18-AN129</f>
        <v>210.5</v>
      </c>
      <c r="AO16" s="77">
        <f>AO19+AO17+AO18-AO129</f>
        <v>207.50000000000003</v>
      </c>
      <c r="AP16" s="77">
        <f>AP19+AP17+AP18-AP129</f>
        <v>255.5</v>
      </c>
      <c r="AQ16" s="78">
        <f>AQ19+AQ17+AQ18-AQ129</f>
        <v>878.00000000000023</v>
      </c>
      <c r="AR16" s="72"/>
      <c r="AS16" s="76">
        <f>AS19+AS17+AS18-AS129</f>
        <v>276</v>
      </c>
      <c r="AT16" s="77">
        <f>AT19+AT17+AT18-AT129</f>
        <v>226.43582600000002</v>
      </c>
      <c r="AU16" s="77">
        <f>AU19+AU17+AU18-AU129</f>
        <v>234.15422799999999</v>
      </c>
      <c r="AV16" s="77">
        <f>AV19+AV17+AV18-AV129</f>
        <v>249.41319070919633</v>
      </c>
      <c r="AW16" s="78">
        <f>AW19+AW17+AW18-AW129</f>
        <v>986.00324470919645</v>
      </c>
      <c r="AX16" s="72"/>
      <c r="AY16" s="76">
        <f>AY19+AY17+AY18-AY129</f>
        <v>223.46900000000005</v>
      </c>
      <c r="AZ16" s="77">
        <f>AZ19+AZ17+AZ18-AZ129</f>
        <v>205.09900000000005</v>
      </c>
      <c r="BA16" s="77">
        <f>BA19+BA17+BA18-BA129</f>
        <v>233.54899999999998</v>
      </c>
      <c r="BB16" s="77">
        <f>BB19+BB17+BB18-BB129</f>
        <v>258.01800000000003</v>
      </c>
      <c r="BC16" s="78">
        <f>BC19+BC17+BC18-BC129</f>
        <v>920.13500000000022</v>
      </c>
      <c r="BD16" s="72"/>
      <c r="BE16" s="76">
        <f>BE19+BE17+BE18-BE129</f>
        <v>252.33400000000006</v>
      </c>
      <c r="BF16" s="77">
        <f>BF19+BF17+BF18-BF129</f>
        <v>235.93200000000013</v>
      </c>
      <c r="BG16" s="77">
        <f>BG19+BG17+BG18-BG129</f>
        <v>245.82399999999996</v>
      </c>
      <c r="BH16" s="77">
        <f>BH19+BH17+BH18-BH129</f>
        <v>282.09529999999995</v>
      </c>
      <c r="BI16" s="78">
        <f>BI19+BI17+BI18-BI129</f>
        <v>1016.1853000000001</v>
      </c>
      <c r="BJ16" s="72"/>
      <c r="BK16" s="76">
        <f>BK19+BK17+BK18-BK129</f>
        <v>267.23099999999999</v>
      </c>
      <c r="BL16" s="77">
        <f>BL19+BL17+BL18-BL129</f>
        <v>279.16599999999994</v>
      </c>
      <c r="BM16" s="77">
        <f>BM19+BM17+BM18-BM129</f>
        <v>273.21609999999998</v>
      </c>
      <c r="BN16" s="77">
        <f>BN19+BN17+BN18-BN129</f>
        <v>309.62099999999998</v>
      </c>
      <c r="BO16" s="78">
        <f>BO19+BO17+BO18-BO129</f>
        <v>1129.2340999999999</v>
      </c>
      <c r="BP16" s="72"/>
      <c r="BQ16" s="76">
        <f>BQ19+BQ17+BQ18-BQ129</f>
        <v>325.73259999999993</v>
      </c>
      <c r="BR16" s="77">
        <f>BR19+BR17+BR18-BR129</f>
        <v>337.2495645445041</v>
      </c>
      <c r="BS16" s="77">
        <f>BS19+BS17+BS18-BS129</f>
        <v>325.98177846960169</v>
      </c>
      <c r="BT16" s="77">
        <f>BT19+BT17+BT18-BT129</f>
        <v>368.71005634521572</v>
      </c>
      <c r="BU16" s="78">
        <f>BU19+BU17+BU18-BU129</f>
        <v>1357.6739993593214</v>
      </c>
      <c r="BV16" s="72"/>
      <c r="BW16" s="76">
        <f>BW19+BW17+BW18-BW129</f>
        <v>359.87235712178529</v>
      </c>
      <c r="BX16" s="77">
        <f>BX19+BX17+BX18-BX129</f>
        <v>373.29119242957688</v>
      </c>
      <c r="BY16" s="77">
        <f>BY19+BY17+BY18-BY129</f>
        <v>365.08286303428167</v>
      </c>
      <c r="BZ16" s="77">
        <f>BZ19+BZ17+BZ18-BZ129</f>
        <v>411.31487369974826</v>
      </c>
      <c r="CA16" s="78">
        <f>CA19+CA17+CA18-CA129</f>
        <v>1509.561286285392</v>
      </c>
      <c r="CB16" s="77"/>
      <c r="CC16" s="76">
        <f>CC19+CC17+CC18-CC129</f>
        <v>388.70959617208518</v>
      </c>
      <c r="CD16" s="77">
        <f>CD19+CD17+CD18-CD129</f>
        <v>406.95147933031149</v>
      </c>
      <c r="CE16" s="77">
        <f>CE19+CE17+CE18-CE129</f>
        <v>399.99208504908052</v>
      </c>
      <c r="CF16" s="77">
        <f>CF19+CF17+CF18-CF129</f>
        <v>448.81056899239621</v>
      </c>
      <c r="CG16" s="78">
        <f>CG19+CG17+CG18-CG129</f>
        <v>1644.4637295438736</v>
      </c>
      <c r="CH16" s="74"/>
      <c r="CI16" s="76">
        <f>CI19+CI17+CI18-CI129</f>
        <v>419.98491366176881</v>
      </c>
      <c r="CJ16" s="77">
        <f>CJ19+CJ17+CJ18-CJ129</f>
        <v>443.83415811748841</v>
      </c>
      <c r="CK16" s="77">
        <f>CK19+CK17+CK18-CK129</f>
        <v>438.68563235526875</v>
      </c>
      <c r="CL16" s="77">
        <f>CL19+CL17+CL18-CL129</f>
        <v>490.16491480415527</v>
      </c>
      <c r="CM16" s="78">
        <f>CM19+CM17+CM18-CM129</f>
        <v>1792.6696189386814</v>
      </c>
      <c r="CN16" s="74"/>
      <c r="CO16" s="74"/>
      <c r="CP16" s="74"/>
      <c r="CQ16"/>
      <c r="CR16"/>
      <c r="CS16"/>
      <c r="CT16"/>
      <c r="CU16"/>
      <c r="CV16"/>
      <c r="CW16" s="74"/>
      <c r="CX16" s="154"/>
      <c r="CY16" s="2457"/>
      <c r="CZ16" s="2457"/>
      <c r="DA16" s="2457"/>
      <c r="DB16" s="2457"/>
      <c r="DC16" s="1306"/>
      <c r="DD16" s="1306"/>
      <c r="DE16" s="1306"/>
      <c r="DF16" s="1306"/>
      <c r="DG16" s="1306"/>
      <c r="DH16" s="1306"/>
      <c r="DI16" s="1306"/>
      <c r="DJ16" s="1306"/>
      <c r="DK16" s="1306"/>
      <c r="DL16" s="1306"/>
      <c r="DM16" s="1306"/>
      <c r="DN16" s="1306"/>
      <c r="DO16" s="1306"/>
    </row>
    <row r="17" spans="1:119" s="149" customFormat="1" ht="11.25" customHeight="1" outlineLevel="1">
      <c r="A17" s="80" t="s">
        <v>74</v>
      </c>
      <c r="B17" s="61"/>
      <c r="C17" s="1551">
        <v>24.444444444444446</v>
      </c>
      <c r="D17" s="1552">
        <v>24.444444444444446</v>
      </c>
      <c r="E17" s="1552">
        <v>24.444444444444446</v>
      </c>
      <c r="F17" s="1552">
        <v>24.444444444444446</v>
      </c>
      <c r="G17" s="62">
        <f>SUM(C17:F17)</f>
        <v>97.777777777777786</v>
      </c>
      <c r="H17" s="61"/>
      <c r="I17" s="1551">
        <v>22.777777777777779</v>
      </c>
      <c r="J17" s="1552">
        <v>22.777777777777779</v>
      </c>
      <c r="K17" s="1552">
        <v>22.777777777777779</v>
      </c>
      <c r="L17" s="1552">
        <v>22.777777777777779</v>
      </c>
      <c r="M17" s="62">
        <f>SUM(I17:L17)</f>
        <v>91.111111111111114</v>
      </c>
      <c r="N17" s="61"/>
      <c r="O17" s="1551">
        <v>24.25</v>
      </c>
      <c r="P17" s="1552">
        <v>22.25</v>
      </c>
      <c r="Q17" s="1552">
        <v>23.25</v>
      </c>
      <c r="R17" s="1552">
        <v>21.25</v>
      </c>
      <c r="S17" s="62">
        <f>SUM(O17:R17)</f>
        <v>91</v>
      </c>
      <c r="T17" s="63"/>
      <c r="U17" s="1551">
        <v>23.5</v>
      </c>
      <c r="V17" s="1552">
        <v>19.5</v>
      </c>
      <c r="W17" s="1552">
        <v>43.5</v>
      </c>
      <c r="X17" s="1552">
        <v>50.5</v>
      </c>
      <c r="Y17" s="62">
        <f>SUM(U17:X17)</f>
        <v>137</v>
      </c>
      <c r="Z17" s="63"/>
      <c r="AA17" s="1551">
        <v>44.25</v>
      </c>
      <c r="AB17" s="1552">
        <v>45.25</v>
      </c>
      <c r="AC17" s="1552">
        <v>44.25</v>
      </c>
      <c r="AD17" s="1552">
        <v>44.25</v>
      </c>
      <c r="AE17" s="62">
        <f>SUM(AA17:AD17)</f>
        <v>178</v>
      </c>
      <c r="AF17" s="63"/>
      <c r="AG17" s="1551">
        <v>41.25</v>
      </c>
      <c r="AH17" s="1552">
        <v>40.25</v>
      </c>
      <c r="AI17" s="1552">
        <v>63.25</v>
      </c>
      <c r="AJ17" s="1552">
        <v>73.25</v>
      </c>
      <c r="AK17" s="62">
        <f t="shared" ref="AK17:AK23" si="0">SUM(AG17:AJ17)</f>
        <v>218</v>
      </c>
      <c r="AL17" s="63"/>
      <c r="AM17" s="1551">
        <v>75</v>
      </c>
      <c r="AN17" s="1552">
        <v>70.666666666666671</v>
      </c>
      <c r="AO17" s="1552">
        <v>69.666666666666671</v>
      </c>
      <c r="AP17" s="1552">
        <v>73.666666666666671</v>
      </c>
      <c r="AQ17" s="62">
        <f t="shared" ref="AQ17:AQ23" si="1">SUM(AM17:AP17)</f>
        <v>289.00000000000006</v>
      </c>
      <c r="AR17" s="63"/>
      <c r="AS17" s="1573">
        <f>CF!AS12</f>
        <v>96</v>
      </c>
      <c r="AT17" s="1572">
        <f>CF!AT12</f>
        <v>97</v>
      </c>
      <c r="AU17" s="1572">
        <f>CF!AU12</f>
        <v>78</v>
      </c>
      <c r="AV17" s="1572">
        <f>CF!AV12</f>
        <v>70.452824709196193</v>
      </c>
      <c r="AW17" s="62">
        <f t="shared" ref="AW17:AW23" si="2">SUM(AS17:AV17)</f>
        <v>341.45282470919619</v>
      </c>
      <c r="AX17" s="63"/>
      <c r="AY17" s="1551">
        <v>68</v>
      </c>
      <c r="AZ17" s="1552">
        <v>63</v>
      </c>
      <c r="BA17" s="1552">
        <v>62</v>
      </c>
      <c r="BB17" s="1552">
        <v>62</v>
      </c>
      <c r="BC17" s="62">
        <f t="shared" ref="BC17:BC23" si="3">SUM(AY17:BB17)</f>
        <v>255</v>
      </c>
      <c r="BD17" s="63"/>
      <c r="BE17" s="1551">
        <v>66</v>
      </c>
      <c r="BF17" s="1552">
        <v>69.292000000000002</v>
      </c>
      <c r="BG17" s="1552">
        <v>60</v>
      </c>
      <c r="BH17" s="1552">
        <v>56</v>
      </c>
      <c r="BI17" s="62">
        <f t="shared" ref="BI17:BI23" si="4">SUM(BE17:BH17)</f>
        <v>251.292</v>
      </c>
      <c r="BJ17" s="63"/>
      <c r="BK17" s="1551">
        <v>55</v>
      </c>
      <c r="BL17" s="1552">
        <v>54</v>
      </c>
      <c r="BM17" s="2358">
        <f>160-SUM(BK17:BL17)</f>
        <v>51</v>
      </c>
      <c r="BN17" s="1572">
        <f>CF!BN12</f>
        <v>52</v>
      </c>
      <c r="BO17" s="62">
        <f t="shared" ref="BO17:BO23" si="5">SUM(BK17:BN17)</f>
        <v>212</v>
      </c>
      <c r="BP17" s="63"/>
      <c r="BQ17" s="1573">
        <f>CF!BQ12</f>
        <v>51</v>
      </c>
      <c r="BR17" s="1572">
        <f>CF!BR12</f>
        <v>48.658526432926806</v>
      </c>
      <c r="BS17" s="1572">
        <f>CF!BS12</f>
        <v>48.163901178231924</v>
      </c>
      <c r="BT17" s="1572">
        <f>CF!BT12</f>
        <v>51.086520341788756</v>
      </c>
      <c r="BU17" s="62">
        <f t="shared" ref="BU17:BU23" si="6">SUM(BQ17:BT17)</f>
        <v>198.90894795294747</v>
      </c>
      <c r="BV17" s="63"/>
      <c r="BW17" s="1573">
        <f>CF!BW12</f>
        <v>45.886797952212184</v>
      </c>
      <c r="BX17" s="1572">
        <f>CF!BX12</f>
        <v>47.589350611874202</v>
      </c>
      <c r="BY17" s="1572">
        <f>CF!BY12</f>
        <v>47.695305858060856</v>
      </c>
      <c r="BZ17" s="1572">
        <f>CF!BZ12</f>
        <v>50.468800222471003</v>
      </c>
      <c r="CA17" s="62">
        <f t="shared" ref="CA17:CA23" si="7">SUM(BW17:BZ17)</f>
        <v>191.64025464461824</v>
      </c>
      <c r="CB17" s="66"/>
      <c r="CC17" s="1573">
        <f>CF!CC12</f>
        <v>44.822549640945034</v>
      </c>
      <c r="CD17" s="1572">
        <f>CF!CD12</f>
        <v>46.616576276035772</v>
      </c>
      <c r="CE17" s="1572">
        <f>CF!CE12</f>
        <v>47.080395393960416</v>
      </c>
      <c r="CF17" s="1572">
        <f>CF!CF12</f>
        <v>49.649890933254611</v>
      </c>
      <c r="CG17" s="62">
        <f t="shared" ref="CG17:CG23" si="8">SUM(CC17:CF17)</f>
        <v>188.16941224419583</v>
      </c>
      <c r="CH17" s="86"/>
      <c r="CI17" s="1573">
        <f>CF!CI12</f>
        <v>47.549823809966057</v>
      </c>
      <c r="CJ17" s="1572">
        <f>CF!CJ12</f>
        <v>49.605735420355565</v>
      </c>
      <c r="CK17" s="1572">
        <f>CF!CK12</f>
        <v>50.549886307295601</v>
      </c>
      <c r="CL17" s="1572">
        <f>CF!CL12</f>
        <v>53.098857266968885</v>
      </c>
      <c r="CM17" s="62">
        <f t="shared" ref="CM17:CM23" si="9">SUM(CI17:CL17)</f>
        <v>200.80430280458609</v>
      </c>
      <c r="CN17" s="86"/>
      <c r="CO17" s="86"/>
      <c r="CP17" s="86"/>
      <c r="CQ17"/>
      <c r="CR17"/>
      <c r="CS17"/>
      <c r="CT17"/>
      <c r="CU17"/>
      <c r="CV17"/>
      <c r="CW17" s="86"/>
      <c r="CY17" s="86"/>
      <c r="CZ17" s="86"/>
      <c r="DA17" s="86"/>
      <c r="DB17" s="86"/>
      <c r="DC17" s="86"/>
      <c r="DD17" s="86"/>
      <c r="DE17" s="86"/>
      <c r="DF17" s="86"/>
      <c r="DG17" s="86"/>
      <c r="DH17" s="86"/>
      <c r="DI17" s="86"/>
      <c r="DJ17" s="86"/>
      <c r="DK17" s="86"/>
      <c r="DL17" s="86"/>
      <c r="DM17" s="86"/>
      <c r="DN17" s="86"/>
      <c r="DO17" s="86"/>
    </row>
    <row r="18" spans="1:119" s="149" customFormat="1" ht="11.25" customHeight="1" outlineLevel="1">
      <c r="A18" s="80" t="s">
        <v>75</v>
      </c>
      <c r="B18" s="61"/>
      <c r="C18" s="65">
        <f>G18/4</f>
        <v>13</v>
      </c>
      <c r="D18" s="66">
        <f>C18</f>
        <v>13</v>
      </c>
      <c r="E18" s="66">
        <f>D18</f>
        <v>13</v>
      </c>
      <c r="F18" s="66">
        <f>E18</f>
        <v>13</v>
      </c>
      <c r="G18" s="1553">
        <v>52</v>
      </c>
      <c r="H18" s="61"/>
      <c r="I18" s="65">
        <f>M18/4</f>
        <v>7.75</v>
      </c>
      <c r="J18" s="66">
        <f>I18</f>
        <v>7.75</v>
      </c>
      <c r="K18" s="66">
        <f>J18</f>
        <v>7.75</v>
      </c>
      <c r="L18" s="66">
        <f>K18</f>
        <v>7.75</v>
      </c>
      <c r="M18" s="1553">
        <v>31</v>
      </c>
      <c r="N18" s="61"/>
      <c r="O18" s="1551">
        <v>12</v>
      </c>
      <c r="P18" s="1552">
        <v>9</v>
      </c>
      <c r="Q18" s="1552">
        <v>8</v>
      </c>
      <c r="R18" s="1552">
        <v>6</v>
      </c>
      <c r="S18" s="62">
        <f>SUM(O18:R18)</f>
        <v>35</v>
      </c>
      <c r="T18" s="63"/>
      <c r="U18" s="1551">
        <v>16.5</v>
      </c>
      <c r="V18" s="1552">
        <v>4.5</v>
      </c>
      <c r="W18" s="1552">
        <v>4.5</v>
      </c>
      <c r="X18" s="1552">
        <v>6.5</v>
      </c>
      <c r="Y18" s="62">
        <f>SUM(U18:X18)</f>
        <v>32</v>
      </c>
      <c r="Z18" s="63"/>
      <c r="AA18" s="1551">
        <v>19</v>
      </c>
      <c r="AB18" s="1552">
        <v>7</v>
      </c>
      <c r="AC18" s="1552">
        <v>5</v>
      </c>
      <c r="AD18" s="1552">
        <v>5</v>
      </c>
      <c r="AE18" s="62">
        <f>SUM(AA18:AD18)</f>
        <v>36</v>
      </c>
      <c r="AF18" s="63"/>
      <c r="AG18" s="1551">
        <v>17.75</v>
      </c>
      <c r="AH18" s="1552">
        <v>6.75</v>
      </c>
      <c r="AI18" s="1552">
        <v>6.75</v>
      </c>
      <c r="AJ18" s="1552">
        <v>5.75</v>
      </c>
      <c r="AK18" s="62">
        <f t="shared" si="0"/>
        <v>37</v>
      </c>
      <c r="AL18" s="63"/>
      <c r="AM18" s="1551">
        <v>16</v>
      </c>
      <c r="AN18" s="1552">
        <v>10.333333333333332</v>
      </c>
      <c r="AO18" s="1552">
        <v>9.3333333333333321</v>
      </c>
      <c r="AP18" s="1552">
        <v>10.333333333333332</v>
      </c>
      <c r="AQ18" s="62">
        <f t="shared" si="1"/>
        <v>46</v>
      </c>
      <c r="AR18" s="63"/>
      <c r="AS18" s="1551">
        <v>36</v>
      </c>
      <c r="AT18" s="66">
        <f>AT113*AT15</f>
        <v>11.494826</v>
      </c>
      <c r="AU18" s="66">
        <f>AU113*AU15</f>
        <v>11.456228000000001</v>
      </c>
      <c r="AV18" s="66">
        <f>AV113*AV15</f>
        <v>11.629365999999999</v>
      </c>
      <c r="AW18" s="62">
        <f t="shared" si="2"/>
        <v>70.580420000000004</v>
      </c>
      <c r="AX18" s="63"/>
      <c r="AY18" s="1551">
        <v>22</v>
      </c>
      <c r="AZ18" s="1552">
        <v>11</v>
      </c>
      <c r="BA18" s="1552">
        <v>10</v>
      </c>
      <c r="BB18" s="1552">
        <v>10</v>
      </c>
      <c r="BC18" s="62">
        <f t="shared" si="3"/>
        <v>53</v>
      </c>
      <c r="BD18" s="63"/>
      <c r="BE18" s="1551">
        <v>24</v>
      </c>
      <c r="BF18" s="1552">
        <v>11.5</v>
      </c>
      <c r="BG18" s="1552">
        <v>11</v>
      </c>
      <c r="BH18" s="1552">
        <v>11</v>
      </c>
      <c r="BI18" s="62">
        <f t="shared" si="4"/>
        <v>57.5</v>
      </c>
      <c r="BJ18" s="63"/>
      <c r="BK18" s="2145">
        <v>20</v>
      </c>
      <c r="BL18" s="1552">
        <v>15</v>
      </c>
      <c r="BM18" s="2358">
        <f>48-SUM(BK18:BL18)</f>
        <v>13</v>
      </c>
      <c r="BN18" s="2358">
        <v>12</v>
      </c>
      <c r="BO18" s="62">
        <f t="shared" si="5"/>
        <v>60</v>
      </c>
      <c r="BP18" s="63"/>
      <c r="BQ18" s="2478">
        <v>31</v>
      </c>
      <c r="BR18" s="66">
        <f>BR113*BR15</f>
        <v>14.392965250444526</v>
      </c>
      <c r="BS18" s="66">
        <f>BS113*BS15</f>
        <v>14.366041655505727</v>
      </c>
      <c r="BT18" s="66">
        <f>BT113*BT15</f>
        <v>14.888329149765704</v>
      </c>
      <c r="BU18" s="62">
        <f t="shared" si="6"/>
        <v>74.647336055715954</v>
      </c>
      <c r="BV18" s="63"/>
      <c r="BW18" s="65">
        <f>BW113*BW15</f>
        <v>32.773898044755022</v>
      </c>
      <c r="BX18" s="66">
        <f>BX113*BX15</f>
        <v>15.214596564376734</v>
      </c>
      <c r="BY18" s="66">
        <f>BY113*BY15</f>
        <v>15.386127576094715</v>
      </c>
      <c r="BZ18" s="66">
        <f>BZ113*BZ15</f>
        <v>15.900088458460123</v>
      </c>
      <c r="CA18" s="62">
        <f t="shared" si="7"/>
        <v>79.274710643686589</v>
      </c>
      <c r="CB18" s="66"/>
      <c r="CC18" s="65">
        <f>CC113*CC15</f>
        <v>34.441159710032451</v>
      </c>
      <c r="CD18" s="66">
        <f>CD113*CD15</f>
        <v>15.993827572917699</v>
      </c>
      <c r="CE18" s="66">
        <f>CE113*CE15</f>
        <v>16.320601696846399</v>
      </c>
      <c r="CF18" s="66">
        <f>CF113*CF15</f>
        <v>16.800339307204297</v>
      </c>
      <c r="CG18" s="62">
        <f t="shared" si="8"/>
        <v>83.555928287000839</v>
      </c>
      <c r="CH18" s="86"/>
      <c r="CI18" s="65">
        <f>CI113*CI15</f>
        <v>36.277414075021142</v>
      </c>
      <c r="CJ18" s="66">
        <f>CJ113*CJ15</f>
        <v>16.855102704649713</v>
      </c>
      <c r="CK18" s="66">
        <f>CK113*CK15</f>
        <v>17.382954228290998</v>
      </c>
      <c r="CL18" s="66">
        <f>CL113*CL15</f>
        <v>17.812401674223263</v>
      </c>
      <c r="CM18" s="62">
        <f t="shared" si="9"/>
        <v>88.327872682185117</v>
      </c>
      <c r="CN18" s="86"/>
      <c r="CO18" s="86"/>
      <c r="CP18" s="86"/>
      <c r="CQ18"/>
      <c r="CR18"/>
      <c r="CS18"/>
      <c r="CT18"/>
      <c r="CU18"/>
      <c r="CV18"/>
      <c r="CW18" s="86"/>
    </row>
    <row r="19" spans="1:119" s="149" customFormat="1">
      <c r="A19" s="81" t="s">
        <v>76</v>
      </c>
      <c r="B19" s="82"/>
      <c r="C19" s="76">
        <f>+C10-C15</f>
        <v>75</v>
      </c>
      <c r="D19" s="77">
        <f>+D10-D15</f>
        <v>54</v>
      </c>
      <c r="E19" s="77">
        <f>+E10-E15</f>
        <v>77</v>
      </c>
      <c r="F19" s="77">
        <f>+F10-F15</f>
        <v>101</v>
      </c>
      <c r="G19" s="78">
        <f>G10-G15</f>
        <v>307</v>
      </c>
      <c r="H19" s="82"/>
      <c r="I19" s="76">
        <f>+I10-I15</f>
        <v>87</v>
      </c>
      <c r="J19" s="77">
        <f>+J10-J15</f>
        <v>85</v>
      </c>
      <c r="K19" s="77">
        <f>+K10-K15</f>
        <v>102</v>
      </c>
      <c r="L19" s="77">
        <f>+L10-L15</f>
        <v>136</v>
      </c>
      <c r="M19" s="78">
        <f>M10-M15</f>
        <v>410</v>
      </c>
      <c r="N19" s="82"/>
      <c r="O19" s="76">
        <f>+O10-O15</f>
        <v>101.613</v>
      </c>
      <c r="P19" s="77">
        <f>+P10-P15</f>
        <v>88.575000000000045</v>
      </c>
      <c r="Q19" s="77">
        <f>+Q10-Q15</f>
        <v>90.993000000000052</v>
      </c>
      <c r="R19" s="77">
        <f>+R10-R15</f>
        <v>108.48200000000003</v>
      </c>
      <c r="S19" s="78">
        <f>S10-S15</f>
        <v>389.66300000000001</v>
      </c>
      <c r="T19" s="72"/>
      <c r="U19" s="76">
        <f>+U10-U15</f>
        <v>122.65600000000001</v>
      </c>
      <c r="V19" s="77">
        <f>+V10-V15</f>
        <v>103.101</v>
      </c>
      <c r="W19" s="77">
        <f>+W10-W15</f>
        <v>126.80200000000002</v>
      </c>
      <c r="X19" s="77">
        <f>+X10-X15</f>
        <v>151.15700000000004</v>
      </c>
      <c r="Y19" s="78">
        <f>Y10-Y15</f>
        <v>503.71600000000035</v>
      </c>
      <c r="Z19" s="72"/>
      <c r="AA19" s="76">
        <f>AA10-AA15</f>
        <v>113.83899999999994</v>
      </c>
      <c r="AB19" s="77">
        <f>AB10-AB15</f>
        <v>133.70699999999999</v>
      </c>
      <c r="AC19" s="77">
        <f>AC10-AC15</f>
        <v>137.35500000000002</v>
      </c>
      <c r="AD19" s="77">
        <f>AD10-AD15</f>
        <v>163.60300000000007</v>
      </c>
      <c r="AE19" s="78">
        <f>AE10-AE15</f>
        <v>548.50399999999991</v>
      </c>
      <c r="AF19" s="72"/>
      <c r="AG19" s="76">
        <f>AG10-AG15</f>
        <v>154</v>
      </c>
      <c r="AH19" s="77">
        <f>AH10-AH15</f>
        <v>132</v>
      </c>
      <c r="AI19" s="77">
        <f>AI10-AI15</f>
        <v>153</v>
      </c>
      <c r="AJ19" s="77">
        <f>AJ10-AJ15</f>
        <v>194</v>
      </c>
      <c r="AK19" s="78">
        <f t="shared" si="0"/>
        <v>633</v>
      </c>
      <c r="AL19" s="72"/>
      <c r="AM19" s="76">
        <f>AM10-AM15</f>
        <v>163.00000000000011</v>
      </c>
      <c r="AN19" s="77">
        <f>AN10-AN15</f>
        <v>178</v>
      </c>
      <c r="AO19" s="77">
        <f>AO10-AO15</f>
        <v>174</v>
      </c>
      <c r="AP19" s="77">
        <f>AP10-AP15</f>
        <v>217</v>
      </c>
      <c r="AQ19" s="78">
        <f t="shared" si="1"/>
        <v>732.00000000000011</v>
      </c>
      <c r="AR19" s="72"/>
      <c r="AS19" s="76">
        <f>AS10-AS15</f>
        <v>193</v>
      </c>
      <c r="AT19" s="77">
        <f>AT10-AT15</f>
        <v>166.94100000000003</v>
      </c>
      <c r="AU19" s="77">
        <f>AU10-AU15</f>
        <v>190.69799999999998</v>
      </c>
      <c r="AV19" s="77">
        <f>AV10-AV15</f>
        <v>212.33100000000013</v>
      </c>
      <c r="AW19" s="78">
        <f t="shared" si="2"/>
        <v>762.97000000000014</v>
      </c>
      <c r="AX19" s="72"/>
      <c r="AY19" s="76">
        <f>AY10-AY15</f>
        <v>176.46900000000005</v>
      </c>
      <c r="AZ19" s="77">
        <f>AZ10-AZ15</f>
        <v>169.09900000000005</v>
      </c>
      <c r="BA19" s="77">
        <f>BA10-BA15</f>
        <v>199.54899999999998</v>
      </c>
      <c r="BB19" s="77">
        <f>BB10-BB15</f>
        <v>223.01800000000003</v>
      </c>
      <c r="BC19" s="78">
        <f>SUM(AY19:BB19)</f>
        <v>768.1350000000001</v>
      </c>
      <c r="BD19" s="72"/>
      <c r="BE19" s="76">
        <f>BE10-BE15</f>
        <v>205.33400000000006</v>
      </c>
      <c r="BF19" s="77">
        <f>BF10-BF15</f>
        <v>195.1400000000001</v>
      </c>
      <c r="BG19" s="77">
        <f>BG10-BG15</f>
        <v>211.82399999999996</v>
      </c>
      <c r="BH19" s="77">
        <f>BH10-BH15</f>
        <v>247.09529999999995</v>
      </c>
      <c r="BI19" s="78">
        <f t="shared" si="4"/>
        <v>859.39330000000007</v>
      </c>
      <c r="BJ19" s="72"/>
      <c r="BK19" s="76">
        <f>BK10-BK15</f>
        <v>223.23099999999999</v>
      </c>
      <c r="BL19" s="77">
        <f>BL10-BL15</f>
        <v>241.16599999999994</v>
      </c>
      <c r="BM19" s="77">
        <f>BM10-BM15</f>
        <v>236.21609999999998</v>
      </c>
      <c r="BN19" s="77">
        <f>BN10-BN15</f>
        <v>273.62099999999998</v>
      </c>
      <c r="BO19" s="78">
        <f t="shared" si="5"/>
        <v>974.2340999999999</v>
      </c>
      <c r="BP19" s="72"/>
      <c r="BQ19" s="76">
        <f>BQ10-BQ15</f>
        <v>268.73259999999993</v>
      </c>
      <c r="BR19" s="77">
        <f>BR10-BR15</f>
        <v>296.17289125019647</v>
      </c>
      <c r="BS19" s="77">
        <f>BS10-BS15</f>
        <v>285.20327487764621</v>
      </c>
      <c r="BT19" s="77">
        <f>BT10-BT15</f>
        <v>325.80653862092072</v>
      </c>
      <c r="BU19" s="78">
        <f t="shared" si="6"/>
        <v>1175.9153047487634</v>
      </c>
      <c r="BV19" s="72"/>
      <c r="BW19" s="76">
        <f>BW10-BW15</f>
        <v>296.39954495407142</v>
      </c>
      <c r="BX19" s="77">
        <f>BX10-BX15</f>
        <v>326.23865003331252</v>
      </c>
      <c r="BY19" s="77">
        <f>BY10-BY15</f>
        <v>317.787904074273</v>
      </c>
      <c r="BZ19" s="77">
        <f>BZ10-BZ15</f>
        <v>361.65044706428284</v>
      </c>
      <c r="CA19" s="78">
        <f t="shared" si="7"/>
        <v>1302.0765461259398</v>
      </c>
      <c r="CB19" s="77"/>
      <c r="CC19" s="76">
        <f>CC10-CC15</f>
        <v>321.76353405068039</v>
      </c>
      <c r="CD19" s="77">
        <f>CD10-CD15</f>
        <v>357.15173766408543</v>
      </c>
      <c r="CE19" s="77">
        <f>CE10-CE15</f>
        <v>349.52921188333153</v>
      </c>
      <c r="CF19" s="77">
        <f>CF10-CF15</f>
        <v>396.0045835885569</v>
      </c>
      <c r="CG19" s="78">
        <f t="shared" si="8"/>
        <v>1424.4490671866542</v>
      </c>
      <c r="CH19" s="83"/>
      <c r="CI19" s="76">
        <f>CI10-CI15</f>
        <v>349.22480293066542</v>
      </c>
      <c r="CJ19" s="77">
        <f>CJ10-CJ15</f>
        <v>391.00543048968007</v>
      </c>
      <c r="CK19" s="77">
        <f>CK10-CK15</f>
        <v>384.64436362932065</v>
      </c>
      <c r="CL19" s="77">
        <f>CL10-CL15</f>
        <v>433.84570824167213</v>
      </c>
      <c r="CM19" s="78">
        <f t="shared" si="9"/>
        <v>1558.7203052913383</v>
      </c>
      <c r="CN19" s="83"/>
      <c r="CO19" s="83"/>
      <c r="CP19" s="83"/>
      <c r="CQ19"/>
      <c r="CR19"/>
      <c r="CS19"/>
      <c r="CT19"/>
      <c r="CU19"/>
      <c r="CV19"/>
      <c r="CW19" s="83"/>
    </row>
    <row r="20" spans="1:119" s="149" customFormat="1">
      <c r="A20" s="255" t="s">
        <v>77</v>
      </c>
      <c r="B20" s="61"/>
      <c r="C20" s="1555">
        <v>50</v>
      </c>
      <c r="D20" s="1554">
        <v>44</v>
      </c>
      <c r="E20" s="1554">
        <v>42</v>
      </c>
      <c r="F20" s="1554">
        <v>36</v>
      </c>
      <c r="G20" s="84">
        <f>SUM(C20:F20)</f>
        <v>172</v>
      </c>
      <c r="H20" s="85"/>
      <c r="I20" s="1555">
        <v>39</v>
      </c>
      <c r="J20" s="1554">
        <v>27</v>
      </c>
      <c r="K20" s="1554">
        <v>23</v>
      </c>
      <c r="L20" s="1554">
        <v>24</v>
      </c>
      <c r="M20" s="84">
        <f>SUM(I20:L20)</f>
        <v>113</v>
      </c>
      <c r="N20" s="61"/>
      <c r="O20" s="1551">
        <v>14</v>
      </c>
      <c r="P20" s="1552">
        <v>6</v>
      </c>
      <c r="Q20" s="1552">
        <v>5</v>
      </c>
      <c r="R20" s="1552">
        <v>4</v>
      </c>
      <c r="S20" s="62">
        <f>SUM(O20:R20)</f>
        <v>29</v>
      </c>
      <c r="T20" s="63"/>
      <c r="U20" s="1551">
        <v>3</v>
      </c>
      <c r="V20" s="1552">
        <v>3</v>
      </c>
      <c r="W20" s="1552">
        <v>3</v>
      </c>
      <c r="X20" s="1552">
        <v>11</v>
      </c>
      <c r="Y20" s="62">
        <f>SUM(U20:X20)</f>
        <v>20</v>
      </c>
      <c r="Z20" s="63"/>
      <c r="AA20" s="1551">
        <v>4</v>
      </c>
      <c r="AB20" s="1552">
        <v>3</v>
      </c>
      <c r="AC20" s="1552">
        <v>3</v>
      </c>
      <c r="AD20" s="1552">
        <v>4</v>
      </c>
      <c r="AE20" s="62">
        <f>SUM(AA20:AD20)</f>
        <v>14</v>
      </c>
      <c r="AF20" s="63"/>
      <c r="AG20" s="1551">
        <v>1</v>
      </c>
      <c r="AH20" s="1552">
        <v>2</v>
      </c>
      <c r="AI20" s="1552">
        <v>2</v>
      </c>
      <c r="AJ20" s="1552">
        <v>2</v>
      </c>
      <c r="AK20" s="62">
        <f t="shared" si="0"/>
        <v>7</v>
      </c>
      <c r="AL20" s="63"/>
      <c r="AM20" s="1551">
        <v>2</v>
      </c>
      <c r="AN20" s="1552">
        <v>1</v>
      </c>
      <c r="AO20" s="1552">
        <v>2</v>
      </c>
      <c r="AP20" s="1552">
        <v>2</v>
      </c>
      <c r="AQ20" s="62">
        <f t="shared" si="1"/>
        <v>7</v>
      </c>
      <c r="AR20" s="63"/>
      <c r="AS20" s="1551">
        <v>2</v>
      </c>
      <c r="AT20" s="1554">
        <v>2</v>
      </c>
      <c r="AU20" s="1554">
        <v>3</v>
      </c>
      <c r="AV20" s="1554">
        <v>2</v>
      </c>
      <c r="AW20" s="62">
        <f t="shared" si="2"/>
        <v>9</v>
      </c>
      <c r="AX20" s="63"/>
      <c r="AY20" s="1555">
        <v>2</v>
      </c>
      <c r="AZ20" s="1552">
        <v>2</v>
      </c>
      <c r="BA20" s="1552">
        <v>2</v>
      </c>
      <c r="BB20" s="1552">
        <v>1</v>
      </c>
      <c r="BC20" s="62">
        <f t="shared" si="3"/>
        <v>7</v>
      </c>
      <c r="BD20" s="63"/>
      <c r="BE20" s="1555">
        <v>2</v>
      </c>
      <c r="BF20" s="1552">
        <v>3</v>
      </c>
      <c r="BG20" s="1552">
        <v>3</v>
      </c>
      <c r="BH20" s="1552">
        <v>3</v>
      </c>
      <c r="BI20" s="62">
        <f t="shared" si="4"/>
        <v>11</v>
      </c>
      <c r="BJ20" s="63"/>
      <c r="BK20" s="2146">
        <v>4</v>
      </c>
      <c r="BL20" s="1552">
        <v>5</v>
      </c>
      <c r="BM20" s="1552">
        <v>6</v>
      </c>
      <c r="BN20" s="2358">
        <v>7</v>
      </c>
      <c r="BO20" s="62">
        <f t="shared" si="5"/>
        <v>22</v>
      </c>
      <c r="BP20" s="66"/>
      <c r="BQ20" s="2478">
        <v>9</v>
      </c>
      <c r="BR20" s="2217">
        <f>+BS!BR139</f>
        <v>10.82625</v>
      </c>
      <c r="BS20" s="2217">
        <f>+BS!BS139</f>
        <v>10.996270438165279</v>
      </c>
      <c r="BT20" s="2217">
        <f>+BS!BT139</f>
        <v>11.257552513343503</v>
      </c>
      <c r="BU20" s="62">
        <f t="shared" si="6"/>
        <v>42.080072951508782</v>
      </c>
      <c r="BV20" s="66"/>
      <c r="BW20" s="2218">
        <f>+BS!BW139</f>
        <v>11.770814251109575</v>
      </c>
      <c r="BX20" s="2217">
        <f>+BS!BX139</f>
        <v>11.837712697787941</v>
      </c>
      <c r="BY20" s="2217">
        <f>+BS!BY139</f>
        <v>12.170458836007269</v>
      </c>
      <c r="BZ20" s="2217">
        <f>+BS!BZ139</f>
        <v>12.594519294708844</v>
      </c>
      <c r="CA20" s="62">
        <f t="shared" si="7"/>
        <v>48.373505079613629</v>
      </c>
      <c r="CB20" s="66"/>
      <c r="CC20" s="2218">
        <f>+BS!CC139</f>
        <v>13.315465431827574</v>
      </c>
      <c r="CD20" s="2217">
        <f>+BS!CD139</f>
        <v>92.189831829792908</v>
      </c>
      <c r="CE20" s="2217">
        <f>+BS!CE139</f>
        <v>97.390081713821601</v>
      </c>
      <c r="CF20" s="2217">
        <f>+BS!CF139</f>
        <v>103.52929337544573</v>
      </c>
      <c r="CG20" s="62">
        <f t="shared" si="8"/>
        <v>306.42467235088782</v>
      </c>
      <c r="CH20" s="86"/>
      <c r="CI20" s="2218">
        <f>+BS!CI139</f>
        <v>112.44956461366938</v>
      </c>
      <c r="CJ20" s="2217">
        <f>+BS!CJ139</f>
        <v>13.257916641293541</v>
      </c>
      <c r="CK20" s="2217">
        <f>+BS!CK139</f>
        <v>13.748988930198474</v>
      </c>
      <c r="CL20" s="2217">
        <f>+BS!CL139</f>
        <v>14.352145861178897</v>
      </c>
      <c r="CM20" s="62">
        <f t="shared" si="9"/>
        <v>153.80861604634026</v>
      </c>
      <c r="CN20" s="86"/>
      <c r="CO20" s="86"/>
      <c r="CP20" s="86"/>
      <c r="CQ20"/>
      <c r="CR20"/>
      <c r="CS20"/>
      <c r="CT20"/>
      <c r="CU20"/>
      <c r="CV20"/>
      <c r="CW20" s="86"/>
    </row>
    <row r="21" spans="1:119" s="149" customFormat="1">
      <c r="A21" s="255" t="s">
        <v>78</v>
      </c>
      <c r="B21" s="61"/>
      <c r="C21" s="1555">
        <v>-23</v>
      </c>
      <c r="D21" s="1554">
        <v>-22</v>
      </c>
      <c r="E21" s="1554">
        <v>-23</v>
      </c>
      <c r="F21" s="1554">
        <v>-23</v>
      </c>
      <c r="G21" s="84">
        <f>SUM(C21:F21)</f>
        <v>-91</v>
      </c>
      <c r="H21" s="85"/>
      <c r="I21" s="1555">
        <v>-30</v>
      </c>
      <c r="J21" s="1554">
        <v>-29</v>
      </c>
      <c r="K21" s="1554">
        <v>-31</v>
      </c>
      <c r="L21" s="1554">
        <v>-33</v>
      </c>
      <c r="M21" s="84">
        <f>SUM(I21:L21)</f>
        <v>-123</v>
      </c>
      <c r="N21" s="61"/>
      <c r="O21" s="1551">
        <v>-23</v>
      </c>
      <c r="P21" s="1552">
        <v>-23</v>
      </c>
      <c r="Q21" s="1552">
        <v>-21</v>
      </c>
      <c r="R21" s="1552">
        <v>-21</v>
      </c>
      <c r="S21" s="62">
        <f>SUM(O21:R21)</f>
        <v>-88</v>
      </c>
      <c r="T21" s="63"/>
      <c r="U21" s="1551">
        <v>-23</v>
      </c>
      <c r="V21" s="1552">
        <v>-22</v>
      </c>
      <c r="W21" s="1552">
        <v>-24</v>
      </c>
      <c r="X21" s="1552">
        <v>-27</v>
      </c>
      <c r="Y21" s="62">
        <f>SUM(U21:X21)</f>
        <v>-96</v>
      </c>
      <c r="Z21" s="63"/>
      <c r="AA21" s="1551">
        <v>-23</v>
      </c>
      <c r="AB21" s="1552">
        <v>-20</v>
      </c>
      <c r="AC21" s="1552">
        <v>-20</v>
      </c>
      <c r="AD21" s="1552">
        <v>-23</v>
      </c>
      <c r="AE21" s="62">
        <f>SUM(AA21:AD21)</f>
        <v>-86</v>
      </c>
      <c r="AF21" s="63"/>
      <c r="AG21" s="1551">
        <v>-29</v>
      </c>
      <c r="AH21" s="1552">
        <v>-25</v>
      </c>
      <c r="AI21" s="1552">
        <v>-21</v>
      </c>
      <c r="AJ21" s="1552">
        <v>-26</v>
      </c>
      <c r="AK21" s="62">
        <f t="shared" si="0"/>
        <v>-101</v>
      </c>
      <c r="AL21" s="63"/>
      <c r="AM21" s="1551">
        <v>-25</v>
      </c>
      <c r="AN21" s="1552">
        <v>-25</v>
      </c>
      <c r="AO21" s="1552">
        <v>-27</v>
      </c>
      <c r="AP21" s="1552">
        <v>-30</v>
      </c>
      <c r="AQ21" s="62">
        <f t="shared" si="1"/>
        <v>-107</v>
      </c>
      <c r="AR21" s="63"/>
      <c r="AS21" s="1551">
        <v>-29</v>
      </c>
      <c r="AT21" s="1554">
        <v>-30</v>
      </c>
      <c r="AU21" s="1554">
        <v>-28</v>
      </c>
      <c r="AV21" s="1552">
        <v>-26</v>
      </c>
      <c r="AW21" s="62">
        <f t="shared" si="2"/>
        <v>-113</v>
      </c>
      <c r="AX21" s="63"/>
      <c r="AY21" s="1551">
        <v>-16</v>
      </c>
      <c r="AZ21" s="1552">
        <v>-17</v>
      </c>
      <c r="BA21" s="1552">
        <v>-17</v>
      </c>
      <c r="BB21" s="1552">
        <v>-16</v>
      </c>
      <c r="BC21" s="62">
        <f t="shared" si="3"/>
        <v>-66</v>
      </c>
      <c r="BD21" s="63"/>
      <c r="BE21" s="1551">
        <v>-18</v>
      </c>
      <c r="BF21" s="1552">
        <v>-18</v>
      </c>
      <c r="BG21" s="1552">
        <v>-17</v>
      </c>
      <c r="BH21" s="1552">
        <v>-19</v>
      </c>
      <c r="BI21" s="62">
        <f t="shared" si="4"/>
        <v>-72</v>
      </c>
      <c r="BJ21" s="63"/>
      <c r="BK21" s="1551">
        <v>-20</v>
      </c>
      <c r="BL21" s="1552">
        <v>-20</v>
      </c>
      <c r="BM21" s="1552">
        <v>-19</v>
      </c>
      <c r="BN21" s="2358">
        <v>-20</v>
      </c>
      <c r="BO21" s="62">
        <f t="shared" si="5"/>
        <v>-79</v>
      </c>
      <c r="BP21" s="63"/>
      <c r="BQ21" s="2478">
        <v>-20</v>
      </c>
      <c r="BR21" s="2215">
        <f>Debt!BT40</f>
        <v>-18.197437499999999</v>
      </c>
      <c r="BS21" s="2215">
        <f>Debt!BU40</f>
        <v>-18.197437499999999</v>
      </c>
      <c r="BT21" s="2215">
        <f>Debt!BV40</f>
        <v>-18.197437499999999</v>
      </c>
      <c r="BU21" s="62">
        <f t="shared" si="6"/>
        <v>-74.592312499999991</v>
      </c>
      <c r="BV21" s="63"/>
      <c r="BW21" s="2216">
        <f>Debt!BY40</f>
        <v>-18.197437499999999</v>
      </c>
      <c r="BX21" s="2215">
        <f>Debt!BZ40</f>
        <v>-18.197437499999999</v>
      </c>
      <c r="BY21" s="2215">
        <f>Debt!CA40</f>
        <v>-18.197437499999999</v>
      </c>
      <c r="BZ21" s="2215">
        <f>Debt!CB40</f>
        <v>-18.197437499999999</v>
      </c>
      <c r="CA21" s="62">
        <f t="shared" si="7"/>
        <v>-72.789749999999998</v>
      </c>
      <c r="CB21" s="66"/>
      <c r="CC21" s="2216">
        <f>Debt!CE40</f>
        <v>-11.834937500000001</v>
      </c>
      <c r="CD21" s="2215">
        <f>Debt!CF40</f>
        <v>-11.834937500000001</v>
      </c>
      <c r="CE21" s="2215">
        <f>Debt!CG40</f>
        <v>-11.834937500000001</v>
      </c>
      <c r="CF21" s="2215">
        <f>Debt!CH40</f>
        <v>-11.834937500000001</v>
      </c>
      <c r="CG21" s="62">
        <f t="shared" si="8"/>
        <v>-47.339750000000002</v>
      </c>
      <c r="CH21" s="86"/>
      <c r="CI21" s="2216">
        <f>Debt!CK40</f>
        <v>-8.6509374999999995</v>
      </c>
      <c r="CJ21" s="2215">
        <f>Debt!CL40</f>
        <v>-8.6509374999999995</v>
      </c>
      <c r="CK21" s="2215">
        <f>Debt!CM40</f>
        <v>-8.6509374999999995</v>
      </c>
      <c r="CL21" s="2215">
        <f>Debt!CN40</f>
        <v>-8.6509374999999995</v>
      </c>
      <c r="CM21" s="62">
        <f t="shared" si="9"/>
        <v>-34.603749999999998</v>
      </c>
      <c r="CN21" s="86"/>
      <c r="CO21" s="86"/>
      <c r="CP21" s="86"/>
      <c r="CQ21"/>
      <c r="CR21"/>
      <c r="CS21"/>
      <c r="CT21"/>
      <c r="CU21"/>
      <c r="CV21"/>
      <c r="CW21" s="86"/>
    </row>
    <row r="22" spans="1:119" s="149" customFormat="1" outlineLevel="1">
      <c r="A22" s="255" t="s">
        <v>79</v>
      </c>
      <c r="B22" s="61"/>
      <c r="C22" s="1555">
        <v>0</v>
      </c>
      <c r="D22" s="1554">
        <v>0</v>
      </c>
      <c r="E22" s="1554">
        <v>0</v>
      </c>
      <c r="F22" s="1554">
        <v>0</v>
      </c>
      <c r="G22" s="84">
        <f>SUM(C22:F22)</f>
        <v>0</v>
      </c>
      <c r="H22" s="61"/>
      <c r="I22" s="1555">
        <v>0</v>
      </c>
      <c r="J22" s="1554">
        <v>0</v>
      </c>
      <c r="K22" s="1554">
        <v>0</v>
      </c>
      <c r="L22" s="1554">
        <f>0-K22-J22-I22</f>
        <v>0</v>
      </c>
      <c r="M22" s="84">
        <f>SUM(I22:L22)</f>
        <v>0</v>
      </c>
      <c r="N22" s="61"/>
      <c r="O22" s="1551">
        <v>0</v>
      </c>
      <c r="P22" s="1552">
        <v>0</v>
      </c>
      <c r="Q22" s="1552">
        <v>0</v>
      </c>
      <c r="R22" s="1552">
        <v>0</v>
      </c>
      <c r="S22" s="62">
        <f>SUM(O22:R22)</f>
        <v>0</v>
      </c>
      <c r="T22" s="66"/>
      <c r="U22" s="1551">
        <v>0</v>
      </c>
      <c r="V22" s="1552">
        <v>0</v>
      </c>
      <c r="W22" s="1552">
        <v>127</v>
      </c>
      <c r="X22" s="1552">
        <v>5</v>
      </c>
      <c r="Y22" s="62">
        <f>SUM(U22:X22)</f>
        <v>132</v>
      </c>
      <c r="Z22" s="66"/>
      <c r="AA22" s="1551">
        <v>0</v>
      </c>
      <c r="AB22" s="1552">
        <v>0</v>
      </c>
      <c r="AC22" s="1552">
        <v>0</v>
      </c>
      <c r="AD22" s="1552">
        <v>0</v>
      </c>
      <c r="AE22" s="62">
        <f>SUM(AA22:AD22)</f>
        <v>0</v>
      </c>
      <c r="AF22" s="66"/>
      <c r="AG22" s="1551">
        <v>0</v>
      </c>
      <c r="AH22" s="1552">
        <v>0</v>
      </c>
      <c r="AI22" s="1552">
        <v>0</v>
      </c>
      <c r="AJ22" s="1552">
        <v>0</v>
      </c>
      <c r="AK22" s="62">
        <f t="shared" si="0"/>
        <v>0</v>
      </c>
      <c r="AL22" s="66"/>
      <c r="AM22" s="1551">
        <v>0</v>
      </c>
      <c r="AN22" s="1552">
        <v>0</v>
      </c>
      <c r="AO22" s="1552">
        <v>0</v>
      </c>
      <c r="AP22" s="1552">
        <v>0</v>
      </c>
      <c r="AQ22" s="62">
        <f t="shared" si="1"/>
        <v>0</v>
      </c>
      <c r="AR22" s="66"/>
      <c r="AS22" s="1551">
        <v>0</v>
      </c>
      <c r="AT22" s="1554">
        <v>0</v>
      </c>
      <c r="AU22" s="1554">
        <v>0</v>
      </c>
      <c r="AV22" s="1552">
        <v>0</v>
      </c>
      <c r="AW22" s="62">
        <f t="shared" si="2"/>
        <v>0</v>
      </c>
      <c r="AX22" s="66"/>
      <c r="AY22" s="1551">
        <v>0</v>
      </c>
      <c r="AZ22" s="1552">
        <v>0</v>
      </c>
      <c r="BA22" s="1552">
        <v>0</v>
      </c>
      <c r="BB22" s="1552">
        <v>0</v>
      </c>
      <c r="BC22" s="62">
        <f t="shared" si="3"/>
        <v>0</v>
      </c>
      <c r="BD22" s="66"/>
      <c r="BE22" s="1551">
        <v>0</v>
      </c>
      <c r="BF22" s="1552">
        <v>0</v>
      </c>
      <c r="BG22" s="1552">
        <v>0</v>
      </c>
      <c r="BH22" s="1552">
        <v>0</v>
      </c>
      <c r="BI22" s="62">
        <f t="shared" si="4"/>
        <v>0</v>
      </c>
      <c r="BJ22" s="66"/>
      <c r="BK22" s="1551">
        <v>0</v>
      </c>
      <c r="BL22" s="1552">
        <v>0</v>
      </c>
      <c r="BM22" s="1552">
        <v>0</v>
      </c>
      <c r="BN22" s="2358">
        <v>0</v>
      </c>
      <c r="BO22" s="62">
        <f t="shared" si="5"/>
        <v>0</v>
      </c>
      <c r="BP22" s="66"/>
      <c r="BQ22" s="1551">
        <v>0</v>
      </c>
      <c r="BR22" s="1552">
        <v>0</v>
      </c>
      <c r="BS22" s="1552">
        <v>0</v>
      </c>
      <c r="BT22" s="1552">
        <v>0</v>
      </c>
      <c r="BU22" s="62">
        <f t="shared" si="6"/>
        <v>0</v>
      </c>
      <c r="BV22" s="66"/>
      <c r="BW22" s="1551">
        <v>0</v>
      </c>
      <c r="BX22" s="1552">
        <v>0</v>
      </c>
      <c r="BY22" s="1552">
        <v>0</v>
      </c>
      <c r="BZ22" s="1552">
        <v>0</v>
      </c>
      <c r="CA22" s="62">
        <f t="shared" si="7"/>
        <v>0</v>
      </c>
      <c r="CB22" s="66"/>
      <c r="CC22" s="1551">
        <v>0</v>
      </c>
      <c r="CD22" s="1552">
        <v>0</v>
      </c>
      <c r="CE22" s="1552">
        <v>0</v>
      </c>
      <c r="CF22" s="1552">
        <v>0</v>
      </c>
      <c r="CG22" s="62">
        <f t="shared" si="8"/>
        <v>0</v>
      </c>
      <c r="CH22" s="86"/>
      <c r="CI22" s="1551">
        <v>0</v>
      </c>
      <c r="CJ22" s="1552">
        <v>0</v>
      </c>
      <c r="CK22" s="1552">
        <v>0</v>
      </c>
      <c r="CL22" s="1552">
        <v>0</v>
      </c>
      <c r="CM22" s="62">
        <f t="shared" si="9"/>
        <v>0</v>
      </c>
      <c r="CN22" s="86"/>
      <c r="CO22" s="86"/>
      <c r="CP22" s="86"/>
      <c r="CQ22"/>
      <c r="CR22"/>
      <c r="CS22"/>
      <c r="CT22"/>
      <c r="CU22"/>
      <c r="CV22"/>
      <c r="CW22" s="86"/>
    </row>
    <row r="23" spans="1:119" s="149" customFormat="1">
      <c r="A23" s="255" t="s">
        <v>80</v>
      </c>
      <c r="B23" s="61"/>
      <c r="C23" s="1555">
        <v>1</v>
      </c>
      <c r="D23" s="1554">
        <f>3+4</f>
        <v>7</v>
      </c>
      <c r="E23" s="1554">
        <f>3-1</f>
        <v>2</v>
      </c>
      <c r="F23" s="1554">
        <f>-2</f>
        <v>-2</v>
      </c>
      <c r="G23" s="84">
        <f>SUM(C23:F23)</f>
        <v>8</v>
      </c>
      <c r="H23" s="85"/>
      <c r="I23" s="1555">
        <f>4-2</f>
        <v>2</v>
      </c>
      <c r="J23" s="1554">
        <f>7-5</f>
        <v>2</v>
      </c>
      <c r="K23" s="1554">
        <f>5+8</f>
        <v>13</v>
      </c>
      <c r="L23" s="1554">
        <f>14+2</f>
        <v>16</v>
      </c>
      <c r="M23" s="84">
        <f>SUM(I23:L23)</f>
        <v>33</v>
      </c>
      <c r="N23" s="61"/>
      <c r="O23" s="1551">
        <v>5</v>
      </c>
      <c r="P23" s="1552">
        <v>6</v>
      </c>
      <c r="Q23" s="1552">
        <v>2</v>
      </c>
      <c r="R23" s="1552">
        <v>7</v>
      </c>
      <c r="S23" s="62">
        <f>SUM(O23:R23)</f>
        <v>20</v>
      </c>
      <c r="T23" s="63"/>
      <c r="U23" s="1551">
        <v>8</v>
      </c>
      <c r="V23" s="1552">
        <v>8</v>
      </c>
      <c r="W23" s="1552">
        <v>-125</v>
      </c>
      <c r="X23" s="1552">
        <v>-11</v>
      </c>
      <c r="Y23" s="62">
        <f>SUM(U23:X23)</f>
        <v>-120</v>
      </c>
      <c r="Z23" s="63"/>
      <c r="AA23" s="1551">
        <v>7</v>
      </c>
      <c r="AB23" s="1552">
        <v>5</v>
      </c>
      <c r="AC23" s="1552">
        <v>7</v>
      </c>
      <c r="AD23" s="1552">
        <v>2</v>
      </c>
      <c r="AE23" s="62">
        <f>SUM(AA23:AD23)</f>
        <v>21</v>
      </c>
      <c r="AF23" s="63"/>
      <c r="AG23" s="1551">
        <v>8</v>
      </c>
      <c r="AH23" s="1552">
        <v>10</v>
      </c>
      <c r="AI23" s="1552">
        <v>0</v>
      </c>
      <c r="AJ23" s="1552">
        <v>2</v>
      </c>
      <c r="AK23" s="62">
        <f t="shared" si="0"/>
        <v>20</v>
      </c>
      <c r="AL23" s="63"/>
      <c r="AM23" s="1551">
        <v>0</v>
      </c>
      <c r="AN23" s="1552">
        <v>9</v>
      </c>
      <c r="AO23" s="1552">
        <v>0</v>
      </c>
      <c r="AP23" s="1552">
        <v>0</v>
      </c>
      <c r="AQ23" s="62">
        <f t="shared" si="1"/>
        <v>9</v>
      </c>
      <c r="AR23" s="63"/>
      <c r="AS23" s="1551">
        <v>0</v>
      </c>
      <c r="AT23" s="1554">
        <v>3</v>
      </c>
      <c r="AU23" s="1554">
        <f>-26-AU20-AU21</f>
        <v>-1</v>
      </c>
      <c r="AV23" s="1556">
        <v>3</v>
      </c>
      <c r="AW23" s="62">
        <f t="shared" si="2"/>
        <v>5</v>
      </c>
      <c r="AX23" s="63"/>
      <c r="AY23" s="1551">
        <v>12</v>
      </c>
      <c r="AZ23" s="1552">
        <v>7</v>
      </c>
      <c r="BA23" s="1552">
        <v>0</v>
      </c>
      <c r="BB23" s="1552">
        <v>2</v>
      </c>
      <c r="BC23" s="62">
        <f t="shared" si="3"/>
        <v>21</v>
      </c>
      <c r="BD23" s="63"/>
      <c r="BE23" s="1551">
        <v>2</v>
      </c>
      <c r="BF23" s="1552">
        <v>1</v>
      </c>
      <c r="BG23" s="1552">
        <v>2</v>
      </c>
      <c r="BH23" s="1552">
        <v>1</v>
      </c>
      <c r="BI23" s="62">
        <f t="shared" si="4"/>
        <v>6</v>
      </c>
      <c r="BJ23" s="63"/>
      <c r="BK23" s="1551">
        <f>2+3</f>
        <v>5</v>
      </c>
      <c r="BL23" s="1552">
        <v>5</v>
      </c>
      <c r="BM23" s="1552">
        <v>5</v>
      </c>
      <c r="BN23" s="2358">
        <v>6</v>
      </c>
      <c r="BO23" s="62">
        <f t="shared" si="5"/>
        <v>21</v>
      </c>
      <c r="BP23" s="63"/>
      <c r="BQ23" s="1551">
        <v>5</v>
      </c>
      <c r="BR23" s="1552">
        <v>3.5</v>
      </c>
      <c r="BS23" s="1552">
        <v>3.5</v>
      </c>
      <c r="BT23" s="1552">
        <v>3.5</v>
      </c>
      <c r="BU23" s="62">
        <f t="shared" si="6"/>
        <v>15.5</v>
      </c>
      <c r="BV23" s="63"/>
      <c r="BW23" s="1551">
        <v>1</v>
      </c>
      <c r="BX23" s="1552">
        <v>1</v>
      </c>
      <c r="BY23" s="1552">
        <v>1</v>
      </c>
      <c r="BZ23" s="1552">
        <v>1</v>
      </c>
      <c r="CA23" s="62">
        <f t="shared" si="7"/>
        <v>4</v>
      </c>
      <c r="CB23" s="63"/>
      <c r="CC23" s="1551">
        <v>1</v>
      </c>
      <c r="CD23" s="1552">
        <v>1</v>
      </c>
      <c r="CE23" s="1552">
        <v>1</v>
      </c>
      <c r="CF23" s="1552">
        <v>1</v>
      </c>
      <c r="CG23" s="62">
        <f t="shared" si="8"/>
        <v>4</v>
      </c>
      <c r="CH23" s="86"/>
      <c r="CI23" s="1551">
        <v>1</v>
      </c>
      <c r="CJ23" s="1552">
        <v>1</v>
      </c>
      <c r="CK23" s="1552">
        <v>1</v>
      </c>
      <c r="CL23" s="1552">
        <v>1</v>
      </c>
      <c r="CM23" s="62">
        <f t="shared" si="9"/>
        <v>4</v>
      </c>
      <c r="CN23" s="86"/>
      <c r="CO23" s="86"/>
      <c r="CP23" s="86"/>
      <c r="CQ23"/>
      <c r="CR23"/>
      <c r="CS23"/>
      <c r="CT23"/>
      <c r="CU23"/>
      <c r="CV23"/>
      <c r="CW23" s="86"/>
    </row>
    <row r="24" spans="1:119" s="149" customFormat="1">
      <c r="A24" s="87" t="s">
        <v>81</v>
      </c>
      <c r="B24" s="82"/>
      <c r="C24" s="69">
        <f>+C19+C20+C21+C22+C23</f>
        <v>103</v>
      </c>
      <c r="D24" s="70">
        <f>+D19+D20+D21+D22+D23</f>
        <v>83</v>
      </c>
      <c r="E24" s="70">
        <f>+E19+E20+E21+E22+E23</f>
        <v>98</v>
      </c>
      <c r="F24" s="70">
        <f>+F19+F20+F21+F22+F23</f>
        <v>112</v>
      </c>
      <c r="G24" s="71">
        <f>+G19+G20+G21+G22+G23</f>
        <v>396</v>
      </c>
      <c r="H24" s="82"/>
      <c r="I24" s="69">
        <f>+I19+I20+I21+I22+I23</f>
        <v>98</v>
      </c>
      <c r="J24" s="70">
        <f>+J19+J20+J21+J22+J23</f>
        <v>85</v>
      </c>
      <c r="K24" s="70">
        <f>+K19+K20+K21+K22+K23</f>
        <v>107</v>
      </c>
      <c r="L24" s="70">
        <f>+L19+L20+L21+L22+L23</f>
        <v>143</v>
      </c>
      <c r="M24" s="71">
        <f>+M19+M20+M21+M22+M23</f>
        <v>433</v>
      </c>
      <c r="N24" s="82"/>
      <c r="O24" s="69">
        <f>+O19+O20+O21+O22+O23</f>
        <v>97.613</v>
      </c>
      <c r="P24" s="70">
        <f>+P19+P20+P21+P22+P23</f>
        <v>77.575000000000045</v>
      </c>
      <c r="Q24" s="70">
        <f>+Q19+Q20+Q21+Q22+Q23</f>
        <v>76.993000000000052</v>
      </c>
      <c r="R24" s="70">
        <f>+R19+R20+R21+R22+R23</f>
        <v>98.482000000000028</v>
      </c>
      <c r="S24" s="71">
        <f>+S19+S20+S21+S22+S23</f>
        <v>350.66300000000001</v>
      </c>
      <c r="T24" s="72"/>
      <c r="U24" s="69">
        <f>+U19+U20+U21+U22+U23</f>
        <v>110.65600000000001</v>
      </c>
      <c r="V24" s="70">
        <f>+V19+V20+V21+V22+V23</f>
        <v>92.100999999999999</v>
      </c>
      <c r="W24" s="70">
        <f>+W19+W20+W21+W22+W23</f>
        <v>107.80200000000002</v>
      </c>
      <c r="X24" s="70">
        <f>+X19+X20+X21+X22+X23</f>
        <v>129.15700000000004</v>
      </c>
      <c r="Y24" s="71">
        <f>+Y19+Y20+Y21+Y22+Y23</f>
        <v>439.71600000000035</v>
      </c>
      <c r="Z24" s="72"/>
      <c r="AA24" s="69">
        <f>+AA19+AA20+AA21+AA22+AA23</f>
        <v>101.83899999999994</v>
      </c>
      <c r="AB24" s="70">
        <f>+AB19+AB20+AB21+AB22+AB23</f>
        <v>121.70699999999999</v>
      </c>
      <c r="AC24" s="70">
        <f>+AC19+AC20+AC21+AC22+AC23</f>
        <v>127.35500000000002</v>
      </c>
      <c r="AD24" s="70">
        <f>+AD19+AD20+AD21+AD22+AD23</f>
        <v>146.60300000000007</v>
      </c>
      <c r="AE24" s="71">
        <f>+AE19+AE20+AE21+AE22+AE23</f>
        <v>497.50399999999991</v>
      </c>
      <c r="AF24" s="72"/>
      <c r="AG24" s="69">
        <f>+AG19+AG20+AG21+AG22+AG23</f>
        <v>134</v>
      </c>
      <c r="AH24" s="70">
        <f>+AH19+AH20+AH21+AH22+AH23</f>
        <v>119</v>
      </c>
      <c r="AI24" s="70">
        <f>+AI19+AI20+AI21+AI22+AI23</f>
        <v>134</v>
      </c>
      <c r="AJ24" s="70">
        <f>+AJ19+AJ20+AJ21+AJ22+AJ23</f>
        <v>172</v>
      </c>
      <c r="AK24" s="71">
        <f>+AK19+AK20+AK21+AK22+AK23</f>
        <v>559</v>
      </c>
      <c r="AL24" s="72"/>
      <c r="AM24" s="69">
        <f>+AM19+AM20+AM21+AM22+AM23</f>
        <v>140.00000000000011</v>
      </c>
      <c r="AN24" s="70">
        <f>+AN19+AN20+AN21+AN22+AN23</f>
        <v>163</v>
      </c>
      <c r="AO24" s="70">
        <f>+AO19+AO20+AO21+AO22+AO23</f>
        <v>149</v>
      </c>
      <c r="AP24" s="70">
        <f>+AP19+AP20+AP21+AP22+AP23</f>
        <v>189</v>
      </c>
      <c r="AQ24" s="71">
        <f>+AQ19+AQ20+AQ21+AQ22+AQ23</f>
        <v>641.00000000000011</v>
      </c>
      <c r="AR24" s="72"/>
      <c r="AS24" s="69">
        <f>+AS19+AS20+AS21+AS22+AS23</f>
        <v>166</v>
      </c>
      <c r="AT24" s="70">
        <f>+AT19+AT20+AT21+AT22+AT23</f>
        <v>141.94100000000003</v>
      </c>
      <c r="AU24" s="70">
        <f>+AU19+AU20+AU21+AU22+AU23</f>
        <v>164.69799999999998</v>
      </c>
      <c r="AV24" s="70">
        <f>+AV19+AV20+AV21+AV22+AV23</f>
        <v>191.33100000000013</v>
      </c>
      <c r="AW24" s="71">
        <f>+AW19+AW20+AW21+AW22+AW23</f>
        <v>663.97000000000014</v>
      </c>
      <c r="AX24" s="72"/>
      <c r="AY24" s="69">
        <f>+AY19+AY20+AY21+AY22+AY23</f>
        <v>174.46900000000005</v>
      </c>
      <c r="AZ24" s="70">
        <f>+AZ19+AZ20+AZ21+AZ22+AZ23</f>
        <v>161.09900000000005</v>
      </c>
      <c r="BA24" s="70">
        <f>+BA19+BA20+BA21+BA22+BA23</f>
        <v>184.54899999999998</v>
      </c>
      <c r="BB24" s="70">
        <f>+BB19+BB20+BB21+BB22+BB23</f>
        <v>210.01800000000003</v>
      </c>
      <c r="BC24" s="71">
        <f>+BC19+BC20+BC21+BC22+BC23</f>
        <v>730.1350000000001</v>
      </c>
      <c r="BD24" s="72"/>
      <c r="BE24" s="69">
        <f>+BE19+BE20+BE21+BE22+BE23</f>
        <v>191.33400000000006</v>
      </c>
      <c r="BF24" s="70">
        <f>+BF19+BF20+BF21+BF22+BF23</f>
        <v>181.1400000000001</v>
      </c>
      <c r="BG24" s="70">
        <f>+BG19+BG20+BG21+BG22+BG23</f>
        <v>199.82399999999996</v>
      </c>
      <c r="BH24" s="70">
        <f>+BH19+BH20+BH21+BH22+BH23</f>
        <v>232.09529999999995</v>
      </c>
      <c r="BI24" s="71">
        <f>+BI19+BI20+BI21+BI22+BI23</f>
        <v>804.39330000000007</v>
      </c>
      <c r="BJ24" s="72"/>
      <c r="BK24" s="69">
        <f>+BK19+BK20+BK21+BK22+BK23</f>
        <v>212.23099999999999</v>
      </c>
      <c r="BL24" s="70">
        <f>+BL19+BL20+BL21+BL22+BL23</f>
        <v>231.16599999999994</v>
      </c>
      <c r="BM24" s="70">
        <f>+BM19+BM20+BM21+BM22+BM23</f>
        <v>228.21609999999998</v>
      </c>
      <c r="BN24" s="70">
        <f>+BN19+BN20+BN21+BN22+BN23</f>
        <v>266.62099999999998</v>
      </c>
      <c r="BO24" s="71">
        <f>+BO19+BO20+BO21+BO22+BO23</f>
        <v>938.2340999999999</v>
      </c>
      <c r="BP24" s="72"/>
      <c r="BQ24" s="69">
        <f>+BQ19+BQ20+BQ21+BQ22+BQ23</f>
        <v>262.73259999999993</v>
      </c>
      <c r="BR24" s="70">
        <f>+BR19+BR20+BR21+BR22+BR23</f>
        <v>292.30170375019651</v>
      </c>
      <c r="BS24" s="70">
        <f>+BS19+BS20+BS21+BS22+BS23</f>
        <v>281.50210781581148</v>
      </c>
      <c r="BT24" s="70">
        <f>+BT19+BT20+BT21+BT22+BT23</f>
        <v>322.36665363426425</v>
      </c>
      <c r="BU24" s="71">
        <f>+BU19+BU20+BU21+BU22+BU23</f>
        <v>1158.9030652002723</v>
      </c>
      <c r="BV24" s="72"/>
      <c r="BW24" s="69">
        <f>+BW19+BW20+BW21+BW22+BW23</f>
        <v>290.97292170518102</v>
      </c>
      <c r="BX24" s="70">
        <f>+BX19+BX20+BX21+BX22+BX23</f>
        <v>320.87892523110048</v>
      </c>
      <c r="BY24" s="70">
        <f>+BY19+BY20+BY21+BY22+BY23</f>
        <v>312.76092541028027</v>
      </c>
      <c r="BZ24" s="70">
        <f>+BZ19+BZ20+BZ21+BZ22+BZ23</f>
        <v>357.04752885899171</v>
      </c>
      <c r="CA24" s="71">
        <f>+CA19+CA20+CA21+CA22+CA23</f>
        <v>1281.6603012055534</v>
      </c>
      <c r="CB24" s="77"/>
      <c r="CC24" s="69">
        <f>+CC19+CC20+CC21+CC22+CC23</f>
        <v>324.24406198250796</v>
      </c>
      <c r="CD24" s="70">
        <f>+CD19+CD20+CD21+CD22+CD23</f>
        <v>438.50663199387833</v>
      </c>
      <c r="CE24" s="70">
        <f>+CE19+CE20+CE21+CE22+CE23</f>
        <v>436.08435609715309</v>
      </c>
      <c r="CF24" s="70">
        <f>+CF19+CF20+CF21+CF22+CF23</f>
        <v>488.69893946400259</v>
      </c>
      <c r="CG24" s="71">
        <f>+CG19+CG20+CG21+CG22+CG23</f>
        <v>1687.5339895375419</v>
      </c>
      <c r="CH24" s="83"/>
      <c r="CI24" s="69">
        <f>+CI19+CI20+CI21+CI22+CI23</f>
        <v>454.02343004433482</v>
      </c>
      <c r="CJ24" s="70">
        <f>+CJ19+CJ20+CJ21+CJ22+CJ23</f>
        <v>396.61240963097362</v>
      </c>
      <c r="CK24" s="70">
        <f>+CK19+CK20+CK21+CK22+CK23</f>
        <v>390.74241505951915</v>
      </c>
      <c r="CL24" s="70">
        <f>+CL19+CL20+CL21+CL22+CL23</f>
        <v>440.54691660285101</v>
      </c>
      <c r="CM24" s="71">
        <f>+CM19+CM20+CM21+CM22+CM23</f>
        <v>1681.9251713376786</v>
      </c>
      <c r="CN24" s="83"/>
      <c r="CO24" s="83"/>
      <c r="CP24" s="83"/>
      <c r="CQ24"/>
      <c r="CR24"/>
      <c r="CS24"/>
      <c r="CT24"/>
      <c r="CU24"/>
      <c r="CV24"/>
      <c r="CW24" s="83"/>
    </row>
    <row r="25" spans="1:119" s="149" customFormat="1">
      <c r="A25" s="60" t="s">
        <v>82</v>
      </c>
      <c r="B25" s="61"/>
      <c r="C25" s="65">
        <f>C24*C116</f>
        <v>20.6</v>
      </c>
      <c r="D25" s="66">
        <f>D24*D116</f>
        <v>16.600000000000001</v>
      </c>
      <c r="E25" s="66">
        <f>E24*E116</f>
        <v>19.600000000000001</v>
      </c>
      <c r="F25" s="66">
        <f>F24*F116</f>
        <v>22.400000000000002</v>
      </c>
      <c r="G25" s="62">
        <f>SUM(C25:F25)</f>
        <v>79.2</v>
      </c>
      <c r="H25" s="61"/>
      <c r="I25" s="65">
        <f>I24*I116</f>
        <v>19.600000000000001</v>
      </c>
      <c r="J25" s="66">
        <f>J24*J116</f>
        <v>17</v>
      </c>
      <c r="K25" s="66">
        <f>K24*K116</f>
        <v>21.400000000000002</v>
      </c>
      <c r="L25" s="66">
        <f>L24*L116</f>
        <v>28.6</v>
      </c>
      <c r="M25" s="62">
        <f>SUM(I25:L25)</f>
        <v>86.6</v>
      </c>
      <c r="N25" s="61"/>
      <c r="O25" s="65">
        <f>O24*O116</f>
        <v>19.522600000000001</v>
      </c>
      <c r="P25" s="66">
        <f>P24*P116</f>
        <v>15.515000000000009</v>
      </c>
      <c r="Q25" s="66">
        <f>Q24*Q116</f>
        <v>15.398600000000011</v>
      </c>
      <c r="R25" s="66">
        <f>R24*R116</f>
        <v>19.696400000000008</v>
      </c>
      <c r="S25" s="62">
        <f>SUM(O25:R25)</f>
        <v>70.132600000000025</v>
      </c>
      <c r="T25" s="63"/>
      <c r="U25" s="65">
        <f>U24*U116</f>
        <v>22.131200000000003</v>
      </c>
      <c r="V25" s="66">
        <f>V24*V116</f>
        <v>18.420200000000001</v>
      </c>
      <c r="W25" s="66">
        <f>W24*W116</f>
        <v>21.560400000000005</v>
      </c>
      <c r="X25" s="66">
        <f>X24*X116</f>
        <v>25.831400000000009</v>
      </c>
      <c r="Y25" s="62">
        <f>SUM(U25:X25)</f>
        <v>87.943200000000019</v>
      </c>
      <c r="Z25" s="63"/>
      <c r="AA25" s="65">
        <f>AA24*AA116</f>
        <v>20.367799999999988</v>
      </c>
      <c r="AB25" s="66">
        <f>AB24*AB116</f>
        <v>24.3414</v>
      </c>
      <c r="AC25" s="66">
        <f>AC24*AC116</f>
        <v>25.471000000000004</v>
      </c>
      <c r="AD25" s="66">
        <f>AD24*AD116</f>
        <v>29.320600000000013</v>
      </c>
      <c r="AE25" s="62">
        <f>SUM(AA25:AD25)</f>
        <v>99.500799999999998</v>
      </c>
      <c r="AF25" s="63"/>
      <c r="AG25" s="65">
        <f>AG24*AG116</f>
        <v>26.8</v>
      </c>
      <c r="AH25" s="66">
        <f>AH24*AH116</f>
        <v>23.8</v>
      </c>
      <c r="AI25" s="66">
        <f>AI24*AI116</f>
        <v>26.8</v>
      </c>
      <c r="AJ25" s="66">
        <f>AJ24*AJ116</f>
        <v>34.4</v>
      </c>
      <c r="AK25" s="62">
        <f>SUM(AG25:AJ25)</f>
        <v>111.80000000000001</v>
      </c>
      <c r="AL25" s="63"/>
      <c r="AM25" s="65">
        <f>AM24*AM116</f>
        <v>28.000000000000025</v>
      </c>
      <c r="AN25" s="66">
        <f>AN24*AN116</f>
        <v>32.6</v>
      </c>
      <c r="AO25" s="66">
        <f>AO24*AO116</f>
        <v>29.8</v>
      </c>
      <c r="AP25" s="66">
        <f>AP24*AP116</f>
        <v>37.800000000000004</v>
      </c>
      <c r="AQ25" s="62">
        <f>SUM(AM25:AP25)</f>
        <v>128.20000000000002</v>
      </c>
      <c r="AR25" s="63"/>
      <c r="AS25" s="1307">
        <f>AS24*AS116</f>
        <v>26.560000000000002</v>
      </c>
      <c r="AT25" s="66">
        <f>AT24*AT116</f>
        <v>22.710560000000005</v>
      </c>
      <c r="AU25" s="66">
        <f>AU24*AU116</f>
        <v>26.351679999999998</v>
      </c>
      <c r="AV25" s="66">
        <f>AV24*AV116</f>
        <v>30.612960000000022</v>
      </c>
      <c r="AW25" s="62">
        <f>SUM(AS25:AV25)</f>
        <v>106.23520000000002</v>
      </c>
      <c r="AX25" s="63"/>
      <c r="AY25" s="1869">
        <f>11+24</f>
        <v>35</v>
      </c>
      <c r="AZ25" s="1558">
        <f>8+24</f>
        <v>32</v>
      </c>
      <c r="BA25" s="1558">
        <v>37</v>
      </c>
      <c r="BB25" s="1558">
        <v>42</v>
      </c>
      <c r="BC25" s="62">
        <f>SUM(AY25:BB25)</f>
        <v>146</v>
      </c>
      <c r="BD25" s="63"/>
      <c r="BE25" s="1869">
        <v>38</v>
      </c>
      <c r="BF25" s="1552">
        <v>36</v>
      </c>
      <c r="BG25" s="1552">
        <v>40</v>
      </c>
      <c r="BH25" s="1552">
        <v>39</v>
      </c>
      <c r="BI25" s="62">
        <f>SUM(BE25:BH25)</f>
        <v>153</v>
      </c>
      <c r="BJ25" s="63"/>
      <c r="BK25" s="2145">
        <v>40</v>
      </c>
      <c r="BL25" s="2208">
        <v>44</v>
      </c>
      <c r="BM25" s="1552">
        <v>37</v>
      </c>
      <c r="BN25" s="2358">
        <v>48</v>
      </c>
      <c r="BO25" s="62">
        <f>SUM(BK25:BN25)</f>
        <v>169</v>
      </c>
      <c r="BP25" s="63"/>
      <c r="BQ25" s="2478">
        <v>48</v>
      </c>
      <c r="BR25" s="66">
        <f>BR24*BR116</f>
        <v>53.402135022488402</v>
      </c>
      <c r="BS25" s="66">
        <f>BS24*BS116</f>
        <v>51.429100062797517</v>
      </c>
      <c r="BT25" s="66">
        <f>BT24*BT116</f>
        <v>58.894858782064688</v>
      </c>
      <c r="BU25" s="62">
        <f>SUM(BQ25:BT25)</f>
        <v>211.72609386735061</v>
      </c>
      <c r="BV25" s="63"/>
      <c r="BW25" s="65">
        <f>BW24*BW116</f>
        <v>52.375125906932581</v>
      </c>
      <c r="BX25" s="66">
        <f>BX24*BX116</f>
        <v>57.758206541598085</v>
      </c>
      <c r="BY25" s="66">
        <f>BY24*BY116</f>
        <v>56.296966573850447</v>
      </c>
      <c r="BZ25" s="66">
        <f>BZ24*BZ116</f>
        <v>64.2685551946185</v>
      </c>
      <c r="CA25" s="62">
        <f>SUM(BW25:BZ25)</f>
        <v>230.69885421699962</v>
      </c>
      <c r="CB25" s="66"/>
      <c r="CC25" s="65">
        <f>CC24*CC116</f>
        <v>58.363931156851429</v>
      </c>
      <c r="CD25" s="66">
        <f>CD24*CD116</f>
        <v>78.93119375889809</v>
      </c>
      <c r="CE25" s="66">
        <f>CE24*CE116</f>
        <v>78.495184097487552</v>
      </c>
      <c r="CF25" s="66">
        <f>CF24*CF116</f>
        <v>87.965809103520456</v>
      </c>
      <c r="CG25" s="62">
        <f>SUM(CC25:CF25)</f>
        <v>303.75611811675753</v>
      </c>
      <c r="CH25" s="86"/>
      <c r="CI25" s="65">
        <f>CI24*CI116</f>
        <v>81.724217407980262</v>
      </c>
      <c r="CJ25" s="66">
        <f>CJ24*CJ116</f>
        <v>71.390233733575243</v>
      </c>
      <c r="CK25" s="66">
        <f>CK24*CK116</f>
        <v>70.33363471071344</v>
      </c>
      <c r="CL25" s="66">
        <f>CL24*CL116</f>
        <v>79.298444988513182</v>
      </c>
      <c r="CM25" s="62">
        <f>SUM(CI25:CL25)</f>
        <v>302.74653084078216</v>
      </c>
      <c r="CN25" s="86"/>
      <c r="CO25" s="86"/>
      <c r="CP25" s="86"/>
      <c r="CQ25"/>
      <c r="CR25"/>
      <c r="CS25"/>
      <c r="CT25"/>
      <c r="CU25"/>
      <c r="CV25"/>
      <c r="CW25" s="86"/>
    </row>
    <row r="26" spans="1:119" s="149" customFormat="1" outlineLevel="1">
      <c r="A26" s="88" t="s">
        <v>83</v>
      </c>
      <c r="B26" s="82"/>
      <c r="C26" s="76">
        <f>+C24-C25</f>
        <v>82.4</v>
      </c>
      <c r="D26" s="77">
        <f>+D24-D25</f>
        <v>66.400000000000006</v>
      </c>
      <c r="E26" s="77">
        <f>+E24-E25</f>
        <v>78.400000000000006</v>
      </c>
      <c r="F26" s="77">
        <f>+F24-F25</f>
        <v>89.6</v>
      </c>
      <c r="G26" s="78">
        <f>+G24-G25</f>
        <v>316.8</v>
      </c>
      <c r="H26" s="82"/>
      <c r="I26" s="76">
        <f>+I24-I25</f>
        <v>78.400000000000006</v>
      </c>
      <c r="J26" s="77">
        <f>+J24-J25</f>
        <v>68</v>
      </c>
      <c r="K26" s="77">
        <f>+K24-K25</f>
        <v>85.6</v>
      </c>
      <c r="L26" s="77">
        <f>+L24-L25</f>
        <v>114.4</v>
      </c>
      <c r="M26" s="78">
        <f>+M24-M25</f>
        <v>346.4</v>
      </c>
      <c r="N26" s="82"/>
      <c r="O26" s="76">
        <f t="shared" ref="O26:V26" si="10">+O24-O25</f>
        <v>78.090400000000002</v>
      </c>
      <c r="P26" s="77">
        <f t="shared" si="10"/>
        <v>62.060000000000038</v>
      </c>
      <c r="Q26" s="77">
        <f t="shared" si="10"/>
        <v>61.594400000000043</v>
      </c>
      <c r="R26" s="77">
        <f t="shared" si="10"/>
        <v>78.785600000000017</v>
      </c>
      <c r="S26" s="78">
        <f t="shared" si="10"/>
        <v>280.53039999999999</v>
      </c>
      <c r="T26" s="72"/>
      <c r="U26" s="76">
        <f t="shared" si="10"/>
        <v>88.524799999999999</v>
      </c>
      <c r="V26" s="77">
        <f t="shared" si="10"/>
        <v>73.680800000000005</v>
      </c>
      <c r="W26" s="77">
        <f>+W24-W25</f>
        <v>86.24160000000002</v>
      </c>
      <c r="X26" s="77">
        <f>+X24-X25</f>
        <v>103.32560000000004</v>
      </c>
      <c r="Y26" s="78">
        <f>+Y24-Y25</f>
        <v>351.7728000000003</v>
      </c>
      <c r="Z26" s="72"/>
      <c r="AA26" s="76">
        <f>+AA24-AA25</f>
        <v>81.471199999999953</v>
      </c>
      <c r="AB26" s="77">
        <f>+AB24-AB25</f>
        <v>97.365600000000001</v>
      </c>
      <c r="AC26" s="77">
        <f>+AC24-AC25</f>
        <v>101.88400000000001</v>
      </c>
      <c r="AD26" s="77">
        <f>+AD24-AD25</f>
        <v>117.28240000000005</v>
      </c>
      <c r="AE26" s="78">
        <f>+AE24-AE25</f>
        <v>398.00319999999988</v>
      </c>
      <c r="AF26" s="72"/>
      <c r="AG26" s="76">
        <f>+AG24-AG25</f>
        <v>107.2</v>
      </c>
      <c r="AH26" s="77">
        <f>+AH24-AH25</f>
        <v>95.2</v>
      </c>
      <c r="AI26" s="77">
        <f>+AI24-AI25</f>
        <v>107.2</v>
      </c>
      <c r="AJ26" s="77">
        <f>+AJ24-AJ25</f>
        <v>137.6</v>
      </c>
      <c r="AK26" s="78">
        <f>+AK24-AK25</f>
        <v>447.2</v>
      </c>
      <c r="AL26" s="72"/>
      <c r="AM26" s="76">
        <f>+AM24-AM25</f>
        <v>112.00000000000009</v>
      </c>
      <c r="AN26" s="77">
        <f>+AN24-AN25</f>
        <v>130.4</v>
      </c>
      <c r="AO26" s="77">
        <f>+AO24-AO25</f>
        <v>119.2</v>
      </c>
      <c r="AP26" s="77">
        <f>+AP24-AP25</f>
        <v>151.19999999999999</v>
      </c>
      <c r="AQ26" s="78">
        <f>+AQ24-AQ25</f>
        <v>512.80000000000007</v>
      </c>
      <c r="AR26" s="72"/>
      <c r="AS26" s="76">
        <f>+AS24-AS25</f>
        <v>139.44</v>
      </c>
      <c r="AT26" s="77">
        <f>+AT24-AT25</f>
        <v>119.23044000000003</v>
      </c>
      <c r="AU26" s="77">
        <f>+AU24-AU25</f>
        <v>138.34631999999999</v>
      </c>
      <c r="AV26" s="77">
        <f>+AV24-AV25</f>
        <v>160.71804000000012</v>
      </c>
      <c r="AW26" s="78">
        <f>+AW24-AW25</f>
        <v>557.73480000000018</v>
      </c>
      <c r="AX26" s="72"/>
      <c r="AY26" s="76">
        <f>+AY24-AY25</f>
        <v>139.46900000000005</v>
      </c>
      <c r="AZ26" s="77">
        <f>+AZ24-AZ25</f>
        <v>129.09900000000005</v>
      </c>
      <c r="BA26" s="77">
        <f>+BA24-BA25</f>
        <v>147.54899999999998</v>
      </c>
      <c r="BB26" s="77">
        <f>+BB24-BB25</f>
        <v>168.01800000000003</v>
      </c>
      <c r="BC26" s="78">
        <f>+BC24-BC25</f>
        <v>584.1350000000001</v>
      </c>
      <c r="BD26" s="72"/>
      <c r="BE26" s="76">
        <f>+BE24-BE25</f>
        <v>153.33400000000006</v>
      </c>
      <c r="BF26" s="77">
        <f>+BF24-BF25</f>
        <v>145.1400000000001</v>
      </c>
      <c r="BG26" s="77">
        <f>+BG24-BG25</f>
        <v>159.82399999999996</v>
      </c>
      <c r="BH26" s="77">
        <f>+BH24-BH25</f>
        <v>193.09529999999995</v>
      </c>
      <c r="BI26" s="78">
        <f>+BI24-BI25</f>
        <v>651.39330000000007</v>
      </c>
      <c r="BJ26" s="72"/>
      <c r="BK26" s="76">
        <f>+BK24-BK25</f>
        <v>172.23099999999999</v>
      </c>
      <c r="BL26" s="77">
        <f>+BL24-BL25</f>
        <v>187.16599999999994</v>
      </c>
      <c r="BM26" s="77">
        <f>+BM24-BM25</f>
        <v>191.21609999999998</v>
      </c>
      <c r="BN26" s="77">
        <f>+BN24-BN25</f>
        <v>218.62099999999998</v>
      </c>
      <c r="BO26" s="78">
        <f>+BO24-BO25</f>
        <v>769.2340999999999</v>
      </c>
      <c r="BP26" s="72"/>
      <c r="BQ26" s="76">
        <f>+BQ24-BQ25</f>
        <v>214.73259999999993</v>
      </c>
      <c r="BR26" s="77">
        <f>+BR24-BR25</f>
        <v>238.8995687277081</v>
      </c>
      <c r="BS26" s="77">
        <f>+BS24-BS25</f>
        <v>230.07300775301397</v>
      </c>
      <c r="BT26" s="77">
        <f>+BT24-BT25</f>
        <v>263.47179485219954</v>
      </c>
      <c r="BU26" s="78">
        <f>+BU24-BU25</f>
        <v>947.17697133292165</v>
      </c>
      <c r="BV26" s="72"/>
      <c r="BW26" s="76">
        <f>+BW24-BW25</f>
        <v>238.59779579824846</v>
      </c>
      <c r="BX26" s="77">
        <f>+BX24-BX25</f>
        <v>263.12071868950238</v>
      </c>
      <c r="BY26" s="77">
        <f>+BY24-BY25</f>
        <v>256.46395883642981</v>
      </c>
      <c r="BZ26" s="77">
        <f>+BZ24-BZ25</f>
        <v>292.77897366437321</v>
      </c>
      <c r="CA26" s="78">
        <f>+CA24-CA25</f>
        <v>1050.9614469885537</v>
      </c>
      <c r="CB26" s="77"/>
      <c r="CC26" s="76">
        <f>+CC24-CC25</f>
        <v>265.88013082565652</v>
      </c>
      <c r="CD26" s="77">
        <f>+CD24-CD25</f>
        <v>359.57543823498025</v>
      </c>
      <c r="CE26" s="77">
        <f>+CE24-CE25</f>
        <v>357.58917199966555</v>
      </c>
      <c r="CF26" s="77">
        <f>+CF24-CF25</f>
        <v>400.73313036048216</v>
      </c>
      <c r="CG26" s="78">
        <f>+CG24-CG25</f>
        <v>1383.7778714207843</v>
      </c>
      <c r="CH26" s="1308"/>
      <c r="CI26" s="76">
        <f>+CI24-CI25</f>
        <v>372.29921263635458</v>
      </c>
      <c r="CJ26" s="77">
        <f>+CJ24-CJ25</f>
        <v>325.22217589739836</v>
      </c>
      <c r="CK26" s="77">
        <f>+CK24-CK25</f>
        <v>320.40878034880569</v>
      </c>
      <c r="CL26" s="77">
        <f>+CL24-CL25</f>
        <v>361.24847161433786</v>
      </c>
      <c r="CM26" s="78">
        <f>+CM24-CM25</f>
        <v>1379.1786404968966</v>
      </c>
      <c r="CN26" s="1308"/>
      <c r="CO26" s="1308"/>
      <c r="CP26" s="1308"/>
      <c r="CQ26"/>
      <c r="CR26"/>
      <c r="CS26"/>
      <c r="CT26"/>
      <c r="CU26"/>
      <c r="CV26"/>
      <c r="CW26" s="1308"/>
    </row>
    <row r="27" spans="1:119" s="149" customFormat="1" ht="13.5" customHeight="1" outlineLevel="1">
      <c r="A27" s="90" t="s">
        <v>84</v>
      </c>
      <c r="B27" s="91"/>
      <c r="C27" s="1557">
        <v>0</v>
      </c>
      <c r="D27" s="1558">
        <v>0</v>
      </c>
      <c r="E27" s="1558">
        <v>0</v>
      </c>
      <c r="F27" s="1558">
        <v>0</v>
      </c>
      <c r="G27" s="93">
        <f>SUM(C27:F27)</f>
        <v>0</v>
      </c>
      <c r="H27" s="91"/>
      <c r="I27" s="1557">
        <v>0</v>
      </c>
      <c r="J27" s="1558">
        <v>0</v>
      </c>
      <c r="K27" s="1558">
        <v>0</v>
      </c>
      <c r="L27" s="1558">
        <v>0</v>
      </c>
      <c r="M27" s="93">
        <f>SUM(I27:L27)</f>
        <v>0</v>
      </c>
      <c r="N27" s="91"/>
      <c r="O27" s="1557">
        <v>0</v>
      </c>
      <c r="P27" s="1558">
        <v>0</v>
      </c>
      <c r="Q27" s="1558">
        <v>0</v>
      </c>
      <c r="R27" s="1558">
        <v>0</v>
      </c>
      <c r="S27" s="93">
        <f>SUM(O27:R27)</f>
        <v>0</v>
      </c>
      <c r="T27" s="92"/>
      <c r="U27" s="1557">
        <v>0</v>
      </c>
      <c r="V27" s="1558">
        <v>0</v>
      </c>
      <c r="W27" s="1558">
        <v>0</v>
      </c>
      <c r="X27" s="1558">
        <v>0</v>
      </c>
      <c r="Y27" s="93">
        <f>SUM(U27:X27)</f>
        <v>0</v>
      </c>
      <c r="Z27" s="92"/>
      <c r="AA27" s="1557">
        <v>0</v>
      </c>
      <c r="AB27" s="1558">
        <v>0</v>
      </c>
      <c r="AC27" s="1558">
        <v>0</v>
      </c>
      <c r="AD27" s="1558">
        <v>0</v>
      </c>
      <c r="AE27" s="93">
        <f>SUM(AA27:AD27)</f>
        <v>0</v>
      </c>
      <c r="AF27" s="92"/>
      <c r="AG27" s="1557">
        <v>0</v>
      </c>
      <c r="AH27" s="1558">
        <v>0</v>
      </c>
      <c r="AI27" s="1558">
        <v>0</v>
      </c>
      <c r="AJ27" s="1558">
        <v>0</v>
      </c>
      <c r="AK27" s="93">
        <f>SUM(AG27:AJ27)</f>
        <v>0</v>
      </c>
      <c r="AL27" s="92"/>
      <c r="AM27" s="1557">
        <v>0</v>
      </c>
      <c r="AN27" s="1558">
        <v>0</v>
      </c>
      <c r="AO27" s="1558">
        <v>0</v>
      </c>
      <c r="AP27" s="1558">
        <v>0</v>
      </c>
      <c r="AQ27" s="93">
        <f>SUM(AM27:AP27)</f>
        <v>0</v>
      </c>
      <c r="AR27" s="92"/>
      <c r="AS27" s="1557">
        <v>74</v>
      </c>
      <c r="AT27" s="1558">
        <v>0</v>
      </c>
      <c r="AU27" s="1558">
        <v>0</v>
      </c>
      <c r="AV27" s="1558">
        <v>0</v>
      </c>
      <c r="AW27" s="93">
        <f>SUM(AS27:AV27)</f>
        <v>74</v>
      </c>
      <c r="AX27" s="92"/>
      <c r="AY27" s="1557">
        <v>-30</v>
      </c>
      <c r="AZ27" s="1558">
        <v>88</v>
      </c>
      <c r="BA27" s="1558">
        <v>0</v>
      </c>
      <c r="BB27" s="1558">
        <v>0</v>
      </c>
      <c r="BC27" s="93">
        <f>SUM(AY27:BB27)</f>
        <v>58</v>
      </c>
      <c r="BD27" s="92"/>
      <c r="BE27" s="1557">
        <v>0</v>
      </c>
      <c r="BF27" s="1558">
        <v>0</v>
      </c>
      <c r="BG27" s="1558">
        <v>0</v>
      </c>
      <c r="BH27" s="1558">
        <v>0</v>
      </c>
      <c r="BI27" s="93">
        <f>SUM(BE27:BH27)</f>
        <v>0</v>
      </c>
      <c r="BJ27" s="92"/>
      <c r="BK27" s="1557">
        <v>0</v>
      </c>
      <c r="BL27" s="1558">
        <v>0</v>
      </c>
      <c r="BM27" s="1558">
        <v>0</v>
      </c>
      <c r="BN27" s="1558">
        <v>0</v>
      </c>
      <c r="BO27" s="93">
        <f>SUM(BK27:BN27)</f>
        <v>0</v>
      </c>
      <c r="BP27" s="92"/>
      <c r="BQ27" s="1557">
        <v>0</v>
      </c>
      <c r="BR27" s="1558">
        <v>0</v>
      </c>
      <c r="BS27" s="1558">
        <v>0</v>
      </c>
      <c r="BT27" s="1558">
        <v>0</v>
      </c>
      <c r="BU27" s="93">
        <f>SUM(BQ27:BT27)</f>
        <v>0</v>
      </c>
      <c r="BV27" s="92"/>
      <c r="BW27" s="1557">
        <v>0</v>
      </c>
      <c r="BX27" s="1558">
        <v>0</v>
      </c>
      <c r="BY27" s="1558">
        <v>0</v>
      </c>
      <c r="BZ27" s="1558">
        <v>0</v>
      </c>
      <c r="CA27" s="93">
        <f>SUM(BW27:BZ27)</f>
        <v>0</v>
      </c>
      <c r="CB27" s="91"/>
      <c r="CC27" s="1557">
        <v>0</v>
      </c>
      <c r="CD27" s="1558">
        <v>0</v>
      </c>
      <c r="CE27" s="1558">
        <v>0</v>
      </c>
      <c r="CF27" s="1558">
        <v>0</v>
      </c>
      <c r="CG27" s="93">
        <f>SUM(CC27:CF27)</f>
        <v>0</v>
      </c>
      <c r="CH27" s="86"/>
      <c r="CI27" s="1557">
        <v>0</v>
      </c>
      <c r="CJ27" s="1558">
        <v>0</v>
      </c>
      <c r="CK27" s="1558">
        <v>0</v>
      </c>
      <c r="CL27" s="1558">
        <v>0</v>
      </c>
      <c r="CM27" s="93">
        <f>SUM(CI27:CL27)</f>
        <v>0</v>
      </c>
      <c r="CN27" s="86"/>
      <c r="CO27" s="86"/>
      <c r="CP27" s="86"/>
      <c r="CQ27"/>
      <c r="CR27"/>
      <c r="CS27"/>
      <c r="CT27"/>
      <c r="CU27"/>
      <c r="CV27"/>
      <c r="CW27" s="86"/>
    </row>
    <row r="28" spans="1:119" s="149" customFormat="1" ht="13.5" customHeight="1">
      <c r="A28" s="94" t="s">
        <v>85</v>
      </c>
      <c r="B28" s="95"/>
      <c r="C28" s="96">
        <f>C26+C27</f>
        <v>82.4</v>
      </c>
      <c r="D28" s="95">
        <f>D26+D27</f>
        <v>66.400000000000006</v>
      </c>
      <c r="E28" s="95">
        <f>E26+E27</f>
        <v>78.400000000000006</v>
      </c>
      <c r="F28" s="95">
        <f>F26+F27</f>
        <v>89.6</v>
      </c>
      <c r="G28" s="97">
        <f>G26+G27</f>
        <v>316.8</v>
      </c>
      <c r="H28" s="95"/>
      <c r="I28" s="96">
        <f>I26+I27</f>
        <v>78.400000000000006</v>
      </c>
      <c r="J28" s="95">
        <f>J26+J27</f>
        <v>68</v>
      </c>
      <c r="K28" s="95">
        <f>K26+K27</f>
        <v>85.6</v>
      </c>
      <c r="L28" s="95">
        <f>L26+L27</f>
        <v>114.4</v>
      </c>
      <c r="M28" s="97">
        <f>M26+M27</f>
        <v>346.4</v>
      </c>
      <c r="N28" s="95"/>
      <c r="O28" s="96">
        <f>O26+O27</f>
        <v>78.090400000000002</v>
      </c>
      <c r="P28" s="95">
        <f>P26+P27</f>
        <v>62.060000000000038</v>
      </c>
      <c r="Q28" s="95">
        <f>Q26+Q27</f>
        <v>61.594400000000043</v>
      </c>
      <c r="R28" s="95">
        <f>R26+R27</f>
        <v>78.785600000000017</v>
      </c>
      <c r="S28" s="97">
        <f>S26+S27</f>
        <v>280.53039999999999</v>
      </c>
      <c r="T28" s="98"/>
      <c r="U28" s="96">
        <f>U26+U27</f>
        <v>88.524799999999999</v>
      </c>
      <c r="V28" s="95">
        <f>V26+V27</f>
        <v>73.680800000000005</v>
      </c>
      <c r="W28" s="95">
        <f>W26+W27</f>
        <v>86.24160000000002</v>
      </c>
      <c r="X28" s="95">
        <f>X26+X27</f>
        <v>103.32560000000004</v>
      </c>
      <c r="Y28" s="97">
        <f>Y26+Y27</f>
        <v>351.7728000000003</v>
      </c>
      <c r="Z28" s="98"/>
      <c r="AA28" s="96">
        <f>AA26+AA27</f>
        <v>81.471199999999953</v>
      </c>
      <c r="AB28" s="95">
        <f>AB26+AB27</f>
        <v>97.365600000000001</v>
      </c>
      <c r="AC28" s="95">
        <f>AC26+AC27</f>
        <v>101.88400000000001</v>
      </c>
      <c r="AD28" s="95">
        <f>AD26+AD27</f>
        <v>117.28240000000005</v>
      </c>
      <c r="AE28" s="97">
        <f>AE26+AE27</f>
        <v>398.00319999999988</v>
      </c>
      <c r="AF28" s="98"/>
      <c r="AG28" s="96">
        <f>AG26+AG27</f>
        <v>107.2</v>
      </c>
      <c r="AH28" s="95">
        <f>AH26+AH27</f>
        <v>95.2</v>
      </c>
      <c r="AI28" s="95">
        <f>AI26+AI27</f>
        <v>107.2</v>
      </c>
      <c r="AJ28" s="95">
        <f>AJ26+AJ27</f>
        <v>137.6</v>
      </c>
      <c r="AK28" s="97">
        <f>AK26+AK27</f>
        <v>447.2</v>
      </c>
      <c r="AL28" s="98"/>
      <c r="AM28" s="96">
        <f>AM26+AM27</f>
        <v>112.00000000000009</v>
      </c>
      <c r="AN28" s="95">
        <f>AN26+AN27</f>
        <v>130.4</v>
      </c>
      <c r="AO28" s="95">
        <f>AO26+AO27</f>
        <v>119.2</v>
      </c>
      <c r="AP28" s="95">
        <f>AP26+AP27</f>
        <v>151.19999999999999</v>
      </c>
      <c r="AQ28" s="97">
        <f>AQ26+AQ27</f>
        <v>512.80000000000007</v>
      </c>
      <c r="AR28" s="98"/>
      <c r="AS28" s="96">
        <f>AS26+AS27</f>
        <v>213.44</v>
      </c>
      <c r="AT28" s="95">
        <f>AT26+AT27</f>
        <v>119.23044000000003</v>
      </c>
      <c r="AU28" s="95">
        <f>AU26+AU27</f>
        <v>138.34631999999999</v>
      </c>
      <c r="AV28" s="95">
        <f>AV26+AV27</f>
        <v>160.71804000000012</v>
      </c>
      <c r="AW28" s="97">
        <f>AW26+AW27</f>
        <v>631.73480000000018</v>
      </c>
      <c r="AX28" s="98"/>
      <c r="AY28" s="96">
        <f>AY26+AY27</f>
        <v>109.46900000000005</v>
      </c>
      <c r="AZ28" s="95">
        <f>AZ26+AZ27</f>
        <v>217.09900000000005</v>
      </c>
      <c r="BA28" s="95">
        <f>BA26+BA27</f>
        <v>147.54899999999998</v>
      </c>
      <c r="BB28" s="95">
        <f>BB26+BB27</f>
        <v>168.01800000000003</v>
      </c>
      <c r="BC28" s="97">
        <f>BC26+BC27</f>
        <v>642.1350000000001</v>
      </c>
      <c r="BD28" s="98"/>
      <c r="BE28" s="96">
        <f>BE26+BE27</f>
        <v>153.33400000000006</v>
      </c>
      <c r="BF28" s="95">
        <f>BF26+BF27</f>
        <v>145.1400000000001</v>
      </c>
      <c r="BG28" s="95">
        <f>BG26+BG27</f>
        <v>159.82399999999996</v>
      </c>
      <c r="BH28" s="95">
        <f>BH26+BH27</f>
        <v>193.09529999999995</v>
      </c>
      <c r="BI28" s="97">
        <f>BI26+BI27</f>
        <v>651.39330000000007</v>
      </c>
      <c r="BJ28" s="98"/>
      <c r="BK28" s="96">
        <f>BK26+BK27</f>
        <v>172.23099999999999</v>
      </c>
      <c r="BL28" s="95">
        <f>BL26+BL27</f>
        <v>187.16599999999994</v>
      </c>
      <c r="BM28" s="95">
        <f>BM26+BM27</f>
        <v>191.21609999999998</v>
      </c>
      <c r="BN28" s="95">
        <f>BN26+BN27</f>
        <v>218.62099999999998</v>
      </c>
      <c r="BO28" s="97">
        <f>BO26+BO27</f>
        <v>769.2340999999999</v>
      </c>
      <c r="BP28" s="98"/>
      <c r="BQ28" s="96">
        <f>BQ26+BQ27</f>
        <v>214.73259999999993</v>
      </c>
      <c r="BR28" s="95">
        <f>BR26+BR27</f>
        <v>238.8995687277081</v>
      </c>
      <c r="BS28" s="95">
        <f>BS26+BS27</f>
        <v>230.07300775301397</v>
      </c>
      <c r="BT28" s="95">
        <f>BT26+BT27</f>
        <v>263.47179485219954</v>
      </c>
      <c r="BU28" s="97">
        <f>BU26+BU27</f>
        <v>947.17697133292165</v>
      </c>
      <c r="BV28" s="98"/>
      <c r="BW28" s="96">
        <f>BW26+BW27</f>
        <v>238.59779579824846</v>
      </c>
      <c r="BX28" s="95">
        <f>BX26+BX27</f>
        <v>263.12071868950238</v>
      </c>
      <c r="BY28" s="95">
        <f>BY26+BY27</f>
        <v>256.46395883642981</v>
      </c>
      <c r="BZ28" s="95">
        <f>BZ26+BZ27</f>
        <v>292.77897366437321</v>
      </c>
      <c r="CA28" s="97">
        <f>CA26+CA27</f>
        <v>1050.9614469885537</v>
      </c>
      <c r="CB28" s="95"/>
      <c r="CC28" s="96">
        <f>CC26+CC27</f>
        <v>265.88013082565652</v>
      </c>
      <c r="CD28" s="95">
        <f>CD26+CD27</f>
        <v>359.57543823498025</v>
      </c>
      <c r="CE28" s="95">
        <f>CE26+CE27</f>
        <v>357.58917199966555</v>
      </c>
      <c r="CF28" s="95">
        <f>CF26+CF27</f>
        <v>400.73313036048216</v>
      </c>
      <c r="CG28" s="97">
        <f>CG26+CG27</f>
        <v>1383.7778714207843</v>
      </c>
      <c r="CH28" s="1308"/>
      <c r="CI28" s="96">
        <f>CI26+CI27</f>
        <v>372.29921263635458</v>
      </c>
      <c r="CJ28" s="95">
        <f>CJ26+CJ27</f>
        <v>325.22217589739836</v>
      </c>
      <c r="CK28" s="95">
        <f>CK26+CK27</f>
        <v>320.40878034880569</v>
      </c>
      <c r="CL28" s="95">
        <f>CL26+CL27</f>
        <v>361.24847161433786</v>
      </c>
      <c r="CM28" s="97">
        <f>CM26+CM27</f>
        <v>1379.1786404968966</v>
      </c>
      <c r="CN28" s="1308"/>
      <c r="CO28" s="1308"/>
      <c r="CP28" s="1308"/>
      <c r="CQ28"/>
      <c r="CR28"/>
      <c r="CS28"/>
      <c r="CT28"/>
      <c r="CU28"/>
      <c r="CV28"/>
      <c r="CW28" s="1308"/>
    </row>
    <row r="29" spans="1:119" s="149" customFormat="1" outlineLevel="1">
      <c r="A29" s="90" t="s">
        <v>86</v>
      </c>
      <c r="B29" s="99"/>
      <c r="C29" s="100">
        <f>C126+C134</f>
        <v>8.7388888888888907</v>
      </c>
      <c r="D29" s="101">
        <f>D126+D134</f>
        <v>8.7388888888888907</v>
      </c>
      <c r="E29" s="101">
        <f>E126+E134</f>
        <v>8.7388888888888907</v>
      </c>
      <c r="F29" s="101">
        <f>F126+F134</f>
        <v>8.7388888888888907</v>
      </c>
      <c r="G29" s="102">
        <f>G126+G134</f>
        <v>34.955555555555563</v>
      </c>
      <c r="H29" s="99"/>
      <c r="I29" s="100">
        <f>I126+I134</f>
        <v>8.1430555555555557</v>
      </c>
      <c r="J29" s="101">
        <f>J126+J134</f>
        <v>8.1430555555555557</v>
      </c>
      <c r="K29" s="101">
        <f>K126+K134</f>
        <v>8.1430555555555557</v>
      </c>
      <c r="L29" s="101">
        <f>L126+L134</f>
        <v>8.1430555555555557</v>
      </c>
      <c r="M29" s="102">
        <f>M126+M134</f>
        <v>32.572222222222223</v>
      </c>
      <c r="N29" s="99"/>
      <c r="O29" s="100">
        <f>O126+O134</f>
        <v>9.1000000000000014</v>
      </c>
      <c r="P29" s="101">
        <f>P126+P134</f>
        <v>7.8000000000000007</v>
      </c>
      <c r="Q29" s="101">
        <f>Q126+Q134</f>
        <v>8.4499999999999993</v>
      </c>
      <c r="R29" s="101">
        <f>R126+R134</f>
        <v>7.15</v>
      </c>
      <c r="S29" s="102">
        <f>S126+S134</f>
        <v>32.5</v>
      </c>
      <c r="T29" s="103"/>
      <c r="U29" s="100">
        <f>U126+U134</f>
        <v>5.85</v>
      </c>
      <c r="V29" s="101">
        <f>V126+V134</f>
        <v>3.25</v>
      </c>
      <c r="W29" s="101">
        <f>W126+W134</f>
        <v>18.850000000000001</v>
      </c>
      <c r="X29" s="101">
        <f>X126+X134</f>
        <v>23.4</v>
      </c>
      <c r="Y29" s="102">
        <f>Y126+Y134</f>
        <v>51.35</v>
      </c>
      <c r="Z29" s="103"/>
      <c r="AA29" s="100">
        <f>AA126+AA134</f>
        <v>31.200000000000003</v>
      </c>
      <c r="AB29" s="101">
        <f>AB126+AB134</f>
        <v>26</v>
      </c>
      <c r="AC29" s="101">
        <f>AC126+AC134</f>
        <v>25.35</v>
      </c>
      <c r="AD29" s="101">
        <f>AD126+AD134</f>
        <v>22.1</v>
      </c>
      <c r="AE29" s="102">
        <f>AE126+AE134</f>
        <v>104.65</v>
      </c>
      <c r="AF29" s="103"/>
      <c r="AG29" s="100">
        <f>AG126+AG134</f>
        <v>12.025</v>
      </c>
      <c r="AH29" s="101">
        <f>AH126+AH134</f>
        <v>15.925000000000001</v>
      </c>
      <c r="AI29" s="101">
        <f>AI126+AI134</f>
        <v>82.224999999999994</v>
      </c>
      <c r="AJ29" s="101">
        <f>AJ126+AJ134</f>
        <v>87.425000000000011</v>
      </c>
      <c r="AK29" s="102">
        <f>AK126+AK134</f>
        <v>197.60000000000002</v>
      </c>
      <c r="AL29" s="103"/>
      <c r="AM29" s="100">
        <f>AM126+AM134</f>
        <v>39.8125</v>
      </c>
      <c r="AN29" s="101">
        <f>AN126+AN134</f>
        <v>76.862500000000011</v>
      </c>
      <c r="AO29" s="101">
        <f>AO126+AO134</f>
        <v>37.862499999999997</v>
      </c>
      <c r="AP29" s="101">
        <f>AP126+AP134</f>
        <v>40.462500000000006</v>
      </c>
      <c r="AQ29" s="102">
        <f>AQ126+AQ134</f>
        <v>195</v>
      </c>
      <c r="AR29" s="103"/>
      <c r="AS29" s="100">
        <f>AS126+AS134</f>
        <v>19</v>
      </c>
      <c r="AT29" s="101">
        <f>AT126+AT134</f>
        <v>79</v>
      </c>
      <c r="AU29" s="101">
        <f>AU126+AU134</f>
        <v>74</v>
      </c>
      <c r="AV29" s="101">
        <f>AV126+AV134</f>
        <v>187</v>
      </c>
      <c r="AW29" s="102">
        <f>AW126+AW134</f>
        <v>359</v>
      </c>
      <c r="AX29" s="103"/>
      <c r="AY29" s="100">
        <f>AY126+AY134</f>
        <v>37</v>
      </c>
      <c r="AZ29" s="101">
        <f>AZ126+AZ134</f>
        <v>41</v>
      </c>
      <c r="BA29" s="101">
        <f>BA126+BA134</f>
        <v>42</v>
      </c>
      <c r="BB29" s="101">
        <f>BB126+BB134</f>
        <v>28</v>
      </c>
      <c r="BC29" s="102">
        <f>BC126+BC134</f>
        <v>148</v>
      </c>
      <c r="BD29" s="103"/>
      <c r="BE29" s="100">
        <f>BE126+BE134</f>
        <v>30</v>
      </c>
      <c r="BF29" s="101">
        <f>BF126+BF134</f>
        <v>54</v>
      </c>
      <c r="BG29" s="101">
        <f>BG126+BG134</f>
        <v>36</v>
      </c>
      <c r="BH29" s="101">
        <f>BH126+BH134</f>
        <v>69</v>
      </c>
      <c r="BI29" s="102">
        <f>BI126+BI134</f>
        <v>189</v>
      </c>
      <c r="BJ29" s="103"/>
      <c r="BK29" s="100">
        <f>BK126+BK134</f>
        <v>2</v>
      </c>
      <c r="BL29" s="101">
        <f>BL126+BL134</f>
        <v>23</v>
      </c>
      <c r="BM29" s="101">
        <f>BM126+BM134</f>
        <v>16</v>
      </c>
      <c r="BN29" s="101">
        <f>BN126+BN134</f>
        <v>41</v>
      </c>
      <c r="BO29" s="102">
        <f>BO126+BO134</f>
        <v>82</v>
      </c>
      <c r="BP29" s="103"/>
      <c r="BQ29" s="100">
        <f>BQ126+BQ134</f>
        <v>536</v>
      </c>
      <c r="BR29" s="101">
        <f>BR126+BR134</f>
        <v>22.611617424016515</v>
      </c>
      <c r="BS29" s="101">
        <f>BS126+BS134</f>
        <v>21.718550646500976</v>
      </c>
      <c r="BT29" s="101">
        <f>BT126+BT134</f>
        <v>25.602072190099388</v>
      </c>
      <c r="BU29" s="102">
        <f>BU126+BU134</f>
        <v>605.93224026061671</v>
      </c>
      <c r="BV29" s="103"/>
      <c r="BW29" s="100">
        <f>BW126+BW134</f>
        <v>13.277155195354931</v>
      </c>
      <c r="BX29" s="101">
        <f>BX126+BX134</f>
        <v>18.068525489390165</v>
      </c>
      <c r="BY29" s="101">
        <f>BY126+BY134</f>
        <v>17.364126366127238</v>
      </c>
      <c r="BZ29" s="101">
        <f>BZ126+BZ134</f>
        <v>20.95425729319</v>
      </c>
      <c r="CA29" s="102">
        <f>CA126+CA134</f>
        <v>69.664064344062353</v>
      </c>
      <c r="CB29" s="101"/>
      <c r="CC29" s="100">
        <f>CC126+CC134</f>
        <v>11.181882477588054</v>
      </c>
      <c r="CD29" s="101">
        <f>CD126+CD134</f>
        <v>15.921783393390992</v>
      </c>
      <c r="CE29" s="101">
        <f>CE126+CE134</f>
        <v>15.28483046529221</v>
      </c>
      <c r="CF29" s="101">
        <f>CF126+CF134</f>
        <v>18.720298730732299</v>
      </c>
      <c r="CG29" s="102">
        <f>CG126+CG134</f>
        <v>61.108795067003562</v>
      </c>
      <c r="CH29" s="86"/>
      <c r="CI29" s="100">
        <f>CI126+CI134</f>
        <v>11.729002822335172</v>
      </c>
      <c r="CJ29" s="101">
        <f>CJ126+CJ134</f>
        <v>16.521440662953772</v>
      </c>
      <c r="CK29" s="101">
        <f>CK126+CK134</f>
        <v>15.980847421036094</v>
      </c>
      <c r="CL29" s="101">
        <f>CL126+CL134</f>
        <v>19.412198236457574</v>
      </c>
      <c r="CM29" s="102">
        <f>CM126+CM134</f>
        <v>63.643489142782613</v>
      </c>
      <c r="CN29" s="86"/>
      <c r="CO29" s="86"/>
      <c r="CP29" s="86"/>
      <c r="CQ29"/>
      <c r="CR29"/>
      <c r="CS29"/>
      <c r="CT29"/>
      <c r="CU29"/>
      <c r="CV29"/>
      <c r="CW29" s="86"/>
    </row>
    <row r="30" spans="1:119" s="149" customFormat="1" ht="13.5" customHeight="1" outlineLevel="1">
      <c r="A30" s="94" t="s">
        <v>87</v>
      </c>
      <c r="B30" s="95"/>
      <c r="C30" s="96">
        <f>C28-C29</f>
        <v>73.661111111111111</v>
      </c>
      <c r="D30" s="95">
        <f>D28-D29</f>
        <v>57.661111111111111</v>
      </c>
      <c r="E30" s="95">
        <f>E28-E29</f>
        <v>69.661111111111111</v>
      </c>
      <c r="F30" s="95">
        <f>F28-F29</f>
        <v>80.8611111111111</v>
      </c>
      <c r="G30" s="97">
        <f>G28-G29</f>
        <v>281.84444444444443</v>
      </c>
      <c r="H30" s="95"/>
      <c r="I30" s="96">
        <f>I28-I29</f>
        <v>70.256944444444457</v>
      </c>
      <c r="J30" s="95">
        <f>J28-J29</f>
        <v>59.856944444444444</v>
      </c>
      <c r="K30" s="95">
        <f>K28-K29</f>
        <v>77.456944444444446</v>
      </c>
      <c r="L30" s="95">
        <f>L28-L29</f>
        <v>106.25694444444446</v>
      </c>
      <c r="M30" s="97">
        <f>M28-M29</f>
        <v>313.82777777777778</v>
      </c>
      <c r="N30" s="95"/>
      <c r="O30" s="96">
        <f t="shared" ref="O30:Y30" si="11">O28-O29</f>
        <v>68.990399999999994</v>
      </c>
      <c r="P30" s="95">
        <f t="shared" si="11"/>
        <v>54.260000000000034</v>
      </c>
      <c r="Q30" s="95">
        <f t="shared" si="11"/>
        <v>53.144400000000047</v>
      </c>
      <c r="R30" s="95">
        <f t="shared" si="11"/>
        <v>71.635600000000011</v>
      </c>
      <c r="S30" s="97">
        <f t="shared" si="11"/>
        <v>248.03039999999999</v>
      </c>
      <c r="T30" s="98"/>
      <c r="U30" s="96">
        <f t="shared" si="11"/>
        <v>82.674800000000005</v>
      </c>
      <c r="V30" s="95">
        <f t="shared" si="11"/>
        <v>70.430800000000005</v>
      </c>
      <c r="W30" s="95">
        <f t="shared" si="11"/>
        <v>67.391600000000011</v>
      </c>
      <c r="X30" s="95">
        <f t="shared" si="11"/>
        <v>79.925600000000031</v>
      </c>
      <c r="Y30" s="97">
        <f t="shared" si="11"/>
        <v>300.42280000000028</v>
      </c>
      <c r="Z30" s="98"/>
      <c r="AA30" s="96">
        <f>AA28-AA29</f>
        <v>50.271199999999951</v>
      </c>
      <c r="AB30" s="95">
        <f>AB28-AB29</f>
        <v>71.365600000000001</v>
      </c>
      <c r="AC30" s="95">
        <f>AC28-AC29</f>
        <v>76.53400000000002</v>
      </c>
      <c r="AD30" s="95">
        <f>AD28-AD29</f>
        <v>95.182400000000058</v>
      </c>
      <c r="AE30" s="97">
        <f>AE28-AE29</f>
        <v>293.3531999999999</v>
      </c>
      <c r="AF30" s="98"/>
      <c r="AG30" s="96">
        <f>AG28-AG29</f>
        <v>95.174999999999997</v>
      </c>
      <c r="AH30" s="95">
        <f>AH28-AH29</f>
        <v>79.275000000000006</v>
      </c>
      <c r="AI30" s="95">
        <f>AI28-AI29</f>
        <v>24.975000000000009</v>
      </c>
      <c r="AJ30" s="95">
        <f>AJ28-AJ29</f>
        <v>50.174999999999983</v>
      </c>
      <c r="AK30" s="97">
        <f>AK28-AK29</f>
        <v>249.59999999999997</v>
      </c>
      <c r="AL30" s="98"/>
      <c r="AM30" s="96">
        <f>AM28-AM29</f>
        <v>72.187500000000085</v>
      </c>
      <c r="AN30" s="95">
        <f>AN28-AN29</f>
        <v>53.537499999999994</v>
      </c>
      <c r="AO30" s="95">
        <f>AO28-AO29</f>
        <v>81.337500000000006</v>
      </c>
      <c r="AP30" s="95">
        <f>AP28-AP29</f>
        <v>110.73749999999998</v>
      </c>
      <c r="AQ30" s="97">
        <f>AQ28-AQ29</f>
        <v>317.80000000000007</v>
      </c>
      <c r="AR30" s="98"/>
      <c r="AS30" s="96">
        <f>AS28-AS29</f>
        <v>194.44</v>
      </c>
      <c r="AT30" s="95">
        <f>AT28-AT29</f>
        <v>40.23044000000003</v>
      </c>
      <c r="AU30" s="95">
        <f>AU28-AU29</f>
        <v>64.346319999999992</v>
      </c>
      <c r="AV30" s="95">
        <f>AV28-AV29</f>
        <v>-26.281959999999884</v>
      </c>
      <c r="AW30" s="97">
        <f>AW28-AW29</f>
        <v>272.73480000000018</v>
      </c>
      <c r="AX30" s="98"/>
      <c r="AY30" s="96">
        <f>AY28-AY29</f>
        <v>72.469000000000051</v>
      </c>
      <c r="AZ30" s="95">
        <f>AZ28-AZ29</f>
        <v>176.09900000000005</v>
      </c>
      <c r="BA30" s="95">
        <f>BA28-BA29</f>
        <v>105.54899999999998</v>
      </c>
      <c r="BB30" s="95">
        <f>BB28-BB29</f>
        <v>140.01800000000003</v>
      </c>
      <c r="BC30" s="97">
        <f>BC28-BC29</f>
        <v>494.1350000000001</v>
      </c>
      <c r="BD30" s="98"/>
      <c r="BE30" s="96">
        <f>BE28-BE29</f>
        <v>123.33400000000006</v>
      </c>
      <c r="BF30" s="95">
        <f>BF28-BF29</f>
        <v>91.1400000000001</v>
      </c>
      <c r="BG30" s="95">
        <f>BG28-BG29</f>
        <v>123.82399999999996</v>
      </c>
      <c r="BH30" s="95">
        <f>BH28-BH29</f>
        <v>124.09529999999995</v>
      </c>
      <c r="BI30" s="97">
        <f>BI28-BI29</f>
        <v>462.39330000000007</v>
      </c>
      <c r="BJ30" s="98"/>
      <c r="BK30" s="96">
        <f>BK28-BK29</f>
        <v>170.23099999999999</v>
      </c>
      <c r="BL30" s="95">
        <f>BL28-BL29</f>
        <v>164.16599999999994</v>
      </c>
      <c r="BM30" s="95">
        <f>BM28-BM29</f>
        <v>175.21609999999998</v>
      </c>
      <c r="BN30" s="95">
        <f>BN28-BN29</f>
        <v>177.62099999999998</v>
      </c>
      <c r="BO30" s="97">
        <f>BO28-BO29</f>
        <v>687.2340999999999</v>
      </c>
      <c r="BP30" s="98"/>
      <c r="BQ30" s="96">
        <f>BQ28-BQ29</f>
        <v>-321.26740000000007</v>
      </c>
      <c r="BR30" s="95">
        <f>BR28-BR29</f>
        <v>216.28795130369159</v>
      </c>
      <c r="BS30" s="95">
        <f>BS28-BS29</f>
        <v>208.354457106513</v>
      </c>
      <c r="BT30" s="95">
        <f>BT28-BT29</f>
        <v>237.86972266210014</v>
      </c>
      <c r="BU30" s="97">
        <f>BU28-BU29</f>
        <v>341.24473107230494</v>
      </c>
      <c r="BV30" s="98"/>
      <c r="BW30" s="96">
        <f>BW28-BW29</f>
        <v>225.32064060289352</v>
      </c>
      <c r="BX30" s="95">
        <f>BX28-BX29</f>
        <v>245.05219320011221</v>
      </c>
      <c r="BY30" s="95">
        <f>BY28-BY29</f>
        <v>239.09983247030257</v>
      </c>
      <c r="BZ30" s="95">
        <f>BZ28-BZ29</f>
        <v>271.82471637118323</v>
      </c>
      <c r="CA30" s="97">
        <f>CA28-CA29</f>
        <v>981.29738264449134</v>
      </c>
      <c r="CB30" s="95"/>
      <c r="CC30" s="96">
        <f>CC28-CC29</f>
        <v>254.69824834806846</v>
      </c>
      <c r="CD30" s="95">
        <f>CD28-CD29</f>
        <v>343.65365484158929</v>
      </c>
      <c r="CE30" s="95">
        <f>CE28-CE29</f>
        <v>342.30434153437335</v>
      </c>
      <c r="CF30" s="95">
        <f>CF28-CF29</f>
        <v>382.01283162974988</v>
      </c>
      <c r="CG30" s="97">
        <f>CG28-CG29</f>
        <v>1322.6690763537808</v>
      </c>
      <c r="CH30" s="1308"/>
      <c r="CI30" s="96">
        <f>CI28-CI29</f>
        <v>360.57020981401939</v>
      </c>
      <c r="CJ30" s="95">
        <f>CJ28-CJ29</f>
        <v>308.70073523444461</v>
      </c>
      <c r="CK30" s="95">
        <f>CK28-CK29</f>
        <v>304.42793292776958</v>
      </c>
      <c r="CL30" s="95">
        <f>CL28-CL29</f>
        <v>341.83627337788027</v>
      </c>
      <c r="CM30" s="97">
        <f>CM28-CM29</f>
        <v>1315.5351513541141</v>
      </c>
      <c r="CN30" s="1308"/>
      <c r="CO30" s="1308"/>
      <c r="CP30" s="1308"/>
      <c r="CQ30"/>
      <c r="CR30"/>
      <c r="CS30"/>
      <c r="CT30"/>
      <c r="CU30"/>
      <c r="CV30"/>
      <c r="CW30" s="1308"/>
    </row>
    <row r="31" spans="1:119" s="149" customFormat="1" ht="15" customHeight="1">
      <c r="A31" s="2230" t="s">
        <v>88</v>
      </c>
      <c r="B31" s="2231"/>
      <c r="C31" s="2232">
        <f t="shared" ref="C31:AW31" si="12">+(C136-C27)/C35</f>
        <v>0.17622275385433284</v>
      </c>
      <c r="D31" s="2233">
        <f t="shared" si="12"/>
        <v>0.1396152811407049</v>
      </c>
      <c r="E31" s="2233">
        <f t="shared" si="12"/>
        <v>0.1711575211575212</v>
      </c>
      <c r="F31" s="2233">
        <f t="shared" si="12"/>
        <v>0.19916529830322935</v>
      </c>
      <c r="G31" s="2234">
        <f t="shared" si="12"/>
        <v>0.69419813902572525</v>
      </c>
      <c r="H31" s="2231"/>
      <c r="I31" s="2232">
        <f t="shared" si="12"/>
        <v>0.18391870273414779</v>
      </c>
      <c r="J31" s="2233">
        <f t="shared" si="12"/>
        <v>0.16177552552552552</v>
      </c>
      <c r="K31" s="2233">
        <f t="shared" si="12"/>
        <v>0.20821759259259259</v>
      </c>
      <c r="L31" s="2233">
        <f t="shared" si="12"/>
        <v>0.28640685834082064</v>
      </c>
      <c r="M31" s="2234">
        <f t="shared" si="12"/>
        <v>0.84589697514225815</v>
      </c>
      <c r="N31" s="2231"/>
      <c r="O31" s="2232">
        <f t="shared" si="12"/>
        <v>0.19599545454545456</v>
      </c>
      <c r="P31" s="2233">
        <f t="shared" si="12"/>
        <v>0.15773255813953499</v>
      </c>
      <c r="Q31" s="2233">
        <f t="shared" si="12"/>
        <v>0.1540417391304349</v>
      </c>
      <c r="R31" s="2233">
        <f t="shared" si="12"/>
        <v>0.20703930635838153</v>
      </c>
      <c r="S31" s="2234">
        <f t="shared" si="12"/>
        <v>0.71685086705202306</v>
      </c>
      <c r="T31" s="2231"/>
      <c r="U31" s="2232">
        <f t="shared" si="12"/>
        <v>0.2335446327683616</v>
      </c>
      <c r="V31" s="2233">
        <f t="shared" si="12"/>
        <v>0.19895706214689268</v>
      </c>
      <c r="W31" s="2233">
        <f t="shared" si="12"/>
        <v>0.19145340909090913</v>
      </c>
      <c r="X31" s="2233">
        <f t="shared" si="12"/>
        <v>0.22641813031161481</v>
      </c>
      <c r="Y31" s="2234">
        <f t="shared" si="12"/>
        <v>0.85105609065155885</v>
      </c>
      <c r="Z31" s="2231"/>
      <c r="AA31" s="2232">
        <f t="shared" si="12"/>
        <v>0.14160901408450691</v>
      </c>
      <c r="AB31" s="2233">
        <f t="shared" si="12"/>
        <v>0.20102985915492957</v>
      </c>
      <c r="AC31" s="2233">
        <f t="shared" si="12"/>
        <v>0.21438095238095245</v>
      </c>
      <c r="AD31" s="2233">
        <f t="shared" si="12"/>
        <v>0.27117492877492894</v>
      </c>
      <c r="AE31" s="2234">
        <f t="shared" si="12"/>
        <v>0.82751255289139602</v>
      </c>
      <c r="AF31" s="2231"/>
      <c r="AG31" s="2232">
        <f t="shared" si="12"/>
        <v>0.65340909090909094</v>
      </c>
      <c r="AH31" s="2233">
        <f t="shared" si="12"/>
        <v>0.2239406779661017</v>
      </c>
      <c r="AI31" s="2233">
        <f t="shared" si="12"/>
        <v>7.0750708215297456E-2</v>
      </c>
      <c r="AJ31" s="2233">
        <f t="shared" si="12"/>
        <v>0.14213881019830024</v>
      </c>
      <c r="AK31" s="2234">
        <f t="shared" si="12"/>
        <v>0.70708215297450416</v>
      </c>
      <c r="AL31" s="2231"/>
      <c r="AM31" s="2232">
        <f t="shared" si="12"/>
        <v>0.20507812500000025</v>
      </c>
      <c r="AN31" s="2233">
        <f t="shared" si="12"/>
        <v>0.15340257879656161</v>
      </c>
      <c r="AO31" s="2233">
        <f t="shared" si="12"/>
        <v>0.23713556851311954</v>
      </c>
      <c r="AP31" s="2233">
        <f t="shared" si="12"/>
        <v>0.32957589285714278</v>
      </c>
      <c r="AQ31" s="2234">
        <f t="shared" si="12"/>
        <v>0.92115942028985531</v>
      </c>
      <c r="AR31" s="2231"/>
      <c r="AS31" s="2232">
        <f t="shared" si="12"/>
        <v>0.35633136094674556</v>
      </c>
      <c r="AT31" s="2233">
        <f t="shared" si="12"/>
        <v>0.11937816023738881</v>
      </c>
      <c r="AU31" s="2233">
        <f t="shared" si="12"/>
        <v>0.19037372781065087</v>
      </c>
      <c r="AV31" s="2233">
        <f t="shared" si="12"/>
        <v>-7.7757278106508537E-2</v>
      </c>
      <c r="AW31" s="2234">
        <f t="shared" si="12"/>
        <v>0.58840799407846089</v>
      </c>
      <c r="AX31" s="2231"/>
      <c r="AY31" s="2232">
        <f>+(AY136-AY27)/AY35</f>
        <v>0.30342531774097564</v>
      </c>
      <c r="AZ31" s="2233">
        <f>+(AZ136-AZ27)/AZ35</f>
        <v>0.26064650564854863</v>
      </c>
      <c r="BA31" s="2233">
        <f>+(BA136-BA27)/BA35</f>
        <v>0.31413392857142852</v>
      </c>
      <c r="BB31" s="2233">
        <f>+(BB136-BB27)/BB35</f>
        <v>0.41821385902031072</v>
      </c>
      <c r="BC31" s="2234">
        <f>+(BC136-BC27)/BC35</f>
        <v>1.3013809844776436</v>
      </c>
      <c r="BD31" s="2231"/>
      <c r="BE31" s="2232">
        <f>+(BE136-BE27)/BE35</f>
        <v>0.3714879518072291</v>
      </c>
      <c r="BF31" s="2233">
        <f>+(BF136-BF27)/BF35</f>
        <v>0.27786585365853689</v>
      </c>
      <c r="BG31" s="2233">
        <f>+(BG136-BG27)/BG35</f>
        <v>0.37751219512195111</v>
      </c>
      <c r="BH31" s="2233">
        <f>+(BH136-BH27)/BH35</f>
        <v>0.37833932926829256</v>
      </c>
      <c r="BI31" s="2234">
        <f>+(BI136-BI27)/BI35</f>
        <v>1.4054507598784196</v>
      </c>
      <c r="BJ31" s="2231"/>
      <c r="BK31" s="2232">
        <f>+(BK136-BK27)/BK35</f>
        <v>0.52218098159509196</v>
      </c>
      <c r="BL31" s="2233">
        <f>+(BL136-BL27)/BL35</f>
        <v>0.50512615384615367</v>
      </c>
      <c r="BM31" s="2233">
        <f>+(BM136-BM27)/BM35</f>
        <v>0.53747269938650299</v>
      </c>
      <c r="BN31" s="2233">
        <f>+(BN136-BN27)/BN35</f>
        <v>0.54484969325153365</v>
      </c>
      <c r="BO31" s="2234">
        <f>+(BO136-BO27)/BO35</f>
        <v>2.1096979278587873</v>
      </c>
      <c r="BP31" s="2231"/>
      <c r="BQ31" s="2232">
        <f>+(BQ136-BQ27)/BQ35</f>
        <v>-0.99463591331269374</v>
      </c>
      <c r="BR31" s="2233">
        <f>+(BR136-BR27)/BR35</f>
        <v>0.66464381120338811</v>
      </c>
      <c r="BS31" s="2233">
        <f>+(BS136-BS27)/BS35</f>
        <v>0.64335401858143126</v>
      </c>
      <c r="BT31" s="2233">
        <f>+(BT136-BT27)/BT35</f>
        <v>0.73798402189268753</v>
      </c>
      <c r="BU31" s="2234">
        <f>+(BU136-BU27)/BU35</f>
        <v>1.054363747945755</v>
      </c>
      <c r="BV31" s="2231"/>
      <c r="BW31" s="2232">
        <f>+(BW136-BW27)/BW35</f>
        <v>0.70222362429739527</v>
      </c>
      <c r="BX31" s="2233">
        <f>+(BX136-BX27)/BX35</f>
        <v>0.76713347220176265</v>
      </c>
      <c r="BY31" s="2233">
        <f>+(BY136-BY27)/BY35</f>
        <v>0.75179771374058646</v>
      </c>
      <c r="BZ31" s="2233">
        <f>+(BZ136-BZ27)/BZ35</f>
        <v>0.85840426782122226</v>
      </c>
      <c r="CA31" s="2234">
        <f>+(CA136-CA27)/CA35</f>
        <v>3.0785644903978344</v>
      </c>
      <c r="CB31" s="2233"/>
      <c r="CC31" s="2232">
        <f>+(CC136-CC27)/CC35</f>
        <v>0.80775969835970418</v>
      </c>
      <c r="CD31" s="2233">
        <f>+(CD136-CD27)/CD35</f>
        <v>1.0944675452856438</v>
      </c>
      <c r="CE31" s="2233">
        <f>+(CE136-CE27)/CE35</f>
        <v>1.094693962301087</v>
      </c>
      <c r="CF31" s="2233">
        <f>+(CF136-CF27)/CF35</f>
        <v>1.2266753982869649</v>
      </c>
      <c r="CG31" s="2234">
        <f>+(CG136-CG27)/CG35</f>
        <v>4.220987690188835</v>
      </c>
      <c r="CH31" s="1303"/>
      <c r="CI31" s="2232">
        <f>+(CI136-CI27)/CI35</f>
        <v>1.1624819765476819</v>
      </c>
      <c r="CJ31" s="2233">
        <f>+(CJ136-CJ27)/CJ35</f>
        <v>0.99919975816033035</v>
      </c>
      <c r="CK31" s="2233">
        <f>+(CK136-CK27)/CK35</f>
        <v>0.98921641222021917</v>
      </c>
      <c r="CL31" s="2233">
        <f>+(CL136-CL27)/CL35</f>
        <v>1.1150421945488194</v>
      </c>
      <c r="CM31" s="2234">
        <f>+(CM136-CM27)/CM35</f>
        <v>4.2662479125154356</v>
      </c>
      <c r="CN31" s="1303"/>
      <c r="CO31" s="1303"/>
      <c r="CP31" s="1303"/>
      <c r="CQ31"/>
      <c r="CR31"/>
      <c r="CS31"/>
      <c r="CT31"/>
      <c r="CU31"/>
      <c r="CV31"/>
      <c r="CW31" s="1303"/>
    </row>
    <row r="32" spans="1:119" s="149" customFormat="1" ht="12.75" customHeight="1" outlineLevel="1">
      <c r="A32" s="2230" t="s">
        <v>89</v>
      </c>
      <c r="B32" s="2231"/>
      <c r="C32" s="2232">
        <f t="shared" ref="C32:AQ32" si="13">(C26-C129-C27)/C35</f>
        <v>0.16496544391281234</v>
      </c>
      <c r="D32" s="2233">
        <f t="shared" si="13"/>
        <v>0.12822168415388757</v>
      </c>
      <c r="E32" s="2233">
        <f t="shared" si="13"/>
        <v>0.15959595959595962</v>
      </c>
      <c r="F32" s="2233">
        <f t="shared" si="13"/>
        <v>0.18757525998905308</v>
      </c>
      <c r="G32" s="2234">
        <f t="shared" si="13"/>
        <v>0.6478379857690203</v>
      </c>
      <c r="H32" s="2231"/>
      <c r="I32" s="2232">
        <f t="shared" si="13"/>
        <v>0.17244037230948228</v>
      </c>
      <c r="J32" s="2233">
        <f t="shared" si="13"/>
        <v>0.14992492492492493</v>
      </c>
      <c r="K32" s="2233">
        <f t="shared" si="13"/>
        <v>0.19643070489844683</v>
      </c>
      <c r="L32" s="2233">
        <f t="shared" si="13"/>
        <v>0.2745882000598982</v>
      </c>
      <c r="M32" s="2234">
        <f t="shared" si="13"/>
        <v>0.79862234201856841</v>
      </c>
      <c r="N32" s="2231"/>
      <c r="O32" s="2232">
        <f t="shared" si="13"/>
        <v>0.18207500000000001</v>
      </c>
      <c r="P32" s="2233">
        <f t="shared" si="13"/>
        <v>0.14552325581395359</v>
      </c>
      <c r="Q32" s="2233">
        <f t="shared" si="13"/>
        <v>0.14085333333333347</v>
      </c>
      <c r="R32" s="2233">
        <f t="shared" si="13"/>
        <v>0.19591213872832375</v>
      </c>
      <c r="S32" s="2234">
        <f t="shared" si="13"/>
        <v>0.66627283236994217</v>
      </c>
      <c r="T32" s="2231"/>
      <c r="U32" s="2232">
        <f t="shared" si="13"/>
        <v>0.22464632768361581</v>
      </c>
      <c r="V32" s="2233">
        <f t="shared" si="13"/>
        <v>0.1940135593220339</v>
      </c>
      <c r="W32" s="2233">
        <f t="shared" si="13"/>
        <v>0.16261818181818188</v>
      </c>
      <c r="X32" s="2233">
        <f t="shared" si="13"/>
        <v>0.19072407932011343</v>
      </c>
      <c r="Y32" s="2234">
        <f t="shared" si="13"/>
        <v>0.77272747875354197</v>
      </c>
      <c r="Z32" s="2231"/>
      <c r="AA32" s="2232">
        <f t="shared" si="13"/>
        <v>0.15696112676056326</v>
      </c>
      <c r="AB32" s="2233">
        <f t="shared" si="13"/>
        <v>0.20173408450704225</v>
      </c>
      <c r="AC32" s="2233">
        <f t="shared" si="13"/>
        <v>0.21045938375350143</v>
      </c>
      <c r="AD32" s="2233">
        <f t="shared" si="13"/>
        <v>0.26077606837606854</v>
      </c>
      <c r="AE32" s="2234">
        <f t="shared" si="13"/>
        <v>0.82934612129760188</v>
      </c>
      <c r="AF32" s="2231"/>
      <c r="AG32" s="2232">
        <f t="shared" si="13"/>
        <v>0.23281250000000001</v>
      </c>
      <c r="AH32" s="2233">
        <f t="shared" si="13"/>
        <v>0.20042372881355933</v>
      </c>
      <c r="AI32" s="2233">
        <f t="shared" si="13"/>
        <v>0.21798866855524079</v>
      </c>
      <c r="AJ32" s="2233">
        <f t="shared" si="13"/>
        <v>0.24745042492917846</v>
      </c>
      <c r="AK32" s="2234">
        <f t="shared" si="13"/>
        <v>0.89858356940509909</v>
      </c>
      <c r="AL32" s="2231"/>
      <c r="AM32" s="2232">
        <f t="shared" si="13"/>
        <v>0.17755681818181843</v>
      </c>
      <c r="AN32" s="2233">
        <f t="shared" si="13"/>
        <v>0.23467048710601721</v>
      </c>
      <c r="AO32" s="2233">
        <f t="shared" si="13"/>
        <v>0.21486880466472305</v>
      </c>
      <c r="AP32" s="2233">
        <f t="shared" si="13"/>
        <v>0.31458333333333333</v>
      </c>
      <c r="AQ32" s="2234">
        <f t="shared" si="13"/>
        <v>0.93855072463768141</v>
      </c>
      <c r="AR32" s="2231"/>
      <c r="AS32" s="2232">
        <f>(AS26-AS129-AS27)/AS35</f>
        <v>4.8639053254437861E-2</v>
      </c>
      <c r="AT32" s="2233">
        <f>(AT26-AT129-AT27)/AT35</f>
        <v>0.20839893175074192</v>
      </c>
      <c r="AU32" s="2233">
        <f>(AU26-AU129-AU27)/AU35</f>
        <v>0.27321396449704138</v>
      </c>
      <c r="AV32" s="2233">
        <f>(AV26-AV129-AV27)/AV35</f>
        <v>0.34236106508875774</v>
      </c>
      <c r="AW32" s="2234">
        <f>(AW26-AW129-AW27)/AW35</f>
        <v>0.87264189489267263</v>
      </c>
      <c r="AX32" s="2231"/>
      <c r="AY32" s="2232">
        <f>(AY26-AY129-AY27)/AY35</f>
        <v>0.37416863905325459</v>
      </c>
      <c r="AZ32" s="2233">
        <f>(AZ26-AZ129-AZ27)/AZ35</f>
        <v>9.1958456973295147E-3</v>
      </c>
      <c r="BA32" s="2233">
        <f>(BA26-BA129-BA27)/BA35</f>
        <v>0.32603869047619038</v>
      </c>
      <c r="BB32" s="2233">
        <f>(BB26-BB129-BB27)/BB35</f>
        <v>0.39133213859020316</v>
      </c>
      <c r="BC32" s="2234">
        <f>(BC26-BC129-BC27)/BC35</f>
        <v>1.1048805970149256</v>
      </c>
      <c r="BD32" s="2231"/>
      <c r="BE32" s="2232">
        <f>(BE26-BE129-BE27)/BE35</f>
        <v>0.33233132530120502</v>
      </c>
      <c r="BF32" s="2233">
        <f>(BF26-BF129-BF27)/BF35</f>
        <v>0.32054878048780516</v>
      </c>
      <c r="BG32" s="2233">
        <f>(BG26-BG129-BG27)/BG35</f>
        <v>0.37446341463414623</v>
      </c>
      <c r="BH32" s="2233">
        <f>(BH26-BH129-BH27)/BH35</f>
        <v>0.49114420731707303</v>
      </c>
      <c r="BI32" s="2234">
        <f>(BI26-BI129-BI27)/BI35</f>
        <v>1.517912765957447</v>
      </c>
      <c r="BJ32" s="2231"/>
      <c r="BK32" s="2232">
        <f>(BK26-BK129-BK27)/BK35</f>
        <v>0.43322392638036811</v>
      </c>
      <c r="BL32" s="2233">
        <f>(BL26-BL129-BL27)/BL35</f>
        <v>0.48051076923076902</v>
      </c>
      <c r="BM32" s="2233">
        <f>(BM26-BM129-BM27)/BM35</f>
        <v>0.50373036809815941</v>
      </c>
      <c r="BN32" s="2233">
        <f>(BN26-BN129-BN27)/BN35</f>
        <v>0.58472699386503058</v>
      </c>
      <c r="BO32" s="2234">
        <f>(BO26-BO129-BO27)/BO35</f>
        <v>2.0022535686876437</v>
      </c>
      <c r="BP32" s="2231"/>
      <c r="BQ32" s="2232">
        <f>(BQ26-BQ129-BQ27)/BQ35</f>
        <v>0.58740743034055709</v>
      </c>
      <c r="BR32" s="2233">
        <f>(BR26-BR129-BR27)/BR35</f>
        <v>0.66660066795389372</v>
      </c>
      <c r="BS32" s="2233">
        <f>(BS26-BS129-BS27)/BS35</f>
        <v>0.64325246563059213</v>
      </c>
      <c r="BT32" s="2233">
        <f>(BT26-BT129-BT27)/BT35</f>
        <v>0.74583557178610072</v>
      </c>
      <c r="BU32" s="2234">
        <f>(BU26-BU129-BU27)/BU35</f>
        <v>2.6429155644932747</v>
      </c>
      <c r="BV32" s="2231"/>
      <c r="BW32" s="2232">
        <f>(BW26-BW129-BW27)/BW35</f>
        <v>0.69626873803950617</v>
      </c>
      <c r="BX32" s="2233">
        <f>(BX26-BX129-BX27)/BX35</f>
        <v>0.77438719571307957</v>
      </c>
      <c r="BY32" s="2233">
        <f>(BY26-BY129-BY27)/BY35</f>
        <v>0.75675829892048885</v>
      </c>
      <c r="BZ32" s="2233">
        <f>(BZ26-BZ129-BZ27)/BZ35</f>
        <v>0.87182483688026013</v>
      </c>
      <c r="CA32" s="2234">
        <f>(CA26-CA129-CA27)/CA35</f>
        <v>3.0981215343543522</v>
      </c>
      <c r="CB32" s="2233"/>
      <c r="CC32" s="2232">
        <f>(CC26-CC129-CC27)/CC35</f>
        <v>0.80415769088842803</v>
      </c>
      <c r="CD32" s="2233">
        <f>(CD26-CD129-CD27)/CD35</f>
        <v>1.1043758385528599</v>
      </c>
      <c r="CE32" s="2233">
        <f>(CE26-CE129-CE27)/CE35</f>
        <v>1.1021987618878286</v>
      </c>
      <c r="CF32" s="2233">
        <f>(CF26-CF129-CF27)/CF35</f>
        <v>1.2429750351492204</v>
      </c>
      <c r="CG32" s="2234">
        <f>(CG26-CG129-CG27)/CG35</f>
        <v>4.2509795728340212</v>
      </c>
      <c r="CH32" s="1303"/>
      <c r="CI32" s="2232">
        <f>(CI26-CI129-CI27)/CI35</f>
        <v>1.1581678502680663</v>
      </c>
      <c r="CJ32" s="2233">
        <f>(CJ26-CJ129-CJ27)/CJ35</f>
        <v>1.0085519160056202</v>
      </c>
      <c r="CK32" s="2233">
        <f>(CK26-CK129-CK27)/CK35</f>
        <v>0.99600536126497163</v>
      </c>
      <c r="CL32" s="2233">
        <f>(CL26-CL129-CL27)/CL35</f>
        <v>1.1307651193342998</v>
      </c>
      <c r="CM32" s="2234">
        <f>(CM26-CM129-CM27)/CM35</f>
        <v>4.2936855173064234</v>
      </c>
      <c r="CN32" s="1303"/>
      <c r="CO32" s="1303"/>
      <c r="CP32" s="1303"/>
      <c r="CQ32"/>
      <c r="CR32"/>
      <c r="CS32"/>
      <c r="CT32"/>
      <c r="CU32"/>
      <c r="CV32"/>
      <c r="CW32" s="1303"/>
      <c r="CX32" s="1303"/>
      <c r="CY32" s="1303"/>
      <c r="CZ32" s="1303"/>
      <c r="DA32" s="1303"/>
      <c r="DB32" s="1303"/>
      <c r="DC32" s="1303"/>
      <c r="DD32" s="1303"/>
      <c r="DE32" s="1303"/>
      <c r="DF32" s="1303"/>
      <c r="DG32" s="1303"/>
      <c r="DH32" s="1303"/>
      <c r="DI32" s="1303"/>
      <c r="DJ32" s="1303"/>
      <c r="DK32" s="1303"/>
      <c r="DL32" s="1303"/>
      <c r="DM32" s="1303"/>
      <c r="DN32" s="1303"/>
      <c r="DO32" s="1303"/>
    </row>
    <row r="33" spans="1:119" s="149" customFormat="1" ht="15" customHeight="1">
      <c r="A33" s="2230" t="s">
        <v>90</v>
      </c>
      <c r="B33" s="2231"/>
      <c r="C33" s="2235">
        <f>+C26/C35</f>
        <v>0.19712918660287082</v>
      </c>
      <c r="D33" s="2231">
        <f>+D26/D35</f>
        <v>0.16077481840193705</v>
      </c>
      <c r="E33" s="2231">
        <f>+E26/E35</f>
        <v>0.19262899262899263</v>
      </c>
      <c r="F33" s="2231">
        <f>+F26/F35</f>
        <v>0.22068965517241379</v>
      </c>
      <c r="G33" s="2236">
        <f>+G26/G35</f>
        <v>0.78029556650246312</v>
      </c>
      <c r="H33" s="2231"/>
      <c r="I33" s="2235">
        <f>+I26/I35</f>
        <v>0.20523560209424085</v>
      </c>
      <c r="J33" s="2231">
        <f>+J26/J35</f>
        <v>0.18378378378378379</v>
      </c>
      <c r="K33" s="2231">
        <f>+K26/K35</f>
        <v>0.23010752688172043</v>
      </c>
      <c r="L33" s="2231">
        <f>+L26/L35</f>
        <v>0.30835579514824801</v>
      </c>
      <c r="M33" s="2236">
        <f>+M26/M35</f>
        <v>0.93369272237196754</v>
      </c>
      <c r="N33" s="2231"/>
      <c r="O33" s="2235">
        <f>+O26/O35</f>
        <v>0.22184772727272728</v>
      </c>
      <c r="P33" s="2231">
        <f>+P26/P35</f>
        <v>0.18040697674418615</v>
      </c>
      <c r="Q33" s="2231">
        <f>+Q26/Q35</f>
        <v>0.17853449275362332</v>
      </c>
      <c r="R33" s="2231">
        <f>+R26/R35</f>
        <v>0.22770404624277463</v>
      </c>
      <c r="S33" s="2236">
        <f>+S26/S35</f>
        <v>0.81078150289017337</v>
      </c>
      <c r="T33" s="2231"/>
      <c r="U33" s="2235">
        <f>+U26/U35</f>
        <v>0.25007005649717512</v>
      </c>
      <c r="V33" s="2231">
        <f>+V26/V35</f>
        <v>0.20813785310734464</v>
      </c>
      <c r="W33" s="2231">
        <f>+W26/W35</f>
        <v>0.2450045454545455</v>
      </c>
      <c r="X33" s="2231">
        <f>+X26/X35</f>
        <v>0.29270708215297458</v>
      </c>
      <c r="Y33" s="2236">
        <f>+Y26/Y35</f>
        <v>0.99652351274787621</v>
      </c>
      <c r="Z33" s="2231"/>
      <c r="AA33" s="2235">
        <f>+AA26/AA35</f>
        <v>0.22949633802816888</v>
      </c>
      <c r="AB33" s="2231">
        <f>+AB26/AB35</f>
        <v>0.27426929577464787</v>
      </c>
      <c r="AC33" s="2231">
        <f>+AC26/AC35</f>
        <v>0.28538935574229696</v>
      </c>
      <c r="AD33" s="2231">
        <f>+AD26/AD35</f>
        <v>0.33413789173789188</v>
      </c>
      <c r="AE33" s="2236">
        <f>+AE26/AE35</f>
        <v>1.1227170662905497</v>
      </c>
      <c r="AF33" s="2231"/>
      <c r="AG33" s="2235">
        <f>+AG26/AG35</f>
        <v>0.30454545454545456</v>
      </c>
      <c r="AH33" s="2231">
        <f>+AH26/AH35</f>
        <v>0.26892655367231638</v>
      </c>
      <c r="AI33" s="2231">
        <f>+AI26/AI35</f>
        <v>0.3036827195467422</v>
      </c>
      <c r="AJ33" s="2231">
        <f>+AJ26/AJ35</f>
        <v>0.38980169971671386</v>
      </c>
      <c r="AK33" s="2236">
        <f>+AK26/AK35</f>
        <v>1.26685552407932</v>
      </c>
      <c r="AL33" s="2231"/>
      <c r="AM33" s="2235">
        <f>+AM26/AM35</f>
        <v>0.3181818181818184</v>
      </c>
      <c r="AN33" s="2231">
        <f>+AN26/AN35</f>
        <v>0.3736389684813754</v>
      </c>
      <c r="AO33" s="2231">
        <f>+AO26/AO35</f>
        <v>0.34752186588921286</v>
      </c>
      <c r="AP33" s="2231">
        <f>+AP26/AP35</f>
        <v>0.44999999999999996</v>
      </c>
      <c r="AQ33" s="2236">
        <f>+AQ26/AQ35</f>
        <v>1.4863768115942031</v>
      </c>
      <c r="AR33" s="2231"/>
      <c r="AS33" s="2235">
        <f>+AS26/AS35</f>
        <v>0.41254437869822486</v>
      </c>
      <c r="AT33" s="2231">
        <f>+AT26/AT35</f>
        <v>0.35379952522255204</v>
      </c>
      <c r="AU33" s="2231">
        <f>+AU26/AU35</f>
        <v>0.40930863905325443</v>
      </c>
      <c r="AV33" s="2231">
        <f>+AV26/AV35</f>
        <v>0.47549715976331397</v>
      </c>
      <c r="AW33" s="2236">
        <f>+AW26/AW35</f>
        <v>1.6513243523316068</v>
      </c>
      <c r="AX33" s="2231"/>
      <c r="AY33" s="2235">
        <f>+AY26/AY35</f>
        <v>0.41263017751479303</v>
      </c>
      <c r="AZ33" s="2231">
        <f>+AZ26/AZ35</f>
        <v>0.38308308605341262</v>
      </c>
      <c r="BA33" s="2231">
        <f>+BA26/BA35</f>
        <v>0.43913392857142852</v>
      </c>
      <c r="BB33" s="2231">
        <f>+BB26/BB35</f>
        <v>0.50184587813620074</v>
      </c>
      <c r="BC33" s="2236">
        <f>+BC26/BC35</f>
        <v>1.7436865671641795</v>
      </c>
      <c r="BD33" s="2231"/>
      <c r="BE33" s="2235">
        <f>+BE26/BE35</f>
        <v>0.46184939759036164</v>
      </c>
      <c r="BF33" s="2231">
        <f>+BF26/BF35</f>
        <v>0.44250000000000028</v>
      </c>
      <c r="BG33" s="2231">
        <f>+BG26/BG35</f>
        <v>0.48726829268292671</v>
      </c>
      <c r="BH33" s="2231">
        <f>+BH26/BH35</f>
        <v>0.58870518292682916</v>
      </c>
      <c r="BI33" s="2236">
        <f>+BI26/BI35</f>
        <v>1.9799188449848026</v>
      </c>
      <c r="BJ33" s="2231"/>
      <c r="BK33" s="2235">
        <f>+BK26/BK35</f>
        <v>0.52831595092024541</v>
      </c>
      <c r="BL33" s="2231">
        <f>+BL26/BL35</f>
        <v>0.57589538461538448</v>
      </c>
      <c r="BM33" s="2231">
        <f>+BM26/BM35</f>
        <v>0.58655245398773004</v>
      </c>
      <c r="BN33" s="2231">
        <f>+BN26/BN35</f>
        <v>0.67061656441717787</v>
      </c>
      <c r="BO33" s="2236">
        <f>+BO26/BO35</f>
        <v>2.3614247122026089</v>
      </c>
      <c r="BP33" s="2231"/>
      <c r="BQ33" s="2235">
        <f>+BQ26/BQ35</f>
        <v>0.66480681114551066</v>
      </c>
      <c r="BR33" s="2231">
        <f>+BR26/BR35</f>
        <v>0.73412836404872617</v>
      </c>
      <c r="BS33" s="2231">
        <f>+BS26/BS35</f>
        <v>0.7104162596788115</v>
      </c>
      <c r="BT33" s="2231">
        <f>+BT26/BT35</f>
        <v>0.81741371976338184</v>
      </c>
      <c r="BU33" s="2236">
        <f>+BU26/BU35</f>
        <v>2.9265479303499764</v>
      </c>
      <c r="BV33" s="2231"/>
      <c r="BW33" s="2235">
        <f>+BW26/BW35</f>
        <v>0.74360257660595441</v>
      </c>
      <c r="BX33" s="2231">
        <f>+BX26/BX35</f>
        <v>0.82369681291393049</v>
      </c>
      <c r="BY33" s="2231">
        <f>+BY26/BY35</f>
        <v>0.80639545380708566</v>
      </c>
      <c r="BZ33" s="2231">
        <f>+BZ26/BZ35</f>
        <v>0.92457641040496086</v>
      </c>
      <c r="CA33" s="2236">
        <f>+CA26/CA35</f>
        <v>3.2971173149946544</v>
      </c>
      <c r="CB33" s="2231"/>
      <c r="CC33" s="2235">
        <f>+CC26/CC35</f>
        <v>0.84322234514181615</v>
      </c>
      <c r="CD33" s="2231">
        <f>+CD26/CD35</f>
        <v>1.1451752125594492</v>
      </c>
      <c r="CE33" s="2231">
        <f>+CE26/CE35</f>
        <v>1.1435750590179712</v>
      </c>
      <c r="CF33" s="2231">
        <f>+CF26/CF35</f>
        <v>1.2867878552523599</v>
      </c>
      <c r="CG33" s="2236">
        <f>+CG26/CG35</f>
        <v>4.4160020564815436</v>
      </c>
      <c r="CH33" s="1304"/>
      <c r="CI33" s="2235">
        <f>+CI26/CI35</f>
        <v>1.2002963994055056</v>
      </c>
      <c r="CJ33" s="2231">
        <f>+CJ26/CJ35</f>
        <v>1.052676208426464</v>
      </c>
      <c r="CK33" s="2231">
        <f>+CK26/CK35</f>
        <v>1.0411450128517088</v>
      </c>
      <c r="CL33" s="2231">
        <f>+CL26/CL35</f>
        <v>1.178363210509781</v>
      </c>
      <c r="CM33" s="2236">
        <f>+CM26/CM35</f>
        <v>4.4726421714762186</v>
      </c>
      <c r="CN33" s="1304"/>
      <c r="CO33" s="1304"/>
      <c r="CP33" s="1303"/>
      <c r="CQ33"/>
      <c r="CR33"/>
      <c r="CS33"/>
      <c r="CT33"/>
      <c r="CU33"/>
      <c r="CV33"/>
      <c r="CW33" s="1303"/>
      <c r="CX33" s="1303"/>
      <c r="CY33" s="1303"/>
      <c r="CZ33" s="1303"/>
      <c r="DA33" s="1303"/>
      <c r="DB33" s="1303"/>
      <c r="DC33" s="1303"/>
      <c r="DD33" s="1303"/>
      <c r="DE33" s="1303"/>
      <c r="DF33" s="1303"/>
      <c r="DG33" s="1303"/>
      <c r="DH33" s="1303"/>
      <c r="DI33" s="1303"/>
      <c r="DJ33" s="1303"/>
      <c r="DK33" s="1303"/>
      <c r="DL33" s="1303"/>
      <c r="DM33" s="1303"/>
      <c r="DN33" s="1303"/>
      <c r="DO33" s="1303"/>
    </row>
    <row r="34" spans="1:119" s="149" customFormat="1">
      <c r="A34" s="104" t="s">
        <v>91</v>
      </c>
      <c r="B34" s="105"/>
      <c r="C34" s="1559">
        <v>406</v>
      </c>
      <c r="D34" s="1560">
        <v>402</v>
      </c>
      <c r="E34" s="1560">
        <v>392</v>
      </c>
      <c r="F34" s="1560">
        <v>394</v>
      </c>
      <c r="G34" s="84">
        <f>F34</f>
        <v>394</v>
      </c>
      <c r="H34" s="2037"/>
      <c r="I34" s="1559">
        <v>371</v>
      </c>
      <c r="J34" s="1560">
        <v>363</v>
      </c>
      <c r="K34" s="1560">
        <v>362</v>
      </c>
      <c r="L34" s="1560">
        <v>363</v>
      </c>
      <c r="M34" s="84">
        <f>L34</f>
        <v>363</v>
      </c>
      <c r="N34" s="105"/>
      <c r="O34" s="1551">
        <v>351</v>
      </c>
      <c r="P34" s="1552">
        <v>344</v>
      </c>
      <c r="Q34" s="1552">
        <v>345</v>
      </c>
      <c r="R34" s="1552">
        <v>346</v>
      </c>
      <c r="S34" s="84">
        <f>R34</f>
        <v>346</v>
      </c>
      <c r="T34" s="106"/>
      <c r="U34" s="1551">
        <v>348</v>
      </c>
      <c r="V34" s="1552">
        <v>348</v>
      </c>
      <c r="W34" s="1552">
        <v>347</v>
      </c>
      <c r="X34" s="1552">
        <v>347</v>
      </c>
      <c r="Y34" s="84">
        <f>X34</f>
        <v>347</v>
      </c>
      <c r="Z34" s="106"/>
      <c r="AA34" s="1551">
        <v>347</v>
      </c>
      <c r="AB34" s="1552">
        <v>347</v>
      </c>
      <c r="AC34" s="1552">
        <v>348</v>
      </c>
      <c r="AD34" s="1552">
        <v>347</v>
      </c>
      <c r="AE34" s="62">
        <f>AD34</f>
        <v>347</v>
      </c>
      <c r="AF34" s="106"/>
      <c r="AG34" s="1551">
        <v>348</v>
      </c>
      <c r="AH34" s="1552">
        <v>348</v>
      </c>
      <c r="AI34" s="1552">
        <v>348</v>
      </c>
      <c r="AJ34" s="1552">
        <v>348</v>
      </c>
      <c r="AK34" s="62">
        <f>AJ34</f>
        <v>348</v>
      </c>
      <c r="AL34" s="106"/>
      <c r="AM34" s="1551">
        <v>347</v>
      </c>
      <c r="AN34" s="1552">
        <v>345</v>
      </c>
      <c r="AO34" s="1552">
        <v>339</v>
      </c>
      <c r="AP34" s="1552">
        <v>331</v>
      </c>
      <c r="AQ34" s="1553">
        <v>341</v>
      </c>
      <c r="AR34" s="106"/>
      <c r="AS34" s="2038">
        <v>333</v>
      </c>
      <c r="AT34" s="2039">
        <v>333</v>
      </c>
      <c r="AU34" s="1566">
        <v>334</v>
      </c>
      <c r="AV34" s="1566">
        <v>334</v>
      </c>
      <c r="AW34" s="108">
        <f>AV34</f>
        <v>334</v>
      </c>
      <c r="AX34" s="109"/>
      <c r="AY34" s="2040">
        <v>336</v>
      </c>
      <c r="AZ34" s="1566">
        <v>334</v>
      </c>
      <c r="BA34" s="1566">
        <v>334</v>
      </c>
      <c r="BB34" s="1566">
        <v>333</v>
      </c>
      <c r="BC34" s="1983">
        <v>333</v>
      </c>
      <c r="BD34" s="109"/>
      <c r="BE34" s="2040">
        <v>329</v>
      </c>
      <c r="BF34" s="1566">
        <v>326</v>
      </c>
      <c r="BG34" s="2020">
        <v>325</v>
      </c>
      <c r="BH34" s="2020">
        <v>324</v>
      </c>
      <c r="BI34" s="108">
        <f>AVERAGE(BE34:BH34)</f>
        <v>326</v>
      </c>
      <c r="BJ34" s="109"/>
      <c r="BK34" s="2148">
        <v>322</v>
      </c>
      <c r="BL34" s="2206">
        <v>321</v>
      </c>
      <c r="BM34" s="2020">
        <v>321</v>
      </c>
      <c r="BN34" s="2431">
        <v>322</v>
      </c>
      <c r="BO34" s="108">
        <f>BN34</f>
        <v>322</v>
      </c>
      <c r="BP34" s="109"/>
      <c r="BQ34" s="2479">
        <v>323</v>
      </c>
      <c r="BR34" s="110">
        <f>BQ34+CF!BR106</f>
        <v>321.42646603989886</v>
      </c>
      <c r="BS34" s="110">
        <f>BR34+CF!BS106</f>
        <v>319.88291789033048</v>
      </c>
      <c r="BT34" s="110">
        <f>BS34+CF!BT106</f>
        <v>318.36878413125811</v>
      </c>
      <c r="BU34" s="108">
        <f>BT34</f>
        <v>318.36878413125811</v>
      </c>
      <c r="BV34" s="109"/>
      <c r="BW34" s="111">
        <f>BU34+CF!BW106</f>
        <v>316.93033738180617</v>
      </c>
      <c r="BX34" s="110">
        <f>BW34+CF!BX106</f>
        <v>315.51930217400775</v>
      </c>
      <c r="BY34" s="110">
        <f>BX34+CF!BY106</f>
        <v>314.13515614398938</v>
      </c>
      <c r="BZ34" s="110">
        <f>BY34+CF!BZ106</f>
        <v>312.7773868822253</v>
      </c>
      <c r="CA34" s="108">
        <f>BZ34</f>
        <v>312.7773868822253</v>
      </c>
      <c r="CB34" s="110"/>
      <c r="CC34" s="111">
        <f>CA34+CF!CC106</f>
        <v>311.44549174384389</v>
      </c>
      <c r="CD34" s="110">
        <f>CC34+CF!CD106</f>
        <v>310.13897766254905</v>
      </c>
      <c r="CE34" s="110">
        <f>CD34+CF!CE106</f>
        <v>308.85736096808762</v>
      </c>
      <c r="CF34" s="110">
        <f>CE34+CF!CF106</f>
        <v>307.60016720719494</v>
      </c>
      <c r="CG34" s="108">
        <f>CF34</f>
        <v>307.60016720719494</v>
      </c>
      <c r="CH34" s="86"/>
      <c r="CI34" s="111">
        <f>CG34+CF!CI106</f>
        <v>306.3669309679529</v>
      </c>
      <c r="CJ34" s="110">
        <f>CI34+CF!CJ106</f>
        <v>305.15719570749474</v>
      </c>
      <c r="CK34" s="110">
        <f>CJ34+CF!CK106</f>
        <v>303.97051358299342</v>
      </c>
      <c r="CL34" s="110">
        <f>CK34+CF!CL106</f>
        <v>302.80644528587061</v>
      </c>
      <c r="CM34" s="108">
        <f>CL34</f>
        <v>302.80644528587061</v>
      </c>
      <c r="CN34" s="86"/>
      <c r="CO34" s="1968"/>
      <c r="CP34" s="86"/>
      <c r="CQ34"/>
      <c r="CR34"/>
      <c r="CS34"/>
      <c r="CT34"/>
      <c r="CU34"/>
      <c r="CV34"/>
      <c r="CW34" s="86"/>
      <c r="CY34" s="1309"/>
      <c r="CZ34" s="1309"/>
      <c r="DA34" s="1309"/>
      <c r="DB34" s="1309"/>
      <c r="DC34" s="1309"/>
      <c r="DD34" s="1309"/>
      <c r="DE34" s="1309"/>
      <c r="DF34" s="1309"/>
      <c r="DG34" s="1309"/>
      <c r="DH34" s="1309"/>
      <c r="DI34" s="1309"/>
      <c r="DJ34" s="1309"/>
      <c r="DK34" s="1309"/>
      <c r="DL34" s="1309"/>
      <c r="DM34" s="1309"/>
      <c r="DN34" s="1309"/>
      <c r="DO34" s="1309"/>
    </row>
    <row r="35" spans="1:119" s="149" customFormat="1">
      <c r="A35" s="112" t="s">
        <v>92</v>
      </c>
      <c r="B35" s="61"/>
      <c r="C35" s="1561">
        <v>418</v>
      </c>
      <c r="D35" s="1562">
        <v>413</v>
      </c>
      <c r="E35" s="1562">
        <v>407</v>
      </c>
      <c r="F35" s="1562">
        <v>406</v>
      </c>
      <c r="G35" s="114">
        <f>F35</f>
        <v>406</v>
      </c>
      <c r="H35" s="113"/>
      <c r="I35" s="1561">
        <v>382</v>
      </c>
      <c r="J35" s="1562">
        <v>370</v>
      </c>
      <c r="K35" s="1562">
        <v>372</v>
      </c>
      <c r="L35" s="1562">
        <v>371</v>
      </c>
      <c r="M35" s="114">
        <f>L35</f>
        <v>371</v>
      </c>
      <c r="N35" s="61"/>
      <c r="O35" s="1563">
        <v>352</v>
      </c>
      <c r="P35" s="1564">
        <v>344</v>
      </c>
      <c r="Q35" s="1564">
        <v>345</v>
      </c>
      <c r="R35" s="1564">
        <v>346</v>
      </c>
      <c r="S35" s="114">
        <f>R35</f>
        <v>346</v>
      </c>
      <c r="T35" s="63"/>
      <c r="U35" s="1563">
        <v>354</v>
      </c>
      <c r="V35" s="1564">
        <v>354</v>
      </c>
      <c r="W35" s="1564">
        <v>352</v>
      </c>
      <c r="X35" s="1564">
        <v>353</v>
      </c>
      <c r="Y35" s="114">
        <f>X35</f>
        <v>353</v>
      </c>
      <c r="Z35" s="63"/>
      <c r="AA35" s="1563">
        <v>355</v>
      </c>
      <c r="AB35" s="1564">
        <v>355</v>
      </c>
      <c r="AC35" s="1564">
        <v>357</v>
      </c>
      <c r="AD35" s="1564">
        <v>351</v>
      </c>
      <c r="AE35" s="1548">
        <f>AVERAGE(AA35:AD35)</f>
        <v>354.5</v>
      </c>
      <c r="AF35" s="63"/>
      <c r="AG35" s="1563">
        <v>352</v>
      </c>
      <c r="AH35" s="1564">
        <v>354</v>
      </c>
      <c r="AI35" s="1564">
        <v>353</v>
      </c>
      <c r="AJ35" s="1564">
        <v>353</v>
      </c>
      <c r="AK35" s="1548">
        <f>AVERAGE(AG35:AJ35)</f>
        <v>353</v>
      </c>
      <c r="AL35" s="63"/>
      <c r="AM35" s="1563">
        <v>352</v>
      </c>
      <c r="AN35" s="1564">
        <v>349</v>
      </c>
      <c r="AO35" s="1564">
        <v>343</v>
      </c>
      <c r="AP35" s="1564">
        <v>336</v>
      </c>
      <c r="AQ35" s="1565">
        <v>345</v>
      </c>
      <c r="AR35" s="63"/>
      <c r="AS35" s="1567">
        <v>338</v>
      </c>
      <c r="AT35" s="1810">
        <v>337</v>
      </c>
      <c r="AU35" s="1568">
        <v>338</v>
      </c>
      <c r="AV35" s="1568">
        <v>338</v>
      </c>
      <c r="AW35" s="115">
        <f>AVERAGE(AS35:AV35)</f>
        <v>337.75</v>
      </c>
      <c r="AX35" s="116"/>
      <c r="AY35" s="1569">
        <v>338</v>
      </c>
      <c r="AZ35" s="1568">
        <v>337</v>
      </c>
      <c r="BA35" s="1568">
        <v>336</v>
      </c>
      <c r="BB35" s="1568">
        <v>334.8</v>
      </c>
      <c r="BC35" s="1984">
        <v>335</v>
      </c>
      <c r="BD35" s="116"/>
      <c r="BE35" s="1569">
        <v>332</v>
      </c>
      <c r="BF35" s="1568">
        <v>328</v>
      </c>
      <c r="BG35" s="2021">
        <v>328</v>
      </c>
      <c r="BH35" s="2021">
        <v>328</v>
      </c>
      <c r="BI35" s="115">
        <f>AVERAGE(BE35:BH35)</f>
        <v>329</v>
      </c>
      <c r="BJ35" s="116"/>
      <c r="BK35" s="2149">
        <v>326</v>
      </c>
      <c r="BL35" s="2207">
        <v>325</v>
      </c>
      <c r="BM35" s="2021">
        <v>326</v>
      </c>
      <c r="BN35" s="2432">
        <v>326</v>
      </c>
      <c r="BO35" s="115">
        <f>AVERAGE(BK35:BN35)</f>
        <v>325.75</v>
      </c>
      <c r="BP35" s="116"/>
      <c r="BQ35" s="2480">
        <v>323</v>
      </c>
      <c r="BR35" s="1310">
        <f>BR34*BR36</f>
        <v>325.41934139443174</v>
      </c>
      <c r="BS35" s="1310">
        <f>BS34*BS36</f>
        <v>323.85661873368861</v>
      </c>
      <c r="BT35" s="1310">
        <f>BT34*BT36</f>
        <v>322.32367585959673</v>
      </c>
      <c r="BU35" s="115">
        <f>AVERAGE(BQ35:BT35)</f>
        <v>323.6499089969293</v>
      </c>
      <c r="BV35" s="116"/>
      <c r="BW35" s="1311">
        <f>BW34*BW36</f>
        <v>320.86736020642491</v>
      </c>
      <c r="BX35" s="1310">
        <f>BX34*BX36</f>
        <v>319.43879661095195</v>
      </c>
      <c r="BY35" s="1310">
        <f>BY34*BY36</f>
        <v>318.03745622031221</v>
      </c>
      <c r="BZ35" s="1310">
        <f>BZ34*BZ36</f>
        <v>316.66282025964426</v>
      </c>
      <c r="CA35" s="115">
        <f>AVERAGE(BW35:BZ35)</f>
        <v>318.75160832433335</v>
      </c>
      <c r="CB35" s="110"/>
      <c r="CC35" s="1311">
        <f>CC34*CC36</f>
        <v>315.31437984004071</v>
      </c>
      <c r="CD35" s="1310">
        <f>CD34*CD36</f>
        <v>313.99163577015838</v>
      </c>
      <c r="CE35" s="1310">
        <f>CE34*CE36</f>
        <v>312.69409837141791</v>
      </c>
      <c r="CF35" s="1310">
        <f>CF34*CF36</f>
        <v>311.42128729672532</v>
      </c>
      <c r="CG35" s="115">
        <f>AVERAGE(CC35:CF35)</f>
        <v>313.35535031958557</v>
      </c>
      <c r="CH35" s="86"/>
      <c r="CI35" s="1311">
        <f>CI34*CI36</f>
        <v>310.17273135264799</v>
      </c>
      <c r="CJ35" s="1310">
        <f>CJ34*CJ36</f>
        <v>308.94796832497917</v>
      </c>
      <c r="CK35" s="1310">
        <f>CK34*CK36</f>
        <v>307.74654480762689</v>
      </c>
      <c r="CL35" s="1310">
        <f>CL34*CL36</f>
        <v>306.56801603476345</v>
      </c>
      <c r="CM35" s="115">
        <f>AVERAGE(CI35:CL35)</f>
        <v>308.35881513000436</v>
      </c>
      <c r="CN35" s="86"/>
      <c r="CO35" s="86"/>
      <c r="CP35" s="86"/>
      <c r="CQ35"/>
      <c r="CR35"/>
      <c r="CS35"/>
      <c r="CT35"/>
      <c r="CU35"/>
      <c r="CV35"/>
      <c r="CW35" s="86"/>
      <c r="CX35" s="1303"/>
      <c r="CY35" s="1303"/>
      <c r="CZ35" s="1303"/>
      <c r="DA35" s="1303"/>
      <c r="DB35" s="1303"/>
      <c r="DC35" s="1303"/>
      <c r="DD35" s="1303"/>
      <c r="DE35" s="1303"/>
      <c r="DF35" s="1303"/>
      <c r="DG35" s="1303"/>
      <c r="DH35" s="1303"/>
      <c r="DI35" s="1303"/>
      <c r="DJ35" s="1303"/>
      <c r="DK35" s="1303"/>
      <c r="DL35" s="1303"/>
      <c r="DM35" s="1303"/>
    </row>
    <row r="36" spans="1:119" s="149" customFormat="1" outlineLevel="1">
      <c r="A36" s="117" t="s">
        <v>93</v>
      </c>
      <c r="B36" s="118"/>
      <c r="C36" s="119">
        <f>C35/C34</f>
        <v>1.0295566502463054</v>
      </c>
      <c r="D36" s="120">
        <f>D35/D34</f>
        <v>1.027363184079602</v>
      </c>
      <c r="E36" s="120">
        <f>E35/E34</f>
        <v>1.0382653061224489</v>
      </c>
      <c r="F36" s="120">
        <f>F35/F34</f>
        <v>1.0304568527918783</v>
      </c>
      <c r="G36" s="121">
        <f>G35/G34</f>
        <v>1.0304568527918783</v>
      </c>
      <c r="H36" s="122"/>
      <c r="I36" s="119">
        <f>I35/I34</f>
        <v>1.0296495956873315</v>
      </c>
      <c r="J36" s="120">
        <f>J35/J34</f>
        <v>1.0192837465564739</v>
      </c>
      <c r="K36" s="120">
        <f>K35/K34</f>
        <v>1.0276243093922652</v>
      </c>
      <c r="L36" s="120">
        <f>L35/L34</f>
        <v>1.0220385674931129</v>
      </c>
      <c r="M36" s="121">
        <f>M35/M34</f>
        <v>1.0220385674931129</v>
      </c>
      <c r="N36" s="118"/>
      <c r="O36" s="123">
        <f>O35/O34</f>
        <v>1.0028490028490029</v>
      </c>
      <c r="P36" s="1312">
        <f>P35/P34</f>
        <v>1</v>
      </c>
      <c r="Q36" s="1312">
        <f>Q35/Q34</f>
        <v>1</v>
      </c>
      <c r="R36" s="1313">
        <f>R35/R34</f>
        <v>1</v>
      </c>
      <c r="S36" s="124">
        <f>S35/S34</f>
        <v>1</v>
      </c>
      <c r="T36" s="125"/>
      <c r="U36" s="123">
        <f>U35/U34</f>
        <v>1.0172413793103448</v>
      </c>
      <c r="V36" s="1312">
        <f>V35/V34</f>
        <v>1.0172413793103448</v>
      </c>
      <c r="W36" s="1312">
        <f>W35/W34</f>
        <v>1.0144092219020173</v>
      </c>
      <c r="X36" s="1313">
        <f>X35/X34</f>
        <v>1.0172910662824208</v>
      </c>
      <c r="Y36" s="124">
        <f>Y35/Y34</f>
        <v>1.0172910662824208</v>
      </c>
      <c r="Z36" s="125"/>
      <c r="AA36" s="123">
        <f>AA35/AA34</f>
        <v>1.0230547550432276</v>
      </c>
      <c r="AB36" s="1312">
        <f>AB35/AB34</f>
        <v>1.0230547550432276</v>
      </c>
      <c r="AC36" s="1312">
        <f>AC35/AC34</f>
        <v>1.0258620689655173</v>
      </c>
      <c r="AD36" s="1313">
        <f>AD35/AD34</f>
        <v>1.0115273775216138</v>
      </c>
      <c r="AE36" s="124">
        <f>AE35/AE34</f>
        <v>1.021613832853026</v>
      </c>
      <c r="AF36" s="125"/>
      <c r="AG36" s="123">
        <f>AG35/AG34</f>
        <v>1.0114942528735633</v>
      </c>
      <c r="AH36" s="1312">
        <f>AH35/AH34</f>
        <v>1.0172413793103448</v>
      </c>
      <c r="AI36" s="1312">
        <f>AI35/AI34</f>
        <v>1.014367816091954</v>
      </c>
      <c r="AJ36" s="1313">
        <f>AJ35/AJ34</f>
        <v>1.014367816091954</v>
      </c>
      <c r="AK36" s="124">
        <f>AK35/AK34</f>
        <v>1.014367816091954</v>
      </c>
      <c r="AL36" s="125"/>
      <c r="AM36" s="123">
        <f>AM35/AM34</f>
        <v>1.0144092219020173</v>
      </c>
      <c r="AN36" s="1312">
        <f>AN35/AN34</f>
        <v>1.0115942028985507</v>
      </c>
      <c r="AO36" s="1312">
        <f>AO35/AO34</f>
        <v>1.0117994100294985</v>
      </c>
      <c r="AP36" s="1313">
        <f>AP35/AP34</f>
        <v>1.0151057401812689</v>
      </c>
      <c r="AQ36" s="124">
        <f>AQ35/AQ34</f>
        <v>1.0117302052785924</v>
      </c>
      <c r="AR36" s="125"/>
      <c r="AS36" s="123">
        <f>AS35/AS34</f>
        <v>1.015015015015015</v>
      </c>
      <c r="AT36" s="1313">
        <f>AS36</f>
        <v>1.015015015015015</v>
      </c>
      <c r="AU36" s="1313">
        <f>AT36</f>
        <v>1.015015015015015</v>
      </c>
      <c r="AV36" s="1313">
        <f>AU36</f>
        <v>1.015015015015015</v>
      </c>
      <c r="AW36" s="124">
        <f>AW35/AW34</f>
        <v>1.0112275449101797</v>
      </c>
      <c r="AX36" s="125"/>
      <c r="AY36" s="123">
        <f>AY35/AY34</f>
        <v>1.0059523809523809</v>
      </c>
      <c r="AZ36" s="1313">
        <f>AZ35/AZ34</f>
        <v>1.0089820359281436</v>
      </c>
      <c r="BA36" s="1313">
        <f>BA35/BA34</f>
        <v>1.0059880239520957</v>
      </c>
      <c r="BB36" s="1313">
        <f>BB35/BB34</f>
        <v>1.0054054054054054</v>
      </c>
      <c r="BC36" s="124">
        <f>BC35/BC34</f>
        <v>1.0060060060060061</v>
      </c>
      <c r="BD36" s="125"/>
      <c r="BE36" s="123">
        <f>BE35/BE34</f>
        <v>1.0091185410334347</v>
      </c>
      <c r="BF36" s="1313">
        <f>BF35/BF34</f>
        <v>1.0061349693251533</v>
      </c>
      <c r="BG36" s="1313">
        <f t="shared" ref="BG36:BH36" si="14">BG35/BG34</f>
        <v>1.0092307692307692</v>
      </c>
      <c r="BH36" s="1313">
        <f t="shared" si="14"/>
        <v>1.0123456790123457</v>
      </c>
      <c r="BI36" s="124">
        <f>BI35/BI34</f>
        <v>1.00920245398773</v>
      </c>
      <c r="BJ36" s="125"/>
      <c r="BK36" s="123">
        <f t="shared" ref="BK36" si="15">BK35/BK34</f>
        <v>1.0124223602484472</v>
      </c>
      <c r="BL36" s="2205">
        <f t="shared" ref="BL36:BN36" si="16">BL35/BL34</f>
        <v>1.0124610591900312</v>
      </c>
      <c r="BM36" s="2205">
        <f t="shared" si="16"/>
        <v>1.0155763239875388</v>
      </c>
      <c r="BN36" s="1313">
        <f t="shared" si="16"/>
        <v>1.0124223602484472</v>
      </c>
      <c r="BO36" s="124">
        <f>BO35/BO34</f>
        <v>1.0116459627329193</v>
      </c>
      <c r="BP36" s="125"/>
      <c r="BQ36" s="123">
        <f t="shared" ref="BQ36" si="17">BQ35/BQ34</f>
        <v>1</v>
      </c>
      <c r="BR36" s="1312">
        <v>1.0124223602484472</v>
      </c>
      <c r="BS36" s="1313">
        <f>BR36</f>
        <v>1.0124223602484472</v>
      </c>
      <c r="BT36" s="1313">
        <f>BS36</f>
        <v>1.0124223602484472</v>
      </c>
      <c r="BU36" s="124">
        <f>BU35/BU34</f>
        <v>1.0165880737336794</v>
      </c>
      <c r="BV36" s="125"/>
      <c r="BW36" s="123">
        <f>BT36</f>
        <v>1.0124223602484472</v>
      </c>
      <c r="BX36" s="1312">
        <f>BW36</f>
        <v>1.0124223602484472</v>
      </c>
      <c r="BY36" s="1313">
        <f>BX36</f>
        <v>1.0124223602484472</v>
      </c>
      <c r="BZ36" s="1313">
        <f>BY36</f>
        <v>1.0124223602484472</v>
      </c>
      <c r="CA36" s="124">
        <f>CA35/CA34</f>
        <v>1.0191005542365428</v>
      </c>
      <c r="CB36" s="2107"/>
      <c r="CC36" s="123">
        <f>BZ36</f>
        <v>1.0124223602484472</v>
      </c>
      <c r="CD36" s="1312">
        <f>CC36</f>
        <v>1.0124223602484472</v>
      </c>
      <c r="CE36" s="1313">
        <f>CD36</f>
        <v>1.0124223602484472</v>
      </c>
      <c r="CF36" s="1313">
        <f>CE36</f>
        <v>1.0124223602484472</v>
      </c>
      <c r="CG36" s="124">
        <f>CG35/CG34</f>
        <v>1.0187099479322259</v>
      </c>
      <c r="CH36" s="126"/>
      <c r="CI36" s="123">
        <f>CF36</f>
        <v>1.0124223602484472</v>
      </c>
      <c r="CJ36" s="1312">
        <f>CI36</f>
        <v>1.0124223602484472</v>
      </c>
      <c r="CK36" s="1313">
        <f>CJ36</f>
        <v>1.0124223602484472</v>
      </c>
      <c r="CL36" s="1313">
        <f>CK36</f>
        <v>1.0124223602484472</v>
      </c>
      <c r="CM36" s="124">
        <f>CM35/CM34</f>
        <v>1.0183363661195914</v>
      </c>
      <c r="CN36" s="126"/>
      <c r="CO36" s="126"/>
      <c r="CP36" s="126"/>
      <c r="CQ36"/>
      <c r="CR36"/>
      <c r="CS36"/>
      <c r="CT36"/>
      <c r="CU36"/>
      <c r="CV36"/>
      <c r="CW36" s="126"/>
    </row>
    <row r="37" spans="1:119" s="149" customFormat="1">
      <c r="A37" s="127"/>
      <c r="B37" s="17"/>
      <c r="C37" s="1314"/>
      <c r="D37" s="1314"/>
      <c r="E37" s="1314"/>
      <c r="F37" s="1314"/>
      <c r="G37" s="128"/>
      <c r="H37" s="17"/>
      <c r="I37" s="1314"/>
      <c r="J37" s="1314"/>
      <c r="K37" s="1314"/>
      <c r="L37" s="1314"/>
      <c r="M37" s="128"/>
      <c r="N37" s="17"/>
      <c r="O37" s="1314"/>
      <c r="P37" s="1314"/>
      <c r="Q37" s="1314"/>
      <c r="R37" s="1314"/>
      <c r="S37" s="128"/>
      <c r="T37" s="129"/>
      <c r="U37" s="1314"/>
      <c r="V37" s="1314"/>
      <c r="W37" s="1314"/>
      <c r="X37" s="1314"/>
      <c r="Y37" s="128"/>
      <c r="Z37" s="129"/>
      <c r="AA37" s="1314"/>
      <c r="AB37" s="1314"/>
      <c r="AC37" s="1314"/>
      <c r="AD37" s="1314"/>
      <c r="AE37" s="128"/>
      <c r="AF37" s="129"/>
      <c r="AG37" s="1314"/>
      <c r="AH37" s="1314"/>
      <c r="AI37" s="1314"/>
      <c r="AJ37" s="1314"/>
      <c r="AK37" s="128"/>
      <c r="AL37" s="129"/>
      <c r="AM37" s="1314"/>
      <c r="AN37" s="1314"/>
      <c r="AO37" s="1314"/>
      <c r="AP37" s="1314"/>
      <c r="AQ37" s="128"/>
      <c r="AR37" s="129"/>
      <c r="AS37" s="130"/>
      <c r="AT37" s="1315"/>
      <c r="AU37" s="1315"/>
      <c r="AV37" s="1315"/>
      <c r="AW37" s="131"/>
      <c r="AX37" s="129"/>
      <c r="AY37" s="130"/>
      <c r="AZ37" s="1315"/>
      <c r="BA37" s="1315"/>
      <c r="BB37" s="1315"/>
      <c r="BC37" s="128"/>
      <c r="BD37" s="129"/>
      <c r="BE37" s="130"/>
      <c r="BF37" s="1315"/>
      <c r="BG37" s="1315"/>
      <c r="BH37" s="1315"/>
      <c r="BI37" s="301"/>
      <c r="BJ37" s="129"/>
      <c r="BK37" s="130"/>
      <c r="BL37" s="1315"/>
      <c r="BM37" s="1315"/>
      <c r="BN37" s="1315"/>
      <c r="BO37" s="128"/>
      <c r="BP37" s="129"/>
      <c r="BQ37" s="2447"/>
      <c r="BR37" s="1315"/>
      <c r="BS37" s="1315"/>
      <c r="BT37" s="1315"/>
      <c r="BU37" s="128"/>
      <c r="BV37" s="129"/>
      <c r="BW37" s="130"/>
      <c r="BX37" s="1315"/>
      <c r="BY37" s="1315"/>
      <c r="BZ37" s="1315"/>
      <c r="CA37" s="128"/>
      <c r="CB37" s="128"/>
      <c r="CC37" s="130"/>
      <c r="CD37" s="1315"/>
      <c r="CE37" s="1315"/>
      <c r="CF37" s="1315"/>
      <c r="CG37" s="128"/>
      <c r="CI37" s="130"/>
      <c r="CJ37" s="1315"/>
      <c r="CK37" s="1315"/>
      <c r="CL37" s="1315"/>
      <c r="CM37" s="128"/>
      <c r="CQ37"/>
      <c r="CR37"/>
      <c r="CS37"/>
      <c r="CT37"/>
      <c r="CU37"/>
      <c r="CV37"/>
      <c r="CZ37" s="1303"/>
    </row>
    <row r="38" spans="1:119" s="149" customFormat="1" ht="12.75" customHeight="1">
      <c r="A38" s="132" t="s">
        <v>94</v>
      </c>
      <c r="B38" s="1248"/>
      <c r="C38" s="385">
        <v>39113</v>
      </c>
      <c r="D38" s="383">
        <v>39202</v>
      </c>
      <c r="E38" s="383">
        <v>39293</v>
      </c>
      <c r="F38" s="383">
        <v>39384</v>
      </c>
      <c r="G38" s="1609" t="s">
        <v>59</v>
      </c>
      <c r="H38" s="1248">
        <v>0</v>
      </c>
      <c r="I38" s="385">
        <v>39478</v>
      </c>
      <c r="J38" s="383">
        <v>39567</v>
      </c>
      <c r="K38" s="383">
        <v>39658</v>
      </c>
      <c r="L38" s="383">
        <v>39749</v>
      </c>
      <c r="M38" s="1609" t="s">
        <v>60</v>
      </c>
      <c r="N38" s="1248"/>
      <c r="O38" s="385">
        <v>39844</v>
      </c>
      <c r="P38" s="383">
        <v>39933</v>
      </c>
      <c r="Q38" s="383">
        <v>40025</v>
      </c>
      <c r="R38" s="383">
        <v>40117</v>
      </c>
      <c r="S38" s="1609" t="s">
        <v>61</v>
      </c>
      <c r="T38" s="445"/>
      <c r="U38" s="385">
        <f>U$8</f>
        <v>40208</v>
      </c>
      <c r="V38" s="383">
        <f>V$8</f>
        <v>40297</v>
      </c>
      <c r="W38" s="383">
        <f>W$8</f>
        <v>40388</v>
      </c>
      <c r="X38" s="383">
        <f>X$8</f>
        <v>40479</v>
      </c>
      <c r="Y38" s="1609" t="s">
        <v>62</v>
      </c>
      <c r="Z38" s="445"/>
      <c r="AA38" s="385">
        <f>AA$8</f>
        <v>40573</v>
      </c>
      <c r="AB38" s="383">
        <f>AB$8</f>
        <v>40662</v>
      </c>
      <c r="AC38" s="383">
        <f>AC$8</f>
        <v>40753</v>
      </c>
      <c r="AD38" s="383">
        <f>AD$8</f>
        <v>40844</v>
      </c>
      <c r="AE38" s="1609" t="str">
        <f>AE$8</f>
        <v>2011A</v>
      </c>
      <c r="AF38" s="445"/>
      <c r="AG38" s="385">
        <f>AG$8</f>
        <v>40938</v>
      </c>
      <c r="AH38" s="383">
        <f>AH$8</f>
        <v>41027</v>
      </c>
      <c r="AI38" s="383">
        <f>AI$8</f>
        <v>41118</v>
      </c>
      <c r="AJ38" s="383">
        <f>AJ$8</f>
        <v>41209</v>
      </c>
      <c r="AK38" s="1609" t="str">
        <f>AK$8</f>
        <v>2012A</v>
      </c>
      <c r="AL38" s="445"/>
      <c r="AM38" s="385">
        <f>AM$8</f>
        <v>41303</v>
      </c>
      <c r="AN38" s="383">
        <f>AN$8</f>
        <v>41392</v>
      </c>
      <c r="AO38" s="383">
        <f>AO$8</f>
        <v>41483</v>
      </c>
      <c r="AP38" s="383">
        <f>AP$8</f>
        <v>41574</v>
      </c>
      <c r="AQ38" s="1609" t="str">
        <f>AQ$8</f>
        <v>2013A</v>
      </c>
      <c r="AR38" s="445"/>
      <c r="AS38" s="385">
        <f>AS$8</f>
        <v>41668</v>
      </c>
      <c r="AT38" s="383">
        <f>AT$8</f>
        <v>41757</v>
      </c>
      <c r="AU38" s="383">
        <f>AU$8</f>
        <v>41846</v>
      </c>
      <c r="AV38" s="383">
        <f>AV$8</f>
        <v>41937</v>
      </c>
      <c r="AW38" s="1609" t="str">
        <f>AW$8</f>
        <v>2014A</v>
      </c>
      <c r="AX38" s="445"/>
      <c r="AY38" s="385">
        <f>AY$8</f>
        <v>42033</v>
      </c>
      <c r="AZ38" s="383">
        <f>AZ$8</f>
        <v>42122</v>
      </c>
      <c r="BA38" s="383">
        <f>BA$8</f>
        <v>42213</v>
      </c>
      <c r="BB38" s="383">
        <f>BB$8</f>
        <v>42304</v>
      </c>
      <c r="BC38" s="1609" t="str">
        <f>BC$8</f>
        <v>2015A</v>
      </c>
      <c r="BD38" s="445"/>
      <c r="BE38" s="385">
        <f>BE$8</f>
        <v>42398</v>
      </c>
      <c r="BF38" s="383">
        <f>BF$8</f>
        <v>42487</v>
      </c>
      <c r="BG38" s="383">
        <f>BG$8</f>
        <v>42578</v>
      </c>
      <c r="BH38" s="383">
        <f>BH$8</f>
        <v>42669</v>
      </c>
      <c r="BI38" s="1609" t="str">
        <f>BI$8</f>
        <v>2016A</v>
      </c>
      <c r="BJ38" s="445"/>
      <c r="BK38" s="385">
        <f>BK$8</f>
        <v>42763</v>
      </c>
      <c r="BL38" s="383">
        <f>BL$8</f>
        <v>42852</v>
      </c>
      <c r="BM38" s="383">
        <f>BM$8</f>
        <v>42943</v>
      </c>
      <c r="BN38" s="1607">
        <f>BN$8</f>
        <v>43034</v>
      </c>
      <c r="BO38" s="1609" t="str">
        <f>BO$8</f>
        <v>2017A</v>
      </c>
      <c r="BP38" s="445"/>
      <c r="BQ38" s="385">
        <f>BQ$8</f>
        <v>43128</v>
      </c>
      <c r="BR38" s="383">
        <f>BR$8</f>
        <v>43217</v>
      </c>
      <c r="BS38" s="383">
        <f>BS$8</f>
        <v>43308</v>
      </c>
      <c r="BT38" s="1607">
        <f>BT$8</f>
        <v>43399</v>
      </c>
      <c r="BU38" s="1609" t="str">
        <f>BU$8</f>
        <v>2018E</v>
      </c>
      <c r="BV38" s="445"/>
      <c r="BW38" s="385">
        <f>BW$8</f>
        <v>43493</v>
      </c>
      <c r="BX38" s="383">
        <f>BX$8</f>
        <v>43582</v>
      </c>
      <c r="BY38" s="383">
        <f>BY$8</f>
        <v>43673</v>
      </c>
      <c r="BZ38" s="1607">
        <f>BZ$8</f>
        <v>43764</v>
      </c>
      <c r="CA38" s="1609" t="str">
        <f>CA$8</f>
        <v>2019E</v>
      </c>
      <c r="CB38" s="2108"/>
      <c r="CC38" s="385">
        <f>CC$8</f>
        <v>43858</v>
      </c>
      <c r="CD38" s="383">
        <f>CD$8</f>
        <v>43947</v>
      </c>
      <c r="CE38" s="383">
        <f>CE$8</f>
        <v>44038</v>
      </c>
      <c r="CF38" s="1607">
        <f>CF$8</f>
        <v>44129</v>
      </c>
      <c r="CG38" s="1609" t="str">
        <f>CG$8</f>
        <v>2020E</v>
      </c>
      <c r="CH38" s="135"/>
      <c r="CI38" s="385">
        <f>CI$8</f>
        <v>44223</v>
      </c>
      <c r="CJ38" s="383">
        <f>CJ$8</f>
        <v>44312</v>
      </c>
      <c r="CK38" s="383">
        <f>CK$8</f>
        <v>44403</v>
      </c>
      <c r="CL38" s="1607">
        <f>CL$8</f>
        <v>44494</v>
      </c>
      <c r="CM38" s="1609" t="str">
        <f>CM$8</f>
        <v>2021E</v>
      </c>
      <c r="CN38" s="135"/>
      <c r="CO38" s="135"/>
      <c r="CP38" s="135"/>
      <c r="CQ38"/>
      <c r="CR38"/>
      <c r="CS38"/>
      <c r="CT38"/>
      <c r="CU38"/>
      <c r="CV38"/>
      <c r="CW38" s="135"/>
    </row>
    <row r="39" spans="1:119" s="149" customFormat="1">
      <c r="A39" s="136" t="s">
        <v>95</v>
      </c>
      <c r="B39" s="137"/>
      <c r="C39" s="138"/>
      <c r="D39" s="139"/>
      <c r="E39" s="139"/>
      <c r="F39" s="139"/>
      <c r="G39" s="140"/>
      <c r="H39" s="137"/>
      <c r="I39" s="138">
        <f>I10/C10-1</f>
        <v>0.16703296703296711</v>
      </c>
      <c r="J39" s="139">
        <f>J10/D10-1</f>
        <v>0.23831775700934577</v>
      </c>
      <c r="K39" s="139">
        <f>K10/E10-1</f>
        <v>0.15138592750533042</v>
      </c>
      <c r="L39" s="139">
        <f>L10/F10-1</f>
        <v>0.13358778625954204</v>
      </c>
      <c r="M39" s="140">
        <f>M10/G10-1</f>
        <v>0.17004264392324098</v>
      </c>
      <c r="N39" s="137"/>
      <c r="O39" s="138">
        <f>O10/I10-1</f>
        <v>-1.1299435028248594E-2</v>
      </c>
      <c r="P39" s="139">
        <f>P10/J10-1</f>
        <v>-6.0377358490566024E-2</v>
      </c>
      <c r="Q39" s="139">
        <f>Q10/K10-1</f>
        <v>-8.1481481481481488E-2</v>
      </c>
      <c r="R39" s="139">
        <f>R10/L10-1</f>
        <v>-8.4175084175084125E-2</v>
      </c>
      <c r="S39" s="140">
        <f>S10/M10-1</f>
        <v>-6.0136674259681056E-2</v>
      </c>
      <c r="T39" s="141"/>
      <c r="U39" s="138">
        <f>U10/O10-1</f>
        <v>0.11238095238095247</v>
      </c>
      <c r="V39" s="139">
        <f>V10/P10-1</f>
        <v>0.14859437751004023</v>
      </c>
      <c r="W39" s="139">
        <f>W10/Q10-1</f>
        <v>0.41733870967741926</v>
      </c>
      <c r="X39" s="139">
        <f>X10/R10-1</f>
        <v>0.50735294117647056</v>
      </c>
      <c r="Y39" s="140">
        <f>Y10/S10-1</f>
        <v>0.29859428017450318</v>
      </c>
      <c r="Z39" s="141"/>
      <c r="AA39" s="138">
        <f>AA10/U10-1</f>
        <v>0.28938356164383561</v>
      </c>
      <c r="AB39" s="139">
        <f>AB10/V10-1</f>
        <v>0.47727272727272729</v>
      </c>
      <c r="AC39" s="139">
        <f>AC10/W10-1</f>
        <v>0.18918918918918926</v>
      </c>
      <c r="AD39" s="139">
        <f>AD10/X10-1</f>
        <v>6.8292682926829329E-2</v>
      </c>
      <c r="AE39" s="140">
        <f>AE10/Y10-1</f>
        <v>0.23553564762971257</v>
      </c>
      <c r="AF39" s="141"/>
      <c r="AG39" s="138">
        <f>AG10/AA10-1</f>
        <v>0.13811420982735734</v>
      </c>
      <c r="AH39" s="139">
        <f>AH10/AB10-1</f>
        <v>1.4201183431952646E-2</v>
      </c>
      <c r="AI39" s="139">
        <f>AI10/AC10-1</f>
        <v>5.0239234449760861E-2</v>
      </c>
      <c r="AJ39" s="139">
        <f>AJ10/AD10-1</f>
        <v>8.5616438356164393E-2</v>
      </c>
      <c r="AK39" s="140">
        <f>AK10/AE10-1</f>
        <v>7.0392749244712949E-2</v>
      </c>
      <c r="AL39" s="141"/>
      <c r="AM39" s="138">
        <f>AM10/AG10-1</f>
        <v>0.11785297549591589</v>
      </c>
      <c r="AN39" s="139">
        <f>AN10/AH10-1</f>
        <v>0.13418903150525097</v>
      </c>
      <c r="AO39" s="139">
        <f>AO10/AI10-1</f>
        <v>8.3143507972665232E-2</v>
      </c>
      <c r="AP39" s="139">
        <f>AP10/AJ10-1</f>
        <v>6.5194532071503719E-2</v>
      </c>
      <c r="AQ39" s="140">
        <f>AQ10/AK10-1</f>
        <v>9.9068585944115162E-2</v>
      </c>
      <c r="AR39" s="141"/>
      <c r="AS39" s="138">
        <f>AS10/AM10-1</f>
        <v>5.2192066805845538E-2</v>
      </c>
      <c r="AT39" s="139">
        <f>AT10/AN10-1</f>
        <v>1.6460905349794164E-2</v>
      </c>
      <c r="AU39" s="139">
        <f>AU10/AO10-1</f>
        <v>6.0988433228180927E-2</v>
      </c>
      <c r="AV39" s="139">
        <f>AV10/AP10-1</f>
        <v>2.9615004935834133E-2</v>
      </c>
      <c r="AW39" s="140">
        <f>AW10/AQ10-1</f>
        <v>3.9548022598870025E-2</v>
      </c>
      <c r="AX39" s="141"/>
      <c r="AY39" s="138">
        <f>AY10/AS10-1</f>
        <v>1.7857142857142794E-2</v>
      </c>
      <c r="AZ39" s="139">
        <f>AZ10/AT10-1</f>
        <v>-2.5303643724696401E-2</v>
      </c>
      <c r="BA39" s="139">
        <f>BA10/AU10-1</f>
        <v>4.9554013875123815E-3</v>
      </c>
      <c r="BB39" s="139">
        <f>BB10/AV10-1</f>
        <v>-7.6701821668264669E-3</v>
      </c>
      <c r="BC39" s="140">
        <f>BC10/AW10-1</f>
        <v>-2.4703557312253377E-3</v>
      </c>
      <c r="BD39" s="141"/>
      <c r="BE39" s="138">
        <f>BE10/AY10-1</f>
        <v>1.9493177387914784E-3</v>
      </c>
      <c r="BF39" s="139">
        <f>BF10/AZ10-1</f>
        <v>5.8151609553478645E-2</v>
      </c>
      <c r="BG39" s="139">
        <f>BG10/BA10-1</f>
        <v>2.9585798816567976E-2</v>
      </c>
      <c r="BH39" s="139">
        <f>BH10/BB10-1</f>
        <v>7.3429951690821227E-2</v>
      </c>
      <c r="BI39" s="140">
        <f>BI10/BC10-1</f>
        <v>4.0614165428429994E-2</v>
      </c>
      <c r="BJ39" s="141"/>
      <c r="BK39" s="138">
        <f>BK10/BE10-1</f>
        <v>3.7937743190661566E-2</v>
      </c>
      <c r="BL39" s="139">
        <f>BL10/BF10-1</f>
        <v>8.1452404317958749E-2</v>
      </c>
      <c r="BM39" s="139">
        <f>BM10/BG10-1</f>
        <v>6.7049808429118674E-2</v>
      </c>
      <c r="BN39" s="139">
        <f>BN10/BH10-1</f>
        <v>7.0207020702070189E-2</v>
      </c>
      <c r="BO39" s="140">
        <f>BO10/BI10-1</f>
        <v>6.4255116611137586E-2</v>
      </c>
      <c r="BP39" s="141"/>
      <c r="BQ39" s="138">
        <f>BQ10/BK10-1</f>
        <v>0.13495782567947523</v>
      </c>
      <c r="BR39" s="139">
        <f>BR10/BL10-1</f>
        <v>0.13947723044146842</v>
      </c>
      <c r="BS39" s="139">
        <f>BS10/BM10-1</f>
        <v>0.11574451099164684</v>
      </c>
      <c r="BT39" s="139">
        <f>BT10/BN10-1</f>
        <v>0.10879883538432944</v>
      </c>
      <c r="BU39" s="140">
        <f>BU10/BO10-1</f>
        <v>0.12433030153469615</v>
      </c>
      <c r="BV39" s="141"/>
      <c r="BW39" s="138">
        <f>BW10/BQ10-1</f>
        <v>6.7370650544008148E-2</v>
      </c>
      <c r="BX39" s="139">
        <f>BX10/BR10-1</f>
        <v>6.7564637790029636E-2</v>
      </c>
      <c r="BY39" s="139">
        <f>BY10/BS10-1</f>
        <v>8.0929414925643872E-2</v>
      </c>
      <c r="BZ39" s="139">
        <f>BZ10/BT10-1</f>
        <v>7.8350668099167464E-2</v>
      </c>
      <c r="CA39" s="140">
        <f>CA10/BU10-1</f>
        <v>7.3649870235074966E-2</v>
      </c>
      <c r="CB39" s="2102"/>
      <c r="CC39" s="138">
        <f>CC10/BW10-1</f>
        <v>5.8829060897070962E-2</v>
      </c>
      <c r="CD39" s="139">
        <f>CD10/BX10-1</f>
        <v>6.181203623538023E-2</v>
      </c>
      <c r="CE39" s="139">
        <f>CE10/BY10-1</f>
        <v>6.999441810064444E-2</v>
      </c>
      <c r="CF39" s="139">
        <f>CF10/BZ10-1</f>
        <v>6.638092261367623E-2</v>
      </c>
      <c r="CG39" s="140">
        <f>CG10/CA10-1</f>
        <v>6.4337435890211125E-2</v>
      </c>
      <c r="CH39" s="142"/>
      <c r="CI39" s="138">
        <f>CI10/CC10-1</f>
        <v>6.0846029305965166E-2</v>
      </c>
      <c r="CJ39" s="139">
        <f>CJ10/CD10-1</f>
        <v>6.4122236833090263E-2</v>
      </c>
      <c r="CK39" s="139">
        <f>CK10/CE10-1</f>
        <v>7.3692900926236815E-2</v>
      </c>
      <c r="CL39" s="139">
        <f>CL10/CF10-1</f>
        <v>6.9465738370921848E-2</v>
      </c>
      <c r="CM39" s="140">
        <f>CM10/CG10-1</f>
        <v>6.7146357156036673E-2</v>
      </c>
      <c r="CN39" s="142"/>
      <c r="CO39" s="142"/>
      <c r="CP39" s="142"/>
      <c r="CQ39"/>
      <c r="CR39"/>
      <c r="CS39"/>
      <c r="CT39"/>
      <c r="CU39"/>
      <c r="CV39"/>
      <c r="CW39" s="142"/>
      <c r="CX39" s="126"/>
      <c r="CY39" s="126"/>
      <c r="CZ39" s="126"/>
      <c r="DA39" s="126"/>
      <c r="DB39" s="126"/>
      <c r="DC39" s="126"/>
      <c r="DD39" s="126"/>
      <c r="DE39" s="126"/>
      <c r="DF39" s="126"/>
      <c r="DG39" s="126"/>
      <c r="DH39" s="126"/>
      <c r="DI39" s="126"/>
      <c r="DJ39" s="126"/>
      <c r="DK39" s="126"/>
      <c r="DL39" s="126"/>
      <c r="DM39" s="126"/>
      <c r="DN39" s="126"/>
      <c r="DO39" s="126"/>
    </row>
    <row r="40" spans="1:119" s="149" customFormat="1">
      <c r="A40" s="136" t="s">
        <v>535</v>
      </c>
      <c r="B40" s="1946"/>
      <c r="C40" s="2101">
        <f>OrgRev!C17</f>
        <v>6.6829477292202261E-2</v>
      </c>
      <c r="D40" s="2102">
        <f>OrgRev!D17</f>
        <v>4.5375302663438269E-2</v>
      </c>
      <c r="E40" s="2102">
        <f>OrgRev!E17</f>
        <v>8.8958837772397117E-2</v>
      </c>
      <c r="F40" s="2102">
        <f>OrgRev!F17</f>
        <v>6.8855421686746979E-2</v>
      </c>
      <c r="G40" s="140">
        <f>OrgRev!G17</f>
        <v>6.7385381057711594E-2</v>
      </c>
      <c r="H40" s="1946"/>
      <c r="I40" s="2101">
        <f>OrgRev!I17</f>
        <v>0.115</v>
      </c>
      <c r="J40" s="2102">
        <f>OrgRev!J17</f>
        <v>0.13500000000000001</v>
      </c>
      <c r="K40" s="2102">
        <f>OrgRev!K17</f>
        <v>0.10500000000000001</v>
      </c>
      <c r="L40" s="2102">
        <f>OrgRev!L17</f>
        <v>7.5000000000000011E-2</v>
      </c>
      <c r="M40" s="140">
        <f>OrgRev!M17</f>
        <v>0.1075</v>
      </c>
      <c r="N40" s="1946"/>
      <c r="O40" s="2101">
        <f>OrgRev!O17</f>
        <v>-1.6935667448019723E-2</v>
      </c>
      <c r="P40" s="2102">
        <f>OrgRev!P17</f>
        <v>-9.8102817852733393E-2</v>
      </c>
      <c r="Q40" s="2102">
        <f>OrgRev!Q17</f>
        <v>-9.973409295946252E-2</v>
      </c>
      <c r="R40" s="2102">
        <f>OrgRev!R17</f>
        <v>-5.8417227630249285E-2</v>
      </c>
      <c r="S40" s="140">
        <f>OrgRev!S17</f>
        <v>-6.8129191930444172E-2</v>
      </c>
      <c r="T40" s="2103"/>
      <c r="U40" s="2101">
        <f>OrgRev!U17</f>
        <v>6.752380952380943E-2</v>
      </c>
      <c r="V40" s="2102">
        <f>OrgRev!V17</f>
        <v>0.10947791164658634</v>
      </c>
      <c r="W40" s="2102">
        <f>OrgRev!W17</f>
        <v>0.15993951612903221</v>
      </c>
      <c r="X40" s="2102">
        <f>OrgRev!X17</f>
        <v>0.17988970588235303</v>
      </c>
      <c r="Y40" s="140">
        <f>OrgRev!Y17</f>
        <v>0.12950072709646149</v>
      </c>
      <c r="Z40" s="2103"/>
      <c r="AA40" s="2101">
        <f>OrgRev!AA17</f>
        <v>8.253424657534246E-2</v>
      </c>
      <c r="AB40" s="2102">
        <f>OrgRev!AB17</f>
        <v>0.11519230769230769</v>
      </c>
      <c r="AC40" s="2102">
        <f>OrgRev!AC17</f>
        <v>8.654338549075391E-2</v>
      </c>
      <c r="AD40" s="2102">
        <f>OrgRev!AD17</f>
        <v>3.9804878048780454E-2</v>
      </c>
      <c r="AE40" s="140">
        <f>OrgRev!AE17</f>
        <v>7.7118327734229192E-2</v>
      </c>
      <c r="AF40" s="2103"/>
      <c r="AG40" s="2101">
        <f>OrgRev!AG17</f>
        <v>0.12899070385126163</v>
      </c>
      <c r="AH40" s="2102">
        <f>OrgRev!AH17</f>
        <v>2.3349112426035531E-2</v>
      </c>
      <c r="AI40" s="2102">
        <f>OrgRev!AI17</f>
        <v>3.5845693779904347E-2</v>
      </c>
      <c r="AJ40" s="2102">
        <f>OrgRev!AJ17</f>
        <v>1.598173515981733E-2</v>
      </c>
      <c r="AK40" s="140">
        <f>OrgRev!AK17</f>
        <v>5.1897280966767288E-2</v>
      </c>
      <c r="AL40" s="2103"/>
      <c r="AM40" s="2101">
        <f>OrgRev!AM17</f>
        <v>1.9771295215869327E-2</v>
      </c>
      <c r="AN40" s="2102">
        <f>OrgRev!AN17</f>
        <v>4.4592765460910178E-2</v>
      </c>
      <c r="AO40" s="2102">
        <f>OrgRev!AO17</f>
        <v>3.8724373576309777E-2</v>
      </c>
      <c r="AP40" s="2102">
        <f>OrgRev!AP17</f>
        <v>7.022082018927446E-2</v>
      </c>
      <c r="AQ40" s="140">
        <f>OrgRev!AQ17</f>
        <v>5.0155474627710875E-2</v>
      </c>
      <c r="AR40" s="2103"/>
      <c r="AS40" s="2101">
        <f>OrgRev!AS17</f>
        <v>6.3674321503131473E-2</v>
      </c>
      <c r="AT40" s="2102">
        <f>OrgRev!AT17</f>
        <v>2.2633744855967135E-2</v>
      </c>
      <c r="AU40" s="2102">
        <f>OrgRev!AU17</f>
        <v>5.0473186119873878E-2</v>
      </c>
      <c r="AV40" s="2102">
        <f>OrgRev!AV17</f>
        <v>3.8499506416584381E-2</v>
      </c>
      <c r="AW40" s="140">
        <f>OrgRev!AW17</f>
        <v>4.3656908063687695E-2</v>
      </c>
      <c r="AX40" s="2103"/>
      <c r="AY40" s="2101">
        <f>OrgRev!AY17</f>
        <v>6.819444444444453E-2</v>
      </c>
      <c r="AZ40" s="2102">
        <f>OrgRev!AZ17</f>
        <v>6.4726720647773295E-2</v>
      </c>
      <c r="BA40" s="2102">
        <f>OrgRev!BA17</f>
        <v>7.0505450941526313E-2</v>
      </c>
      <c r="BB40" s="2102">
        <f>OrgRev!BB17</f>
        <v>6.1810162991371029E-2</v>
      </c>
      <c r="BC40" s="140">
        <f>OrgRev!BC17</f>
        <v>6.6858420420660189E-2</v>
      </c>
      <c r="BD40" s="2103"/>
      <c r="BE40" s="2101">
        <f>OrgRev!BE17</f>
        <v>6.3735867446393757E-2</v>
      </c>
      <c r="BF40" s="2102">
        <f>OrgRev!BF17</f>
        <v>4.0700579563507887E-2</v>
      </c>
      <c r="BG40" s="2102">
        <f>OrgRev!BG17</f>
        <v>3.0571992110453625E-2</v>
      </c>
      <c r="BH40" s="2102">
        <f>OrgRev!BH17</f>
        <v>6.4073429951690838E-2</v>
      </c>
      <c r="BI40" s="140">
        <f>OrgRev!BI17</f>
        <v>5.0200012344765371E-2</v>
      </c>
      <c r="BJ40" s="2103"/>
      <c r="BK40" s="2101">
        <f>OrgRev!BK17</f>
        <v>5.2856379354721483E-2</v>
      </c>
      <c r="BL40" s="2102">
        <f>OrgRev!BL17</f>
        <v>8.6557409224730125E-2</v>
      </c>
      <c r="BM40" s="2102">
        <f>OrgRev!BM17</f>
        <v>7.4885057471264393E-2</v>
      </c>
      <c r="BN40" s="2102">
        <f>OrgRev!BN17</f>
        <v>7.6228622862286224E-2</v>
      </c>
      <c r="BO40" s="140">
        <f>OrgRev!BO17</f>
        <v>7.2912456827797498E-2</v>
      </c>
      <c r="BP40" s="2103"/>
      <c r="BQ40" s="2101">
        <f>OrgRev!BQ17</f>
        <v>6.6609184629803142E-2</v>
      </c>
      <c r="BR40" s="2102">
        <f>OrgRev!BR17</f>
        <v>9.2466341149272546E-2</v>
      </c>
      <c r="BS40" s="2102">
        <f>OrgRev!BS17</f>
        <v>7.9871979573334556E-2</v>
      </c>
      <c r="BT40" s="2102">
        <f>OrgRev!BT17</f>
        <v>7.7378313937735588E-2</v>
      </c>
      <c r="BU40" s="140">
        <f>OrgRev!BU17</f>
        <v>7.9382067105040588E-2</v>
      </c>
      <c r="BV40" s="2103"/>
      <c r="BW40" s="1959">
        <f>OrgRev!BW17</f>
        <v>6.737065054400812E-2</v>
      </c>
      <c r="BX40" s="1960">
        <f>OrgRev!BX17</f>
        <v>6.7564637790029636E-2</v>
      </c>
      <c r="BY40" s="1960">
        <f>OrgRev!BY17</f>
        <v>8.0929414925644011E-2</v>
      </c>
      <c r="BZ40" s="1960">
        <f>OrgRev!BZ17</f>
        <v>7.8350668099167659E-2</v>
      </c>
      <c r="CA40" s="1961">
        <f>OrgRev!CA17</f>
        <v>7.3826529662469359E-2</v>
      </c>
      <c r="CB40" s="1960"/>
      <c r="CC40" s="1959">
        <f>OrgRev!CC17</f>
        <v>5.8829060897070906E-2</v>
      </c>
      <c r="CD40" s="1960">
        <f>OrgRev!CD17</f>
        <v>6.1812036235380383E-2</v>
      </c>
      <c r="CE40" s="1960">
        <f>OrgRev!CE17</f>
        <v>6.9994418100644412E-2</v>
      </c>
      <c r="CF40" s="1960">
        <f>OrgRev!CF17</f>
        <v>6.6380922613676341E-2</v>
      </c>
      <c r="CG40" s="1961">
        <f>OrgRev!CG17</f>
        <v>6.4377085979669735E-2</v>
      </c>
      <c r="CH40" s="142"/>
      <c r="CI40" s="1959">
        <f>OrgRev!CI17</f>
        <v>6.0846029305965083E-2</v>
      </c>
      <c r="CJ40" s="1960">
        <f>OrgRev!CJ17</f>
        <v>6.4122236833090263E-2</v>
      </c>
      <c r="CK40" s="1960">
        <f>OrgRev!CK17</f>
        <v>7.3692900926236815E-2</v>
      </c>
      <c r="CL40" s="1960">
        <f>OrgRev!CL17</f>
        <v>6.9465738370921556E-2</v>
      </c>
      <c r="CM40" s="1961">
        <f>OrgRev!CM17</f>
        <v>6.7192550886070568E-2</v>
      </c>
      <c r="CN40" s="142"/>
      <c r="CO40" s="142"/>
      <c r="CP40" s="142"/>
      <c r="CQ40"/>
      <c r="CR40"/>
      <c r="CS40"/>
      <c r="CT40"/>
      <c r="CU40"/>
      <c r="CV40"/>
      <c r="CW40" s="142"/>
      <c r="CX40" s="126"/>
      <c r="CY40" s="126"/>
      <c r="CZ40" s="126"/>
      <c r="DA40" s="126"/>
      <c r="DB40" s="126"/>
      <c r="DC40" s="126"/>
      <c r="DD40" s="126"/>
      <c r="DE40" s="126"/>
      <c r="DF40" s="126"/>
      <c r="DG40" s="126"/>
      <c r="DH40" s="126"/>
      <c r="DI40" s="126"/>
      <c r="DJ40" s="126"/>
      <c r="DK40" s="126"/>
      <c r="DL40" s="126"/>
      <c r="DM40" s="126"/>
      <c r="DN40" s="126"/>
      <c r="DO40" s="126"/>
    </row>
    <row r="41" spans="1:119" s="149" customFormat="1" ht="12.75" customHeight="1">
      <c r="A41" s="143" t="s">
        <v>96</v>
      </c>
      <c r="B41" s="133"/>
      <c r="C41" s="144"/>
      <c r="D41" s="145"/>
      <c r="E41" s="145"/>
      <c r="F41" s="145"/>
      <c r="G41" s="146"/>
      <c r="H41" s="133"/>
      <c r="I41" s="144"/>
      <c r="J41" s="145"/>
      <c r="K41" s="145"/>
      <c r="L41" s="145"/>
      <c r="M41" s="146"/>
      <c r="N41" s="133"/>
      <c r="O41" s="144">
        <f>O11/O10</f>
        <v>0.45216571428571428</v>
      </c>
      <c r="P41" s="145">
        <f>P11/P10</f>
        <v>0.45868473895582323</v>
      </c>
      <c r="Q41" s="145">
        <f>Q11/Q10</f>
        <v>0.46573991935483866</v>
      </c>
      <c r="R41" s="145">
        <f>R11/R10</f>
        <v>0.45315808823529408</v>
      </c>
      <c r="S41" s="146">
        <f>S11/S10</f>
        <v>0.45726466311197284</v>
      </c>
      <c r="T41" s="147"/>
      <c r="U41" s="144">
        <f>U11/U10</f>
        <v>0.45264383561643834</v>
      </c>
      <c r="V41" s="145">
        <f>V11/V10</f>
        <v>0.45436888111888113</v>
      </c>
      <c r="W41" s="145">
        <f>W11/W10</f>
        <v>0.46543100995732573</v>
      </c>
      <c r="X41" s="145">
        <f>X11/X10</f>
        <v>0.47907682926829265</v>
      </c>
      <c r="Y41" s="146">
        <f>Y11/Y10</f>
        <v>0.46445837999253448</v>
      </c>
      <c r="Z41" s="147"/>
      <c r="AA41" s="144">
        <f>AA11/AA10</f>
        <v>0.47697343957503319</v>
      </c>
      <c r="AB41" s="145">
        <f>AB11/AB10</f>
        <v>0.48673727810650891</v>
      </c>
      <c r="AC41" s="145">
        <f>AC11/AC10</f>
        <v>0.49000598086124397</v>
      </c>
      <c r="AD41" s="145">
        <f>AD11/AD10</f>
        <v>0.48218835616438355</v>
      </c>
      <c r="AE41" s="146">
        <f>AE11/AE10</f>
        <v>0.48413776435045314</v>
      </c>
      <c r="AF41" s="147"/>
      <c r="AG41" s="144">
        <f>AG11/AG10</f>
        <v>0.47776896149358228</v>
      </c>
      <c r="AH41" s="145">
        <f>AH11/AH10</f>
        <v>0.48826837806301049</v>
      </c>
      <c r="AI41" s="145">
        <f>AI11/AI10</f>
        <v>0.48430751708428244</v>
      </c>
      <c r="AJ41" s="145">
        <f>AJ11/AJ10</f>
        <v>0.45447108307045214</v>
      </c>
      <c r="AK41" s="146">
        <f>AK11/AK10</f>
        <v>0.47567541631385829</v>
      </c>
      <c r="AL41" s="147"/>
      <c r="AM41" s="144">
        <f>AM11/AM10</f>
        <v>0.46961795407098111</v>
      </c>
      <c r="AN41" s="145">
        <f>AN11/AN10</f>
        <v>0.46928395061728395</v>
      </c>
      <c r="AO41" s="145">
        <f>AO11/AO10</f>
        <v>0.47450368033648788</v>
      </c>
      <c r="AP41" s="145">
        <f>AP11/AP10</f>
        <v>0.45756071076011845</v>
      </c>
      <c r="AQ41" s="146">
        <f>AQ11/AQ10</f>
        <v>0.4675911658962506</v>
      </c>
      <c r="AR41" s="147"/>
      <c r="AS41" s="144">
        <f>AS11/AS10</f>
        <v>0.45905952380952381</v>
      </c>
      <c r="AT41" s="145">
        <f>AT11/AT10</f>
        <v>0.47165991902834009</v>
      </c>
      <c r="AU41" s="145">
        <f>AU11/AU10</f>
        <v>0.46679881070366702</v>
      </c>
      <c r="AV41" s="145">
        <f>AV11/AV10</f>
        <v>0.46212847555129433</v>
      </c>
      <c r="AW41" s="146">
        <f>AW11/AW10</f>
        <v>0.46485474308300395</v>
      </c>
      <c r="AX41" s="147"/>
      <c r="AY41" s="144">
        <f>AY11/AY10</f>
        <v>0.46924269005847952</v>
      </c>
      <c r="AZ41" s="145">
        <f>AZ11/AZ10</f>
        <v>0.46294807892004147</v>
      </c>
      <c r="BA41" s="145">
        <f>BA11/BA10</f>
        <v>0.46522090729783033</v>
      </c>
      <c r="BB41" s="145">
        <f>BB11/BB10</f>
        <v>0.45435652173913044</v>
      </c>
      <c r="BC41" s="146">
        <f>BC11/BC10</f>
        <v>0.46291604754829119</v>
      </c>
      <c r="BD41" s="147"/>
      <c r="BE41" s="144">
        <f>BE11/BE10</f>
        <v>0.45116731517509728</v>
      </c>
      <c r="BF41" s="145">
        <f>BF11/BF10</f>
        <v>0.45392443572129537</v>
      </c>
      <c r="BG41" s="145">
        <f>BG11/BG10</f>
        <v>0.45682758620689662</v>
      </c>
      <c r="BH41" s="145">
        <f>BH11/BH10</f>
        <v>0.44625202520252022</v>
      </c>
      <c r="BI41" s="146">
        <f>BI11/BI10</f>
        <v>0.45194264635887677</v>
      </c>
      <c r="BJ41" s="147"/>
      <c r="BK41" s="144">
        <f>BK11/BK10</f>
        <v>0.44914058106841614</v>
      </c>
      <c r="BL41" s="145">
        <f>BL11/BL10</f>
        <v>0.44018239564428313</v>
      </c>
      <c r="BM41" s="145">
        <f>BM11/BM10</f>
        <v>0.44933572710951525</v>
      </c>
      <c r="BN41" s="145">
        <f>BN11/BN10</f>
        <v>0.43897897392767032</v>
      </c>
      <c r="BO41" s="146">
        <f>BO11/BO10</f>
        <v>0.4442799642218247</v>
      </c>
      <c r="BP41" s="147"/>
      <c r="BQ41" s="144">
        <f>BQ11/BQ10</f>
        <v>0.43103881090008261</v>
      </c>
      <c r="BR41" s="145">
        <f>BR11/BR10</f>
        <v>0.43481099722184341</v>
      </c>
      <c r="BS41" s="145">
        <f>BS11/BS10</f>
        <v>0.444765076122908</v>
      </c>
      <c r="BT41" s="145">
        <f>BT11/BT10</f>
        <v>0.43482744533769946</v>
      </c>
      <c r="BU41" s="146">
        <f>BU11/BU10</f>
        <v>0.43636745618983824</v>
      </c>
      <c r="BV41" s="147"/>
      <c r="BW41" s="144">
        <f>BW11/BW10</f>
        <v>0.42645106980066155</v>
      </c>
      <c r="BX41" s="145">
        <f>BX11/BX10</f>
        <v>0.43020019395090547</v>
      </c>
      <c r="BY41" s="145">
        <f>BY11/BY10</f>
        <v>0.44038721592876157</v>
      </c>
      <c r="BZ41" s="145">
        <f>BZ11/BZ10</f>
        <v>0.43031977350657485</v>
      </c>
      <c r="CA41" s="146">
        <f>CA11/CA10</f>
        <v>0.43186932585607629</v>
      </c>
      <c r="CB41" s="219"/>
      <c r="CC41" s="144">
        <f>CC11/CC10</f>
        <v>0.4236700184666703</v>
      </c>
      <c r="CD41" s="145">
        <f>CD11/CD10</f>
        <v>0.4268619227772511</v>
      </c>
      <c r="CE41" s="145">
        <f>CE11/CE10</f>
        <v>0.43762363882182675</v>
      </c>
      <c r="CF41" s="145">
        <f>CF11/CF10</f>
        <v>0.42738676411802373</v>
      </c>
      <c r="CG41" s="146">
        <f>CG11/CG10</f>
        <v>0.42893268904986376</v>
      </c>
      <c r="CH41" s="135"/>
      <c r="CI41" s="144">
        <f>CI11/CI10</f>
        <v>0.42190627311174572</v>
      </c>
      <c r="CJ41" s="145">
        <f>CJ11/CJ10</f>
        <v>0.42448004164649383</v>
      </c>
      <c r="CK41" s="145">
        <f>CK11/CK10</f>
        <v>0.43588520426632471</v>
      </c>
      <c r="CL41" s="145">
        <f>CL11/CL10</f>
        <v>0.42543994329226931</v>
      </c>
      <c r="CM41" s="146">
        <f>CM11/CM10</f>
        <v>0.42699551121969653</v>
      </c>
      <c r="CN41" s="135"/>
      <c r="CO41" s="135"/>
      <c r="CP41" s="135"/>
      <c r="CQ41"/>
      <c r="CR41"/>
      <c r="CS41"/>
      <c r="CT41"/>
      <c r="CU41"/>
      <c r="CV41"/>
      <c r="CW41" s="135"/>
    </row>
    <row r="42" spans="1:119" s="149" customFormat="1" ht="12.75" hidden="1" customHeight="1" outlineLevel="2">
      <c r="A42" s="2237" t="s">
        <v>97</v>
      </c>
      <c r="B42" s="2238"/>
      <c r="C42" s="2239">
        <f>RevBuild!C8-C58</f>
        <v>119.5</v>
      </c>
      <c r="D42" s="2240">
        <f>RevBuild!D8-D58</f>
        <v>115.39499999999998</v>
      </c>
      <c r="E42" s="2240">
        <f>RevBuild!E8-E58</f>
        <v>122.29199999999997</v>
      </c>
      <c r="F42" s="2241">
        <f>RevBuild!F8-F58</f>
        <v>133.315</v>
      </c>
      <c r="G42" s="2242">
        <f>SUM(C42:F42)</f>
        <v>490.50199999999995</v>
      </c>
      <c r="H42" s="2238"/>
      <c r="I42" s="2239">
        <f>RevBuild!I8-I58</f>
        <v>148.10399999999998</v>
      </c>
      <c r="J42" s="2240">
        <f>RevBuild!J8-J58</f>
        <v>145.86599999999999</v>
      </c>
      <c r="K42" s="2240">
        <f>RevBuild!K8-K58</f>
        <v>143.22</v>
      </c>
      <c r="L42" s="2241">
        <f>RevBuild!L8-L58</f>
        <v>152.874</v>
      </c>
      <c r="M42" s="2242">
        <f>SUM(I42:L42)</f>
        <v>590.06399999999996</v>
      </c>
      <c r="N42" s="2238"/>
      <c r="O42" s="2239">
        <f>RevBuild!O8-O58</f>
        <v>116.535</v>
      </c>
      <c r="P42" s="2240">
        <f>RevBuild!P8-P58</f>
        <v>110.44199999999999</v>
      </c>
      <c r="Q42" s="2240">
        <f>RevBuild!Q8-Q58</f>
        <v>113.035</v>
      </c>
      <c r="R42" s="2241">
        <f>RevBuild!R8-R58</f>
        <v>121.36499999999998</v>
      </c>
      <c r="S42" s="2242">
        <f>SUM(O42:R42)</f>
        <v>461.37699999999995</v>
      </c>
      <c r="T42" s="2243"/>
      <c r="U42" s="2239">
        <f>RevBuild!U8-U58</f>
        <v>127.88</v>
      </c>
      <c r="V42" s="2240">
        <f>RevBuild!V8-V58</f>
        <v>124.155</v>
      </c>
      <c r="W42" s="2240">
        <f>RevBuild!W8-W58</f>
        <v>148.208</v>
      </c>
      <c r="X42" s="2241">
        <f>RevBuild!X8-X58</f>
        <v>183.13300000000001</v>
      </c>
      <c r="Y42" s="2242">
        <f>SUM(U42:X42)</f>
        <v>583.37599999999998</v>
      </c>
      <c r="Z42" s="2243"/>
      <c r="AA42" s="2239">
        <f>RevBuild!AA8-AA58</f>
        <v>161.90199999999999</v>
      </c>
      <c r="AB42" s="2240">
        <f>RevBuild!AB8-AB58</f>
        <v>194.43199999999999</v>
      </c>
      <c r="AC42" s="2240">
        <f>RevBuild!AC8-AC58</f>
        <v>192.26599999999999</v>
      </c>
      <c r="AD42" s="2241">
        <f>RevBuild!AD8-AD58</f>
        <v>203.01</v>
      </c>
      <c r="AE42" s="2242">
        <f>SUM(AA42:AD42)</f>
        <v>751.6099999999999</v>
      </c>
      <c r="AF42" s="2243"/>
      <c r="AG42" s="2239">
        <f>RevBuild!AG8-AG58</f>
        <v>193.94499999999999</v>
      </c>
      <c r="AH42" s="2240">
        <f>RevBuild!AH8-AH58</f>
        <v>201.845</v>
      </c>
      <c r="AI42" s="2240">
        <f>RevBuild!AI8-AI58</f>
        <v>193.54499999999999</v>
      </c>
      <c r="AJ42" s="2241">
        <f>RevBuild!AJ8-AJ58</f>
        <v>200.5</v>
      </c>
      <c r="AK42" s="2242">
        <f>SUM(AG42:AJ42)</f>
        <v>789.83499999999992</v>
      </c>
      <c r="AL42" s="2243"/>
      <c r="AM42" s="2239">
        <f>RevBuild!AM8-AM58</f>
        <v>192.881</v>
      </c>
      <c r="AN42" s="2240">
        <f>RevBuild!AN8-AN58</f>
        <v>199.3005</v>
      </c>
      <c r="AO42" s="2240">
        <f>RevBuild!AO8-AO58</f>
        <v>195.68799999999999</v>
      </c>
      <c r="AP42" s="2241"/>
      <c r="AQ42" s="2242">
        <f>SUM(AM42:AP42)</f>
        <v>587.86950000000002</v>
      </c>
      <c r="AR42" s="2243"/>
      <c r="AS42" s="2239"/>
      <c r="AT42" s="2240"/>
      <c r="AU42" s="2240"/>
      <c r="AV42" s="2241"/>
      <c r="AW42" s="2242"/>
      <c r="AX42" s="2243"/>
      <c r="AY42" s="2239"/>
      <c r="AZ42" s="2240"/>
      <c r="BA42" s="2240"/>
      <c r="BB42" s="2241"/>
      <c r="BC42" s="2242"/>
      <c r="BD42" s="2243"/>
      <c r="BE42" s="2239"/>
      <c r="BF42" s="2240"/>
      <c r="BG42" s="2240"/>
      <c r="BH42" s="2241"/>
      <c r="BI42" s="2242"/>
      <c r="BJ42" s="2243"/>
      <c r="BK42" s="2239"/>
      <c r="BL42" s="2240"/>
      <c r="BM42" s="2240"/>
      <c r="BN42" s="2241"/>
      <c r="BO42" s="2242"/>
      <c r="BP42" s="2243"/>
      <c r="BQ42" s="2239"/>
      <c r="BR42" s="2240"/>
      <c r="BS42" s="2240"/>
      <c r="BT42" s="2241"/>
      <c r="BU42" s="2242"/>
      <c r="BV42" s="2243"/>
      <c r="BW42" s="2239"/>
      <c r="BX42" s="2240"/>
      <c r="BY42" s="2240"/>
      <c r="BZ42" s="2241"/>
      <c r="CA42" s="2242"/>
      <c r="CB42" s="2241"/>
      <c r="CC42" s="2239"/>
      <c r="CD42" s="2240"/>
      <c r="CE42" s="2240"/>
      <c r="CF42" s="2241"/>
      <c r="CG42" s="2242"/>
      <c r="CI42" s="2239"/>
      <c r="CJ42" s="2240"/>
      <c r="CK42" s="2240"/>
      <c r="CL42" s="2241"/>
      <c r="CM42" s="2242"/>
      <c r="CQ42"/>
      <c r="CR42"/>
      <c r="CS42"/>
      <c r="CT42"/>
      <c r="CU42"/>
      <c r="CV42"/>
    </row>
    <row r="43" spans="1:119" s="149" customFormat="1" ht="12.75" hidden="1" customHeight="1" outlineLevel="2">
      <c r="A43" s="2244" t="s">
        <v>98</v>
      </c>
      <c r="B43" s="2245"/>
      <c r="C43" s="2246">
        <f>1-C59</f>
        <v>0.47799999999999998</v>
      </c>
      <c r="D43" s="2247">
        <f>1-D59</f>
        <v>0.47099999999999997</v>
      </c>
      <c r="E43" s="2247">
        <f>1-E59</f>
        <v>0.47399999999999987</v>
      </c>
      <c r="F43" s="2248">
        <f>1-F59</f>
        <v>0.45499999999999996</v>
      </c>
      <c r="G43" s="2249">
        <f>G42/RevBuild!G8</f>
        <v>0.46893116634799231</v>
      </c>
      <c r="H43" s="2245"/>
      <c r="I43" s="2246">
        <f>1-I59</f>
        <v>0.48399999999999999</v>
      </c>
      <c r="J43" s="2247">
        <f>1-J59</f>
        <v>0.48299999999999998</v>
      </c>
      <c r="K43" s="2247">
        <f>1-K59</f>
        <v>0.46499999999999997</v>
      </c>
      <c r="L43" s="2248">
        <f>1-L59</f>
        <v>0.44699999999999995</v>
      </c>
      <c r="M43" s="2249">
        <f>M42/RevBuild!M8</f>
        <v>0.46904928457869632</v>
      </c>
      <c r="N43" s="2245"/>
      <c r="O43" s="2246">
        <f>1-O59</f>
        <v>0.45699999999999996</v>
      </c>
      <c r="P43" s="2247">
        <f>1-P59</f>
        <v>0.46599999999999997</v>
      </c>
      <c r="Q43" s="2247">
        <f>1-Q59</f>
        <v>0.48099999999999998</v>
      </c>
      <c r="R43" s="2248">
        <f>1-R59</f>
        <v>0.46499999999999997</v>
      </c>
      <c r="S43" s="2249">
        <f>S42/RevBuild!S8</f>
        <v>0.4669807692307692</v>
      </c>
      <c r="T43" s="2250"/>
      <c r="U43" s="2246">
        <f>1-U59</f>
        <v>0.45999999999999996</v>
      </c>
      <c r="V43" s="2247">
        <f>1-V59</f>
        <v>0.46499999999999997</v>
      </c>
      <c r="W43" s="2247">
        <f>1-W59</f>
        <v>0.47199999999999998</v>
      </c>
      <c r="X43" s="2248">
        <f>1-X59</f>
        <v>0.499</v>
      </c>
      <c r="Y43" s="2249">
        <f>Y42/RevBuild!Y8</f>
        <v>0.47583686786296897</v>
      </c>
      <c r="Z43" s="2250"/>
      <c r="AA43" s="2246">
        <f>1-AA59</f>
        <v>0.47899999999999998</v>
      </c>
      <c r="AB43" s="2247">
        <f>1-AB59</f>
        <v>0.496</v>
      </c>
      <c r="AC43" s="2247">
        <f>1-AC59</f>
        <v>0.502</v>
      </c>
      <c r="AD43" s="2248">
        <f>1-AD59</f>
        <v>0.505</v>
      </c>
      <c r="AE43" s="2249">
        <f>AE42/RevBuild!AE8</f>
        <v>0.49611221122112203</v>
      </c>
      <c r="AF43" s="2250"/>
      <c r="AG43" s="2246">
        <f>1-AG59</f>
        <v>0.49099999999999999</v>
      </c>
      <c r="AH43" s="2247">
        <f>1-AH59</f>
        <v>0.51100000000000001</v>
      </c>
      <c r="AI43" s="2247">
        <f>1-AI59</f>
        <v>0.495</v>
      </c>
      <c r="AJ43" s="2248">
        <f>AJ42/RevBuild!AJ8</f>
        <v>0.5</v>
      </c>
      <c r="AK43" s="2249">
        <f>AK42/RevBuild!AK8</f>
        <v>0.49926359039190893</v>
      </c>
      <c r="AL43" s="2250"/>
      <c r="AM43" s="2246">
        <f>AM42/RevBuild!AM8</f>
        <v>0.48099999999999998</v>
      </c>
      <c r="AN43" s="2247">
        <f>AN42/RevBuild!AN8</f>
        <v>0.49209999999999998</v>
      </c>
      <c r="AO43" s="2247">
        <f>AO42/RevBuild!AO8</f>
        <v>0.48799999999999999</v>
      </c>
      <c r="AP43" s="2248"/>
      <c r="AQ43" s="2249">
        <f>AQ42/RevBuild!AQ8</f>
        <v>0.36122751168288841</v>
      </c>
      <c r="AR43" s="2250"/>
      <c r="AS43" s="2246"/>
      <c r="AT43" s="2247"/>
      <c r="AU43" s="2247"/>
      <c r="AV43" s="2248"/>
      <c r="AW43" s="2249"/>
      <c r="AX43" s="2250"/>
      <c r="AY43" s="2246"/>
      <c r="AZ43" s="2247"/>
      <c r="BA43" s="2247"/>
      <c r="BB43" s="2248"/>
      <c r="BC43" s="2249"/>
      <c r="BD43" s="2250"/>
      <c r="BE43" s="2246"/>
      <c r="BF43" s="2247"/>
      <c r="BG43" s="2247"/>
      <c r="BH43" s="2248"/>
      <c r="BI43" s="2249"/>
      <c r="BJ43" s="2250"/>
      <c r="BK43" s="2246"/>
      <c r="BL43" s="2247"/>
      <c r="BM43" s="2247"/>
      <c r="BN43" s="2248"/>
      <c r="BO43" s="2249"/>
      <c r="BP43" s="2250"/>
      <c r="BQ43" s="2246"/>
      <c r="BR43" s="2247"/>
      <c r="BS43" s="2247"/>
      <c r="BT43" s="2248"/>
      <c r="BU43" s="2249"/>
      <c r="BV43" s="2250"/>
      <c r="BW43" s="2246"/>
      <c r="BX43" s="2247"/>
      <c r="BY43" s="2247"/>
      <c r="BZ43" s="2248"/>
      <c r="CA43" s="2249"/>
      <c r="CB43" s="2248"/>
      <c r="CC43" s="2246"/>
      <c r="CD43" s="2247"/>
      <c r="CE43" s="2247"/>
      <c r="CF43" s="2248"/>
      <c r="CG43" s="2249"/>
      <c r="CH43" s="142"/>
      <c r="CI43" s="2246"/>
      <c r="CJ43" s="2247"/>
      <c r="CK43" s="2247"/>
      <c r="CL43" s="2248"/>
      <c r="CM43" s="2249"/>
      <c r="CN43" s="142"/>
      <c r="CO43" s="142"/>
      <c r="CP43" s="142"/>
      <c r="CQ43"/>
      <c r="CR43"/>
      <c r="CS43"/>
      <c r="CT43"/>
      <c r="CU43"/>
      <c r="CV43"/>
      <c r="CW43" s="142"/>
    </row>
    <row r="44" spans="1:119" s="149" customFormat="1" ht="12.75" hidden="1" customHeight="1" outlineLevel="2">
      <c r="A44" s="2237" t="s">
        <v>99</v>
      </c>
      <c r="B44" s="2245"/>
      <c r="C44" s="2251"/>
      <c r="D44" s="2252"/>
      <c r="E44" s="2252"/>
      <c r="F44" s="2252"/>
      <c r="G44" s="2253"/>
      <c r="H44" s="2245"/>
      <c r="I44" s="2251"/>
      <c r="J44" s="2252"/>
      <c r="K44" s="2252"/>
      <c r="L44" s="2252"/>
      <c r="M44" s="2253"/>
      <c r="N44" s="2245"/>
      <c r="O44" s="2239">
        <f>RevBuild!O9-O60</f>
        <v>23.867999999999999</v>
      </c>
      <c r="P44" s="2252">
        <f>RevBuild!P9-P60</f>
        <v>24.582999999999998</v>
      </c>
      <c r="Q44" s="2252">
        <f>RevBuild!Q9-Q60</f>
        <v>24.186</v>
      </c>
      <c r="R44" s="2252">
        <f>RevBuild!R9-R60</f>
        <v>24.128</v>
      </c>
      <c r="S44" s="2253">
        <f>SUM(O44:R44)</f>
        <v>96.765000000000001</v>
      </c>
      <c r="T44" s="2250"/>
      <c r="U44" s="2239">
        <f>RevBuild!U9-U60</f>
        <v>26.908000000000001</v>
      </c>
      <c r="V44" s="2252">
        <f>RevBuild!V9-V60</f>
        <v>26.264000000000003</v>
      </c>
      <c r="W44" s="2252">
        <f>RevBuild!W9-W60</f>
        <v>24.36</v>
      </c>
      <c r="X44" s="2252">
        <f>RevBuild!X9-X60</f>
        <v>26.880000000000003</v>
      </c>
      <c r="Y44" s="2253">
        <f>SUM(U44:X44)</f>
        <v>104.41200000000001</v>
      </c>
      <c r="Z44" s="2250"/>
      <c r="AA44" s="2239">
        <f>RevBuild!AA9-AA60</f>
        <v>26.597999999999999</v>
      </c>
      <c r="AB44" s="2252">
        <f>RevBuild!AB9-AB60</f>
        <v>27.503999999999998</v>
      </c>
      <c r="AC44" s="2252">
        <f>RevBuild!AC9-AC60</f>
        <v>28.560000000000002</v>
      </c>
      <c r="AD44" s="2252">
        <f>RevBuild!AD9-AD60</f>
        <v>25.392000000000003</v>
      </c>
      <c r="AE44" s="2253">
        <f>SUM(AA44:AD44)</f>
        <v>108.054</v>
      </c>
      <c r="AF44" s="2250"/>
      <c r="AG44" s="2239">
        <f>RevBuild!AG9-AG60</f>
        <v>24.683999999999997</v>
      </c>
      <c r="AH44" s="2252">
        <f>RevBuild!AH9-AH60</f>
        <v>25.677999999999997</v>
      </c>
      <c r="AI44" s="2252">
        <f>RevBuild!AI9-AI60</f>
        <v>41.552000000000007</v>
      </c>
      <c r="AJ44" s="2252">
        <f>RevBuild!AJ9-AJ60</f>
        <v>57.096000000000004</v>
      </c>
      <c r="AK44" s="2253">
        <f>SUM(AG44:AJ44)</f>
        <v>149.01</v>
      </c>
      <c r="AL44" s="2250"/>
      <c r="AM44" s="2239">
        <f>RevBuild!AM9-AM60</f>
        <v>64.385000000000005</v>
      </c>
      <c r="AN44" s="2252">
        <f>RevBuild!AN9-AN60</f>
        <v>62.167000000000016</v>
      </c>
      <c r="AO44" s="2252">
        <f>RevBuild!AO9-AO60</f>
        <v>66.178000000000011</v>
      </c>
      <c r="AP44" s="2252"/>
      <c r="AQ44" s="2253">
        <f>SUM(AM44:AP44)</f>
        <v>192.73000000000002</v>
      </c>
      <c r="AR44" s="2250"/>
      <c r="AS44" s="2251"/>
      <c r="AT44" s="2252"/>
      <c r="AU44" s="2252"/>
      <c r="AV44" s="2252"/>
      <c r="AW44" s="2253"/>
      <c r="AX44" s="2250"/>
      <c r="AY44" s="2254"/>
      <c r="AZ44" s="2252"/>
      <c r="BA44" s="2252"/>
      <c r="BB44" s="2252"/>
      <c r="BC44" s="2253"/>
      <c r="BD44" s="2250"/>
      <c r="BE44" s="2254"/>
      <c r="BF44" s="2252"/>
      <c r="BG44" s="2252"/>
      <c r="BH44" s="2252"/>
      <c r="BI44" s="2253"/>
      <c r="BJ44" s="2250"/>
      <c r="BK44" s="2254"/>
      <c r="BL44" s="2252"/>
      <c r="BM44" s="2252"/>
      <c r="BN44" s="2252"/>
      <c r="BO44" s="2253"/>
      <c r="BP44" s="2250"/>
      <c r="BQ44" s="2254"/>
      <c r="BR44" s="2252"/>
      <c r="BS44" s="2252"/>
      <c r="BT44" s="2252"/>
      <c r="BU44" s="2253"/>
      <c r="BV44" s="2250"/>
      <c r="BW44" s="2254"/>
      <c r="BX44" s="2252"/>
      <c r="BY44" s="2252"/>
      <c r="BZ44" s="2252"/>
      <c r="CA44" s="2253"/>
      <c r="CB44" s="2252"/>
      <c r="CC44" s="2254"/>
      <c r="CD44" s="2252"/>
      <c r="CE44" s="2252"/>
      <c r="CF44" s="2252"/>
      <c r="CG44" s="2253"/>
      <c r="CH44" s="152"/>
      <c r="CI44" s="2254"/>
      <c r="CJ44" s="2252"/>
      <c r="CK44" s="2252"/>
      <c r="CL44" s="2252"/>
      <c r="CM44" s="2253"/>
      <c r="CN44" s="152"/>
      <c r="CO44" s="152"/>
      <c r="CP44" s="142"/>
      <c r="CQ44"/>
      <c r="CR44"/>
      <c r="CS44"/>
      <c r="CT44"/>
      <c r="CU44"/>
      <c r="CV44"/>
      <c r="CW44" s="142"/>
    </row>
    <row r="45" spans="1:119" s="149" customFormat="1" ht="12.75" hidden="1" customHeight="1" outlineLevel="2">
      <c r="A45" s="2244" t="s">
        <v>100</v>
      </c>
      <c r="B45" s="2245"/>
      <c r="C45" s="2255"/>
      <c r="D45" s="2248"/>
      <c r="E45" s="2248"/>
      <c r="F45" s="2248"/>
      <c r="G45" s="2249"/>
      <c r="H45" s="2245"/>
      <c r="I45" s="2255"/>
      <c r="J45" s="2248"/>
      <c r="K45" s="2248"/>
      <c r="L45" s="2248"/>
      <c r="M45" s="2249"/>
      <c r="N45" s="2245"/>
      <c r="O45" s="2255">
        <f>O44/RevBuild!O9</f>
        <v>0.44199999999999995</v>
      </c>
      <c r="P45" s="2248">
        <f>P44/RevBuild!P9</f>
        <v>0.40299999999999997</v>
      </c>
      <c r="Q45" s="2248">
        <f>Q44/RevBuild!Q9</f>
        <v>0.41699999999999998</v>
      </c>
      <c r="R45" s="2248">
        <f>R44/RevBuild!R9</f>
        <v>0.41599999999999998</v>
      </c>
      <c r="S45" s="2249">
        <f>S44/RevBuild!S9</f>
        <v>0.41889610389610388</v>
      </c>
      <c r="T45" s="2250"/>
      <c r="U45" s="2255">
        <f>U44/RevBuild!U9</f>
        <v>0.434</v>
      </c>
      <c r="V45" s="2248">
        <f>V44/RevBuild!V9</f>
        <v>0.39200000000000007</v>
      </c>
      <c r="W45" s="2248">
        <f>W44/RevBuild!W9</f>
        <v>0.40599999999999997</v>
      </c>
      <c r="X45" s="2248">
        <f>X44/RevBuild!X9</f>
        <v>0.42000000000000004</v>
      </c>
      <c r="Y45" s="2249">
        <f>Y44/RevBuild!Y9</f>
        <v>0.41269565217391307</v>
      </c>
      <c r="Z45" s="2250"/>
      <c r="AA45" s="2255">
        <f>AA44/RevBuild!AA9</f>
        <v>0.40299999999999997</v>
      </c>
      <c r="AB45" s="2248">
        <f>AB44/RevBuild!AB9</f>
        <v>0.38199999999999995</v>
      </c>
      <c r="AC45" s="2248">
        <f>AC44/RevBuild!AC9</f>
        <v>0.40800000000000003</v>
      </c>
      <c r="AD45" s="2248">
        <f>AD44/RevBuild!AD9</f>
        <v>0.36800000000000005</v>
      </c>
      <c r="AE45" s="2249">
        <f>AE44/RevBuild!AE9</f>
        <v>0.390086642599278</v>
      </c>
      <c r="AF45" s="2250"/>
      <c r="AG45" s="2255">
        <f>AG44/RevBuild!AG9</f>
        <v>0.37399999999999994</v>
      </c>
      <c r="AH45" s="2248">
        <f>AH44/RevBuild!AH9</f>
        <v>0.34699999999999998</v>
      </c>
      <c r="AI45" s="2248">
        <f>AI44/RevBuild!AI9</f>
        <v>0.39200000000000007</v>
      </c>
      <c r="AJ45" s="2248">
        <f>AJ44/RevBuild!AJ9</f>
        <v>0.36600000000000005</v>
      </c>
      <c r="AK45" s="2249">
        <f>AK44/RevBuild!AK9</f>
        <v>0.37067164179104473</v>
      </c>
      <c r="AL45" s="2250"/>
      <c r="AM45" s="2255">
        <f>AM44/RevBuild!AM9</f>
        <v>0.39500000000000002</v>
      </c>
      <c r="AN45" s="2248">
        <f>AN44/RevBuild!AN9</f>
        <v>0.37450000000000011</v>
      </c>
      <c r="AO45" s="2248">
        <f>AO44/RevBuild!AO9</f>
        <v>0.40600000000000008</v>
      </c>
      <c r="AP45" s="2248"/>
      <c r="AQ45" s="2249">
        <f>AQ44/RevBuild!AQ9</f>
        <v>0.28655400719994062</v>
      </c>
      <c r="AR45" s="2250"/>
      <c r="AS45" s="2256"/>
      <c r="AT45" s="2257"/>
      <c r="AU45" s="2257"/>
      <c r="AV45" s="2258"/>
      <c r="AW45" s="2249"/>
      <c r="AX45" s="2250"/>
      <c r="AY45" s="2256"/>
      <c r="AZ45" s="2257"/>
      <c r="BA45" s="2257"/>
      <c r="BB45" s="2258"/>
      <c r="BC45" s="2249"/>
      <c r="BD45" s="2250"/>
      <c r="BE45" s="2256"/>
      <c r="BF45" s="2257"/>
      <c r="BG45" s="2257"/>
      <c r="BH45" s="2258"/>
      <c r="BI45" s="2249"/>
      <c r="BJ45" s="2250"/>
      <c r="BK45" s="2256"/>
      <c r="BL45" s="2257"/>
      <c r="BM45" s="2257"/>
      <c r="BN45" s="2258"/>
      <c r="BO45" s="2249"/>
      <c r="BP45" s="2250"/>
      <c r="BQ45" s="2256"/>
      <c r="BR45" s="2257"/>
      <c r="BS45" s="2257"/>
      <c r="BT45" s="2258"/>
      <c r="BU45" s="2249"/>
      <c r="BV45" s="2250"/>
      <c r="BW45" s="2256"/>
      <c r="BX45" s="2257"/>
      <c r="BY45" s="2257"/>
      <c r="BZ45" s="2258"/>
      <c r="CA45" s="2249"/>
      <c r="CB45" s="2248"/>
      <c r="CC45" s="2256"/>
      <c r="CD45" s="2257"/>
      <c r="CE45" s="2257"/>
      <c r="CF45" s="2258"/>
      <c r="CG45" s="2249"/>
      <c r="CH45" s="152"/>
      <c r="CI45" s="2256"/>
      <c r="CJ45" s="2257"/>
      <c r="CK45" s="2257"/>
      <c r="CL45" s="2258"/>
      <c r="CM45" s="2249"/>
      <c r="CN45" s="152"/>
      <c r="CO45" s="152"/>
      <c r="CP45" s="153"/>
      <c r="CQ45"/>
      <c r="CR45"/>
      <c r="CS45"/>
      <c r="CT45"/>
      <c r="CU45"/>
      <c r="CV45"/>
      <c r="CW45" s="153"/>
      <c r="CX45" s="154"/>
      <c r="CY45" s="154"/>
      <c r="CZ45" s="154"/>
      <c r="DA45" s="154"/>
      <c r="DB45" s="154"/>
      <c r="DC45" s="154"/>
      <c r="DD45" s="154"/>
      <c r="DE45" s="154"/>
      <c r="DF45" s="154"/>
      <c r="DG45" s="154"/>
      <c r="DH45" s="154"/>
      <c r="DI45" s="154"/>
      <c r="DJ45" s="154"/>
      <c r="DK45" s="154"/>
      <c r="DL45" s="154"/>
      <c r="DM45" s="154"/>
      <c r="DN45" s="154"/>
      <c r="DO45" s="154"/>
    </row>
    <row r="46" spans="1:119" s="149" customFormat="1" ht="12.75" hidden="1" customHeight="1" outlineLevel="2">
      <c r="A46" s="2237" t="s">
        <v>101</v>
      </c>
      <c r="B46" s="2238"/>
      <c r="C46" s="2239">
        <f>RevBuild!C10-C62</f>
        <v>95.734999999999999</v>
      </c>
      <c r="D46" s="2240">
        <f>RevBuild!D10-D62</f>
        <v>89.120999999999995</v>
      </c>
      <c r="E46" s="2240">
        <f>RevBuild!E10-E62</f>
        <v>94.527999999999992</v>
      </c>
      <c r="F46" s="2241">
        <f>RevBuild!F10-F62</f>
        <v>103.71899999999999</v>
      </c>
      <c r="G46" s="2242">
        <f>SUM(C46:F46)</f>
        <v>383.10300000000001</v>
      </c>
      <c r="H46" s="2238"/>
      <c r="I46" s="2239">
        <f>RevBuild!I10-I62</f>
        <v>103.05</v>
      </c>
      <c r="J46" s="2240">
        <f>RevBuild!J10-J62</f>
        <v>105.336</v>
      </c>
      <c r="K46" s="2240">
        <f>RevBuild!K10-K62</f>
        <v>105.09599999999999</v>
      </c>
      <c r="L46" s="2241">
        <f>RevBuild!L10-L62</f>
        <v>110.88</v>
      </c>
      <c r="M46" s="2242">
        <f>SUM(I46:L46)</f>
        <v>424.36199999999997</v>
      </c>
      <c r="N46" s="2238"/>
      <c r="O46" s="2239">
        <f>RevBuild!O10-O62</f>
        <v>96.983999999999995</v>
      </c>
      <c r="P46" s="2240">
        <f>RevBuild!P10-P62</f>
        <v>93.399999999999991</v>
      </c>
      <c r="Q46" s="2240">
        <f>RevBuild!Q10-Q62</f>
        <v>93.785999999999987</v>
      </c>
      <c r="R46" s="2241">
        <f>RevBuild!R10-R62</f>
        <v>101.02499999999999</v>
      </c>
      <c r="S46" s="2242">
        <f>SUM(O46:R46)</f>
        <v>385.19499999999994</v>
      </c>
      <c r="T46" s="2259"/>
      <c r="U46" s="2239">
        <f>RevBuild!U10-U62</f>
        <v>109.55599999999998</v>
      </c>
      <c r="V46" s="2240">
        <f>RevBuild!V10-V62</f>
        <v>109.47999999999999</v>
      </c>
      <c r="W46" s="2240">
        <f>RevBuild!W10-W62</f>
        <v>154.63</v>
      </c>
      <c r="X46" s="2241">
        <f>RevBuild!X10-X62</f>
        <v>182.82999999999998</v>
      </c>
      <c r="Y46" s="2242">
        <f>SUM(U46:X46)</f>
        <v>556.49599999999987</v>
      </c>
      <c r="Z46" s="2259"/>
      <c r="AA46" s="2239">
        <f>RevBuild!AA10-AA62</f>
        <v>170.661</v>
      </c>
      <c r="AB46" s="2240">
        <f>RevBuild!AB10-AB62</f>
        <v>189.357</v>
      </c>
      <c r="AC46" s="2240">
        <f>RevBuild!AC10-AC62</f>
        <v>188.81899999999999</v>
      </c>
      <c r="AD46" s="2241">
        <f>RevBuild!AD10-AD62</f>
        <v>193.995</v>
      </c>
      <c r="AE46" s="2242">
        <f>SUM(AA46:AD46)</f>
        <v>742.83199999999999</v>
      </c>
      <c r="AF46" s="2259"/>
      <c r="AG46" s="2239">
        <f>RevBuild!AG10-AG62</f>
        <v>190.07999999999998</v>
      </c>
      <c r="AH46" s="2240">
        <f>RevBuild!AH10-AH62</f>
        <v>190.89599999999999</v>
      </c>
      <c r="AI46" s="2240">
        <f>RevBuild!AI10-AI62</f>
        <v>190.119</v>
      </c>
      <c r="AJ46" s="2241">
        <f>RevBuild!AJ10-AJ62</f>
        <v>185.57399999999998</v>
      </c>
      <c r="AK46" s="2242">
        <f>SUM(AG46:AJ46)</f>
        <v>756.66899999999998</v>
      </c>
      <c r="AL46" s="2259"/>
      <c r="AM46" s="2239">
        <f>RevBuild!AM10-AM62</f>
        <v>192.27199999999999</v>
      </c>
      <c r="AN46" s="2240">
        <f>RevBuild!AN10-AN62</f>
        <v>195.08650000000003</v>
      </c>
      <c r="AO46" s="2240">
        <f>RevBuild!AO10-AO62</f>
        <v>189.63</v>
      </c>
      <c r="AP46" s="2241">
        <f>RevBuild!AP10-AP62</f>
        <v>194.05199999999999</v>
      </c>
      <c r="AQ46" s="2242">
        <f>SUM(AM46:AP46)</f>
        <v>771.04050000000007</v>
      </c>
      <c r="AR46" s="2259"/>
      <c r="AS46" s="2239">
        <f>RevBuild!AS10-AS62</f>
        <v>199.74299999999999</v>
      </c>
      <c r="AT46" s="2240">
        <f>RevBuild!AT10-AT62</f>
        <v>195.22499999999999</v>
      </c>
      <c r="AU46" s="2240">
        <f>RevBuild!AU10-AU62</f>
        <v>197.24099999999999</v>
      </c>
      <c r="AV46" s="2241">
        <f>RevBuild!AV10-AV62</f>
        <v>201.708</v>
      </c>
      <c r="AW46" s="2242">
        <f>SUM(AS46:AV46)</f>
        <v>793.91699999999992</v>
      </c>
      <c r="AX46" s="2259"/>
      <c r="AY46" s="2239"/>
      <c r="AZ46" s="2240"/>
      <c r="BA46" s="2240"/>
      <c r="BB46" s="2241"/>
      <c r="BC46" s="2242"/>
      <c r="BD46" s="2259"/>
      <c r="BE46" s="2239"/>
      <c r="BF46" s="2240"/>
      <c r="BG46" s="2240"/>
      <c r="BH46" s="2241"/>
      <c r="BI46" s="2242"/>
      <c r="BJ46" s="2259"/>
      <c r="BK46" s="2239"/>
      <c r="BL46" s="2240"/>
      <c r="BM46" s="2240"/>
      <c r="BN46" s="2241"/>
      <c r="BO46" s="2242"/>
      <c r="BP46" s="2259"/>
      <c r="BQ46" s="2239"/>
      <c r="BR46" s="2240"/>
      <c r="BS46" s="2240"/>
      <c r="BT46" s="2241"/>
      <c r="BU46" s="2242"/>
      <c r="BV46" s="2259"/>
      <c r="BW46" s="2239"/>
      <c r="BX46" s="2240"/>
      <c r="BY46" s="2240"/>
      <c r="BZ46" s="2241"/>
      <c r="CA46" s="2242"/>
      <c r="CB46" s="2241"/>
      <c r="CC46" s="2239"/>
      <c r="CD46" s="2240"/>
      <c r="CE46" s="2240"/>
      <c r="CF46" s="2241"/>
      <c r="CG46" s="2242"/>
      <c r="CI46" s="2239"/>
      <c r="CJ46" s="2240"/>
      <c r="CK46" s="2240"/>
      <c r="CL46" s="2241"/>
      <c r="CM46" s="2242"/>
      <c r="CQ46"/>
      <c r="CR46"/>
      <c r="CS46"/>
      <c r="CT46"/>
      <c r="CU46"/>
      <c r="CV46"/>
    </row>
    <row r="47" spans="1:119" s="149" customFormat="1" ht="12.75" hidden="1" customHeight="1" outlineLevel="2">
      <c r="A47" s="2244" t="s">
        <v>102</v>
      </c>
      <c r="B47" s="2245"/>
      <c r="C47" s="2260">
        <v>0.44899999999999995</v>
      </c>
      <c r="D47" s="2261">
        <v>0.46699999999999997</v>
      </c>
      <c r="E47" s="2261">
        <v>0.46199999999999997</v>
      </c>
      <c r="F47" s="2261">
        <v>0.44899999999999995</v>
      </c>
      <c r="G47" s="2249">
        <f>G46/RevBuild!G10</f>
        <v>0.46156987951807232</v>
      </c>
      <c r="H47" s="2245"/>
      <c r="I47" s="2260">
        <v>0.44899999999999995</v>
      </c>
      <c r="J47" s="2261">
        <v>0.46699999999999997</v>
      </c>
      <c r="K47" s="2261">
        <v>0.46199999999999997</v>
      </c>
      <c r="L47" s="2261">
        <v>0.44899999999999995</v>
      </c>
      <c r="M47" s="2249">
        <f>M46/RevBuild!M10</f>
        <v>0.45289434364994663</v>
      </c>
      <c r="N47" s="2245"/>
      <c r="O47" s="2260">
        <v>0.44899999999999995</v>
      </c>
      <c r="P47" s="2261">
        <v>0.46699999999999997</v>
      </c>
      <c r="Q47" s="2261">
        <v>0.46199999999999997</v>
      </c>
      <c r="R47" s="2261">
        <v>0.44899999999999995</v>
      </c>
      <c r="S47" s="2249">
        <f>S46/RevBuild!S10</f>
        <v>0.45639218009478666</v>
      </c>
      <c r="T47" s="2250"/>
      <c r="U47" s="2260">
        <v>0.44899999999999995</v>
      </c>
      <c r="V47" s="2261">
        <v>0.46</v>
      </c>
      <c r="W47" s="2261">
        <v>0.47</v>
      </c>
      <c r="X47" s="2261">
        <v>0.47</v>
      </c>
      <c r="Y47" s="2249">
        <f>Y46/RevBuild!Y10</f>
        <v>0.46374666666666653</v>
      </c>
      <c r="Z47" s="2250"/>
      <c r="AA47" s="2246">
        <f>AA46/RevBuild!AA10</f>
        <v>0.48899999999999999</v>
      </c>
      <c r="AB47" s="2247">
        <f>AB46/RevBuild!AB10</f>
        <v>0.497</v>
      </c>
      <c r="AC47" s="2247">
        <f>AC46/RevBuild!AC10</f>
        <v>0.49299999999999999</v>
      </c>
      <c r="AD47" s="2248">
        <f>AD46/RevBuild!AD10</f>
        <v>0.47900000000000004</v>
      </c>
      <c r="AE47" s="2249">
        <f>AE46/RevBuild!AE10</f>
        <v>0.48934914361001319</v>
      </c>
      <c r="AF47" s="2250"/>
      <c r="AG47" s="2246">
        <f>AG46/RevBuild!AG10</f>
        <v>0.48</v>
      </c>
      <c r="AH47" s="2247">
        <f>AH46/RevBuild!AH10</f>
        <v>0.49199999999999999</v>
      </c>
      <c r="AI47" s="2247">
        <f>AI46/RevBuild!AI10</f>
        <v>0.499</v>
      </c>
      <c r="AJ47" s="2248">
        <f>AJ46/RevBuild!AJ10</f>
        <v>0.47099999999999997</v>
      </c>
      <c r="AK47" s="2249">
        <f>AK46/RevBuild!AK10</f>
        <v>0.48535535599743423</v>
      </c>
      <c r="AL47" s="2250"/>
      <c r="AM47" s="2246">
        <f>AM46/RevBuild!AM10</f>
        <v>0.48799999999999999</v>
      </c>
      <c r="AN47" s="2247">
        <f>AN46/RevBuild!AN10</f>
        <v>0.4865000000000001</v>
      </c>
      <c r="AO47" s="2247">
        <f>AO46/RevBuild!AO10</f>
        <v>0.49</v>
      </c>
      <c r="AP47" s="2248">
        <f>AP46/RevBuild!AP10</f>
        <v>0.47099999999999997</v>
      </c>
      <c r="AQ47" s="2249">
        <f>AQ46/RevBuild!AQ10</f>
        <v>0.48371424090338777</v>
      </c>
      <c r="AR47" s="2248"/>
      <c r="AS47" s="2246">
        <f>AS46/RevBuild!AS10</f>
        <v>0.47899999999999998</v>
      </c>
      <c r="AT47" s="2247">
        <f>AT46/RevBuild!AT10</f>
        <v>0.47499999999999998</v>
      </c>
      <c r="AU47" s="2247">
        <f>AU46/RevBuild!AU10</f>
        <v>0.47299999999999998</v>
      </c>
      <c r="AV47" s="2248">
        <f>AV46/RevBuild!AV10</f>
        <v>0.46799999999999997</v>
      </c>
      <c r="AW47" s="2249">
        <f>AW46/RevBuild!AW10</f>
        <v>0.47369749403341282</v>
      </c>
      <c r="AX47" s="2248"/>
      <c r="AY47" s="2246"/>
      <c r="AZ47" s="2247"/>
      <c r="BA47" s="2247"/>
      <c r="BB47" s="2248"/>
      <c r="BC47" s="2249"/>
      <c r="BD47" s="2248"/>
      <c r="BE47" s="2246"/>
      <c r="BF47" s="2247"/>
      <c r="BG47" s="2247"/>
      <c r="BH47" s="2248"/>
      <c r="BI47" s="2249"/>
      <c r="BJ47" s="2248"/>
      <c r="BK47" s="2246"/>
      <c r="BL47" s="2247"/>
      <c r="BM47" s="2247"/>
      <c r="BN47" s="2248"/>
      <c r="BO47" s="2249"/>
      <c r="BP47" s="2248"/>
      <c r="BQ47" s="2246"/>
      <c r="BR47" s="2247"/>
      <c r="BS47" s="2247"/>
      <c r="BT47" s="2248"/>
      <c r="BU47" s="2249"/>
      <c r="BV47" s="2248"/>
      <c r="BW47" s="2246"/>
      <c r="BX47" s="2247"/>
      <c r="BY47" s="2247"/>
      <c r="BZ47" s="2248"/>
      <c r="CA47" s="2249"/>
      <c r="CB47" s="2248"/>
      <c r="CC47" s="2246"/>
      <c r="CD47" s="2247"/>
      <c r="CE47" s="2247"/>
      <c r="CF47" s="2248"/>
      <c r="CG47" s="2249"/>
      <c r="CH47" s="142"/>
      <c r="CI47" s="2246"/>
      <c r="CJ47" s="2247"/>
      <c r="CK47" s="2247"/>
      <c r="CL47" s="2248"/>
      <c r="CM47" s="2249"/>
      <c r="CN47" s="142"/>
      <c r="CO47" s="142"/>
      <c r="CP47" s="142"/>
      <c r="CQ47"/>
      <c r="CR47"/>
      <c r="CS47"/>
      <c r="CT47"/>
      <c r="CU47"/>
      <c r="CV47"/>
      <c r="CW47" s="142"/>
    </row>
    <row r="48" spans="1:119" s="149" customFormat="1" ht="12.75" hidden="1" customHeight="1" outlineLevel="2">
      <c r="A48" s="2237" t="s">
        <v>103</v>
      </c>
      <c r="B48" s="2245"/>
      <c r="C48" s="2254"/>
      <c r="D48" s="2241"/>
      <c r="E48" s="2241"/>
      <c r="F48" s="2262"/>
      <c r="G48" s="2242"/>
      <c r="H48" s="2245"/>
      <c r="I48" s="2254"/>
      <c r="J48" s="2241"/>
      <c r="K48" s="2241"/>
      <c r="L48" s="2262"/>
      <c r="M48" s="2242"/>
      <c r="N48" s="2245"/>
      <c r="O48" s="2254">
        <f>+O44+O42</f>
        <v>140.40299999999999</v>
      </c>
      <c r="P48" s="2241">
        <f>+P44+P42</f>
        <v>135.02499999999998</v>
      </c>
      <c r="Q48" s="2241">
        <f>+Q44+Q42</f>
        <v>137.221</v>
      </c>
      <c r="R48" s="2262">
        <f>+R44+R42</f>
        <v>145.49299999999999</v>
      </c>
      <c r="S48" s="2242">
        <f>+S44+S42</f>
        <v>558.14199999999994</v>
      </c>
      <c r="T48" s="2250"/>
      <c r="U48" s="2254">
        <f>+U44+U42</f>
        <v>154.78800000000001</v>
      </c>
      <c r="V48" s="2241">
        <f>+V44+V42</f>
        <v>150.41900000000001</v>
      </c>
      <c r="W48" s="2241">
        <f>RevBuild!W11-W64</f>
        <v>172.56799999999998</v>
      </c>
      <c r="X48" s="2262">
        <f>RevBuild!X11-X64</f>
        <v>210.01300000000001</v>
      </c>
      <c r="Y48" s="2242">
        <f>RevBuild!Y11-Y64</f>
        <v>687.78800000000001</v>
      </c>
      <c r="Z48" s="2250"/>
      <c r="AA48" s="2254">
        <f>+AA44+AA42</f>
        <v>188.5</v>
      </c>
      <c r="AB48" s="2241">
        <f>+AB44+AB42</f>
        <v>221.93599999999998</v>
      </c>
      <c r="AC48" s="2241">
        <f>RevBuild!AC11-AC64</f>
        <v>220.82599999999999</v>
      </c>
      <c r="AD48" s="2262">
        <f>RevBuild!AD11-AD64</f>
        <v>228.40199999999999</v>
      </c>
      <c r="AE48" s="2242">
        <f>RevBuild!AE11-AE64</f>
        <v>859.66399999999987</v>
      </c>
      <c r="AF48" s="2250"/>
      <c r="AG48" s="2254">
        <f>+AG44+AG42</f>
        <v>218.62899999999999</v>
      </c>
      <c r="AH48" s="2241">
        <f>+AH44+AH42</f>
        <v>227.523</v>
      </c>
      <c r="AI48" s="2241">
        <f>+AI44+AI42</f>
        <v>235.09699999999998</v>
      </c>
      <c r="AJ48" s="2262">
        <f>+AJ44+AJ42</f>
        <v>257.596</v>
      </c>
      <c r="AK48" s="2242">
        <f>SUM(AG48:AJ48)</f>
        <v>938.84500000000003</v>
      </c>
      <c r="AL48" s="2263"/>
      <c r="AM48" s="2241">
        <f>RevBuild!AM11-AM64</f>
        <v>257.26600000000002</v>
      </c>
      <c r="AN48" s="2241">
        <f>RevBuild!AN11-AN64</f>
        <v>261.46750000000003</v>
      </c>
      <c r="AO48" s="2241">
        <f>RevBuild!AO11-AO64</f>
        <v>261.86599999999999</v>
      </c>
      <c r="AP48" s="2262">
        <f>RevBuild!AP11-AP64</f>
        <v>269.84899999999999</v>
      </c>
      <c r="AQ48" s="2242">
        <f>SUM(AM48:AP48)</f>
        <v>1050.4485</v>
      </c>
      <c r="AR48" s="2263"/>
      <c r="AS48" s="2241">
        <f>RevBuild!AS11-AS64</f>
        <v>262.99499999999995</v>
      </c>
      <c r="AT48" s="2241">
        <f>RevBuild!AT11-AT64</f>
        <v>270.036</v>
      </c>
      <c r="AU48" s="2241">
        <f>RevBuild!AU11-AU64</f>
        <v>274.68799999999999</v>
      </c>
      <c r="AV48" s="2262">
        <f>RevBuild!AV11-AV64</f>
        <v>280.29599999999999</v>
      </c>
      <c r="AW48" s="2242">
        <f>RevBuild!AW11-AW64</f>
        <v>1088.0149999999999</v>
      </c>
      <c r="AX48" s="2250"/>
      <c r="AY48" s="2254"/>
      <c r="AZ48" s="2241"/>
      <c r="BA48" s="2241"/>
      <c r="BB48" s="2262"/>
      <c r="BC48" s="2242"/>
      <c r="BD48" s="2250"/>
      <c r="BE48" s="2254"/>
      <c r="BF48" s="2241"/>
      <c r="BG48" s="2241"/>
      <c r="BH48" s="2262"/>
      <c r="BI48" s="2242"/>
      <c r="BJ48" s="2250"/>
      <c r="BK48" s="2254"/>
      <c r="BL48" s="2241"/>
      <c r="BM48" s="2241"/>
      <c r="BN48" s="2262"/>
      <c r="BO48" s="2242"/>
      <c r="BP48" s="2250"/>
      <c r="BQ48" s="2254"/>
      <c r="BR48" s="2241"/>
      <c r="BS48" s="2241"/>
      <c r="BT48" s="2262"/>
      <c r="BU48" s="2242"/>
      <c r="BV48" s="2250"/>
      <c r="BW48" s="2254"/>
      <c r="BX48" s="2241"/>
      <c r="BY48" s="2241"/>
      <c r="BZ48" s="2262"/>
      <c r="CA48" s="2242"/>
      <c r="CB48" s="2241"/>
      <c r="CC48" s="2254"/>
      <c r="CD48" s="2241"/>
      <c r="CE48" s="2241"/>
      <c r="CF48" s="2262"/>
      <c r="CG48" s="2242"/>
      <c r="CH48" s="142"/>
      <c r="CI48" s="2254"/>
      <c r="CJ48" s="2241"/>
      <c r="CK48" s="2241"/>
      <c r="CL48" s="2262"/>
      <c r="CM48" s="2242"/>
      <c r="CN48" s="142"/>
      <c r="CO48" s="142"/>
      <c r="CP48" s="142"/>
      <c r="CQ48"/>
      <c r="CR48"/>
      <c r="CS48"/>
      <c r="CT48"/>
      <c r="CU48"/>
      <c r="CV48"/>
      <c r="CW48" s="142"/>
    </row>
    <row r="49" spans="1:101" s="149" customFormat="1" ht="12.75" hidden="1" customHeight="1" outlineLevel="2">
      <c r="A49" s="2244" t="s">
        <v>104</v>
      </c>
      <c r="B49" s="2245"/>
      <c r="C49" s="2255"/>
      <c r="D49" s="2248"/>
      <c r="E49" s="2248"/>
      <c r="F49" s="2264"/>
      <c r="G49" s="2249"/>
      <c r="H49" s="2245"/>
      <c r="I49" s="2255"/>
      <c r="J49" s="2248"/>
      <c r="K49" s="2248"/>
      <c r="L49" s="2264"/>
      <c r="M49" s="2249"/>
      <c r="N49" s="2245"/>
      <c r="O49" s="2255">
        <f>+O48/RevBuild!O11</f>
        <v>0.45437864077669898</v>
      </c>
      <c r="P49" s="2248">
        <f>+P48/RevBuild!P11</f>
        <v>0.4531040268456375</v>
      </c>
      <c r="Q49" s="2248">
        <f>+Q48/RevBuild!Q11</f>
        <v>0.46833105802047781</v>
      </c>
      <c r="R49" s="2264">
        <f>+R48/RevBuild!R11</f>
        <v>0.4560909090909091</v>
      </c>
      <c r="S49" s="2249">
        <f>+S48/RevBuild!S11</f>
        <v>0.45786874487284657</v>
      </c>
      <c r="T49" s="2250"/>
      <c r="U49" s="2255">
        <f>+U48/RevBuild!U11</f>
        <v>0.45525882352941177</v>
      </c>
      <c r="V49" s="2248">
        <f>+V48/RevBuild!V11</f>
        <v>0.45035628742514972</v>
      </c>
      <c r="W49" s="2248">
        <f>+W48/RevBuild!W11</f>
        <v>0.4614117647058823</v>
      </c>
      <c r="X49" s="2264">
        <f>+X48/RevBuild!X11</f>
        <v>0.4872691415313225</v>
      </c>
      <c r="Y49" s="2249">
        <f>+Y48/RevBuild!Y11</f>
        <v>0.46503583502366463</v>
      </c>
      <c r="Z49" s="2250"/>
      <c r="AA49" s="2255">
        <f>+AA48/RevBuild!AA11</f>
        <v>0.46658415841584161</v>
      </c>
      <c r="AB49" s="2248">
        <f>+AB48/RevBuild!AB11</f>
        <v>0.47831034482758616</v>
      </c>
      <c r="AC49" s="2248">
        <f>+AC48/RevBuild!AC11</f>
        <v>0.48747461368653422</v>
      </c>
      <c r="AD49" s="2264">
        <f>+AD48/RevBuild!AD11</f>
        <v>0.48492993630573245</v>
      </c>
      <c r="AE49" s="2249">
        <f>+AE48/RevBuild!AE11</f>
        <v>0.47972321428571424</v>
      </c>
      <c r="AF49" s="2250"/>
      <c r="AG49" s="2255">
        <f>+AG48/RevBuild!AG11</f>
        <v>0.47424945770065075</v>
      </c>
      <c r="AH49" s="2248">
        <f>+AH48/RevBuild!AH11</f>
        <v>0.4851236673773987</v>
      </c>
      <c r="AI49" s="2248">
        <f>+AI48/RevBuild!AI11</f>
        <v>0.47303219315895367</v>
      </c>
      <c r="AJ49" s="2264">
        <f>+AJ48/RevBuild!AJ11</f>
        <v>0.46247037701974864</v>
      </c>
      <c r="AK49" s="2249">
        <f>+AK48/RevBuild!AK11</f>
        <v>0.47320816532258064</v>
      </c>
      <c r="AL49" s="2250"/>
      <c r="AM49" s="2255">
        <f>+AM48/RevBuild!AM11</f>
        <v>0.45614539007092203</v>
      </c>
      <c r="AN49" s="2248">
        <f>+AN48/RevBuild!AN11</f>
        <v>0.45791155866900179</v>
      </c>
      <c r="AO49" s="2248">
        <f>+AO48/RevBuild!AO11</f>
        <v>0.46430141843971628</v>
      </c>
      <c r="AP49" s="2264">
        <f>+AP48/RevBuild!AP11</f>
        <v>0.44900000000000001</v>
      </c>
      <c r="AQ49" s="2249">
        <f>+AQ48/RevBuild!AQ11</f>
        <v>0.45671673913043476</v>
      </c>
      <c r="AR49" s="2250"/>
      <c r="AS49" s="2255">
        <f>+AS48/RevBuild!AS11</f>
        <v>0.4449999999999999</v>
      </c>
      <c r="AT49" s="2248">
        <f>+AT48/RevBuild!AT11</f>
        <v>0.46800000000000003</v>
      </c>
      <c r="AU49" s="2248">
        <f>+AU48/RevBuild!AU11</f>
        <v>0.46399999999999997</v>
      </c>
      <c r="AV49" s="2264">
        <f>+AV48/RevBuild!AV11</f>
        <v>0.45799999999999996</v>
      </c>
      <c r="AW49" s="2249">
        <f>+AW48/RevBuild!AW11</f>
        <v>0.45869097807757164</v>
      </c>
      <c r="AX49" s="2250"/>
      <c r="AY49" s="2255"/>
      <c r="AZ49" s="2248"/>
      <c r="BA49" s="2248"/>
      <c r="BB49" s="2264"/>
      <c r="BC49" s="2249"/>
      <c r="BD49" s="2250"/>
      <c r="BE49" s="2255"/>
      <c r="BF49" s="2248"/>
      <c r="BG49" s="2248"/>
      <c r="BH49" s="2264"/>
      <c r="BI49" s="2249"/>
      <c r="BJ49" s="2250"/>
      <c r="BK49" s="2255"/>
      <c r="BL49" s="2248"/>
      <c r="BM49" s="2248"/>
      <c r="BN49" s="2264"/>
      <c r="BO49" s="2249"/>
      <c r="BP49" s="2250"/>
      <c r="BQ49" s="2255"/>
      <c r="BR49" s="2248"/>
      <c r="BS49" s="2248"/>
      <c r="BT49" s="2264"/>
      <c r="BU49" s="2249"/>
      <c r="BV49" s="2250"/>
      <c r="BW49" s="2255"/>
      <c r="BX49" s="2248"/>
      <c r="BY49" s="2248"/>
      <c r="BZ49" s="2264"/>
      <c r="CA49" s="2249"/>
      <c r="CB49" s="2248"/>
      <c r="CC49" s="2255"/>
      <c r="CD49" s="2248"/>
      <c r="CE49" s="2248"/>
      <c r="CF49" s="2264"/>
      <c r="CG49" s="2249"/>
      <c r="CH49" s="142"/>
      <c r="CI49" s="2255"/>
      <c r="CJ49" s="2248"/>
      <c r="CK49" s="2248"/>
      <c r="CL49" s="2264"/>
      <c r="CM49" s="2249"/>
      <c r="CN49" s="142"/>
      <c r="CO49" s="142"/>
      <c r="CP49" s="142"/>
      <c r="CQ49"/>
      <c r="CR49"/>
      <c r="CS49"/>
      <c r="CT49"/>
      <c r="CU49"/>
      <c r="CV49"/>
      <c r="CW49" s="142"/>
    </row>
    <row r="50" spans="1:101" s="149" customFormat="1" outlineLevel="1" collapsed="1">
      <c r="A50" s="501" t="s">
        <v>105</v>
      </c>
      <c r="B50" s="150"/>
      <c r="C50" s="1318"/>
      <c r="D50" s="1985"/>
      <c r="E50" s="1985"/>
      <c r="F50" s="1985"/>
      <c r="G50" s="1986"/>
      <c r="H50" s="150"/>
      <c r="I50" s="1318"/>
      <c r="J50" s="1985"/>
      <c r="K50" s="1985"/>
      <c r="L50" s="1985"/>
      <c r="M50" s="1986"/>
      <c r="N50" s="150"/>
      <c r="O50" s="1318"/>
      <c r="P50" s="1985"/>
      <c r="Q50" s="1985"/>
      <c r="R50" s="1985"/>
      <c r="S50" s="1986"/>
      <c r="T50" s="151"/>
      <c r="U50" s="1318"/>
      <c r="V50" s="1985"/>
      <c r="W50" s="1985"/>
      <c r="X50" s="1985"/>
      <c r="Y50" s="1986"/>
      <c r="Z50" s="151"/>
      <c r="AA50" s="1318"/>
      <c r="AB50" s="1985"/>
      <c r="AC50" s="1985"/>
      <c r="AD50" s="1985"/>
      <c r="AE50" s="1986"/>
      <c r="AF50" s="151"/>
      <c r="AG50" s="1318">
        <f>RevBuild!AG12-IS!AG66</f>
        <v>236.26900000000001</v>
      </c>
      <c r="AH50" s="1985">
        <f>RevBuild!AH12-IS!AH66</f>
        <v>238.04399999999998</v>
      </c>
      <c r="AI50" s="1985">
        <f>RevBuild!AI12-IS!AI66</f>
        <v>237.08799999999997</v>
      </c>
      <c r="AJ50" s="1985">
        <f>RevBuild!AJ12-IS!AJ66</f>
        <v>225.16999999999996</v>
      </c>
      <c r="AK50" s="1986">
        <f>SUM(AG50:AJ50)</f>
        <v>936.57099999999991</v>
      </c>
      <c r="AL50" s="151"/>
      <c r="AM50" s="1318">
        <f>RevBuild!AM12-IS!AM66</f>
        <v>234.03799999999995</v>
      </c>
      <c r="AN50" s="1985">
        <f>RevBuild!AN12-IS!AN66</f>
        <v>237.74399999999997</v>
      </c>
      <c r="AO50" s="1985">
        <f>RevBuild!AO12-IS!AO66</f>
        <v>231.786</v>
      </c>
      <c r="AP50" s="1985">
        <f>RevBuild!AP12-IS!AP66</f>
        <v>235.56899999999996</v>
      </c>
      <c r="AQ50" s="1986">
        <f>SUM(AM50:AP50)</f>
        <v>939.13699999999994</v>
      </c>
      <c r="AR50" s="151"/>
      <c r="AS50" s="1987">
        <f>RevBuild!AS12-IS!AS66</f>
        <v>235.47449999999998</v>
      </c>
      <c r="AT50" s="1985">
        <f>RevBuild!AT12-IS!AT66</f>
        <v>225.71999999999997</v>
      </c>
      <c r="AU50" s="1985">
        <f>RevBuild!AU12-IS!AU66</f>
        <v>227.13599999999997</v>
      </c>
      <c r="AV50" s="1985">
        <f>RevBuild!AV12-IS!AV66</f>
        <v>231.23100000000005</v>
      </c>
      <c r="AW50" s="1986">
        <f>SUM(AS50:AV50)</f>
        <v>919.56150000000002</v>
      </c>
      <c r="AX50" s="151"/>
      <c r="AY50" s="1987">
        <f>RevBuild!AY12-IS!AY66</f>
        <v>240.40649999999999</v>
      </c>
      <c r="AZ50" s="1985">
        <f>RevBuild!AZ12-IS!AZ66</f>
        <v>207.64699999999999</v>
      </c>
      <c r="BA50" s="1985">
        <f>RevBuild!BA12-IS!BA66</f>
        <v>226.88399999999996</v>
      </c>
      <c r="BB50" s="1985">
        <f>RevBuild!BB12-IS!BB66</f>
        <v>221.96500000000003</v>
      </c>
      <c r="BC50" s="1986">
        <f>SUM(AY50:BB50)</f>
        <v>896.90250000000003</v>
      </c>
      <c r="BD50" s="151"/>
      <c r="BE50" s="1987">
        <f>RevBuild!BE12-IS!BE66</f>
        <v>217.238</v>
      </c>
      <c r="BF50" s="1985">
        <f>RevBuild!BF12-IS!BF66</f>
        <v>205.42500000000001</v>
      </c>
      <c r="BG50" s="1985">
        <f>RevBuild!BG12-IS!BG66</f>
        <v>212.68800000000005</v>
      </c>
      <c r="BH50" s="1985">
        <f>RevBuild!BH12-IS!BH66</f>
        <v>222.488</v>
      </c>
      <c r="BI50" s="1986">
        <f>SUM(BE50:BH50)</f>
        <v>857.83900000000017</v>
      </c>
      <c r="BJ50" s="151"/>
      <c r="BK50" s="1987">
        <f>RevBuild!BK12-IS!BK66</f>
        <v>218.16000000000003</v>
      </c>
      <c r="BL50" s="1985">
        <f>RevBuild!BL12-IS!BL66</f>
        <v>209.72300000000001</v>
      </c>
      <c r="BM50" s="1985">
        <f>RevBuild!BM12-IS!BM66</f>
        <v>213.99299999999999</v>
      </c>
      <c r="BN50" s="1985">
        <f>RevBuild!BN12-IS!BN66</f>
        <v>224.25</v>
      </c>
      <c r="BO50" s="1986">
        <f>SUM(BK50:BN50)</f>
        <v>866.12599999999998</v>
      </c>
      <c r="BP50" s="151"/>
      <c r="BQ50" s="1987">
        <f>RevBuild!BQ12-IS!BQ66</f>
        <v>236.07600000000002</v>
      </c>
      <c r="BR50" s="1985">
        <f>RevBuild!BR12-IS!BR66</f>
        <v>236.60564399999998</v>
      </c>
      <c r="BS50" s="1985">
        <f>RevBuild!BS12-IS!BS66</f>
        <v>229.99345399999999</v>
      </c>
      <c r="BT50" s="1985">
        <f>RevBuild!BT12-IS!BT66</f>
        <v>238.1995</v>
      </c>
      <c r="BU50" s="1986">
        <f>SUM(BQ50:BT50)</f>
        <v>940.87459799999988</v>
      </c>
      <c r="BV50" s="151"/>
      <c r="BW50" s="1987">
        <f>RevBuild!BW12-IS!BW66</f>
        <v>246.96516000000003</v>
      </c>
      <c r="BX50" s="1985">
        <f>RevBuild!BX12-IS!BX66</f>
        <v>247.63529093999995</v>
      </c>
      <c r="BY50" s="1985">
        <f>RevBuild!BY12-IS!BY66</f>
        <v>240.73033433999996</v>
      </c>
      <c r="BZ50" s="1985">
        <f>RevBuild!BZ12-IS!BZ66</f>
        <v>249.21236000000005</v>
      </c>
      <c r="CA50" s="1986">
        <f>SUM(BW50:BZ50)</f>
        <v>984.54314527999986</v>
      </c>
      <c r="CB50" s="1985"/>
      <c r="CC50" s="1987">
        <f>RevBuild!CC12-IS!CC66</f>
        <v>251.67518520000004</v>
      </c>
      <c r="CD50" s="1985">
        <f>RevBuild!CD12-IS!CD66</f>
        <v>252.45499570739997</v>
      </c>
      <c r="CE50" s="1985">
        <f>RevBuild!CE12-IS!CE66</f>
        <v>245.42855740459999</v>
      </c>
      <c r="CF50" s="1985">
        <f>RevBuild!CF12-IS!CF66</f>
        <v>253.98674416000006</v>
      </c>
      <c r="CG50" s="1986">
        <f>SUM(CC50:CF50)</f>
        <v>1003.5454824720001</v>
      </c>
      <c r="CH50" s="152"/>
      <c r="CI50" s="1987">
        <f>RevBuild!CI12-IS!CI66</f>
        <v>257.14051764000004</v>
      </c>
      <c r="CJ50" s="1985">
        <f>RevBuild!CJ12-IS!CJ66</f>
        <v>258.01291964390401</v>
      </c>
      <c r="CK50" s="1985">
        <f>RevBuild!CK12-IS!CK66</f>
        <v>250.841865945812</v>
      </c>
      <c r="CL50" s="1985">
        <f>RevBuild!CL12-IS!CL66</f>
        <v>259.51906180540004</v>
      </c>
      <c r="CM50" s="1986">
        <f>SUM(CI50:CL50)</f>
        <v>1025.514365035116</v>
      </c>
      <c r="CN50" s="152"/>
      <c r="CO50" s="152"/>
      <c r="CP50" s="142"/>
      <c r="CQ50"/>
      <c r="CR50"/>
      <c r="CS50"/>
      <c r="CT50"/>
      <c r="CU50"/>
      <c r="CV50"/>
      <c r="CW50" s="142"/>
    </row>
    <row r="51" spans="1:101" s="149" customFormat="1" outlineLevel="1">
      <c r="A51" s="158" t="s">
        <v>106</v>
      </c>
      <c r="B51" s="150"/>
      <c r="C51" s="159"/>
      <c r="D51" s="156"/>
      <c r="E51" s="156"/>
      <c r="F51" s="156"/>
      <c r="G51" s="160"/>
      <c r="H51" s="150"/>
      <c r="I51" s="159"/>
      <c r="J51" s="156"/>
      <c r="K51" s="156"/>
      <c r="L51" s="156"/>
      <c r="M51" s="160"/>
      <c r="N51" s="150"/>
      <c r="O51" s="159"/>
      <c r="P51" s="156"/>
      <c r="Q51" s="156"/>
      <c r="R51" s="156"/>
      <c r="S51" s="160"/>
      <c r="T51" s="151"/>
      <c r="U51" s="159"/>
      <c r="V51" s="156"/>
      <c r="W51" s="156"/>
      <c r="X51" s="156"/>
      <c r="Y51" s="160"/>
      <c r="Z51" s="151"/>
      <c r="AA51" s="159"/>
      <c r="AB51" s="156"/>
      <c r="AC51" s="156"/>
      <c r="AD51" s="156"/>
      <c r="AE51" s="160"/>
      <c r="AF51" s="151"/>
      <c r="AG51" s="159">
        <f>AG50/RevBuild!AG12</f>
        <v>0.45700000000000002</v>
      </c>
      <c r="AH51" s="156">
        <f>AH50/RevBuild!AH12</f>
        <v>0.47799999999999998</v>
      </c>
      <c r="AI51" s="156">
        <f>AI50/RevBuild!AI12</f>
        <v>0.47799999999999992</v>
      </c>
      <c r="AJ51" s="156">
        <f>AJ50/RevBuild!AJ12</f>
        <v>0.4449999999999999</v>
      </c>
      <c r="AK51" s="160">
        <f>AK50/RevBuild!AK12</f>
        <v>0.4643386217154189</v>
      </c>
      <c r="AL51" s="151"/>
      <c r="AM51" s="159">
        <f>AM50/RevBuild!AM12</f>
        <v>0.45799999999999991</v>
      </c>
      <c r="AN51" s="156">
        <f>AN50/RevBuild!AN12</f>
        <v>0.46799999999999992</v>
      </c>
      <c r="AO51" s="156">
        <f>AO50/RevBuild!AO12</f>
        <v>0.47399999999999998</v>
      </c>
      <c r="AP51" s="156">
        <f>AP50/RevBuild!AP12</f>
        <v>0.4469999999999999</v>
      </c>
      <c r="AQ51" s="160">
        <f>AQ50/RevBuild!AQ12</f>
        <v>0.46149238329238329</v>
      </c>
      <c r="AR51" s="151"/>
      <c r="AS51" s="159">
        <f>AS50/RevBuild!AS12</f>
        <v>0.43849999999999995</v>
      </c>
      <c r="AT51" s="156">
        <f>AT50/RevBuild!AT12</f>
        <v>0.45599999999999996</v>
      </c>
      <c r="AU51" s="156">
        <f>AU50/RevBuild!AU12</f>
        <v>0.44799999999999995</v>
      </c>
      <c r="AV51" s="156">
        <f>AV50/RevBuild!AV12</f>
        <v>0.4290000000000001</v>
      </c>
      <c r="AW51" s="160">
        <f>AW50/RevBuild!AW12</f>
        <v>0.44252237728585181</v>
      </c>
      <c r="AX51" s="151"/>
      <c r="AY51" s="159">
        <f>AY50/RevBuild!AY12</f>
        <v>0.4395</v>
      </c>
      <c r="AZ51" s="156">
        <f>AZ50/RevBuild!AZ12</f>
        <v>0.439</v>
      </c>
      <c r="BA51" s="156">
        <f>BA50/RevBuild!BA12</f>
        <v>0.44399999999999989</v>
      </c>
      <c r="BB51" s="156">
        <f>BB50/RevBuild!BB12</f>
        <v>0.43100000000000005</v>
      </c>
      <c r="BC51" s="160">
        <f>BC50/RevBuild!BC12</f>
        <v>0.43836876832844579</v>
      </c>
      <c r="BD51" s="151"/>
      <c r="BE51" s="159">
        <f>BE50/RevBuild!BE12</f>
        <v>0.41299999999999998</v>
      </c>
      <c r="BF51" s="156">
        <f>BF50/RevBuild!BF12</f>
        <v>0.41500000000000004</v>
      </c>
      <c r="BG51" s="156">
        <f>BG50/RevBuild!BG12</f>
        <v>0.4220000000000001</v>
      </c>
      <c r="BH51" s="156">
        <f>BH50/RevBuild!BH12</f>
        <v>0.40599999999999997</v>
      </c>
      <c r="BI51" s="160">
        <f>BI50/RevBuild!BI12</f>
        <v>0.41381524360829725</v>
      </c>
      <c r="BJ51" s="151"/>
      <c r="BK51" s="159">
        <f>BK50/RevBuild!BK12</f>
        <v>0.40400000000000003</v>
      </c>
      <c r="BL51" s="156">
        <f>BL50/RevBuild!BL12</f>
        <v>0.40100000000000002</v>
      </c>
      <c r="BM51" s="156">
        <f>BM50/RevBuild!BM12</f>
        <v>0.40299999999999997</v>
      </c>
      <c r="BN51" s="156">
        <f>BN50/RevBuild!BN12</f>
        <v>0.39</v>
      </c>
      <c r="BO51" s="160">
        <f>BO50/RevBuild!BO12</f>
        <v>0.39932042415859842</v>
      </c>
      <c r="BP51" s="151"/>
      <c r="BQ51" s="159">
        <f>BQ50/RevBuild!BQ12</f>
        <v>0.38200000000000006</v>
      </c>
      <c r="BR51" s="156">
        <f>BR50/RevBuild!BR12</f>
        <v>0.39600000000000002</v>
      </c>
      <c r="BS51" s="156">
        <f>BS50/RevBuild!BS12</f>
        <v>0.39800000000000002</v>
      </c>
      <c r="BT51" s="156">
        <f>BT50/RevBuild!BT12</f>
        <v>0.38499999999999995</v>
      </c>
      <c r="BU51" s="160">
        <f>BU50/RevBuild!BU12</f>
        <v>0.39007065241274891</v>
      </c>
      <c r="BV51" s="151"/>
      <c r="BW51" s="159">
        <f>BW50/RevBuild!BW12</f>
        <v>0.377</v>
      </c>
      <c r="BX51" s="156">
        <f>BX50/RevBuild!BX12</f>
        <v>0.39099999999999996</v>
      </c>
      <c r="BY51" s="156">
        <f>BY50/RevBuild!BY12</f>
        <v>0.39299999999999996</v>
      </c>
      <c r="BZ51" s="156">
        <f>BZ50/RevBuild!BZ12</f>
        <v>0.38</v>
      </c>
      <c r="CA51" s="160">
        <f>CA50/RevBuild!CA12</f>
        <v>0.3850706524127489</v>
      </c>
      <c r="CB51" s="156"/>
      <c r="CC51" s="159">
        <f>CC50/RevBuild!CC12</f>
        <v>0.373</v>
      </c>
      <c r="CD51" s="156">
        <f>CD50/RevBuild!CD12</f>
        <v>0.38700000000000001</v>
      </c>
      <c r="CE51" s="156">
        <f>CE50/RevBuild!CE12</f>
        <v>0.38900000000000001</v>
      </c>
      <c r="CF51" s="156">
        <f>CF50/RevBuild!CF12</f>
        <v>0.376</v>
      </c>
      <c r="CG51" s="160">
        <f>CG50/RevBuild!CG12</f>
        <v>0.3810706524127489</v>
      </c>
      <c r="CH51" s="142"/>
      <c r="CI51" s="159">
        <f>CI50/RevBuild!CI12</f>
        <v>0.37</v>
      </c>
      <c r="CJ51" s="156">
        <f>CJ50/RevBuild!CJ12</f>
        <v>0.38400000000000006</v>
      </c>
      <c r="CK51" s="156">
        <f>CK50/RevBuild!CK12</f>
        <v>0.38600000000000001</v>
      </c>
      <c r="CL51" s="156">
        <f>CL50/RevBuild!CL12</f>
        <v>0.373</v>
      </c>
      <c r="CM51" s="160">
        <f>CM50/RevBuild!CM12</f>
        <v>0.3780706524127489</v>
      </c>
      <c r="CN51" s="142"/>
      <c r="CO51" s="142"/>
      <c r="CP51" s="142"/>
      <c r="CQ51"/>
      <c r="CR51"/>
      <c r="CS51"/>
      <c r="CT51"/>
      <c r="CU51"/>
      <c r="CV51"/>
      <c r="CW51" s="142"/>
    </row>
    <row r="52" spans="1:101" s="149" customFormat="1" outlineLevel="1">
      <c r="A52" s="501" t="s">
        <v>99</v>
      </c>
      <c r="B52" s="150"/>
      <c r="C52" s="1318"/>
      <c r="D52" s="1985"/>
      <c r="E52" s="1985"/>
      <c r="F52" s="1985"/>
      <c r="G52" s="1986"/>
      <c r="H52" s="150"/>
      <c r="I52" s="1318"/>
      <c r="J52" s="1985"/>
      <c r="K52" s="1985"/>
      <c r="L52" s="1985"/>
      <c r="M52" s="1986"/>
      <c r="N52" s="150"/>
      <c r="O52" s="1318"/>
      <c r="P52" s="1985"/>
      <c r="Q52" s="1985"/>
      <c r="R52" s="1985"/>
      <c r="S52" s="1986"/>
      <c r="T52" s="151"/>
      <c r="U52" s="1318"/>
      <c r="V52" s="1985"/>
      <c r="W52" s="1985"/>
      <c r="X52" s="1985"/>
      <c r="Y52" s="1986"/>
      <c r="Z52" s="151"/>
      <c r="AA52" s="1318"/>
      <c r="AB52" s="1985"/>
      <c r="AC52" s="1985"/>
      <c r="AD52" s="1985"/>
      <c r="AE52" s="1986"/>
      <c r="AF52" s="151"/>
      <c r="AG52" s="1318">
        <f>RevBuild!AG13-IS!AG68</f>
        <v>24.249000000000002</v>
      </c>
      <c r="AH52" s="1985">
        <f>RevBuild!AH13-IS!AH68</f>
        <v>25.058</v>
      </c>
      <c r="AI52" s="1985">
        <f>RevBuild!AI13-IS!AI68</f>
        <v>38.509</v>
      </c>
      <c r="AJ52" s="1985">
        <f>RevBuild!AJ13-IS!AJ68</f>
        <v>57.528000000000006</v>
      </c>
      <c r="AK52" s="1986">
        <f>SUM(AG52:AJ52)</f>
        <v>145.34399999999999</v>
      </c>
      <c r="AL52" s="151"/>
      <c r="AM52" s="1318">
        <f>RevBuild!AM13-IS!AM68</f>
        <v>61.506</v>
      </c>
      <c r="AN52" s="1985">
        <f>RevBuild!AN13-IS!AN68</f>
        <v>60.602000000000004</v>
      </c>
      <c r="AO52" s="1985">
        <f>RevBuild!AO13-IS!AO68</f>
        <v>64.527000000000001</v>
      </c>
      <c r="AP52" s="1985">
        <f>RevBuild!AP13-IS!AP68</f>
        <v>67.032000000000011</v>
      </c>
      <c r="AQ52" s="1986">
        <f>SUM(AM52:AP52)</f>
        <v>253.667</v>
      </c>
      <c r="AR52" s="151"/>
      <c r="AS52" s="1987">
        <f>RevBuild!AS13-IS!AS68</f>
        <v>65.547499999999999</v>
      </c>
      <c r="AT52" s="1985">
        <f>RevBuild!AT13-IS!AT68</f>
        <v>70.896000000000001</v>
      </c>
      <c r="AU52" s="1985">
        <f>RevBuild!AU13-IS!AU68</f>
        <v>73.537999999999997</v>
      </c>
      <c r="AV52" s="1985">
        <f>RevBuild!AV13-IS!AV68</f>
        <v>79.11999999999999</v>
      </c>
      <c r="AW52" s="1986">
        <f>SUM(AS52:AV52)</f>
        <v>289.10149999999999</v>
      </c>
      <c r="AX52" s="151"/>
      <c r="AY52" s="1987">
        <f>RevBuild!AY13-IS!AY68</f>
        <v>75.701999999999998</v>
      </c>
      <c r="AZ52" s="1985">
        <f>RevBuild!AZ13-IS!AZ68</f>
        <v>76.387999999999991</v>
      </c>
      <c r="BA52" s="1985">
        <f>RevBuild!BA13-IS!BA68</f>
        <v>71.81</v>
      </c>
      <c r="BB52" s="1985">
        <f>RevBuild!BB13-IS!BB68</f>
        <v>78.319999999999993</v>
      </c>
      <c r="BC52" s="1986">
        <f>SUM(AY52:BB52)</f>
        <v>302.21999999999997</v>
      </c>
      <c r="BD52" s="151"/>
      <c r="BE52" s="1987">
        <f>RevBuild!BE13-IS!BE68</f>
        <v>74.733999999999995</v>
      </c>
      <c r="BF52" s="1985">
        <f>RevBuild!BF13-IS!BF68</f>
        <v>81.701999999999998</v>
      </c>
      <c r="BG52" s="1985">
        <f>RevBuild!BG13-IS!BG68</f>
        <v>79.559999999999988</v>
      </c>
      <c r="BH52" s="1985">
        <f>RevBuild!BH13-IS!BH68</f>
        <v>86.077999999999989</v>
      </c>
      <c r="BI52" s="1986">
        <f>SUM(BE52:BH52)</f>
        <v>322.07399999999996</v>
      </c>
      <c r="BJ52" s="151"/>
      <c r="BK52" s="1987">
        <f>RevBuild!BK13-IS!BK68</f>
        <v>74.127999999999986</v>
      </c>
      <c r="BL52" s="1985">
        <f>RevBuild!BL13-IS!BL68</f>
        <v>85.224000000000004</v>
      </c>
      <c r="BM52" s="1985">
        <f>RevBuild!BM13-IS!BM68</f>
        <v>93.180999999999997</v>
      </c>
      <c r="BN52" s="1985">
        <f>RevBuild!BN13-IS!BN68</f>
        <v>94.079999999999984</v>
      </c>
      <c r="BO52" s="1986">
        <f>SUM(BK52:BN52)</f>
        <v>346.61299999999994</v>
      </c>
      <c r="BP52" s="151"/>
      <c r="BQ52" s="1987">
        <f>RevBuild!BQ13-IS!BQ68</f>
        <v>84.36</v>
      </c>
      <c r="BR52" s="1985">
        <f>RevBuild!BR13-IS!BR68</f>
        <v>92.976480429582836</v>
      </c>
      <c r="BS52" s="1985">
        <f>RevBuild!BS13-IS!BS68</f>
        <v>102.96392429451713</v>
      </c>
      <c r="BT52" s="1985">
        <f>RevBuild!BT13-IS!BT68</f>
        <v>103.95341216548164</v>
      </c>
      <c r="BU52" s="1986">
        <f>SUM(BQ52:BT52)</f>
        <v>384.25381688958157</v>
      </c>
      <c r="BV52" s="151"/>
      <c r="BW52" s="1987">
        <f>RevBuild!BW13-IS!BW68</f>
        <v>88.786501871766006</v>
      </c>
      <c r="BX52" s="1985">
        <f>RevBuild!BX13-IS!BX68</f>
        <v>97.698877850589298</v>
      </c>
      <c r="BY52" s="1985">
        <f>RevBuild!BY13-IS!BY68</f>
        <v>115.89895750851201</v>
      </c>
      <c r="BZ52" s="1985">
        <f>RevBuild!BZ13-IS!BZ68</f>
        <v>115.46995064119147</v>
      </c>
      <c r="CA52" s="1986">
        <f>SUM(BW52:BZ52)</f>
        <v>417.85428787205882</v>
      </c>
      <c r="CB52" s="1985"/>
      <c r="CC52" s="1987">
        <f>RevBuild!CC13-IS!CC68</f>
        <v>98.432560268776427</v>
      </c>
      <c r="CD52" s="1985">
        <f>RevBuild!CD13-IS!CD68</f>
        <v>108.44822464669218</v>
      </c>
      <c r="CE52" s="1985">
        <f>RevBuild!CE13-IS!CE68</f>
        <v>133.08027773334899</v>
      </c>
      <c r="CF52" s="1985">
        <f>RevBuild!CF13-IS!CF68</f>
        <v>130.48683062987797</v>
      </c>
      <c r="CG52" s="1986">
        <f>SUM(CC52:CF52)</f>
        <v>470.44789327869557</v>
      </c>
      <c r="CH52" s="152"/>
      <c r="CI52" s="1987">
        <f>RevBuild!CI13-IS!CI68</f>
        <v>109.98503602360074</v>
      </c>
      <c r="CJ52" s="1985">
        <f>RevBuild!CJ13-IS!CJ68</f>
        <v>121.37460539653665</v>
      </c>
      <c r="CK52" s="1985">
        <f>RevBuild!CK13-IS!CK68</f>
        <v>154.21592676666452</v>
      </c>
      <c r="CL52" s="1985">
        <f>RevBuild!CL13-IS!CL68</f>
        <v>148.78883994474228</v>
      </c>
      <c r="CM52" s="1986">
        <f>SUM(CI52:CL52)</f>
        <v>534.36440813154422</v>
      </c>
      <c r="CN52" s="152"/>
      <c r="CO52" s="152"/>
      <c r="CP52" s="142"/>
      <c r="CQ52"/>
      <c r="CR52"/>
      <c r="CS52"/>
      <c r="CT52"/>
      <c r="CU52"/>
      <c r="CV52"/>
      <c r="CW52" s="142"/>
    </row>
    <row r="53" spans="1:101" s="149" customFormat="1" outlineLevel="1">
      <c r="A53" s="158" t="s">
        <v>100</v>
      </c>
      <c r="B53" s="150"/>
      <c r="C53" s="159"/>
      <c r="D53" s="156"/>
      <c r="E53" s="156"/>
      <c r="F53" s="156"/>
      <c r="G53" s="160"/>
      <c r="H53" s="150"/>
      <c r="I53" s="159"/>
      <c r="J53" s="156"/>
      <c r="K53" s="156"/>
      <c r="L53" s="156"/>
      <c r="M53" s="160"/>
      <c r="N53" s="150"/>
      <c r="O53" s="159"/>
      <c r="P53" s="156"/>
      <c r="Q53" s="156"/>
      <c r="R53" s="156"/>
      <c r="S53" s="160"/>
      <c r="T53" s="151"/>
      <c r="U53" s="159"/>
      <c r="V53" s="156"/>
      <c r="W53" s="156"/>
      <c r="X53" s="156"/>
      <c r="Y53" s="160"/>
      <c r="Z53" s="151"/>
      <c r="AA53" s="159"/>
      <c r="AB53" s="156"/>
      <c r="AC53" s="156"/>
      <c r="AD53" s="156"/>
      <c r="AE53" s="160"/>
      <c r="AF53" s="151"/>
      <c r="AG53" s="159">
        <f>AG52/RevBuild!AG13</f>
        <v>0.41100000000000003</v>
      </c>
      <c r="AH53" s="156">
        <f>AH52/RevBuild!AH13</f>
        <v>0.374</v>
      </c>
      <c r="AI53" s="156">
        <f>AI52/RevBuild!AI13</f>
        <v>0.39700000000000002</v>
      </c>
      <c r="AJ53" s="156">
        <f>AJ52/RevBuild!AJ13</f>
        <v>0.37600000000000006</v>
      </c>
      <c r="AK53" s="160">
        <f>AK52/RevBuild!AK13</f>
        <v>0.38655319148936168</v>
      </c>
      <c r="AL53" s="151"/>
      <c r="AM53" s="159">
        <f>AM52/RevBuild!AM13</f>
        <v>0.40200000000000002</v>
      </c>
      <c r="AN53" s="156">
        <f>AN52/RevBuild!AN13</f>
        <v>0.38600000000000001</v>
      </c>
      <c r="AO53" s="156">
        <f>AO52/RevBuild!AO13</f>
        <v>0.41100000000000003</v>
      </c>
      <c r="AP53" s="156">
        <f>AP52/RevBuild!AP13</f>
        <v>0.39900000000000008</v>
      </c>
      <c r="AQ53" s="160">
        <f>AQ52/RevBuild!AQ13</f>
        <v>0.39947559055118109</v>
      </c>
      <c r="AR53" s="151"/>
      <c r="AS53" s="159">
        <f>AS52/RevBuild!AS13</f>
        <v>0.41749999999999998</v>
      </c>
      <c r="AT53" s="156">
        <f>AT52/RevBuild!AT13</f>
        <v>0.42199999999999999</v>
      </c>
      <c r="AU53" s="156">
        <f>AU52/RevBuild!AU13</f>
        <v>0.443</v>
      </c>
      <c r="AV53" s="156">
        <f>AV52/RevBuild!AV13</f>
        <v>0.45999999999999996</v>
      </c>
      <c r="AW53" s="160">
        <f>AW52/RevBuild!AW13</f>
        <v>0.43605052790346904</v>
      </c>
      <c r="AX53" s="151"/>
      <c r="AY53" s="159">
        <f>AY52/RevBuild!AY13</f>
        <v>0.51149999999999995</v>
      </c>
      <c r="AZ53" s="156">
        <f>AZ52/RevBuild!AZ13</f>
        <v>0.45199999999999996</v>
      </c>
      <c r="BA53" s="156">
        <f>BA52/RevBuild!BA13</f>
        <v>0.43</v>
      </c>
      <c r="BB53" s="156">
        <f>BB52/RevBuild!BB13</f>
        <v>0.43999999999999995</v>
      </c>
      <c r="BC53" s="160">
        <f>BC52/RevBuild!BC13</f>
        <v>0.4565256797583081</v>
      </c>
      <c r="BD53" s="151"/>
      <c r="BE53" s="159">
        <f>BE52/RevBuild!BE13</f>
        <v>0.47299999999999998</v>
      </c>
      <c r="BF53" s="156">
        <f>BF52/RevBuild!BF13</f>
        <v>0.45899999999999996</v>
      </c>
      <c r="BG53" s="156">
        <f>BG52/RevBuild!BG13</f>
        <v>0.44199999999999995</v>
      </c>
      <c r="BH53" s="156">
        <f>BH52/RevBuild!BH13</f>
        <v>0.44599999999999995</v>
      </c>
      <c r="BI53" s="160">
        <f>BI52/RevBuild!BI13</f>
        <v>0.45426516220028201</v>
      </c>
      <c r="BJ53" s="151"/>
      <c r="BK53" s="159">
        <f>BK52/RevBuild!BK13</f>
        <v>0.4519999999999999</v>
      </c>
      <c r="BL53" s="156">
        <f>BL52/RevBuild!BL13</f>
        <v>0.42400000000000004</v>
      </c>
      <c r="BM53" s="156">
        <f>BM52/RevBuild!BM13</f>
        <v>0.47299999999999998</v>
      </c>
      <c r="BN53" s="156">
        <f>BN52/RevBuild!BN13</f>
        <v>0.4479999999999999</v>
      </c>
      <c r="BO53" s="160">
        <f>BO52/RevBuild!BO13</f>
        <v>0.44898056994818647</v>
      </c>
      <c r="BP53" s="151"/>
      <c r="BQ53" s="159">
        <f>BQ52/RevBuild!BQ13</f>
        <v>0.45600000000000002</v>
      </c>
      <c r="BR53" s="156">
        <f>BR52/RevBuild!BR13</f>
        <v>0.41900000000000009</v>
      </c>
      <c r="BS53" s="156">
        <f>BS52/RevBuild!BS13</f>
        <v>0.46799999999999997</v>
      </c>
      <c r="BT53" s="156">
        <f>BT52/RevBuild!BT13</f>
        <v>0.44299999999999995</v>
      </c>
      <c r="BU53" s="160">
        <f>BU52/RevBuild!BU13</f>
        <v>0.44599406490227184</v>
      </c>
      <c r="BV53" s="151"/>
      <c r="BW53" s="159">
        <f>BW52/RevBuild!BW13</f>
        <v>0.45099999999999996</v>
      </c>
      <c r="BX53" s="156">
        <f>BX52/RevBuild!BX13</f>
        <v>0.41400000000000009</v>
      </c>
      <c r="BY53" s="156">
        <f>BY52/RevBuild!BY13</f>
        <v>0.46299999999999997</v>
      </c>
      <c r="BZ53" s="156">
        <f>BZ52/RevBuild!BZ13</f>
        <v>0.438</v>
      </c>
      <c r="CA53" s="160">
        <f>CA52/RevBuild!CA13</f>
        <v>0.441330776005807</v>
      </c>
      <c r="CB53" s="156"/>
      <c r="CC53" s="159">
        <f>CC52/RevBuild!CC13</f>
        <v>0.44699999999999995</v>
      </c>
      <c r="CD53" s="156">
        <f>CD52/RevBuild!CD13</f>
        <v>0.41000000000000003</v>
      </c>
      <c r="CE53" s="156">
        <f>CE52/RevBuild!CE13</f>
        <v>0.45899999999999991</v>
      </c>
      <c r="CF53" s="156">
        <f>CF52/RevBuild!CF13</f>
        <v>0.43399999999999989</v>
      </c>
      <c r="CG53" s="160">
        <f>CG52/RevBuild!CG13</f>
        <v>0.43749934484778891</v>
      </c>
      <c r="CH53" s="142"/>
      <c r="CI53" s="159">
        <f>CI52/RevBuild!CI13</f>
        <v>0.44400000000000001</v>
      </c>
      <c r="CJ53" s="156">
        <f>CJ52/RevBuild!CJ13</f>
        <v>0.40699999999999997</v>
      </c>
      <c r="CK53" s="156">
        <f>CK52/RevBuild!CK13</f>
        <v>0.45599999999999996</v>
      </c>
      <c r="CL53" s="156">
        <f>CL52/RevBuild!CL13</f>
        <v>0.43099999999999994</v>
      </c>
      <c r="CM53" s="160">
        <f>CM52/RevBuild!CM13</f>
        <v>0.43467503685222109</v>
      </c>
      <c r="CN53" s="142"/>
      <c r="CO53" s="142"/>
      <c r="CP53" s="142"/>
      <c r="CQ53"/>
      <c r="CR53"/>
      <c r="CS53"/>
      <c r="CT53"/>
      <c r="CU53"/>
      <c r="CV53"/>
      <c r="CW53" s="142"/>
    </row>
    <row r="54" spans="1:101" s="149" customFormat="1" outlineLevel="1">
      <c r="A54" s="501" t="s">
        <v>107</v>
      </c>
      <c r="B54" s="150"/>
      <c r="C54" s="1318"/>
      <c r="D54" s="1985"/>
      <c r="E54" s="1985"/>
      <c r="F54" s="1985"/>
      <c r="G54" s="1986"/>
      <c r="H54" s="150"/>
      <c r="I54" s="1318"/>
      <c r="J54" s="1985"/>
      <c r="K54" s="1985"/>
      <c r="L54" s="1985"/>
      <c r="M54" s="1986"/>
      <c r="N54" s="150"/>
      <c r="O54" s="1318"/>
      <c r="P54" s="1985"/>
      <c r="Q54" s="1985"/>
      <c r="R54" s="1985"/>
      <c r="S54" s="1986"/>
      <c r="T54" s="151"/>
      <c r="U54" s="1318"/>
      <c r="V54" s="1985"/>
      <c r="W54" s="1985"/>
      <c r="X54" s="1985"/>
      <c r="Y54" s="1986"/>
      <c r="Z54" s="151"/>
      <c r="AA54" s="1318"/>
      <c r="AB54" s="1985"/>
      <c r="AC54" s="1985"/>
      <c r="AD54" s="1985"/>
      <c r="AE54" s="1986"/>
      <c r="AF54" s="151"/>
      <c r="AG54" s="1318">
        <f>RevBuild!AG17-IS!AG70</f>
        <v>148.93</v>
      </c>
      <c r="AH54" s="1985">
        <f>RevBuild!AH17-IS!AH70</f>
        <v>155.34399999999999</v>
      </c>
      <c r="AI54" s="1985">
        <f>RevBuild!AI17-IS!AI70</f>
        <v>149.625</v>
      </c>
      <c r="AJ54" s="1985">
        <f>RevBuild!AJ17-IS!AJ70</f>
        <v>149.50399999999999</v>
      </c>
      <c r="AK54" s="1986">
        <f>SUM(AG54:AJ54)</f>
        <v>603.40300000000002</v>
      </c>
      <c r="AL54" s="151"/>
      <c r="AM54" s="1318">
        <f>RevBuild!AM17-IS!AM70</f>
        <v>154.35</v>
      </c>
      <c r="AN54" s="1985">
        <f>RevBuild!AN17-IS!AN70</f>
        <v>157.798</v>
      </c>
      <c r="AO54" s="1985">
        <f>RevBuild!AO17-IS!AO70</f>
        <v>154.94</v>
      </c>
      <c r="AP54" s="1985">
        <f>RevBuild!AP17-IS!AP70</f>
        <v>160.90800000000002</v>
      </c>
      <c r="AQ54" s="1986">
        <f>SUM(AM54:AP54)</f>
        <v>627.99600000000009</v>
      </c>
      <c r="AR54" s="151"/>
      <c r="AS54" s="1987">
        <f>RevBuild!AS17-IS!AS70</f>
        <v>161.71</v>
      </c>
      <c r="AT54" s="1985">
        <f>RevBuild!AT17-IS!AT70</f>
        <v>169.32500000000002</v>
      </c>
      <c r="AU54" s="1985">
        <f>RevBuild!AU17-IS!AU70</f>
        <v>171.024</v>
      </c>
      <c r="AV54" s="1985">
        <f>RevBuild!AV17-IS!AV70</f>
        <v>170.98000000000002</v>
      </c>
      <c r="AW54" s="1986">
        <f>SUM(AS54:AV54)</f>
        <v>673.03899999999999</v>
      </c>
      <c r="AX54" s="151"/>
      <c r="AY54" s="1987">
        <f>RevBuild!AY17-IS!AY70</f>
        <v>165.33450000000002</v>
      </c>
      <c r="AZ54" s="1985">
        <f>RevBuild!AZ17-IS!AZ70</f>
        <v>161.78399999999999</v>
      </c>
      <c r="BA54" s="1985">
        <f>RevBuild!BA17-IS!BA70</f>
        <v>173.04</v>
      </c>
      <c r="BB54" s="1985">
        <f>RevBuild!BB17-IS!BB70</f>
        <v>169.97399999999999</v>
      </c>
      <c r="BC54" s="1986">
        <f>SUM(AY54:BB54)</f>
        <v>670.13249999999994</v>
      </c>
      <c r="BD54" s="151"/>
      <c r="BE54" s="1987">
        <f>RevBuild!BE17-IS!BE70</f>
        <v>171.82800000000003</v>
      </c>
      <c r="BF54" s="1985">
        <f>RevBuild!BF17-IS!BF70</f>
        <v>175.422</v>
      </c>
      <c r="BG54" s="1985">
        <f>RevBuild!BG17-IS!BG70</f>
        <v>184.68</v>
      </c>
      <c r="BH54" s="1985">
        <f>RevBuild!BH17-IS!BH70</f>
        <v>187.22</v>
      </c>
      <c r="BI54" s="1986">
        <f>SUM(BE54:BH54)</f>
        <v>719.15000000000009</v>
      </c>
      <c r="BJ54" s="151"/>
      <c r="BK54" s="1987">
        <f>RevBuild!BK17-IS!BK70</f>
        <v>186.94499999999999</v>
      </c>
      <c r="BL54" s="1985">
        <f>RevBuild!BL17-IS!BL70</f>
        <v>190.13400000000001</v>
      </c>
      <c r="BM54" s="1985">
        <f>RevBuild!BM17-IS!BM70</f>
        <v>193.386</v>
      </c>
      <c r="BN54" s="1985">
        <f>RevBuild!BN17-IS!BN70</f>
        <v>203.61600000000001</v>
      </c>
      <c r="BO54" s="1986">
        <f>SUM(BK54:BN54)</f>
        <v>774.08100000000002</v>
      </c>
      <c r="BP54" s="151"/>
      <c r="BQ54" s="1987">
        <f>RevBuild!BQ17-IS!BQ70</f>
        <v>201.55199999999999</v>
      </c>
      <c r="BR54" s="1985">
        <f>RevBuild!BR17-IS!BR70</f>
        <v>216.411744</v>
      </c>
      <c r="BS54" s="1985">
        <f>RevBuild!BS17-IS!BS70</f>
        <v>219.85865200000001</v>
      </c>
      <c r="BT54" s="1985">
        <f>RevBuild!BT17-IS!BT70</f>
        <v>231.106988</v>
      </c>
      <c r="BU54" s="1986">
        <f>SUM(BQ54:BT54)</f>
        <v>868.92938400000003</v>
      </c>
      <c r="BV54" s="151"/>
      <c r="BW54" s="1987">
        <f>RevBuild!BW17-IS!BW70</f>
        <v>215.47296000000003</v>
      </c>
      <c r="BX54" s="1985">
        <f>RevBuild!BX17-IS!BX70</f>
        <v>231.36858792000001</v>
      </c>
      <c r="BY54" s="1985">
        <f>RevBuild!BY17-IS!BY70</f>
        <v>235.04403095999999</v>
      </c>
      <c r="BZ54" s="1985">
        <f>RevBuild!BZ17-IS!BZ70</f>
        <v>247.08452544000002</v>
      </c>
      <c r="CA54" s="1986">
        <f>SUM(BW54:BZ54)</f>
        <v>928.97010432000002</v>
      </c>
      <c r="CB54" s="1985"/>
      <c r="CC54" s="1987">
        <f>RevBuild!CC17-IS!CC70</f>
        <v>229.73868000000002</v>
      </c>
      <c r="CD54" s="1985">
        <f>RevBuild!CD17-IS!CD70</f>
        <v>246.69498979799999</v>
      </c>
      <c r="CE54" s="1985">
        <f>RevBuild!CE17-IS!CE70</f>
        <v>250.60548392999999</v>
      </c>
      <c r="CF54" s="1985">
        <f>RevBuild!CF17-IS!CF70</f>
        <v>263.45638627199997</v>
      </c>
      <c r="CG54" s="1986">
        <f>SUM(CC54:CF54)</f>
        <v>990.49553999999989</v>
      </c>
      <c r="CH54" s="152"/>
      <c r="CI54" s="1987">
        <f>RevBuild!CI17-IS!CI70</f>
        <v>245.4414372</v>
      </c>
      <c r="CJ54" s="1985">
        <f>RevBuild!CJ17-IS!CJ70</f>
        <v>263.56345624619996</v>
      </c>
      <c r="CK54" s="1985">
        <f>RevBuild!CK17-IS!CK70</f>
        <v>267.73449793469996</v>
      </c>
      <c r="CL54" s="1985">
        <f>RevBuild!CL17-IS!CL70</f>
        <v>281.47453564049999</v>
      </c>
      <c r="CM54" s="1986">
        <f>SUM(CI54:CL54)</f>
        <v>1058.2139270213997</v>
      </c>
      <c r="CN54" s="152"/>
      <c r="CO54" s="152"/>
      <c r="CP54" s="142"/>
      <c r="CQ54"/>
      <c r="CR54"/>
      <c r="CS54"/>
      <c r="CT54"/>
      <c r="CU54"/>
      <c r="CV54"/>
      <c r="CW54" s="142"/>
    </row>
    <row r="55" spans="1:101" s="149" customFormat="1" outlineLevel="1">
      <c r="A55" s="158" t="s">
        <v>108</v>
      </c>
      <c r="B55" s="150"/>
      <c r="C55" s="159"/>
      <c r="D55" s="156"/>
      <c r="E55" s="156"/>
      <c r="F55" s="156"/>
      <c r="G55" s="160"/>
      <c r="H55" s="150"/>
      <c r="I55" s="159"/>
      <c r="J55" s="156"/>
      <c r="K55" s="156"/>
      <c r="L55" s="156"/>
      <c r="M55" s="160"/>
      <c r="N55" s="150"/>
      <c r="O55" s="159"/>
      <c r="P55" s="156"/>
      <c r="Q55" s="156"/>
      <c r="R55" s="156"/>
      <c r="S55" s="160"/>
      <c r="T55" s="151"/>
      <c r="U55" s="159"/>
      <c r="V55" s="156"/>
      <c r="W55" s="156"/>
      <c r="X55" s="156"/>
      <c r="Y55" s="160"/>
      <c r="Z55" s="151"/>
      <c r="AA55" s="159"/>
      <c r="AB55" s="156"/>
      <c r="AC55" s="156"/>
      <c r="AD55" s="156"/>
      <c r="AE55" s="160"/>
      <c r="AF55" s="151"/>
      <c r="AG55" s="159">
        <f>AG54/RevBuild!AG17</f>
        <v>0.53</v>
      </c>
      <c r="AH55" s="156">
        <f>AH54/RevBuild!AH17</f>
        <v>0.53200000000000003</v>
      </c>
      <c r="AI55" s="156">
        <f>AI54/RevBuild!AI17</f>
        <v>0.52500000000000002</v>
      </c>
      <c r="AJ55" s="156">
        <f>AJ54/RevBuild!AJ17</f>
        <v>0.51200000000000001</v>
      </c>
      <c r="AK55" s="160">
        <f>AK54/RevBuild!AK17</f>
        <v>0.52469826086956528</v>
      </c>
      <c r="AL55" s="151"/>
      <c r="AM55" s="159">
        <f>AM54/RevBuild!AM17</f>
        <v>0.52500000000000002</v>
      </c>
      <c r="AN55" s="156">
        <f>AN54/RevBuild!AN17</f>
        <v>0.51400000000000001</v>
      </c>
      <c r="AO55" s="156">
        <f>AO54/RevBuild!AO17</f>
        <v>0.50800000000000001</v>
      </c>
      <c r="AP55" s="156">
        <f>AP54/RevBuild!AP17</f>
        <v>0.50600000000000001</v>
      </c>
      <c r="AQ55" s="160">
        <f>AQ54/RevBuild!AQ17</f>
        <v>0.51306862745098047</v>
      </c>
      <c r="AR55" s="151"/>
      <c r="AS55" s="159">
        <f>AS54/RevBuild!AS17</f>
        <v>0.51500000000000001</v>
      </c>
      <c r="AT55" s="156">
        <f>AT54/RevBuild!AT17</f>
        <v>0.52100000000000002</v>
      </c>
      <c r="AU55" s="156">
        <f>AU54/RevBuild!AU17</f>
        <v>0.50900000000000001</v>
      </c>
      <c r="AV55" s="156">
        <f>AV54/RevBuild!AV17</f>
        <v>0.51500000000000001</v>
      </c>
      <c r="AW55" s="160">
        <f>AW54/RevBuild!AW17</f>
        <v>0.5149495026778883</v>
      </c>
      <c r="AX55" s="151"/>
      <c r="AY55" s="159">
        <f>AY54/RevBuild!AY17</f>
        <v>0.49950000000000006</v>
      </c>
      <c r="AZ55" s="156">
        <f>AZ54/RevBuild!AZ17</f>
        <v>0.504</v>
      </c>
      <c r="BA55" s="156">
        <f>BA54/RevBuild!BA17</f>
        <v>0.51500000000000001</v>
      </c>
      <c r="BB55" s="156">
        <f>BB54/RevBuild!BB17</f>
        <v>0.49699999999999994</v>
      </c>
      <c r="BC55" s="160">
        <f>BC54/RevBuild!BC17</f>
        <v>0.50385902255639092</v>
      </c>
      <c r="BD55" s="151"/>
      <c r="BE55" s="159">
        <f>BE54/RevBuild!BE17</f>
        <v>0.49950000000000011</v>
      </c>
      <c r="BF55" s="156">
        <f>BF54/RevBuild!BF17</f>
        <v>0.50700000000000001</v>
      </c>
      <c r="BG55" s="156">
        <f>BG54/RevBuild!BG17</f>
        <v>0.51300000000000001</v>
      </c>
      <c r="BH55" s="156">
        <f>BH54/RevBuild!BH17</f>
        <v>0.50600000000000001</v>
      </c>
      <c r="BI55" s="160">
        <f>BI54/RevBuild!BI17</f>
        <v>0.50644366197183111</v>
      </c>
      <c r="BJ55" s="151"/>
      <c r="BK55" s="159">
        <f>BK54/RevBuild!BK17</f>
        <v>0.51500000000000001</v>
      </c>
      <c r="BL55" s="156">
        <f>BL54/RevBuild!BL17</f>
        <v>0.503</v>
      </c>
      <c r="BM55" s="156">
        <f>BM54/RevBuild!BM17</f>
        <v>0.501</v>
      </c>
      <c r="BN55" s="156">
        <f>BN54/RevBuild!BN17</f>
        <v>0.504</v>
      </c>
      <c r="BO55" s="160">
        <f>BO54/RevBuild!BO17</f>
        <v>0.50560483344219465</v>
      </c>
      <c r="BP55" s="151"/>
      <c r="BQ55" s="159">
        <f>BQ54/RevBuild!BQ17</f>
        <v>0.49399999999999999</v>
      </c>
      <c r="BR55" s="156">
        <f>BR54/RevBuild!BR17</f>
        <v>0.496</v>
      </c>
      <c r="BS55" s="156">
        <f>BS54/RevBuild!BS17</f>
        <v>0.49400000000000005</v>
      </c>
      <c r="BT55" s="156">
        <f>BT54/RevBuild!BT17</f>
        <v>0.497</v>
      </c>
      <c r="BU55" s="160">
        <f>BU54/RevBuild!BU17</f>
        <v>0.49529256214175293</v>
      </c>
      <c r="BV55" s="151"/>
      <c r="BW55" s="159">
        <f>BW54/RevBuild!BW17</f>
        <v>0.48899999999999999</v>
      </c>
      <c r="BX55" s="156">
        <f>BX54/RevBuild!BX17</f>
        <v>0.49099999999999999</v>
      </c>
      <c r="BY55" s="156">
        <f>BY54/RevBuild!BY17</f>
        <v>0.48899999999999993</v>
      </c>
      <c r="BZ55" s="156">
        <f>BZ54/RevBuild!BZ17</f>
        <v>0.49199999999999999</v>
      </c>
      <c r="CA55" s="160">
        <f>CA54/RevBuild!CA17</f>
        <v>0.49029256214175293</v>
      </c>
      <c r="CB55" s="156"/>
      <c r="CC55" s="159">
        <f>CC54/RevBuild!CC17</f>
        <v>0.48499999999999999</v>
      </c>
      <c r="CD55" s="156">
        <f>CD54/RevBuild!CD17</f>
        <v>0.48699999999999999</v>
      </c>
      <c r="CE55" s="156">
        <f>CE54/RevBuild!CE17</f>
        <v>0.48499999999999993</v>
      </c>
      <c r="CF55" s="156">
        <f>CF54/RevBuild!CF17</f>
        <v>0.48799999999999993</v>
      </c>
      <c r="CG55" s="160">
        <f>CG54/RevBuild!CG17</f>
        <v>0.48629256214175293</v>
      </c>
      <c r="CH55" s="142"/>
      <c r="CI55" s="159">
        <f>CI54/RevBuild!CI17</f>
        <v>0.48199999999999998</v>
      </c>
      <c r="CJ55" s="156">
        <f>CJ54/RevBuild!CJ17</f>
        <v>0.48399999999999993</v>
      </c>
      <c r="CK55" s="156">
        <f>CK54/RevBuild!CK17</f>
        <v>0.48199999999999993</v>
      </c>
      <c r="CL55" s="156">
        <f>CL54/RevBuild!CL17</f>
        <v>0.48499999999999999</v>
      </c>
      <c r="CM55" s="160">
        <f>CM54/RevBuild!CM17</f>
        <v>0.48329256214175281</v>
      </c>
      <c r="CN55" s="142"/>
      <c r="CO55" s="142"/>
      <c r="CP55" s="142"/>
      <c r="CQ55"/>
      <c r="CR55"/>
      <c r="CS55"/>
      <c r="CT55"/>
      <c r="CU55"/>
      <c r="CV55"/>
      <c r="CW55" s="142"/>
    </row>
    <row r="56" spans="1:101" s="149" customFormat="1" outlineLevel="1">
      <c r="A56" s="161" t="s">
        <v>109</v>
      </c>
      <c r="B56" s="162"/>
      <c r="C56" s="163">
        <f>C42+C46</f>
        <v>215.23500000000001</v>
      </c>
      <c r="D56" s="164">
        <f>D42+D46</f>
        <v>204.51599999999996</v>
      </c>
      <c r="E56" s="164">
        <f>E42+E46</f>
        <v>216.81999999999996</v>
      </c>
      <c r="F56" s="164">
        <f>F42+F46</f>
        <v>237.03399999999999</v>
      </c>
      <c r="G56" s="165">
        <f>G42+G46</f>
        <v>873.60500000000002</v>
      </c>
      <c r="H56" s="162"/>
      <c r="I56" s="163">
        <f>I42+I46</f>
        <v>251.154</v>
      </c>
      <c r="J56" s="164">
        <f>J42+J46</f>
        <v>251.202</v>
      </c>
      <c r="K56" s="164">
        <f>K42+K46</f>
        <v>248.31599999999997</v>
      </c>
      <c r="L56" s="164">
        <f>L42+L46</f>
        <v>263.75400000000002</v>
      </c>
      <c r="M56" s="165">
        <f>M42+M46</f>
        <v>1014.4259999999999</v>
      </c>
      <c r="N56" s="162"/>
      <c r="O56" s="163">
        <f>O42+O46+O44</f>
        <v>237.387</v>
      </c>
      <c r="P56" s="164">
        <f>P42+P46+P44</f>
        <v>228.42499999999998</v>
      </c>
      <c r="Q56" s="164">
        <f>Q42+Q46+Q44</f>
        <v>231.00699999999998</v>
      </c>
      <c r="R56" s="164">
        <f>R42+R46+R44</f>
        <v>246.51799999999997</v>
      </c>
      <c r="S56" s="165">
        <f>S42+S46+S44</f>
        <v>943.33699999999988</v>
      </c>
      <c r="T56" s="164"/>
      <c r="U56" s="163">
        <f>U42+U46+U44</f>
        <v>264.34399999999999</v>
      </c>
      <c r="V56" s="164">
        <f>V42+V46+V44</f>
        <v>259.899</v>
      </c>
      <c r="W56" s="164">
        <f>W42+W46+W44</f>
        <v>327.19799999999998</v>
      </c>
      <c r="X56" s="164">
        <f>X42+X46+X44</f>
        <v>392.84299999999996</v>
      </c>
      <c r="Y56" s="165">
        <f>Y42+Y46+Y44</f>
        <v>1244.2839999999999</v>
      </c>
      <c r="Z56" s="164"/>
      <c r="AA56" s="163">
        <f>AA42+AA46+AA44</f>
        <v>359.161</v>
      </c>
      <c r="AB56" s="164">
        <f>AB42+AB46+AB44</f>
        <v>411.29300000000001</v>
      </c>
      <c r="AC56" s="164">
        <f>AC42+AC46+AC44</f>
        <v>409.64499999999998</v>
      </c>
      <c r="AD56" s="164">
        <f>AD42+AD46+AD44</f>
        <v>422.39699999999999</v>
      </c>
      <c r="AE56" s="165">
        <f>AE42+AE46+AE44</f>
        <v>1602.4960000000001</v>
      </c>
      <c r="AF56" s="164"/>
      <c r="AG56" s="163">
        <f>AG50+AG54+AG52</f>
        <v>409.44800000000004</v>
      </c>
      <c r="AH56" s="164">
        <f t="shared" ref="AH56:BO56" si="18">AH50+AH54+AH52</f>
        <v>418.44599999999997</v>
      </c>
      <c r="AI56" s="164">
        <f t="shared" si="18"/>
        <v>425.22199999999998</v>
      </c>
      <c r="AJ56" s="164">
        <f t="shared" si="18"/>
        <v>432.202</v>
      </c>
      <c r="AK56" s="165">
        <f t="shared" si="18"/>
        <v>1685.318</v>
      </c>
      <c r="AL56" s="164"/>
      <c r="AM56" s="163">
        <f t="shared" si="18"/>
        <v>449.89399999999989</v>
      </c>
      <c r="AN56" s="164">
        <f t="shared" si="18"/>
        <v>456.14400000000001</v>
      </c>
      <c r="AO56" s="164">
        <f t="shared" si="18"/>
        <v>451.25299999999999</v>
      </c>
      <c r="AP56" s="164">
        <f t="shared" si="18"/>
        <v>463.50900000000001</v>
      </c>
      <c r="AQ56" s="165">
        <f t="shared" si="18"/>
        <v>1820.8</v>
      </c>
      <c r="AR56" s="164"/>
      <c r="AS56" s="163">
        <f t="shared" si="18"/>
        <v>462.73199999999997</v>
      </c>
      <c r="AT56" s="164">
        <f t="shared" si="18"/>
        <v>465.94099999999997</v>
      </c>
      <c r="AU56" s="164">
        <f t="shared" si="18"/>
        <v>471.69799999999998</v>
      </c>
      <c r="AV56" s="164">
        <f t="shared" si="18"/>
        <v>481.33100000000007</v>
      </c>
      <c r="AW56" s="165">
        <f t="shared" si="18"/>
        <v>1881.702</v>
      </c>
      <c r="AX56" s="164"/>
      <c r="AY56" s="163">
        <f t="shared" si="18"/>
        <v>481.44299999999998</v>
      </c>
      <c r="AZ56" s="164">
        <f t="shared" si="18"/>
        <v>445.81899999999996</v>
      </c>
      <c r="BA56" s="164">
        <f t="shared" si="18"/>
        <v>471.73399999999998</v>
      </c>
      <c r="BB56" s="164">
        <f t="shared" si="18"/>
        <v>470.25900000000001</v>
      </c>
      <c r="BC56" s="165">
        <f t="shared" si="18"/>
        <v>1869.2549999999999</v>
      </c>
      <c r="BD56" s="164"/>
      <c r="BE56" s="163">
        <f>BE50+BE54+BE52</f>
        <v>463.8</v>
      </c>
      <c r="BF56" s="164">
        <f t="shared" si="18"/>
        <v>462.54899999999998</v>
      </c>
      <c r="BG56" s="164">
        <f t="shared" si="18"/>
        <v>476.92800000000005</v>
      </c>
      <c r="BH56" s="164">
        <f>BH50+BH54+BH52</f>
        <v>495.78599999999994</v>
      </c>
      <c r="BI56" s="165">
        <f t="shared" si="18"/>
        <v>1899.0630000000001</v>
      </c>
      <c r="BJ56" s="164"/>
      <c r="BK56" s="163">
        <f t="shared" si="18"/>
        <v>479.233</v>
      </c>
      <c r="BL56" s="164">
        <f t="shared" si="18"/>
        <v>485.08100000000002</v>
      </c>
      <c r="BM56" s="164">
        <f t="shared" si="18"/>
        <v>500.56</v>
      </c>
      <c r="BN56" s="164">
        <f t="shared" si="18"/>
        <v>521.94599999999991</v>
      </c>
      <c r="BO56" s="165">
        <f t="shared" si="18"/>
        <v>1986.8199999999997</v>
      </c>
      <c r="BP56" s="164"/>
      <c r="BQ56" s="163">
        <f t="shared" ref="BQ56" si="19">BQ50+BQ54+BQ52</f>
        <v>521.98800000000006</v>
      </c>
      <c r="BR56" s="164">
        <f>BR50+BR54+BR52</f>
        <v>545.99386842958279</v>
      </c>
      <c r="BS56" s="164">
        <f>BS50+BS54+BS52</f>
        <v>552.81603029451708</v>
      </c>
      <c r="BT56" s="164">
        <f>BT50+BT54+BT52</f>
        <v>573.25990016548167</v>
      </c>
      <c r="BU56" s="165">
        <f>BU50+BU54+BU52</f>
        <v>2194.0577988895816</v>
      </c>
      <c r="BV56" s="164"/>
      <c r="BW56" s="163">
        <f>BW50+BW54+BW52</f>
        <v>551.22462187176598</v>
      </c>
      <c r="BX56" s="164">
        <f>BX50+BX54+BX52</f>
        <v>576.70275671058926</v>
      </c>
      <c r="BY56" s="164">
        <f>BY50+BY54+BY52</f>
        <v>591.67332280851201</v>
      </c>
      <c r="BZ56" s="164">
        <f>BZ50+BZ54+BZ52</f>
        <v>611.76683608119151</v>
      </c>
      <c r="CA56" s="165">
        <f>CA50+CA54+CA52</f>
        <v>2331.3675374720588</v>
      </c>
      <c r="CB56" s="164"/>
      <c r="CC56" s="163">
        <f>CC50+CC54+CC52</f>
        <v>579.84642546877649</v>
      </c>
      <c r="CD56" s="164">
        <f>CD50+CD54+CD52</f>
        <v>607.59821015209218</v>
      </c>
      <c r="CE56" s="164">
        <f>CE50+CE54+CE52</f>
        <v>629.11431906794894</v>
      </c>
      <c r="CF56" s="164">
        <f>CF50+CF54+CF52</f>
        <v>647.92996106187809</v>
      </c>
      <c r="CG56" s="165">
        <f>CG50+CG54+CG52</f>
        <v>2464.4889157506955</v>
      </c>
      <c r="CH56" s="166"/>
      <c r="CI56" s="163">
        <f>CI50+CI54+CI52</f>
        <v>612.56699086360072</v>
      </c>
      <c r="CJ56" s="164">
        <f>CJ50+CJ54+CJ52</f>
        <v>642.95098128664063</v>
      </c>
      <c r="CK56" s="164">
        <f>CK50+CK54+CK52</f>
        <v>672.79229064717651</v>
      </c>
      <c r="CL56" s="164">
        <f>CL50+CL54+CL52</f>
        <v>689.78243739064237</v>
      </c>
      <c r="CM56" s="165">
        <f>CM50+CM54+CM52</f>
        <v>2618.09270018806</v>
      </c>
      <c r="CN56" s="166"/>
      <c r="CO56" s="166"/>
      <c r="CP56" s="166"/>
      <c r="CQ56"/>
      <c r="CR56"/>
      <c r="CS56"/>
      <c r="CT56"/>
      <c r="CU56"/>
      <c r="CV56"/>
      <c r="CW56" s="166"/>
    </row>
    <row r="57" spans="1:101" s="149" customFormat="1">
      <c r="A57" s="167" t="s">
        <v>110</v>
      </c>
      <c r="B57" s="168"/>
      <c r="C57" s="169">
        <f>C12/C10</f>
        <v>0.5269560439560439</v>
      </c>
      <c r="D57" s="170">
        <f>D12/D10</f>
        <v>0.52215887850467302</v>
      </c>
      <c r="E57" s="170">
        <f>E12/E10</f>
        <v>0.53769722814498944</v>
      </c>
      <c r="F57" s="170">
        <f>F12/F10</f>
        <v>0.54764503816793897</v>
      </c>
      <c r="G57" s="171">
        <f>G12/G10</f>
        <v>0.53432569296375276</v>
      </c>
      <c r="H57" s="168"/>
      <c r="I57" s="169">
        <f>I12/I10</f>
        <v>0.52701694915254238</v>
      </c>
      <c r="J57" s="170">
        <f>J12/J10</f>
        <v>0.526033962264151</v>
      </c>
      <c r="K57" s="170">
        <f>K12/K10</f>
        <v>0.54015555555555561</v>
      </c>
      <c r="L57" s="170">
        <f>L12/L10</f>
        <v>0.55596969696969689</v>
      </c>
      <c r="M57" s="171">
        <f>M12/M10</f>
        <v>0.53784692482915719</v>
      </c>
      <c r="N57" s="168"/>
      <c r="O57" s="169">
        <f>O12/O10</f>
        <v>0.54783428571428572</v>
      </c>
      <c r="P57" s="170">
        <f>P12/P10</f>
        <v>0.54131526104417682</v>
      </c>
      <c r="Q57" s="170">
        <f>Q12/Q10</f>
        <v>0.53426008064516139</v>
      </c>
      <c r="R57" s="170">
        <f>R12/R10</f>
        <v>0.54684191176470598</v>
      </c>
      <c r="S57" s="171">
        <f>S12/S10</f>
        <v>0.54273533688802711</v>
      </c>
      <c r="T57" s="172"/>
      <c r="U57" s="169">
        <f>U12/U10</f>
        <v>0.54735616438356161</v>
      </c>
      <c r="V57" s="170">
        <f>V12/V10</f>
        <v>0.54563111888111893</v>
      </c>
      <c r="W57" s="170">
        <f>W12/W10</f>
        <v>0.53456899004267433</v>
      </c>
      <c r="X57" s="170">
        <f>X12/X10</f>
        <v>0.52092317073170735</v>
      </c>
      <c r="Y57" s="171">
        <f>Y12/Y10</f>
        <v>0.53554162000746552</v>
      </c>
      <c r="Z57" s="172"/>
      <c r="AA57" s="169">
        <f>AA12/AA10</f>
        <v>0.52302656042496676</v>
      </c>
      <c r="AB57" s="170">
        <f>AB12/AB10</f>
        <v>0.51326272189349109</v>
      </c>
      <c r="AC57" s="170">
        <f>AC12/AC10</f>
        <v>0.50999401913875597</v>
      </c>
      <c r="AD57" s="170">
        <f>AD12/AD10</f>
        <v>0.5178116438356164</v>
      </c>
      <c r="AE57" s="171">
        <f>AE12/AE10</f>
        <v>0.51586223564954692</v>
      </c>
      <c r="AF57" s="172"/>
      <c r="AG57" s="169">
        <f>AG12/AG10</f>
        <v>0.52223103850641772</v>
      </c>
      <c r="AH57" s="170">
        <f>AH12/AH10</f>
        <v>0.51173162193698951</v>
      </c>
      <c r="AI57" s="170">
        <f>AI12/AI10</f>
        <v>0.51569248291571756</v>
      </c>
      <c r="AJ57" s="170">
        <f>AJ12/AJ10</f>
        <v>0.54552891692954786</v>
      </c>
      <c r="AK57" s="171">
        <f>AK12/AK10</f>
        <v>0.52432458368614165</v>
      </c>
      <c r="AL57" s="172"/>
      <c r="AM57" s="169">
        <f>AM12/AM10</f>
        <v>0.53038204592901894</v>
      </c>
      <c r="AN57" s="170">
        <f>AN12/AN10</f>
        <v>0.53071604938271599</v>
      </c>
      <c r="AO57" s="170">
        <f>AO12/AO10</f>
        <v>0.52549631966351207</v>
      </c>
      <c r="AP57" s="170">
        <f>AP12/AP10</f>
        <v>0.54243928923988149</v>
      </c>
      <c r="AQ57" s="171">
        <f>AQ12/AQ10</f>
        <v>0.53240883410374928</v>
      </c>
      <c r="AR57" s="172"/>
      <c r="AS57" s="169">
        <f>AS12/AS10</f>
        <v>0.54094047619047625</v>
      </c>
      <c r="AT57" s="170">
        <f>AT12/AT10</f>
        <v>0.52834008097165996</v>
      </c>
      <c r="AU57" s="170">
        <f>AU12/AU10</f>
        <v>0.53320118929633298</v>
      </c>
      <c r="AV57" s="170">
        <f>AV12/AV10</f>
        <v>0.53787152444870567</v>
      </c>
      <c r="AW57" s="171">
        <f>AW12/AW10</f>
        <v>0.5351452569169961</v>
      </c>
      <c r="AX57" s="172"/>
      <c r="AY57" s="169">
        <f>AY12/AY10</f>
        <v>0.53075730994152048</v>
      </c>
      <c r="AZ57" s="170">
        <f>AZ12/AZ10</f>
        <v>0.53705192107995847</v>
      </c>
      <c r="BA57" s="170">
        <f>BA12/BA10</f>
        <v>0.53477909270216972</v>
      </c>
      <c r="BB57" s="170">
        <f>BB12/BB10</f>
        <v>0.54564347826086956</v>
      </c>
      <c r="BC57" s="171">
        <f>BC12/BC10</f>
        <v>0.5370839524517087</v>
      </c>
      <c r="BD57" s="172"/>
      <c r="BE57" s="169">
        <f>BE12/BE10</f>
        <v>0.54883268482490277</v>
      </c>
      <c r="BF57" s="170">
        <f>BF12/BF10</f>
        <v>0.54607556427870463</v>
      </c>
      <c r="BG57" s="170">
        <f>BG12/BG10</f>
        <v>0.54317241379310333</v>
      </c>
      <c r="BH57" s="173">
        <f>BH12/BH10</f>
        <v>0.55374797479747984</v>
      </c>
      <c r="BI57" s="171">
        <f>BI12/BI10</f>
        <v>0.54805735364112329</v>
      </c>
      <c r="BJ57" s="172"/>
      <c r="BK57" s="169">
        <f>BK12/BK10</f>
        <v>0.55085941893158397</v>
      </c>
      <c r="BL57" s="170">
        <f>BL12/BL10</f>
        <v>0.55981760435571681</v>
      </c>
      <c r="BM57" s="170">
        <f>BM12/BM10</f>
        <v>0.55066427289048481</v>
      </c>
      <c r="BN57" s="173">
        <f>BN12/BN10</f>
        <v>0.56102102607232962</v>
      </c>
      <c r="BO57" s="171">
        <f>BO12/BO10</f>
        <v>0.5557200357781753</v>
      </c>
      <c r="BP57" s="172"/>
      <c r="BQ57" s="169">
        <f>BQ12/BQ10</f>
        <v>0.56896118909991733</v>
      </c>
      <c r="BR57" s="170">
        <f>BR12/BR10</f>
        <v>0.56518900277815654</v>
      </c>
      <c r="BS57" s="170">
        <f>BS12/BS10</f>
        <v>0.55523492387709206</v>
      </c>
      <c r="BT57" s="173">
        <f>BT12/BT10</f>
        <v>0.56517255466230054</v>
      </c>
      <c r="BU57" s="171">
        <f>BU12/BU10</f>
        <v>0.5636325438101617</v>
      </c>
      <c r="BV57" s="172"/>
      <c r="BW57" s="169">
        <f>BW12/BW10</f>
        <v>0.57354893019933839</v>
      </c>
      <c r="BX57" s="170">
        <f>BX12/BX10</f>
        <v>0.56979980604909453</v>
      </c>
      <c r="BY57" s="170">
        <f>BY12/BY10</f>
        <v>0.55961278407123838</v>
      </c>
      <c r="BZ57" s="173">
        <f>BZ12/BZ10</f>
        <v>0.5696802264934252</v>
      </c>
      <c r="CA57" s="171">
        <f>CA12/CA10</f>
        <v>0.56813067414392371</v>
      </c>
      <c r="CB57" s="219"/>
      <c r="CC57" s="169">
        <f>CC12/CC10</f>
        <v>0.5763299815333297</v>
      </c>
      <c r="CD57" s="170">
        <f>CD12/CD10</f>
        <v>0.5731380772227489</v>
      </c>
      <c r="CE57" s="170">
        <f>CE12/CE10</f>
        <v>0.56237636117817325</v>
      </c>
      <c r="CF57" s="173">
        <f>CF12/CF10</f>
        <v>0.57261323588197632</v>
      </c>
      <c r="CG57" s="171">
        <f>CG12/CG10</f>
        <v>0.5710673109501363</v>
      </c>
      <c r="CH57" s="152"/>
      <c r="CI57" s="169">
        <f>CI12/CI10</f>
        <v>0.57809372688825422</v>
      </c>
      <c r="CJ57" s="170">
        <f>CJ12/CJ10</f>
        <v>0.57551995835350611</v>
      </c>
      <c r="CK57" s="170">
        <f>CK12/CK10</f>
        <v>0.56411479573367529</v>
      </c>
      <c r="CL57" s="173">
        <f>CL12/CL10</f>
        <v>0.57456005670773069</v>
      </c>
      <c r="CM57" s="171">
        <f>CM12/CM10</f>
        <v>0.57300448878030341</v>
      </c>
      <c r="CN57" s="152"/>
      <c r="CO57" s="152"/>
      <c r="CP57" s="174"/>
      <c r="CQ57"/>
      <c r="CR57"/>
      <c r="CS57"/>
      <c r="CT57"/>
      <c r="CU57"/>
      <c r="CV57"/>
      <c r="CW57" s="174"/>
    </row>
    <row r="58" spans="1:101" s="149" customFormat="1" ht="12.75" hidden="1" customHeight="1" outlineLevel="2">
      <c r="A58" s="2237" t="s">
        <v>97</v>
      </c>
      <c r="B58" s="2238"/>
      <c r="C58" s="2239">
        <f>RevBuild!C8*C59</f>
        <v>130.5</v>
      </c>
      <c r="D58" s="2241">
        <f>RevBuild!D8*D59</f>
        <v>129.60500000000002</v>
      </c>
      <c r="E58" s="2241">
        <f>RevBuild!E8*E59</f>
        <v>135.70800000000003</v>
      </c>
      <c r="F58" s="2241">
        <f>RevBuild!F8*F59</f>
        <v>159.685</v>
      </c>
      <c r="G58" s="2242">
        <f>SUM(C58:F58)</f>
        <v>555.49800000000005</v>
      </c>
      <c r="H58" s="2238"/>
      <c r="I58" s="2239">
        <f>RevBuild!I8*I59</f>
        <v>157.89600000000002</v>
      </c>
      <c r="J58" s="2241">
        <f>RevBuild!J8*J59</f>
        <v>156.13400000000001</v>
      </c>
      <c r="K58" s="2241">
        <f>RevBuild!K8*K59</f>
        <v>164.78</v>
      </c>
      <c r="L58" s="2241">
        <f>RevBuild!L8*L59</f>
        <v>189.126</v>
      </c>
      <c r="M58" s="2242">
        <f>SUM(I58:L58)</f>
        <v>667.93600000000004</v>
      </c>
      <c r="N58" s="2238"/>
      <c r="O58" s="2239">
        <f>RevBuild!O8*O59</f>
        <v>138.465</v>
      </c>
      <c r="P58" s="2241">
        <f>RevBuild!P8*P59</f>
        <v>126.55800000000001</v>
      </c>
      <c r="Q58" s="2241">
        <f>RevBuild!Q8*Q59</f>
        <v>121.965</v>
      </c>
      <c r="R58" s="2241">
        <f>RevBuild!R8*R59</f>
        <v>139.63500000000002</v>
      </c>
      <c r="S58" s="2242">
        <f>SUM(O58:R58)</f>
        <v>526.62300000000005</v>
      </c>
      <c r="T58" s="2243"/>
      <c r="U58" s="2239">
        <f>RevBuild!U8*U59</f>
        <v>150.12</v>
      </c>
      <c r="V58" s="2241">
        <f>RevBuild!V8*V59</f>
        <v>142.845</v>
      </c>
      <c r="W58" s="2241">
        <f>RevBuild!W8*W59</f>
        <v>165.792</v>
      </c>
      <c r="X58" s="2241">
        <f>RevBuild!X8*X59</f>
        <v>183.86699999999999</v>
      </c>
      <c r="Y58" s="2242">
        <f>SUM(U58:X58)</f>
        <v>642.62400000000002</v>
      </c>
      <c r="Z58" s="2243"/>
      <c r="AA58" s="2239">
        <f>RevBuild!AA8*AA59</f>
        <v>176.09800000000001</v>
      </c>
      <c r="AB58" s="2241">
        <f>RevBuild!AB8*AB59</f>
        <v>197.56800000000001</v>
      </c>
      <c r="AC58" s="2241">
        <f>RevBuild!AC8*AC59</f>
        <v>190.73400000000001</v>
      </c>
      <c r="AD58" s="2241">
        <f>RevBuild!AD8*AD59</f>
        <v>198.99</v>
      </c>
      <c r="AE58" s="2242">
        <f>SUM(AA58:AD58)</f>
        <v>763.3900000000001</v>
      </c>
      <c r="AF58" s="2243"/>
      <c r="AG58" s="2239">
        <f>RevBuild!AG8*AG59</f>
        <v>201.05500000000001</v>
      </c>
      <c r="AH58" s="2241">
        <f>RevBuild!AH8*AH59</f>
        <v>193.155</v>
      </c>
      <c r="AI58" s="2241">
        <f>RevBuild!AI8*AI59</f>
        <v>197.45500000000001</v>
      </c>
      <c r="AJ58" s="2241">
        <f>RevBuild!AJ8*AJ59</f>
        <v>200.5</v>
      </c>
      <c r="AK58" s="2242">
        <f>SUM(AG58:AJ58)</f>
        <v>792.16500000000008</v>
      </c>
      <c r="AL58" s="2243"/>
      <c r="AM58" s="2239">
        <f>RevBuild!AM8*AM59</f>
        <v>208.119</v>
      </c>
      <c r="AN58" s="2241">
        <f>RevBuild!AN8*AN59</f>
        <v>205.6995</v>
      </c>
      <c r="AO58" s="2241">
        <f>RevBuild!AO8*AO59</f>
        <v>205.31200000000001</v>
      </c>
      <c r="AP58" s="2241"/>
      <c r="AQ58" s="2242">
        <f>SUM(AM58:AP58)</f>
        <v>619.13049999999998</v>
      </c>
      <c r="AR58" s="2243"/>
      <c r="AS58" s="2239"/>
      <c r="AT58" s="2241"/>
      <c r="AU58" s="2241"/>
      <c r="AV58" s="2241"/>
      <c r="AW58" s="2242"/>
      <c r="AX58" s="2243"/>
      <c r="AY58" s="2239"/>
      <c r="AZ58" s="2241"/>
      <c r="BA58" s="2241"/>
      <c r="BB58" s="2241"/>
      <c r="BC58" s="2242"/>
      <c r="BD58" s="2243"/>
      <c r="BE58" s="2239"/>
      <c r="BF58" s="2241"/>
      <c r="BG58" s="2241"/>
      <c r="BH58" s="2241"/>
      <c r="BI58" s="2242"/>
      <c r="BJ58" s="2243"/>
      <c r="BK58" s="2239"/>
      <c r="BL58" s="2241"/>
      <c r="BM58" s="2241"/>
      <c r="BN58" s="2241"/>
      <c r="BO58" s="2242"/>
      <c r="BP58" s="2243"/>
      <c r="BQ58" s="2239"/>
      <c r="BR58" s="2241"/>
      <c r="BS58" s="2241"/>
      <c r="BT58" s="2241"/>
      <c r="BU58" s="2242"/>
      <c r="BV58" s="2243"/>
      <c r="BW58" s="2239"/>
      <c r="BX58" s="2241"/>
      <c r="BY58" s="2241"/>
      <c r="BZ58" s="2241"/>
      <c r="CA58" s="2242"/>
      <c r="CB58" s="2241"/>
      <c r="CC58" s="2239"/>
      <c r="CD58" s="2241"/>
      <c r="CE58" s="2241"/>
      <c r="CF58" s="2241"/>
      <c r="CG58" s="2242"/>
      <c r="CI58" s="2239"/>
      <c r="CJ58" s="2241"/>
      <c r="CK58" s="2241"/>
      <c r="CL58" s="2241"/>
      <c r="CM58" s="2242"/>
      <c r="CQ58"/>
      <c r="CR58"/>
      <c r="CS58"/>
      <c r="CT58"/>
      <c r="CU58"/>
      <c r="CV58"/>
    </row>
    <row r="59" spans="1:101" s="149" customFormat="1" ht="12.75" hidden="1" customHeight="1" outlineLevel="2">
      <c r="A59" s="2244" t="s">
        <v>98</v>
      </c>
      <c r="B59" s="2245"/>
      <c r="C59" s="2265">
        <v>0.52200000000000002</v>
      </c>
      <c r="D59" s="2266">
        <v>0.52900000000000003</v>
      </c>
      <c r="E59" s="2266">
        <v>0.52600000000000013</v>
      </c>
      <c r="F59" s="2266">
        <v>0.54500000000000004</v>
      </c>
      <c r="G59" s="2249">
        <f>G58/RevBuild!G8</f>
        <v>0.53106883365200774</v>
      </c>
      <c r="H59" s="2245"/>
      <c r="I59" s="2265">
        <v>0.51600000000000001</v>
      </c>
      <c r="J59" s="2266">
        <v>0.51700000000000002</v>
      </c>
      <c r="K59" s="2266">
        <v>0.53500000000000003</v>
      </c>
      <c r="L59" s="2266">
        <v>0.55300000000000005</v>
      </c>
      <c r="M59" s="2249">
        <f>M58/RevBuild!M8</f>
        <v>0.53095071542130368</v>
      </c>
      <c r="N59" s="2245"/>
      <c r="O59" s="2260">
        <v>0.54300000000000004</v>
      </c>
      <c r="P59" s="2261">
        <v>0.53400000000000003</v>
      </c>
      <c r="Q59" s="2261">
        <v>0.51900000000000002</v>
      </c>
      <c r="R59" s="2261">
        <v>0.53500000000000003</v>
      </c>
      <c r="S59" s="2249">
        <f>S58/RevBuild!S8</f>
        <v>0.53301923076923086</v>
      </c>
      <c r="T59" s="2250"/>
      <c r="U59" s="2260">
        <v>0.54</v>
      </c>
      <c r="V59" s="2261">
        <v>0.53500000000000003</v>
      </c>
      <c r="W59" s="2261">
        <v>0.52800000000000002</v>
      </c>
      <c r="X59" s="2261">
        <v>0.501</v>
      </c>
      <c r="Y59" s="2249">
        <f>Y58/RevBuild!Y8</f>
        <v>0.52416313213703103</v>
      </c>
      <c r="Z59" s="2250"/>
      <c r="AA59" s="2260">
        <v>0.52100000000000002</v>
      </c>
      <c r="AB59" s="2261">
        <v>0.504</v>
      </c>
      <c r="AC59" s="2261">
        <v>0.498</v>
      </c>
      <c r="AD59" s="2261">
        <v>0.495</v>
      </c>
      <c r="AE59" s="2249">
        <f>AE58/RevBuild!AE8</f>
        <v>0.50388778877887797</v>
      </c>
      <c r="AF59" s="2267"/>
      <c r="AG59" s="2260">
        <v>0.50900000000000001</v>
      </c>
      <c r="AH59" s="2261">
        <v>0.48899999999999999</v>
      </c>
      <c r="AI59" s="2261">
        <v>0.505</v>
      </c>
      <c r="AJ59" s="2261">
        <v>0.5</v>
      </c>
      <c r="AK59" s="2249">
        <f>AK58/RevBuild!AK8</f>
        <v>0.50073640960809107</v>
      </c>
      <c r="AL59" s="2267"/>
      <c r="AM59" s="2260">
        <v>0.51900000000000002</v>
      </c>
      <c r="AN59" s="2261">
        <v>0.50790000000000002</v>
      </c>
      <c r="AO59" s="2261">
        <v>0.51200000000000001</v>
      </c>
      <c r="AP59" s="2257"/>
      <c r="AQ59" s="2249">
        <f>AQ58/RevBuild!AQ8</f>
        <v>0.38043642325717275</v>
      </c>
      <c r="AR59" s="2267"/>
      <c r="AS59" s="2256"/>
      <c r="AT59" s="2257"/>
      <c r="AU59" s="2257"/>
      <c r="AV59" s="2257"/>
      <c r="AW59" s="2249"/>
      <c r="AX59" s="2267"/>
      <c r="AY59" s="2256"/>
      <c r="AZ59" s="2257"/>
      <c r="BA59" s="2257"/>
      <c r="BB59" s="2257"/>
      <c r="BC59" s="2249"/>
      <c r="BD59" s="2267"/>
      <c r="BE59" s="2256"/>
      <c r="BF59" s="2257"/>
      <c r="BG59" s="2257"/>
      <c r="BH59" s="2257"/>
      <c r="BI59" s="2249"/>
      <c r="BJ59" s="2267"/>
      <c r="BK59" s="2256"/>
      <c r="BL59" s="2257"/>
      <c r="BM59" s="2257"/>
      <c r="BN59" s="2257"/>
      <c r="BO59" s="2249"/>
      <c r="BP59" s="2267"/>
      <c r="BQ59" s="2256"/>
      <c r="BR59" s="2257"/>
      <c r="BS59" s="2257"/>
      <c r="BT59" s="2257"/>
      <c r="BU59" s="2249"/>
      <c r="BV59" s="2267"/>
      <c r="BW59" s="2256"/>
      <c r="BX59" s="2257"/>
      <c r="BY59" s="2257"/>
      <c r="BZ59" s="2257"/>
      <c r="CA59" s="2249"/>
      <c r="CB59" s="2248"/>
      <c r="CC59" s="2256"/>
      <c r="CD59" s="2257"/>
      <c r="CE59" s="2257"/>
      <c r="CF59" s="2257"/>
      <c r="CG59" s="2249"/>
      <c r="CH59" s="152"/>
      <c r="CI59" s="2256"/>
      <c r="CJ59" s="2257"/>
      <c r="CK59" s="2257"/>
      <c r="CL59" s="2257"/>
      <c r="CM59" s="2249"/>
      <c r="CN59" s="152"/>
      <c r="CO59" s="152"/>
      <c r="CP59" s="142"/>
      <c r="CQ59"/>
      <c r="CR59"/>
      <c r="CS59"/>
      <c r="CT59"/>
      <c r="CU59"/>
      <c r="CV59"/>
      <c r="CW59" s="176"/>
    </row>
    <row r="60" spans="1:101" s="149" customFormat="1" ht="12.75" hidden="1" customHeight="1" outlineLevel="2">
      <c r="A60" s="2237" t="s">
        <v>99</v>
      </c>
      <c r="B60" s="2245"/>
      <c r="C60" s="2254"/>
      <c r="D60" s="2241"/>
      <c r="E60" s="2241"/>
      <c r="F60" s="2241"/>
      <c r="G60" s="2253"/>
      <c r="H60" s="2245"/>
      <c r="I60" s="2254"/>
      <c r="J60" s="2241"/>
      <c r="K60" s="2241"/>
      <c r="L60" s="2241"/>
      <c r="M60" s="2253"/>
      <c r="N60" s="2245"/>
      <c r="O60" s="2254">
        <f>RevBuild!O9*O61</f>
        <v>30.132000000000001</v>
      </c>
      <c r="P60" s="2241">
        <f>RevBuild!P9*P61</f>
        <v>36.417000000000002</v>
      </c>
      <c r="Q60" s="2241">
        <f>RevBuild!Q9*Q61</f>
        <v>33.814</v>
      </c>
      <c r="R60" s="2241">
        <f>RevBuild!R9*R61</f>
        <v>33.872</v>
      </c>
      <c r="S60" s="2253">
        <f>SUM(O60:R60)</f>
        <v>134.23500000000001</v>
      </c>
      <c r="T60" s="2250"/>
      <c r="U60" s="2254">
        <f>RevBuild!U9*U61</f>
        <v>35.091999999999999</v>
      </c>
      <c r="V60" s="2241">
        <f>RevBuild!V9*V61</f>
        <v>40.735999999999997</v>
      </c>
      <c r="W60" s="2241">
        <f>RevBuild!W9*W61</f>
        <v>35.64</v>
      </c>
      <c r="X60" s="2241">
        <f>RevBuild!X9*X61</f>
        <v>37.119999999999997</v>
      </c>
      <c r="Y60" s="2253">
        <f>SUM(U60:X60)</f>
        <v>148.58799999999999</v>
      </c>
      <c r="Z60" s="2250"/>
      <c r="AA60" s="2254">
        <f>RevBuild!AA9*AA61</f>
        <v>39.402000000000001</v>
      </c>
      <c r="AB60" s="2241">
        <f>RevBuild!AB9*AB61</f>
        <v>44.496000000000002</v>
      </c>
      <c r="AC60" s="2241">
        <f>RevBuild!AC9*AC61</f>
        <v>41.44</v>
      </c>
      <c r="AD60" s="2241">
        <f>RevBuild!AD9*AD61</f>
        <v>43.607999999999997</v>
      </c>
      <c r="AE60" s="2253">
        <f>SUM(AA60:AD60)</f>
        <v>168.946</v>
      </c>
      <c r="AF60" s="2267"/>
      <c r="AG60" s="2254">
        <f>RevBuild!AG9*AG61</f>
        <v>41.316000000000003</v>
      </c>
      <c r="AH60" s="2241">
        <f>RevBuild!AH9*AH61</f>
        <v>48.322000000000003</v>
      </c>
      <c r="AI60" s="2241">
        <f>RevBuild!AI9*AI61</f>
        <v>64.447999999999993</v>
      </c>
      <c r="AJ60" s="2241">
        <f>RevBuild!AJ9*AJ61</f>
        <v>98.903999999999996</v>
      </c>
      <c r="AK60" s="2253">
        <f>SUM(AG60:AJ60)</f>
        <v>252.99</v>
      </c>
      <c r="AL60" s="2267"/>
      <c r="AM60" s="2254">
        <f>RevBuild!AM9*AM61</f>
        <v>98.614999999999995</v>
      </c>
      <c r="AN60" s="2241">
        <f>RevBuild!AN9*AN61</f>
        <v>103.83299999999998</v>
      </c>
      <c r="AO60" s="2241">
        <f>RevBuild!AO9*AO61</f>
        <v>96.821999999999989</v>
      </c>
      <c r="AP60" s="2241"/>
      <c r="AQ60" s="2253">
        <f>SUM(AM60:AP60)</f>
        <v>299.27</v>
      </c>
      <c r="AR60" s="2267"/>
      <c r="AS60" s="2256"/>
      <c r="AT60" s="2257"/>
      <c r="AU60" s="2257"/>
      <c r="AV60" s="2257"/>
      <c r="AW60" s="2249"/>
      <c r="AX60" s="2267"/>
      <c r="AY60" s="2256"/>
      <c r="AZ60" s="2257"/>
      <c r="BA60" s="2257"/>
      <c r="BB60" s="2257"/>
      <c r="BC60" s="2249"/>
      <c r="BD60" s="2267"/>
      <c r="BE60" s="2256"/>
      <c r="BF60" s="2257"/>
      <c r="BG60" s="2257"/>
      <c r="BH60" s="2257"/>
      <c r="BI60" s="2249"/>
      <c r="BJ60" s="2267"/>
      <c r="BK60" s="2256"/>
      <c r="BL60" s="2257"/>
      <c r="BM60" s="2257"/>
      <c r="BN60" s="2257"/>
      <c r="BO60" s="2249"/>
      <c r="BP60" s="2267"/>
      <c r="BQ60" s="2256"/>
      <c r="BR60" s="2257"/>
      <c r="BS60" s="2257"/>
      <c r="BT60" s="2257"/>
      <c r="BU60" s="2249"/>
      <c r="BV60" s="2267"/>
      <c r="BW60" s="2256"/>
      <c r="BX60" s="2257"/>
      <c r="BY60" s="2257"/>
      <c r="BZ60" s="2257"/>
      <c r="CA60" s="2249"/>
      <c r="CB60" s="2248"/>
      <c r="CC60" s="2256"/>
      <c r="CD60" s="2257"/>
      <c r="CE60" s="2257"/>
      <c r="CF60" s="2257"/>
      <c r="CG60" s="2249"/>
      <c r="CH60" s="152"/>
      <c r="CI60" s="2256"/>
      <c r="CJ60" s="2257"/>
      <c r="CK60" s="2257"/>
      <c r="CL60" s="2257"/>
      <c r="CM60" s="2249"/>
      <c r="CN60" s="152"/>
      <c r="CO60" s="152"/>
      <c r="CP60" s="142"/>
      <c r="CQ60"/>
      <c r="CR60"/>
      <c r="CS60"/>
      <c r="CT60"/>
      <c r="CU60"/>
      <c r="CV60"/>
      <c r="CW60" s="176"/>
    </row>
    <row r="61" spans="1:101" s="149" customFormat="1" ht="12.75" hidden="1" customHeight="1" outlineLevel="2">
      <c r="A61" s="2244" t="s">
        <v>100</v>
      </c>
      <c r="B61" s="2245"/>
      <c r="C61" s="2255"/>
      <c r="D61" s="2248"/>
      <c r="E61" s="2248"/>
      <c r="F61" s="2248"/>
      <c r="G61" s="2249"/>
      <c r="H61" s="2245"/>
      <c r="I61" s="2255"/>
      <c r="J61" s="2248"/>
      <c r="K61" s="2248"/>
      <c r="L61" s="2248"/>
      <c r="M61" s="2249"/>
      <c r="N61" s="2245"/>
      <c r="O61" s="2260">
        <v>0.55800000000000005</v>
      </c>
      <c r="P61" s="2261">
        <v>0.59699999999999998</v>
      </c>
      <c r="Q61" s="2261">
        <v>0.58299999999999996</v>
      </c>
      <c r="R61" s="2261">
        <v>0.58399999999999996</v>
      </c>
      <c r="S61" s="2249">
        <f>S60/RevBuild!S9</f>
        <v>0.58110389610389612</v>
      </c>
      <c r="T61" s="2250"/>
      <c r="U61" s="2260">
        <v>0.56599999999999995</v>
      </c>
      <c r="V61" s="2261">
        <v>0.60799999999999998</v>
      </c>
      <c r="W61" s="2261">
        <v>0.59399999999999997</v>
      </c>
      <c r="X61" s="2261">
        <v>0.57999999999999996</v>
      </c>
      <c r="Y61" s="2249">
        <f>Y60/RevBuild!Y9</f>
        <v>0.58730434782608698</v>
      </c>
      <c r="Z61" s="2250"/>
      <c r="AA61" s="2260">
        <v>0.59699999999999998</v>
      </c>
      <c r="AB61" s="2261">
        <v>0.61799999999999999</v>
      </c>
      <c r="AC61" s="2261">
        <v>0.59199999999999997</v>
      </c>
      <c r="AD61" s="2261">
        <v>0.63200000000000001</v>
      </c>
      <c r="AE61" s="2249">
        <f>AE60/RevBuild!AE9</f>
        <v>0.60991335740072206</v>
      </c>
      <c r="AF61" s="2267"/>
      <c r="AG61" s="2260">
        <v>0.626</v>
      </c>
      <c r="AH61" s="2261">
        <v>0.65300000000000002</v>
      </c>
      <c r="AI61" s="2261">
        <v>0.60799999999999998</v>
      </c>
      <c r="AJ61" s="2261">
        <v>0.63400000000000001</v>
      </c>
      <c r="AK61" s="2249">
        <f>AK60/RevBuild!AK9</f>
        <v>0.62932835820895527</v>
      </c>
      <c r="AL61" s="2267"/>
      <c r="AM61" s="2260">
        <v>0.60499999999999998</v>
      </c>
      <c r="AN61" s="2261">
        <v>0.62549999999999994</v>
      </c>
      <c r="AO61" s="2261">
        <v>0.59399999999999997</v>
      </c>
      <c r="AP61" s="2257"/>
      <c r="AQ61" s="2249">
        <f>AQ60/RevBuild!AQ9</f>
        <v>0.44495936146280402</v>
      </c>
      <c r="AR61" s="2267"/>
      <c r="AS61" s="2256"/>
      <c r="AT61" s="2257"/>
      <c r="AU61" s="2257"/>
      <c r="AV61" s="2257"/>
      <c r="AW61" s="2249"/>
      <c r="AX61" s="2267"/>
      <c r="AY61" s="2256"/>
      <c r="AZ61" s="2257"/>
      <c r="BA61" s="2257"/>
      <c r="BB61" s="2257"/>
      <c r="BC61" s="2249"/>
      <c r="BD61" s="2267"/>
      <c r="BE61" s="2256"/>
      <c r="BF61" s="2257"/>
      <c r="BG61" s="2257"/>
      <c r="BH61" s="2257"/>
      <c r="BI61" s="2249"/>
      <c r="BJ61" s="2267"/>
      <c r="BK61" s="2256"/>
      <c r="BL61" s="2257"/>
      <c r="BM61" s="2257"/>
      <c r="BN61" s="2257"/>
      <c r="BO61" s="2249"/>
      <c r="BP61" s="2267"/>
      <c r="BQ61" s="2256"/>
      <c r="BR61" s="2257"/>
      <c r="BS61" s="2257"/>
      <c r="BT61" s="2257"/>
      <c r="BU61" s="2249"/>
      <c r="BV61" s="2267"/>
      <c r="BW61" s="2256"/>
      <c r="BX61" s="2257"/>
      <c r="BY61" s="2257"/>
      <c r="BZ61" s="2257"/>
      <c r="CA61" s="2249"/>
      <c r="CB61" s="2248"/>
      <c r="CC61" s="2256"/>
      <c r="CD61" s="2257"/>
      <c r="CE61" s="2257"/>
      <c r="CF61" s="2257"/>
      <c r="CG61" s="2249"/>
      <c r="CH61" s="152"/>
      <c r="CI61" s="2256"/>
      <c r="CJ61" s="2257"/>
      <c r="CK61" s="2257"/>
      <c r="CL61" s="2257"/>
      <c r="CM61" s="2249"/>
      <c r="CN61" s="152"/>
      <c r="CO61" s="152"/>
      <c r="CP61" s="142"/>
      <c r="CQ61"/>
      <c r="CR61"/>
      <c r="CS61"/>
      <c r="CT61"/>
      <c r="CU61"/>
      <c r="CV61"/>
      <c r="CW61" s="142"/>
    </row>
    <row r="62" spans="1:101" s="149" customFormat="1" ht="12.75" hidden="1" customHeight="1" outlineLevel="2">
      <c r="A62" s="2237" t="s">
        <v>101</v>
      </c>
      <c r="B62" s="2238"/>
      <c r="C62" s="2239">
        <f>RevBuild!C10*C63</f>
        <v>109.265</v>
      </c>
      <c r="D62" s="2241">
        <f>RevBuild!D10*D63</f>
        <v>93.879000000000005</v>
      </c>
      <c r="E62" s="2241">
        <f>RevBuild!E10*E63</f>
        <v>116.47200000000001</v>
      </c>
      <c r="F62" s="2241">
        <f>RevBuild!F10*F63</f>
        <v>127.28100000000001</v>
      </c>
      <c r="G62" s="2242">
        <f>SUM(C62:F62)</f>
        <v>446.89699999999999</v>
      </c>
      <c r="H62" s="2238"/>
      <c r="I62" s="2239">
        <f>RevBuild!I10*I63</f>
        <v>121.95</v>
      </c>
      <c r="J62" s="2241">
        <f>RevBuild!J10*J63</f>
        <v>122.664</v>
      </c>
      <c r="K62" s="2241">
        <f>RevBuild!K10*K63</f>
        <v>126.90400000000001</v>
      </c>
      <c r="L62" s="2241">
        <f>RevBuild!L10*L63</f>
        <v>141.12</v>
      </c>
      <c r="M62" s="2242">
        <f>SUM(I62:L62)</f>
        <v>512.63800000000003</v>
      </c>
      <c r="N62" s="2238"/>
      <c r="O62" s="2239">
        <f>RevBuild!O10*O63</f>
        <v>119.01600000000001</v>
      </c>
      <c r="P62" s="2241">
        <f>RevBuild!P10*P63</f>
        <v>106.60000000000001</v>
      </c>
      <c r="Q62" s="2241">
        <f>RevBuild!Q10*Q63</f>
        <v>109.21400000000001</v>
      </c>
      <c r="R62" s="2241">
        <f>RevBuild!R10*R63</f>
        <v>123.97500000000001</v>
      </c>
      <c r="S62" s="2242">
        <f>SUM(O62:R62)</f>
        <v>458.80500000000006</v>
      </c>
      <c r="T62" s="2241"/>
      <c r="U62" s="2239">
        <f>RevBuild!U10*U63</f>
        <v>134.44400000000002</v>
      </c>
      <c r="V62" s="2241">
        <f>RevBuild!V10*V63</f>
        <v>128.52000000000001</v>
      </c>
      <c r="W62" s="2241">
        <f>RevBuild!W10*W63</f>
        <v>174.37</v>
      </c>
      <c r="X62" s="2241">
        <f>RevBuild!X10*X63</f>
        <v>206.17000000000002</v>
      </c>
      <c r="Y62" s="2242">
        <f>SUM(U62:X62)</f>
        <v>643.50400000000013</v>
      </c>
      <c r="Z62" s="2241"/>
      <c r="AA62" s="2239">
        <f>RevBuild!AA10*AA63</f>
        <v>178.339</v>
      </c>
      <c r="AB62" s="2241">
        <f>RevBuild!AB10*AB63</f>
        <v>191.643</v>
      </c>
      <c r="AC62" s="2241">
        <f>RevBuild!AC10*AC63</f>
        <v>194.18100000000001</v>
      </c>
      <c r="AD62" s="2241">
        <f>RevBuild!AD10*AD63</f>
        <v>211.005</v>
      </c>
      <c r="AE62" s="2242">
        <f>SUM(AA62:AD62)</f>
        <v>775.16800000000001</v>
      </c>
      <c r="AF62" s="2259"/>
      <c r="AG62" s="2239">
        <f>RevBuild!AG10*AG63</f>
        <v>205.92000000000002</v>
      </c>
      <c r="AH62" s="2241">
        <f>RevBuild!AH10*AH63</f>
        <v>197.10400000000001</v>
      </c>
      <c r="AI62" s="2241">
        <f>RevBuild!AI10*AI63</f>
        <v>190.881</v>
      </c>
      <c r="AJ62" s="2241">
        <f>RevBuild!AJ10*AJ63</f>
        <v>208.42600000000002</v>
      </c>
      <c r="AK62" s="2242">
        <f>SUM(AG62:AJ62)</f>
        <v>802.33100000000002</v>
      </c>
      <c r="AL62" s="2259"/>
      <c r="AM62" s="2239">
        <f>RevBuild!AM10*AM63</f>
        <v>201.72800000000001</v>
      </c>
      <c r="AN62" s="2241">
        <f>RevBuild!AN10*AN63</f>
        <v>205.91349999999997</v>
      </c>
      <c r="AO62" s="2241">
        <f>RevBuild!AO10*AO63</f>
        <v>197.37</v>
      </c>
      <c r="AP62" s="2241">
        <f>RevBuild!AP10*AP63</f>
        <v>217.94800000000001</v>
      </c>
      <c r="AQ62" s="2242">
        <f>SUM(AM62:AP62)</f>
        <v>822.95949999999993</v>
      </c>
      <c r="AR62" s="2259"/>
      <c r="AS62" s="2254">
        <f>RevBuild!AS10*AS63</f>
        <v>217.25700000000001</v>
      </c>
      <c r="AT62" s="2241">
        <f>RevBuild!AT10*AT63</f>
        <v>215.77500000000001</v>
      </c>
      <c r="AU62" s="2241">
        <f>RevBuild!AU10*AU63</f>
        <v>219.75900000000001</v>
      </c>
      <c r="AV62" s="2241">
        <f>RevBuild!AV10*AV63</f>
        <v>229.292</v>
      </c>
      <c r="AW62" s="2242">
        <f>SUM(AS62:AV62)</f>
        <v>882.08300000000008</v>
      </c>
      <c r="AX62" s="2259"/>
      <c r="AY62" s="2254"/>
      <c r="AZ62" s="2241"/>
      <c r="BA62" s="2241"/>
      <c r="BB62" s="2241"/>
      <c r="BC62" s="2242"/>
      <c r="BD62" s="2259"/>
      <c r="BE62" s="2254"/>
      <c r="BF62" s="2241"/>
      <c r="BG62" s="2241"/>
      <c r="BH62" s="2241"/>
      <c r="BI62" s="2242"/>
      <c r="BJ62" s="2259"/>
      <c r="BK62" s="2254"/>
      <c r="BL62" s="2241"/>
      <c r="BM62" s="2241"/>
      <c r="BN62" s="2241"/>
      <c r="BO62" s="2242"/>
      <c r="BP62" s="2259"/>
      <c r="BQ62" s="2254"/>
      <c r="BR62" s="2241"/>
      <c r="BS62" s="2241"/>
      <c r="BT62" s="2241"/>
      <c r="BU62" s="2242"/>
      <c r="BV62" s="2259"/>
      <c r="BW62" s="2254"/>
      <c r="BX62" s="2241"/>
      <c r="BY62" s="2241"/>
      <c r="BZ62" s="2241"/>
      <c r="CA62" s="2242"/>
      <c r="CB62" s="2241"/>
      <c r="CC62" s="2254"/>
      <c r="CD62" s="2241"/>
      <c r="CE62" s="2241"/>
      <c r="CF62" s="2241"/>
      <c r="CG62" s="2242"/>
      <c r="CI62" s="2254"/>
      <c r="CJ62" s="2241"/>
      <c r="CK62" s="2241"/>
      <c r="CL62" s="2241"/>
      <c r="CM62" s="2242"/>
      <c r="CQ62"/>
      <c r="CR62"/>
      <c r="CS62"/>
      <c r="CT62"/>
      <c r="CU62"/>
      <c r="CV62"/>
    </row>
    <row r="63" spans="1:101" s="149" customFormat="1" ht="12.75" hidden="1" customHeight="1" outlineLevel="2">
      <c r="A63" s="2244" t="s">
        <v>102</v>
      </c>
      <c r="B63" s="2245"/>
      <c r="C63" s="2260">
        <v>0.53300000000000003</v>
      </c>
      <c r="D63" s="2261">
        <v>0.51300000000000001</v>
      </c>
      <c r="E63" s="2261">
        <v>0.55200000000000005</v>
      </c>
      <c r="F63" s="2261">
        <v>0.55100000000000005</v>
      </c>
      <c r="G63" s="2268">
        <v>0.53843012048192773</v>
      </c>
      <c r="H63" s="2269"/>
      <c r="I63" s="2260">
        <v>0.54200000000000004</v>
      </c>
      <c r="J63" s="2261">
        <v>0.53800000000000003</v>
      </c>
      <c r="K63" s="2261">
        <v>0.54700000000000004</v>
      </c>
      <c r="L63" s="2261">
        <v>0.56000000000000005</v>
      </c>
      <c r="M63" s="2249">
        <f>M62/RevBuild!M10</f>
        <v>0.54710565635005337</v>
      </c>
      <c r="N63" s="2245"/>
      <c r="O63" s="2260">
        <v>0.55100000000000005</v>
      </c>
      <c r="P63" s="2261">
        <v>0.53300000000000003</v>
      </c>
      <c r="Q63" s="2261">
        <v>0.53800000000000003</v>
      </c>
      <c r="R63" s="2261">
        <v>0.55100000000000005</v>
      </c>
      <c r="S63" s="2249">
        <f>S62/RevBuild!S10</f>
        <v>0.54360781990521334</v>
      </c>
      <c r="T63" s="2250"/>
      <c r="U63" s="2260">
        <v>0.55100000000000005</v>
      </c>
      <c r="V63" s="2261">
        <v>0.54</v>
      </c>
      <c r="W63" s="2261">
        <v>0.53</v>
      </c>
      <c r="X63" s="2261">
        <v>0.53</v>
      </c>
      <c r="Y63" s="2249">
        <f>Y62/RevBuild!Y10</f>
        <v>0.53625333333333347</v>
      </c>
      <c r="Z63" s="2250"/>
      <c r="AA63" s="2260">
        <v>0.51100000000000001</v>
      </c>
      <c r="AB63" s="2261">
        <v>0.503</v>
      </c>
      <c r="AC63" s="2261">
        <v>0.50700000000000001</v>
      </c>
      <c r="AD63" s="2261">
        <v>0.52100000000000002</v>
      </c>
      <c r="AE63" s="2249">
        <f>AE62/RevBuild!AE10</f>
        <v>0.51065085638998686</v>
      </c>
      <c r="AF63" s="2267"/>
      <c r="AG63" s="2260">
        <v>0.52</v>
      </c>
      <c r="AH63" s="2261">
        <v>0.50800000000000001</v>
      </c>
      <c r="AI63" s="2261">
        <v>0.501</v>
      </c>
      <c r="AJ63" s="2261">
        <v>0.52900000000000003</v>
      </c>
      <c r="AK63" s="2249">
        <f>AK62/RevBuild!AK10</f>
        <v>0.51464464400256571</v>
      </c>
      <c r="AL63" s="2267"/>
      <c r="AM63" s="2260">
        <v>0.51200000000000001</v>
      </c>
      <c r="AN63" s="2261">
        <v>0.51349999999999996</v>
      </c>
      <c r="AO63" s="2261">
        <v>0.51</v>
      </c>
      <c r="AP63" s="2261">
        <v>0.52900000000000003</v>
      </c>
      <c r="AQ63" s="2249">
        <f>AQ62/RevBuild!AQ10</f>
        <v>0.51628575909661223</v>
      </c>
      <c r="AR63" s="2267"/>
      <c r="AS63" s="2260">
        <v>0.52100000000000002</v>
      </c>
      <c r="AT63" s="2261">
        <v>0.52500000000000002</v>
      </c>
      <c r="AU63" s="2261">
        <v>0.52700000000000002</v>
      </c>
      <c r="AV63" s="2261">
        <v>0.53200000000000003</v>
      </c>
      <c r="AW63" s="2249">
        <f>AW62/RevBuild!AW10</f>
        <v>0.52630250596658712</v>
      </c>
      <c r="AX63" s="2267"/>
      <c r="AY63" s="2256"/>
      <c r="AZ63" s="2257"/>
      <c r="BA63" s="2257"/>
      <c r="BB63" s="2257"/>
      <c r="BC63" s="2249"/>
      <c r="BD63" s="2267"/>
      <c r="BE63" s="2256"/>
      <c r="BF63" s="2257"/>
      <c r="BG63" s="2257"/>
      <c r="BH63" s="2257"/>
      <c r="BI63" s="2249"/>
      <c r="BJ63" s="2267"/>
      <c r="BK63" s="2256"/>
      <c r="BL63" s="2257"/>
      <c r="BM63" s="2257"/>
      <c r="BN63" s="2257"/>
      <c r="BO63" s="2249"/>
      <c r="BP63" s="2267"/>
      <c r="BQ63" s="2256"/>
      <c r="BR63" s="2257"/>
      <c r="BS63" s="2257"/>
      <c r="BT63" s="2257"/>
      <c r="BU63" s="2249"/>
      <c r="BV63" s="2267"/>
      <c r="BW63" s="2256"/>
      <c r="BX63" s="2257"/>
      <c r="BY63" s="2257"/>
      <c r="BZ63" s="2257"/>
      <c r="CA63" s="2249"/>
      <c r="CB63" s="2248"/>
      <c r="CC63" s="2256"/>
      <c r="CD63" s="2257"/>
      <c r="CE63" s="2257"/>
      <c r="CF63" s="2257"/>
      <c r="CG63" s="2249"/>
      <c r="CH63" s="152"/>
      <c r="CI63" s="2256"/>
      <c r="CJ63" s="2257"/>
      <c r="CK63" s="2257"/>
      <c r="CL63" s="2257"/>
      <c r="CM63" s="2249"/>
      <c r="CN63" s="152"/>
      <c r="CO63" s="152"/>
      <c r="CP63" s="142"/>
      <c r="CQ63"/>
      <c r="CR63"/>
      <c r="CS63"/>
      <c r="CT63"/>
      <c r="CU63"/>
      <c r="CV63"/>
      <c r="CW63" s="142"/>
    </row>
    <row r="64" spans="1:101" s="149" customFormat="1" ht="12.75" hidden="1" customHeight="1" outlineLevel="2">
      <c r="A64" s="2237" t="s">
        <v>103</v>
      </c>
      <c r="B64" s="2245"/>
      <c r="C64" s="2254"/>
      <c r="D64" s="2252"/>
      <c r="E64" s="2252"/>
      <c r="F64" s="2252"/>
      <c r="G64" s="2253"/>
      <c r="H64" s="2245"/>
      <c r="I64" s="2254"/>
      <c r="J64" s="2252"/>
      <c r="K64" s="2252"/>
      <c r="L64" s="2252"/>
      <c r="M64" s="2253"/>
      <c r="N64" s="2245"/>
      <c r="O64" s="2254">
        <f>+O60+O58</f>
        <v>168.59700000000001</v>
      </c>
      <c r="P64" s="2252">
        <f>+P60+P58</f>
        <v>162.97500000000002</v>
      </c>
      <c r="Q64" s="2252">
        <f>+Q60+Q58</f>
        <v>155.779</v>
      </c>
      <c r="R64" s="2252">
        <f>+R60+R58</f>
        <v>173.50700000000001</v>
      </c>
      <c r="S64" s="2253">
        <f>+S60+S58</f>
        <v>660.85800000000006</v>
      </c>
      <c r="T64" s="2250"/>
      <c r="U64" s="2254">
        <f>+U60+U58</f>
        <v>185.21199999999999</v>
      </c>
      <c r="V64" s="2252">
        <f>+V60+V58</f>
        <v>183.58099999999999</v>
      </c>
      <c r="W64" s="2252">
        <f>+W60+W58</f>
        <v>201.43200000000002</v>
      </c>
      <c r="X64" s="2252">
        <f>+X60+X58</f>
        <v>220.98699999999999</v>
      </c>
      <c r="Y64" s="2253">
        <f>+Y60+Y58</f>
        <v>791.21199999999999</v>
      </c>
      <c r="Z64" s="2250"/>
      <c r="AA64" s="2254">
        <f>+AA60+AA58</f>
        <v>215.5</v>
      </c>
      <c r="AB64" s="2252">
        <f>+AB60+AB58</f>
        <v>242.06400000000002</v>
      </c>
      <c r="AC64" s="2252">
        <f>+AC60+AC58</f>
        <v>232.17400000000001</v>
      </c>
      <c r="AD64" s="2252">
        <f>+AD60+AD58</f>
        <v>242.59800000000001</v>
      </c>
      <c r="AE64" s="2253">
        <f>+AE60+AE58</f>
        <v>932.33600000000013</v>
      </c>
      <c r="AF64" s="2250"/>
      <c r="AG64" s="2254">
        <f>+AG60+AG58</f>
        <v>242.37100000000001</v>
      </c>
      <c r="AH64" s="2252">
        <f>+AH60+AH58</f>
        <v>241.477</v>
      </c>
      <c r="AI64" s="2252">
        <f>+AI60+AI58</f>
        <v>261.90300000000002</v>
      </c>
      <c r="AJ64" s="2252">
        <f>+AJ60+AJ58</f>
        <v>299.404</v>
      </c>
      <c r="AK64" s="2253">
        <f>+AK60+AK58</f>
        <v>1045.1550000000002</v>
      </c>
      <c r="AL64" s="2250"/>
      <c r="AM64" s="2254">
        <f>+AM60+AM58</f>
        <v>306.73399999999998</v>
      </c>
      <c r="AN64" s="2252">
        <f>+AN60+AN58</f>
        <v>309.53249999999997</v>
      </c>
      <c r="AO64" s="2252">
        <f>+AO60+AO58</f>
        <v>302.13400000000001</v>
      </c>
      <c r="AP64" s="2252">
        <f>RevBuild!AP11*AP65</f>
        <v>331.15100000000001</v>
      </c>
      <c r="AQ64" s="2253">
        <f>SUM(AM64:AP64)</f>
        <v>1249.5515</v>
      </c>
      <c r="AR64" s="2250"/>
      <c r="AS64" s="2251">
        <f>RevBuild!AS11*AS65</f>
        <v>328.00500000000005</v>
      </c>
      <c r="AT64" s="2252">
        <f>RevBuild!AT11*AT65</f>
        <v>306.964</v>
      </c>
      <c r="AU64" s="2252">
        <f>RevBuild!AU11*AU65</f>
        <v>317.31200000000001</v>
      </c>
      <c r="AV64" s="2252">
        <f>RevBuild!AV11*AV65</f>
        <v>331.70400000000001</v>
      </c>
      <c r="AW64" s="2253">
        <f>SUM(AS64:AV64)</f>
        <v>1283.9850000000001</v>
      </c>
      <c r="AX64" s="2250"/>
      <c r="AY64" s="2251"/>
      <c r="AZ64" s="2252"/>
      <c r="BA64" s="2252"/>
      <c r="BB64" s="2252"/>
      <c r="BC64" s="2253"/>
      <c r="BD64" s="2250"/>
      <c r="BE64" s="2251"/>
      <c r="BF64" s="2252"/>
      <c r="BG64" s="2252"/>
      <c r="BH64" s="2252"/>
      <c r="BI64" s="2253"/>
      <c r="BJ64" s="2250"/>
      <c r="BK64" s="2251"/>
      <c r="BL64" s="2252"/>
      <c r="BM64" s="2252"/>
      <c r="BN64" s="2252"/>
      <c r="BO64" s="2253"/>
      <c r="BP64" s="2250"/>
      <c r="BQ64" s="2251"/>
      <c r="BR64" s="2252"/>
      <c r="BS64" s="2252"/>
      <c r="BT64" s="2252"/>
      <c r="BU64" s="2253"/>
      <c r="BV64" s="2250"/>
      <c r="BW64" s="2251"/>
      <c r="BX64" s="2252"/>
      <c r="BY64" s="2252"/>
      <c r="BZ64" s="2252"/>
      <c r="CA64" s="2253"/>
      <c r="CB64" s="2252"/>
      <c r="CC64" s="2251"/>
      <c r="CD64" s="2252"/>
      <c r="CE64" s="2252"/>
      <c r="CF64" s="2252"/>
      <c r="CG64" s="2253"/>
      <c r="CH64" s="152"/>
      <c r="CI64" s="2251"/>
      <c r="CJ64" s="2252"/>
      <c r="CK64" s="2252"/>
      <c r="CL64" s="2252"/>
      <c r="CM64" s="2253"/>
      <c r="CN64" s="152"/>
      <c r="CO64" s="152"/>
      <c r="CP64" s="142"/>
      <c r="CQ64"/>
      <c r="CR64"/>
      <c r="CS64"/>
      <c r="CT64"/>
      <c r="CU64"/>
      <c r="CV64"/>
      <c r="CW64" s="142"/>
    </row>
    <row r="65" spans="1:101" s="149" customFormat="1" ht="12.75" hidden="1" customHeight="1" outlineLevel="2">
      <c r="A65" s="2244" t="s">
        <v>104</v>
      </c>
      <c r="B65" s="2245"/>
      <c r="C65" s="2255"/>
      <c r="D65" s="2248"/>
      <c r="E65" s="2248"/>
      <c r="F65" s="2248"/>
      <c r="G65" s="2249"/>
      <c r="H65" s="2245"/>
      <c r="I65" s="2255"/>
      <c r="J65" s="2248"/>
      <c r="K65" s="2248"/>
      <c r="L65" s="2248"/>
      <c r="M65" s="2249"/>
      <c r="N65" s="2245"/>
      <c r="O65" s="2255">
        <f>+O64/RevBuild!O11</f>
        <v>0.54562135922330102</v>
      </c>
      <c r="P65" s="2248">
        <f>+P64/RevBuild!P11</f>
        <v>0.54689597315436245</v>
      </c>
      <c r="Q65" s="2248">
        <f>+Q64/RevBuild!Q11</f>
        <v>0.53166894197952219</v>
      </c>
      <c r="R65" s="2248">
        <f>+R64/RevBuild!R11</f>
        <v>0.5439090909090909</v>
      </c>
      <c r="S65" s="2249">
        <f>+S64/RevBuild!S11</f>
        <v>0.54213125512715343</v>
      </c>
      <c r="T65" s="2250"/>
      <c r="U65" s="2255">
        <f>+U64/RevBuild!U11</f>
        <v>0.54474117647058817</v>
      </c>
      <c r="V65" s="2248">
        <f>+V64/RevBuild!V11</f>
        <v>0.54964371257485023</v>
      </c>
      <c r="W65" s="2248">
        <f>+W64/RevBuild!W11</f>
        <v>0.5385882352941177</v>
      </c>
      <c r="X65" s="2248">
        <f>+X64/RevBuild!X11</f>
        <v>0.5127308584686775</v>
      </c>
      <c r="Y65" s="2249">
        <f>+Y64/RevBuild!Y11</f>
        <v>0.53496416497633537</v>
      </c>
      <c r="Z65" s="2250"/>
      <c r="AA65" s="2255">
        <f>+AA64/RevBuild!AA11</f>
        <v>0.53341584158415845</v>
      </c>
      <c r="AB65" s="2248">
        <f>+AB64/RevBuild!AB11</f>
        <v>0.52168965517241384</v>
      </c>
      <c r="AC65" s="2248">
        <f>+AC64/RevBuild!AC11</f>
        <v>0.51252538631346578</v>
      </c>
      <c r="AD65" s="2248">
        <f>+AD64/RevBuild!AD11</f>
        <v>0.51507006369426755</v>
      </c>
      <c r="AE65" s="2249">
        <f>+AE64/RevBuild!AE11</f>
        <v>0.52027678571428582</v>
      </c>
      <c r="AF65" s="2250"/>
      <c r="AG65" s="2255">
        <f>+AG64/RevBuild!AG11</f>
        <v>0.52575054229934925</v>
      </c>
      <c r="AH65" s="2248">
        <f>+AH64/RevBuild!AH11</f>
        <v>0.51487633262260124</v>
      </c>
      <c r="AI65" s="2248">
        <f>+AI64/RevBuild!AI11</f>
        <v>0.52696780684104627</v>
      </c>
      <c r="AJ65" s="2248">
        <f>+AJ64/RevBuild!AJ11</f>
        <v>0.53752962298025131</v>
      </c>
      <c r="AK65" s="2249">
        <f>+AK64/RevBuild!AK11</f>
        <v>0.52679183467741941</v>
      </c>
      <c r="AL65" s="2250"/>
      <c r="AM65" s="2255">
        <f>+AM64/RevBuild!AM11</f>
        <v>0.54385460992907797</v>
      </c>
      <c r="AN65" s="2248">
        <f>+AN64/RevBuild!AN11</f>
        <v>0.54208844133099821</v>
      </c>
      <c r="AO65" s="2248">
        <f>+AO64/RevBuild!AO11</f>
        <v>0.53569858156028372</v>
      </c>
      <c r="AP65" s="2261">
        <v>0.55100000000000005</v>
      </c>
      <c r="AQ65" s="2249">
        <f>+AQ64/RevBuild!AQ11</f>
        <v>0.54328326086956524</v>
      </c>
      <c r="AR65" s="2250"/>
      <c r="AS65" s="2260">
        <v>0.55500000000000005</v>
      </c>
      <c r="AT65" s="2261">
        <v>0.53200000000000003</v>
      </c>
      <c r="AU65" s="2261">
        <v>0.53600000000000003</v>
      </c>
      <c r="AV65" s="2261">
        <v>0.54200000000000004</v>
      </c>
      <c r="AW65" s="2249">
        <f>+AW64/RevBuild!AW11</f>
        <v>0.54130902192242836</v>
      </c>
      <c r="AX65" s="2250"/>
      <c r="AY65" s="2270"/>
      <c r="AZ65" s="2271"/>
      <c r="BA65" s="2271"/>
      <c r="BB65" s="2271"/>
      <c r="BC65" s="2249"/>
      <c r="BD65" s="2250"/>
      <c r="BE65" s="2270"/>
      <c r="BF65" s="2271"/>
      <c r="BG65" s="2271"/>
      <c r="BH65" s="2271"/>
      <c r="BI65" s="2249"/>
      <c r="BJ65" s="2250"/>
      <c r="BK65" s="2270"/>
      <c r="BL65" s="2271"/>
      <c r="BM65" s="2271"/>
      <c r="BN65" s="2271"/>
      <c r="BO65" s="2249"/>
      <c r="BP65" s="2250"/>
      <c r="BQ65" s="2270"/>
      <c r="BR65" s="2271"/>
      <c r="BS65" s="2271"/>
      <c r="BT65" s="2271"/>
      <c r="BU65" s="2249"/>
      <c r="BV65" s="2250"/>
      <c r="BW65" s="2270"/>
      <c r="BX65" s="2271"/>
      <c r="BY65" s="2271"/>
      <c r="BZ65" s="2271"/>
      <c r="CA65" s="2249"/>
      <c r="CB65" s="2248"/>
      <c r="CC65" s="2270"/>
      <c r="CD65" s="2271"/>
      <c r="CE65" s="2271"/>
      <c r="CF65" s="2271"/>
      <c r="CG65" s="2249"/>
      <c r="CH65" s="152"/>
      <c r="CI65" s="2270"/>
      <c r="CJ65" s="2271"/>
      <c r="CK65" s="2271"/>
      <c r="CL65" s="2271"/>
      <c r="CM65" s="2249"/>
      <c r="CN65" s="152"/>
      <c r="CO65" s="152"/>
      <c r="CP65" s="142"/>
      <c r="CQ65"/>
      <c r="CR65"/>
      <c r="CS65"/>
      <c r="CT65"/>
      <c r="CU65"/>
      <c r="CV65"/>
      <c r="CW65" s="142"/>
    </row>
    <row r="66" spans="1:101" s="149" customFormat="1" outlineLevel="1" collapsed="1">
      <c r="A66" s="501" t="s">
        <v>105</v>
      </c>
      <c r="B66" s="150"/>
      <c r="C66" s="1318"/>
      <c r="D66" s="1985"/>
      <c r="E66" s="1985"/>
      <c r="F66" s="1985"/>
      <c r="G66" s="1986"/>
      <c r="H66" s="150"/>
      <c r="I66" s="1318"/>
      <c r="J66" s="1985"/>
      <c r="K66" s="1985"/>
      <c r="L66" s="1985"/>
      <c r="M66" s="1986"/>
      <c r="N66" s="150"/>
      <c r="O66" s="1318"/>
      <c r="P66" s="1985"/>
      <c r="Q66" s="1985"/>
      <c r="R66" s="1985"/>
      <c r="S66" s="1986"/>
      <c r="T66" s="151"/>
      <c r="U66" s="1318"/>
      <c r="V66" s="1985"/>
      <c r="W66" s="1985"/>
      <c r="X66" s="1985"/>
      <c r="Y66" s="1986"/>
      <c r="Z66" s="151"/>
      <c r="AA66" s="1318"/>
      <c r="AB66" s="1985"/>
      <c r="AC66" s="1985"/>
      <c r="AD66" s="1985"/>
      <c r="AE66" s="1986"/>
      <c r="AF66" s="151"/>
      <c r="AG66" s="1318">
        <f>RevBuild!AG12*IS!AG67</f>
        <v>280.73099999999999</v>
      </c>
      <c r="AH66" s="1985">
        <f>RevBuild!AH12*IS!AH67</f>
        <v>259.95600000000002</v>
      </c>
      <c r="AI66" s="1985">
        <f>RevBuild!AI12*IS!AI67</f>
        <v>258.91200000000003</v>
      </c>
      <c r="AJ66" s="1985">
        <f>RevBuild!AJ12*IS!AJ67</f>
        <v>280.83000000000004</v>
      </c>
      <c r="AK66" s="1986">
        <f>SUM(AG66:AJ66)</f>
        <v>1080.4290000000001</v>
      </c>
      <c r="AL66" s="151"/>
      <c r="AM66" s="1318">
        <f>RevBuild!AM12*IS!AM67</f>
        <v>276.96200000000005</v>
      </c>
      <c r="AN66" s="1985">
        <f>RevBuild!AN12*IS!AN67</f>
        <v>270.25600000000003</v>
      </c>
      <c r="AO66" s="1985">
        <f>RevBuild!AO12*IS!AO67</f>
        <v>257.214</v>
      </c>
      <c r="AP66" s="1985">
        <f>RevBuild!AP12*IS!AP67</f>
        <v>291.43100000000004</v>
      </c>
      <c r="AQ66" s="1986">
        <f>SUM(AM66:AP66)</f>
        <v>1095.8630000000001</v>
      </c>
      <c r="AR66" s="151"/>
      <c r="AS66" s="1987">
        <f>RevBuild!AS12*IS!AS67</f>
        <v>301.52550000000002</v>
      </c>
      <c r="AT66" s="1985">
        <f>RevBuild!AT12*IS!AT67</f>
        <v>269.28000000000003</v>
      </c>
      <c r="AU66" s="1985">
        <f>RevBuild!AU12*IS!AU67</f>
        <v>279.86400000000003</v>
      </c>
      <c r="AV66" s="1985">
        <f>RevBuild!AV12*IS!AV67</f>
        <v>307.76899999999995</v>
      </c>
      <c r="AW66" s="1986">
        <f>SUM(AS66:AV66)</f>
        <v>1158.4385</v>
      </c>
      <c r="AX66" s="151"/>
      <c r="AY66" s="1987">
        <f>RevBuild!AY12*IS!AY67</f>
        <v>306.59350000000001</v>
      </c>
      <c r="AZ66" s="1985">
        <f>RevBuild!AZ12*IS!AZ67</f>
        <v>265.35300000000001</v>
      </c>
      <c r="BA66" s="1985">
        <f>RevBuild!BA12*IS!BA67</f>
        <v>284.11600000000004</v>
      </c>
      <c r="BB66" s="1985">
        <f>RevBuild!BB12*IS!BB67</f>
        <v>293.03499999999997</v>
      </c>
      <c r="BC66" s="1986">
        <f>SUM(AY66:BB66)</f>
        <v>1149.0974999999999</v>
      </c>
      <c r="BD66" s="151"/>
      <c r="BE66" s="1987">
        <f>RevBuild!BE12*IS!BE67</f>
        <v>308.762</v>
      </c>
      <c r="BF66" s="1985">
        <f>RevBuild!BF12*IS!BF67</f>
        <v>289.57499999999999</v>
      </c>
      <c r="BG66" s="1985">
        <f>RevBuild!BG12*IS!BG67</f>
        <v>291.31199999999995</v>
      </c>
      <c r="BH66" s="1985">
        <f>RevBuild!BH12*IS!BH67</f>
        <v>325.512</v>
      </c>
      <c r="BI66" s="1986">
        <f>SUM(BE66:BH66)</f>
        <v>1215.1609999999998</v>
      </c>
      <c r="BJ66" s="151"/>
      <c r="BK66" s="1987">
        <f>RevBuild!BK12*IS!BK67</f>
        <v>321.83999999999997</v>
      </c>
      <c r="BL66" s="1985">
        <f>RevBuild!BL12*IS!BL67</f>
        <v>313.27699999999999</v>
      </c>
      <c r="BM66" s="1985">
        <f>RevBuild!BM12*IS!BM67</f>
        <v>317.00700000000001</v>
      </c>
      <c r="BN66" s="1985">
        <f>RevBuild!BN12*IS!BN67</f>
        <v>350.75</v>
      </c>
      <c r="BO66" s="1986">
        <f>SUM(BK66:BN66)</f>
        <v>1302.874</v>
      </c>
      <c r="BP66" s="151"/>
      <c r="BQ66" s="1987">
        <f>RevBuild!BQ12*IS!BQ67</f>
        <v>381.92399999999998</v>
      </c>
      <c r="BR66" s="1985">
        <f>RevBuild!BR12*IS!BR67</f>
        <v>360.88335599999994</v>
      </c>
      <c r="BS66" s="1985">
        <f>RevBuild!BS12*IS!BS67</f>
        <v>347.87954599999995</v>
      </c>
      <c r="BT66" s="1985">
        <f>RevBuild!BT12*IS!BT67</f>
        <v>380.50050000000005</v>
      </c>
      <c r="BU66" s="1986">
        <f>SUM(BQ66:BT66)</f>
        <v>1471.187402</v>
      </c>
      <c r="BV66" s="151"/>
      <c r="BW66" s="1987">
        <f>RevBuild!BW12*IS!BW67</f>
        <v>408.11484000000002</v>
      </c>
      <c r="BX66" s="1985">
        <f>RevBuild!BX12*IS!BX67</f>
        <v>385.70304905999996</v>
      </c>
      <c r="BY66" s="1985">
        <f>RevBuild!BY12*IS!BY67</f>
        <v>371.81504565999995</v>
      </c>
      <c r="BZ66" s="1985">
        <f>RevBuild!BZ12*IS!BZ67</f>
        <v>406.60964000000007</v>
      </c>
      <c r="CA66" s="1986">
        <f>SUM(BW66:BZ66)</f>
        <v>1572.24257472</v>
      </c>
      <c r="CB66" s="1985"/>
      <c r="CC66" s="1987">
        <f>RevBuild!CC12*IS!CC67</f>
        <v>423.05721480000005</v>
      </c>
      <c r="CD66" s="1985">
        <f>RevBuild!CD12*IS!CD67</f>
        <v>399.88349449259994</v>
      </c>
      <c r="CE66" s="1985">
        <f>RevBuild!CE12*IS!CE67</f>
        <v>385.49318399539999</v>
      </c>
      <c r="CF66" s="1985">
        <f>RevBuild!CF12*IS!CF67</f>
        <v>421.50991584000008</v>
      </c>
      <c r="CG66" s="1986">
        <f>SUM(CC66:CF66)</f>
        <v>1629.9438091280001</v>
      </c>
      <c r="CH66" s="152"/>
      <c r="CI66" s="1987">
        <f>RevBuild!CI12*IS!CI67</f>
        <v>437.83385436000009</v>
      </c>
      <c r="CJ66" s="1985">
        <f>RevBuild!CJ12*IS!CJ67</f>
        <v>413.89572526209594</v>
      </c>
      <c r="CK66" s="1985">
        <f>RevBuild!CK12*IS!CK67</f>
        <v>399.00752769618799</v>
      </c>
      <c r="CL66" s="1985">
        <f>RevBuild!CL12*IS!CL67</f>
        <v>436.24249799460006</v>
      </c>
      <c r="CM66" s="1986">
        <f>SUM(CI66:CL66)</f>
        <v>1686.9796053128839</v>
      </c>
      <c r="CN66" s="152"/>
      <c r="CO66" s="152"/>
      <c r="CP66" s="142"/>
      <c r="CQ66"/>
      <c r="CR66"/>
      <c r="CS66"/>
      <c r="CT66"/>
      <c r="CU66"/>
      <c r="CV66"/>
      <c r="CW66" s="142"/>
    </row>
    <row r="67" spans="1:101" s="149" customFormat="1" outlineLevel="1">
      <c r="A67" s="158" t="s">
        <v>106</v>
      </c>
      <c r="B67" s="150"/>
      <c r="C67" s="159"/>
      <c r="D67" s="156"/>
      <c r="E67" s="156"/>
      <c r="F67" s="156"/>
      <c r="G67" s="160"/>
      <c r="H67" s="150"/>
      <c r="I67" s="159"/>
      <c r="J67" s="156"/>
      <c r="K67" s="156"/>
      <c r="L67" s="156"/>
      <c r="M67" s="160"/>
      <c r="N67" s="150"/>
      <c r="O67" s="159"/>
      <c r="P67" s="156"/>
      <c r="Q67" s="156"/>
      <c r="R67" s="156"/>
      <c r="S67" s="160"/>
      <c r="T67" s="151"/>
      <c r="U67" s="159"/>
      <c r="V67" s="156"/>
      <c r="W67" s="156"/>
      <c r="X67" s="156"/>
      <c r="Y67" s="160"/>
      <c r="Z67" s="151"/>
      <c r="AA67" s="159"/>
      <c r="AB67" s="156"/>
      <c r="AC67" s="156"/>
      <c r="AD67" s="156"/>
      <c r="AE67" s="160"/>
      <c r="AF67" s="151"/>
      <c r="AG67" s="1577">
        <v>0.54300000000000004</v>
      </c>
      <c r="AH67" s="1578">
        <v>0.52200000000000002</v>
      </c>
      <c r="AI67" s="1578">
        <v>0.52200000000000002</v>
      </c>
      <c r="AJ67" s="1578">
        <v>0.55500000000000005</v>
      </c>
      <c r="AK67" s="160">
        <f>AK66/RevBuild!AK12</f>
        <v>0.53566137828458116</v>
      </c>
      <c r="AL67" s="151"/>
      <c r="AM67" s="1577">
        <v>0.54200000000000004</v>
      </c>
      <c r="AN67" s="1578">
        <v>0.53200000000000003</v>
      </c>
      <c r="AO67" s="1578">
        <v>0.52600000000000002</v>
      </c>
      <c r="AP67" s="1578">
        <v>0.55300000000000005</v>
      </c>
      <c r="AQ67" s="160">
        <f>AQ66/RevBuild!AQ12</f>
        <v>0.53850761670761671</v>
      </c>
      <c r="AR67" s="151"/>
      <c r="AS67" s="1577">
        <v>0.5615</v>
      </c>
      <c r="AT67" s="1578">
        <v>0.54400000000000004</v>
      </c>
      <c r="AU67" s="1578">
        <v>0.55200000000000005</v>
      </c>
      <c r="AV67" s="1578">
        <v>0.57099999999999995</v>
      </c>
      <c r="AW67" s="160">
        <f>AW66/RevBuild!AW12</f>
        <v>0.55747762271414825</v>
      </c>
      <c r="AX67" s="151"/>
      <c r="AY67" s="1577">
        <v>0.5605</v>
      </c>
      <c r="AZ67" s="1579">
        <v>0.56100000000000005</v>
      </c>
      <c r="BA67" s="1579">
        <v>0.55600000000000005</v>
      </c>
      <c r="BB67" s="1579">
        <v>0.56899999999999995</v>
      </c>
      <c r="BC67" s="160">
        <f>BC66/RevBuild!BC12</f>
        <v>0.56163123167155415</v>
      </c>
      <c r="BD67" s="151"/>
      <c r="BE67" s="1577">
        <v>0.58699999999999997</v>
      </c>
      <c r="BF67" s="1579">
        <v>0.58499999999999996</v>
      </c>
      <c r="BG67" s="1579">
        <v>0.57799999999999996</v>
      </c>
      <c r="BH67" s="1579">
        <v>0.59399999999999997</v>
      </c>
      <c r="BI67" s="160">
        <f>BI66/RevBuild!BI12</f>
        <v>0.58618475639170275</v>
      </c>
      <c r="BJ67" s="151"/>
      <c r="BK67" s="1577">
        <v>0.59599999999999997</v>
      </c>
      <c r="BL67" s="1579">
        <v>0.59899999999999998</v>
      </c>
      <c r="BM67" s="1579">
        <v>0.59699999999999998</v>
      </c>
      <c r="BN67" s="1579">
        <v>0.61</v>
      </c>
      <c r="BO67" s="160">
        <f>BO66/RevBuild!BO12</f>
        <v>0.60067957584140153</v>
      </c>
      <c r="BP67" s="151"/>
      <c r="BQ67" s="1577">
        <v>0.61799999999999999</v>
      </c>
      <c r="BR67" s="1579">
        <f>BL67+0.5%</f>
        <v>0.60399999999999998</v>
      </c>
      <c r="BS67" s="1579">
        <f t="shared" ref="BS67:BT67" si="20">BM67+0.5%</f>
        <v>0.60199999999999998</v>
      </c>
      <c r="BT67" s="1579">
        <f t="shared" si="20"/>
        <v>0.61499999999999999</v>
      </c>
      <c r="BU67" s="160">
        <f>BU66/RevBuild!BU12</f>
        <v>0.60992934758725115</v>
      </c>
      <c r="BV67" s="151"/>
      <c r="BW67" s="1577">
        <f>BQ67+0.5%</f>
        <v>0.623</v>
      </c>
      <c r="BX67" s="1579">
        <f t="shared" ref="BX67:BZ67" si="21">BR67+0.5%</f>
        <v>0.60899999999999999</v>
      </c>
      <c r="BY67" s="1579">
        <f t="shared" si="21"/>
        <v>0.60699999999999998</v>
      </c>
      <c r="BZ67" s="1579">
        <f t="shared" si="21"/>
        <v>0.62</v>
      </c>
      <c r="CA67" s="160">
        <f>CA66/RevBuild!CA12</f>
        <v>0.61492934758725115</v>
      </c>
      <c r="CB67" s="156"/>
      <c r="CC67" s="2485">
        <f>BW67+0.4%</f>
        <v>0.627</v>
      </c>
      <c r="CD67" s="1579">
        <f t="shared" ref="CD67:CF67" si="22">BX67+0.4%</f>
        <v>0.61299999999999999</v>
      </c>
      <c r="CE67" s="1579">
        <f t="shared" si="22"/>
        <v>0.61099999999999999</v>
      </c>
      <c r="CF67" s="1579">
        <f t="shared" si="22"/>
        <v>0.624</v>
      </c>
      <c r="CG67" s="160">
        <f>CG66/RevBuild!CG12</f>
        <v>0.61892934758725104</v>
      </c>
      <c r="CH67" s="152"/>
      <c r="CI67" s="1577">
        <f>CC67+0.3%</f>
        <v>0.63</v>
      </c>
      <c r="CJ67" s="1579">
        <f t="shared" ref="CJ67:CL67" si="23">CD67+0.3%</f>
        <v>0.61599999999999999</v>
      </c>
      <c r="CK67" s="1579">
        <f t="shared" si="23"/>
        <v>0.61399999999999999</v>
      </c>
      <c r="CL67" s="1579">
        <f t="shared" si="23"/>
        <v>0.627</v>
      </c>
      <c r="CM67" s="160">
        <f>CM66/RevBuild!CM12</f>
        <v>0.62192934758725094</v>
      </c>
      <c r="CN67" s="152"/>
      <c r="CO67" s="152"/>
      <c r="CP67" s="142"/>
      <c r="CQ67"/>
      <c r="CR67"/>
      <c r="CS67"/>
      <c r="CT67"/>
      <c r="CU67"/>
      <c r="CV67"/>
      <c r="CW67" s="142"/>
    </row>
    <row r="68" spans="1:101" s="149" customFormat="1" outlineLevel="1">
      <c r="A68" s="501" t="s">
        <v>99</v>
      </c>
      <c r="B68" s="150"/>
      <c r="C68" s="1318"/>
      <c r="D68" s="1985"/>
      <c r="E68" s="1985"/>
      <c r="F68" s="1985"/>
      <c r="G68" s="1986"/>
      <c r="H68" s="150"/>
      <c r="I68" s="1318"/>
      <c r="J68" s="1985"/>
      <c r="K68" s="1985"/>
      <c r="L68" s="1985"/>
      <c r="M68" s="1986"/>
      <c r="N68" s="150"/>
      <c r="O68" s="1318"/>
      <c r="P68" s="1985"/>
      <c r="Q68" s="1985"/>
      <c r="R68" s="1985"/>
      <c r="S68" s="1986"/>
      <c r="T68" s="151"/>
      <c r="U68" s="1318"/>
      <c r="V68" s="1985"/>
      <c r="W68" s="1985"/>
      <c r="X68" s="1985"/>
      <c r="Y68" s="1986"/>
      <c r="Z68" s="151"/>
      <c r="AA68" s="1318"/>
      <c r="AB68" s="1985"/>
      <c r="AC68" s="1985"/>
      <c r="AD68" s="1985"/>
      <c r="AE68" s="1986"/>
      <c r="AF68" s="151"/>
      <c r="AG68" s="1318">
        <f>AG69*RevBuild!AG13</f>
        <v>34.750999999999998</v>
      </c>
      <c r="AH68" s="1985">
        <f>AH69*RevBuild!AH13</f>
        <v>41.942</v>
      </c>
      <c r="AI68" s="1985">
        <f>AI69*RevBuild!AI13</f>
        <v>58.491</v>
      </c>
      <c r="AJ68" s="1985">
        <f>AJ69*RevBuild!AJ13</f>
        <v>95.471999999999994</v>
      </c>
      <c r="AK68" s="1986">
        <f>SUM(AG68:AJ68)</f>
        <v>230.65600000000001</v>
      </c>
      <c r="AL68" s="151"/>
      <c r="AM68" s="1318">
        <f>AM69*RevBuild!AM13</f>
        <v>91.494</v>
      </c>
      <c r="AN68" s="1985">
        <f>AN69*RevBuild!AN13</f>
        <v>96.397999999999996</v>
      </c>
      <c r="AO68" s="1985">
        <f>AO69*RevBuild!AO13</f>
        <v>92.472999999999999</v>
      </c>
      <c r="AP68" s="1985">
        <f>AP69*RevBuild!AP13</f>
        <v>100.96799999999999</v>
      </c>
      <c r="AQ68" s="1986">
        <f>SUM(AM68:AP68)</f>
        <v>381.33299999999997</v>
      </c>
      <c r="AR68" s="151"/>
      <c r="AS68" s="1987">
        <f>AS69*RevBuild!AS13</f>
        <v>91.452500000000001</v>
      </c>
      <c r="AT68" s="1985">
        <f>AT69*RevBuild!AT13</f>
        <v>97.103999999999999</v>
      </c>
      <c r="AU68" s="1985">
        <f>AU69*RevBuild!AU13</f>
        <v>92.462000000000003</v>
      </c>
      <c r="AV68" s="1985">
        <f>AV69*RevBuild!AV13</f>
        <v>92.88000000000001</v>
      </c>
      <c r="AW68" s="1986">
        <f>SUM(AS68:AV68)</f>
        <v>373.89850000000001</v>
      </c>
      <c r="AX68" s="151"/>
      <c r="AY68" s="1987">
        <f>AY69*RevBuild!AY13</f>
        <v>72.298000000000002</v>
      </c>
      <c r="AZ68" s="1985">
        <f>AZ69*RevBuild!AZ13</f>
        <v>92.612000000000009</v>
      </c>
      <c r="BA68" s="1985">
        <f>BA69*RevBuild!BA13</f>
        <v>95.19</v>
      </c>
      <c r="BB68" s="1985">
        <f>BB69*RevBuild!BB13</f>
        <v>99.68</v>
      </c>
      <c r="BC68" s="1986">
        <f>SUM(AY68:BB68)</f>
        <v>359.78000000000003</v>
      </c>
      <c r="BD68" s="151"/>
      <c r="BE68" s="1987">
        <f>BE69*RevBuild!BE13</f>
        <v>83.266000000000005</v>
      </c>
      <c r="BF68" s="1985">
        <f>BF69*RevBuild!BF13</f>
        <v>96.298000000000002</v>
      </c>
      <c r="BG68" s="1985">
        <f>BG69*RevBuild!BG13</f>
        <v>100.44000000000001</v>
      </c>
      <c r="BH68" s="1985">
        <f>BH69*RevBuild!BH13</f>
        <v>106.92200000000001</v>
      </c>
      <c r="BI68" s="1986">
        <f>SUM(BE68:BH68)</f>
        <v>386.92600000000004</v>
      </c>
      <c r="BJ68" s="151"/>
      <c r="BK68" s="1987">
        <f>BK69*RevBuild!BK13</f>
        <v>89.872000000000014</v>
      </c>
      <c r="BL68" s="1985">
        <f>BL69*RevBuild!BL13</f>
        <v>115.776</v>
      </c>
      <c r="BM68" s="1985">
        <f>BM69*RevBuild!BM13</f>
        <v>103.819</v>
      </c>
      <c r="BN68" s="1985">
        <f>BN69*RevBuild!BN13</f>
        <v>115.92000000000002</v>
      </c>
      <c r="BO68" s="1986">
        <f>SUM(BK68:BN68)</f>
        <v>425.38700000000006</v>
      </c>
      <c r="BP68" s="151"/>
      <c r="BQ68" s="1987">
        <f>BQ69*RevBuild!BQ13</f>
        <v>100.64</v>
      </c>
      <c r="BR68" s="1985">
        <f>BR69*RevBuild!BR13</f>
        <v>128.92442751691553</v>
      </c>
      <c r="BS68" s="1985">
        <f>BS69*RevBuild!BS13</f>
        <v>117.04446095017759</v>
      </c>
      <c r="BT68" s="1985">
        <f>BT69*RevBuild!BT13</f>
        <v>130.70440310648596</v>
      </c>
      <c r="BU68" s="1986">
        <f>SUM(BQ68:BT68)</f>
        <v>477.31329157357914</v>
      </c>
      <c r="BV68" s="151"/>
      <c r="BW68" s="1987">
        <f>BW69*RevBuild!BW13</f>
        <v>108.07935593702783</v>
      </c>
      <c r="BX68" s="1985">
        <f>BX69*RevBuild!BX13</f>
        <v>138.28874980783891</v>
      </c>
      <c r="BY68" s="1985">
        <f>BY69*RevBuild!BY13</f>
        <v>134.4227649720755</v>
      </c>
      <c r="BZ68" s="1985">
        <f>BZ69*RevBuild!BZ13</f>
        <v>148.16007365376623</v>
      </c>
      <c r="CA68" s="1986">
        <f>SUM(BW68:BZ68)</f>
        <v>528.95094437070838</v>
      </c>
      <c r="CB68" s="1985"/>
      <c r="CC68" s="1987">
        <f>CC69*RevBuild!CC13</f>
        <v>121.77450968374356</v>
      </c>
      <c r="CD68" s="1985">
        <f>CD69*RevBuild!CD13</f>
        <v>156.05964034523996</v>
      </c>
      <c r="CE68" s="1985">
        <f>CE69*RevBuild!CE13</f>
        <v>156.85496787307588</v>
      </c>
      <c r="CF68" s="1985">
        <f>CF69*RevBuild!CF13</f>
        <v>170.17406943896535</v>
      </c>
      <c r="CG68" s="1986">
        <f>SUM(CC68:CF68)</f>
        <v>604.86318734102474</v>
      </c>
      <c r="CH68" s="152"/>
      <c r="CI68" s="1987">
        <f>CI69*RevBuild!CI13</f>
        <v>137.72900907459913</v>
      </c>
      <c r="CJ68" s="1985">
        <f>CJ69*RevBuild!CJ13</f>
        <v>176.84309828045758</v>
      </c>
      <c r="CK68" s="1985">
        <f>CK69*RevBuild!CK13</f>
        <v>183.97689509005593</v>
      </c>
      <c r="CL68" s="1985">
        <f>CL69*RevBuild!CL13</f>
        <v>196.42888614514703</v>
      </c>
      <c r="CM68" s="1986">
        <f>SUM(CI68:CL68)</f>
        <v>694.97788859025968</v>
      </c>
      <c r="CN68" s="152"/>
      <c r="CO68" s="152"/>
      <c r="CP68" s="142"/>
      <c r="CQ68"/>
      <c r="CR68"/>
      <c r="CS68"/>
      <c r="CT68"/>
      <c r="CU68"/>
      <c r="CV68"/>
      <c r="CW68" s="142"/>
    </row>
    <row r="69" spans="1:101" s="149" customFormat="1" outlineLevel="1">
      <c r="A69" s="158" t="s">
        <v>100</v>
      </c>
      <c r="B69" s="150"/>
      <c r="C69" s="159"/>
      <c r="D69" s="156"/>
      <c r="E69" s="156"/>
      <c r="F69" s="156"/>
      <c r="G69" s="160"/>
      <c r="H69" s="150"/>
      <c r="I69" s="159"/>
      <c r="J69" s="156"/>
      <c r="K69" s="156"/>
      <c r="L69" s="156"/>
      <c r="M69" s="160"/>
      <c r="N69" s="150"/>
      <c r="O69" s="159"/>
      <c r="P69" s="156"/>
      <c r="Q69" s="156"/>
      <c r="R69" s="156"/>
      <c r="S69" s="160"/>
      <c r="T69" s="151"/>
      <c r="U69" s="159"/>
      <c r="V69" s="156"/>
      <c r="W69" s="156"/>
      <c r="X69" s="156"/>
      <c r="Y69" s="160"/>
      <c r="Z69" s="151"/>
      <c r="AA69" s="159"/>
      <c r="AB69" s="156"/>
      <c r="AC69" s="156"/>
      <c r="AD69" s="156"/>
      <c r="AE69" s="160"/>
      <c r="AF69" s="151"/>
      <c r="AG69" s="1577">
        <v>0.58899999999999997</v>
      </c>
      <c r="AH69" s="1578">
        <v>0.626</v>
      </c>
      <c r="AI69" s="1578">
        <v>0.60299999999999998</v>
      </c>
      <c r="AJ69" s="1578">
        <v>0.624</v>
      </c>
      <c r="AK69" s="160">
        <f>AK68/RevBuild!AK13</f>
        <v>0.61344680851063826</v>
      </c>
      <c r="AL69" s="151"/>
      <c r="AM69" s="1577">
        <v>0.59799999999999998</v>
      </c>
      <c r="AN69" s="1578">
        <v>0.61399999999999999</v>
      </c>
      <c r="AO69" s="1578">
        <v>0.58899999999999997</v>
      </c>
      <c r="AP69" s="1578">
        <v>0.60099999999999998</v>
      </c>
      <c r="AQ69" s="160">
        <f>AQ68/RevBuild!AQ13</f>
        <v>0.6005244094488188</v>
      </c>
      <c r="AR69" s="151"/>
      <c r="AS69" s="1577">
        <v>0.58250000000000002</v>
      </c>
      <c r="AT69" s="1578">
        <v>0.57799999999999996</v>
      </c>
      <c r="AU69" s="1578">
        <v>0.55700000000000005</v>
      </c>
      <c r="AV69" s="1578">
        <v>0.54</v>
      </c>
      <c r="AW69" s="160">
        <f>AW68/RevBuild!AW13</f>
        <v>0.5639494720965309</v>
      </c>
      <c r="AX69" s="151"/>
      <c r="AY69" s="1577">
        <v>0.48849999999999999</v>
      </c>
      <c r="AZ69" s="1579">
        <v>0.54800000000000004</v>
      </c>
      <c r="BA69" s="1579">
        <v>0.56999999999999995</v>
      </c>
      <c r="BB69" s="1579">
        <v>0.56000000000000005</v>
      </c>
      <c r="BC69" s="160">
        <f>BC68/RevBuild!BC13</f>
        <v>0.54347432024169184</v>
      </c>
      <c r="BD69" s="151"/>
      <c r="BE69" s="1577">
        <v>0.52700000000000002</v>
      </c>
      <c r="BF69" s="1579">
        <v>0.54100000000000004</v>
      </c>
      <c r="BG69" s="1579">
        <v>0.55800000000000005</v>
      </c>
      <c r="BH69" s="1579">
        <v>0.55400000000000005</v>
      </c>
      <c r="BI69" s="160">
        <f>BI68/RevBuild!BI13</f>
        <v>0.54573483779971799</v>
      </c>
      <c r="BJ69" s="151"/>
      <c r="BK69" s="1577">
        <v>0.54800000000000004</v>
      </c>
      <c r="BL69" s="1579">
        <v>0.57599999999999996</v>
      </c>
      <c r="BM69" s="1579">
        <v>0.52700000000000002</v>
      </c>
      <c r="BN69" s="1579">
        <v>0.55200000000000005</v>
      </c>
      <c r="BO69" s="160">
        <f>BO68/RevBuild!BO13</f>
        <v>0.55101943005181353</v>
      </c>
      <c r="BP69" s="151"/>
      <c r="BQ69" s="1577">
        <v>0.54400000000000004</v>
      </c>
      <c r="BR69" s="1579">
        <f>BL69+0.5%</f>
        <v>0.58099999999999996</v>
      </c>
      <c r="BS69" s="1579">
        <f t="shared" ref="BS69:BT69" si="24">BM69+0.5%</f>
        <v>0.53200000000000003</v>
      </c>
      <c r="BT69" s="1579">
        <f t="shared" si="24"/>
        <v>0.55700000000000005</v>
      </c>
      <c r="BU69" s="160">
        <f>BU68/RevBuild!BU13</f>
        <v>0.55400593509772822</v>
      </c>
      <c r="BV69" s="151"/>
      <c r="BW69" s="1577">
        <f>BQ69+0.5%</f>
        <v>0.54900000000000004</v>
      </c>
      <c r="BX69" s="1579">
        <f t="shared" ref="BX69:BZ69" si="25">BR69+0.5%</f>
        <v>0.58599999999999997</v>
      </c>
      <c r="BY69" s="1579">
        <f t="shared" si="25"/>
        <v>0.53700000000000003</v>
      </c>
      <c r="BZ69" s="1579">
        <f t="shared" si="25"/>
        <v>0.56200000000000006</v>
      </c>
      <c r="CA69" s="160">
        <f>CA68/RevBuild!CA13</f>
        <v>0.55866922399419294</v>
      </c>
      <c r="CB69" s="156"/>
      <c r="CC69" s="1577">
        <f>BW69+0.4%</f>
        <v>0.55300000000000005</v>
      </c>
      <c r="CD69" s="1579">
        <f t="shared" ref="CD69:CF69" si="26">BX69+0.4%</f>
        <v>0.59</v>
      </c>
      <c r="CE69" s="1579">
        <f t="shared" si="26"/>
        <v>0.54100000000000004</v>
      </c>
      <c r="CF69" s="1579">
        <f t="shared" si="26"/>
        <v>0.56600000000000006</v>
      </c>
      <c r="CG69" s="160">
        <f>CG68/RevBuild!CG13</f>
        <v>0.56250065515221104</v>
      </c>
      <c r="CH69" s="152"/>
      <c r="CI69" s="2485">
        <f>CC69+0.3%</f>
        <v>0.55600000000000005</v>
      </c>
      <c r="CJ69" s="1579">
        <f t="shared" ref="CJ69:CL69" si="27">CD69+0.3%</f>
        <v>0.59299999999999997</v>
      </c>
      <c r="CK69" s="1579">
        <f t="shared" si="27"/>
        <v>0.54400000000000004</v>
      </c>
      <c r="CL69" s="1579">
        <f t="shared" si="27"/>
        <v>0.56900000000000006</v>
      </c>
      <c r="CM69" s="160">
        <f>CM68/RevBuild!CM13</f>
        <v>0.56532496314777891</v>
      </c>
      <c r="CN69" s="152"/>
      <c r="CO69" s="152"/>
      <c r="CP69" s="142"/>
      <c r="CQ69"/>
      <c r="CR69"/>
      <c r="CS69"/>
      <c r="CT69"/>
      <c r="CU69"/>
      <c r="CV69"/>
      <c r="CW69" s="142"/>
    </row>
    <row r="70" spans="1:101" s="149" customFormat="1" outlineLevel="1">
      <c r="A70" s="501" t="s">
        <v>107</v>
      </c>
      <c r="B70" s="150"/>
      <c r="C70" s="1318"/>
      <c r="D70" s="1985"/>
      <c r="E70" s="1985"/>
      <c r="F70" s="1985"/>
      <c r="G70" s="1986"/>
      <c r="H70" s="150"/>
      <c r="I70" s="1318"/>
      <c r="J70" s="1985"/>
      <c r="K70" s="1985"/>
      <c r="L70" s="1985"/>
      <c r="M70" s="1986"/>
      <c r="N70" s="150"/>
      <c r="O70" s="1318"/>
      <c r="P70" s="1985"/>
      <c r="Q70" s="1985"/>
      <c r="R70" s="1985"/>
      <c r="S70" s="1986"/>
      <c r="T70" s="151"/>
      <c r="U70" s="1318"/>
      <c r="V70" s="1985"/>
      <c r="W70" s="1985"/>
      <c r="X70" s="1985"/>
      <c r="Y70" s="1986"/>
      <c r="Z70" s="151"/>
      <c r="AA70" s="1318"/>
      <c r="AB70" s="1985"/>
      <c r="AC70" s="1985"/>
      <c r="AD70" s="1985"/>
      <c r="AE70" s="1986"/>
      <c r="AF70" s="151"/>
      <c r="AG70" s="1318">
        <f>AG71*RevBuild!AG17</f>
        <v>132.07</v>
      </c>
      <c r="AH70" s="1985">
        <f>AH71*RevBuild!AH17</f>
        <v>136.65600000000001</v>
      </c>
      <c r="AI70" s="1985">
        <f>AI71*RevBuild!AI17</f>
        <v>135.375</v>
      </c>
      <c r="AJ70" s="1985">
        <f>AJ71*RevBuild!AJ17</f>
        <v>142.49600000000001</v>
      </c>
      <c r="AK70" s="1986">
        <f>SUM(AG70:AJ70)</f>
        <v>546.59699999999998</v>
      </c>
      <c r="AL70" s="151"/>
      <c r="AM70" s="1318">
        <f>AM71*RevBuild!AM17</f>
        <v>139.65</v>
      </c>
      <c r="AN70" s="1985">
        <f>AN71*RevBuild!AN17</f>
        <v>149.202</v>
      </c>
      <c r="AO70" s="1985">
        <f>AO71*RevBuild!AO17</f>
        <v>150.06</v>
      </c>
      <c r="AP70" s="1985">
        <f>AP71*RevBuild!AP17</f>
        <v>157.09199999999998</v>
      </c>
      <c r="AQ70" s="1986">
        <f>SUM(AM70:AP70)</f>
        <v>596.00399999999991</v>
      </c>
      <c r="AR70" s="151"/>
      <c r="AS70" s="1987">
        <f>AS71*RevBuild!AS17</f>
        <v>152.29</v>
      </c>
      <c r="AT70" s="1985">
        <f>AT71*RevBuild!AT17</f>
        <v>155.67499999999998</v>
      </c>
      <c r="AU70" s="1985">
        <f>AU71*RevBuild!AU17</f>
        <v>164.976</v>
      </c>
      <c r="AV70" s="1985">
        <f>AV71*RevBuild!AV17</f>
        <v>161.01999999999998</v>
      </c>
      <c r="AW70" s="1986">
        <f>SUM(AS70:AV70)</f>
        <v>633.96100000000001</v>
      </c>
      <c r="AX70" s="151"/>
      <c r="AY70" s="1987">
        <f>AY71*RevBuild!AY17</f>
        <v>165.66549999999998</v>
      </c>
      <c r="AZ70" s="1985">
        <f>AZ71*RevBuild!AZ17</f>
        <v>159.21600000000001</v>
      </c>
      <c r="BA70" s="1985">
        <f>BA71*RevBuild!BA17</f>
        <v>162.96</v>
      </c>
      <c r="BB70" s="1985">
        <f>BB71*RevBuild!BB17</f>
        <v>172.02600000000001</v>
      </c>
      <c r="BC70" s="1986">
        <f>SUM(AY70:BB70)</f>
        <v>659.86750000000006</v>
      </c>
      <c r="BD70" s="151"/>
      <c r="BE70" s="1987">
        <f>BE71*RevBuild!BE17</f>
        <v>172.17199999999997</v>
      </c>
      <c r="BF70" s="1985">
        <f>BF71*RevBuild!BF17</f>
        <v>170.578</v>
      </c>
      <c r="BG70" s="1985">
        <f>BG71*RevBuild!BG17</f>
        <v>175.32</v>
      </c>
      <c r="BH70" s="1985">
        <f>BH71*RevBuild!BH17</f>
        <v>182.78</v>
      </c>
      <c r="BI70" s="1986">
        <f>SUM(BE70:BH70)</f>
        <v>700.84999999999991</v>
      </c>
      <c r="BJ70" s="151"/>
      <c r="BK70" s="1987">
        <f>BK71*RevBuild!BK17</f>
        <v>176.05500000000001</v>
      </c>
      <c r="BL70" s="1985">
        <f>BL71*RevBuild!BL17</f>
        <v>187.86599999999999</v>
      </c>
      <c r="BM70" s="1985">
        <f>BM71*RevBuild!BM17</f>
        <v>192.614</v>
      </c>
      <c r="BN70" s="1985">
        <f>BN71*RevBuild!BN17</f>
        <v>200.38399999999999</v>
      </c>
      <c r="BO70" s="1986">
        <f>SUM(BK70:BN70)</f>
        <v>756.91899999999998</v>
      </c>
      <c r="BP70" s="151"/>
      <c r="BQ70" s="1987">
        <f>BQ71*RevBuild!BQ17</f>
        <v>206.44800000000001</v>
      </c>
      <c r="BR70" s="1985">
        <f>BR71*RevBuild!BR17</f>
        <v>219.90225600000002</v>
      </c>
      <c r="BS70" s="1985">
        <f>BS71*RevBuild!BS17</f>
        <v>225.19934799999999</v>
      </c>
      <c r="BT70" s="1985">
        <f>BT71*RevBuild!BT17</f>
        <v>233.89701200000002</v>
      </c>
      <c r="BU70" s="1986">
        <f>SUM(BQ70:BT70)</f>
        <v>885.44661600000006</v>
      </c>
      <c r="BV70" s="151"/>
      <c r="BW70" s="1987">
        <f>BW71*RevBuild!BW17</f>
        <v>225.16704000000001</v>
      </c>
      <c r="BX70" s="1985">
        <f>BX71*RevBuild!BX17</f>
        <v>239.85053208000002</v>
      </c>
      <c r="BY70" s="1985">
        <f>BY71*RevBuild!BY17</f>
        <v>245.61860904000002</v>
      </c>
      <c r="BZ70" s="1985">
        <f>BZ71*RevBuild!BZ17</f>
        <v>255.11979456000003</v>
      </c>
      <c r="CA70" s="1986">
        <f>SUM(BW70:BZ70)</f>
        <v>965.75597568000012</v>
      </c>
      <c r="CB70" s="1985"/>
      <c r="CC70" s="1987">
        <f>CC71*RevBuild!CC17</f>
        <v>243.94932000000003</v>
      </c>
      <c r="CD70" s="1985">
        <f>CD71*RevBuild!CD17</f>
        <v>259.86556420200003</v>
      </c>
      <c r="CE70" s="1985">
        <f>CE71*RevBuild!CE17</f>
        <v>266.10685407000005</v>
      </c>
      <c r="CF70" s="1985">
        <f>CF71*RevBuild!CF17</f>
        <v>276.41325772800002</v>
      </c>
      <c r="CG70" s="1986">
        <f>SUM(CC70:CF70)</f>
        <v>1046.334996</v>
      </c>
      <c r="CH70" s="152"/>
      <c r="CI70" s="1987">
        <f>CI71*RevBuild!CI17</f>
        <v>263.77316280000002</v>
      </c>
      <c r="CJ70" s="1985">
        <f>CJ71*RevBuild!CJ17</f>
        <v>280.98913930380002</v>
      </c>
      <c r="CK70" s="1985">
        <f>CK71*RevBuild!CK17</f>
        <v>287.73126541530002</v>
      </c>
      <c r="CL70" s="1985">
        <f>CL71*RevBuild!CL17</f>
        <v>298.88533165950003</v>
      </c>
      <c r="CM70" s="1986">
        <f>SUM(CI70:CL70)</f>
        <v>1131.3788991786</v>
      </c>
      <c r="CN70" s="152"/>
      <c r="CO70" s="152"/>
      <c r="CP70" s="142"/>
      <c r="CQ70"/>
      <c r="CR70"/>
      <c r="CS70"/>
      <c r="CT70"/>
      <c r="CU70"/>
      <c r="CV70"/>
      <c r="CW70" s="142"/>
    </row>
    <row r="71" spans="1:101" s="149" customFormat="1" outlineLevel="1">
      <c r="A71" s="158" t="s">
        <v>108</v>
      </c>
      <c r="B71" s="150"/>
      <c r="C71" s="159"/>
      <c r="D71" s="156"/>
      <c r="E71" s="156"/>
      <c r="F71" s="156"/>
      <c r="G71" s="160"/>
      <c r="H71" s="150"/>
      <c r="I71" s="159"/>
      <c r="J71" s="156"/>
      <c r="K71" s="156"/>
      <c r="L71" s="156"/>
      <c r="M71" s="160"/>
      <c r="N71" s="150"/>
      <c r="O71" s="159"/>
      <c r="P71" s="156"/>
      <c r="Q71" s="156"/>
      <c r="R71" s="156"/>
      <c r="S71" s="160"/>
      <c r="T71" s="151"/>
      <c r="U71" s="159"/>
      <c r="V71" s="156"/>
      <c r="W71" s="156"/>
      <c r="X71" s="156"/>
      <c r="Y71" s="160"/>
      <c r="Z71" s="151"/>
      <c r="AA71" s="159"/>
      <c r="AB71" s="156"/>
      <c r="AC71" s="156"/>
      <c r="AD71" s="156"/>
      <c r="AE71" s="160"/>
      <c r="AF71" s="151"/>
      <c r="AG71" s="1577">
        <v>0.47</v>
      </c>
      <c r="AH71" s="1578">
        <v>0.46800000000000003</v>
      </c>
      <c r="AI71" s="1578">
        <v>0.47499999999999998</v>
      </c>
      <c r="AJ71" s="1578">
        <v>0.48799999999999999</v>
      </c>
      <c r="AK71" s="160">
        <f>AK70/RevBuild!AK17</f>
        <v>0.47530173913043477</v>
      </c>
      <c r="AL71" s="151"/>
      <c r="AM71" s="1577">
        <v>0.47499999999999998</v>
      </c>
      <c r="AN71" s="1578">
        <v>0.48599999999999999</v>
      </c>
      <c r="AO71" s="1578">
        <v>0.49199999999999999</v>
      </c>
      <c r="AP71" s="1578">
        <v>0.49399999999999999</v>
      </c>
      <c r="AQ71" s="160">
        <f>AQ70/RevBuild!AQ17</f>
        <v>0.48693137254901953</v>
      </c>
      <c r="AR71" s="151"/>
      <c r="AS71" s="1577">
        <v>0.48499999999999999</v>
      </c>
      <c r="AT71" s="1578">
        <v>0.47899999999999998</v>
      </c>
      <c r="AU71" s="1578">
        <v>0.49099999999999999</v>
      </c>
      <c r="AV71" s="1578">
        <v>0.48499999999999999</v>
      </c>
      <c r="AW71" s="160">
        <f>AW70/RevBuild!AW17</f>
        <v>0.4850504973221117</v>
      </c>
      <c r="AX71" s="151"/>
      <c r="AY71" s="1577">
        <v>0.50049999999999994</v>
      </c>
      <c r="AZ71" s="1579">
        <v>0.496</v>
      </c>
      <c r="BA71" s="1579">
        <v>0.48499999999999999</v>
      </c>
      <c r="BB71" s="1579">
        <v>0.503</v>
      </c>
      <c r="BC71" s="160">
        <f>BC70/RevBuild!BC17</f>
        <v>0.49614097744360908</v>
      </c>
      <c r="BD71" s="151"/>
      <c r="BE71" s="1577">
        <v>0.50049999999999994</v>
      </c>
      <c r="BF71" s="1579">
        <v>0.49299999999999999</v>
      </c>
      <c r="BG71" s="1579">
        <v>0.48699999999999999</v>
      </c>
      <c r="BH71" s="1579">
        <v>0.49399999999999999</v>
      </c>
      <c r="BI71" s="160">
        <f>BI70/RevBuild!BI17</f>
        <v>0.49355633802816895</v>
      </c>
      <c r="BJ71" s="151"/>
      <c r="BK71" s="1577">
        <v>0.48499999999999999</v>
      </c>
      <c r="BL71" s="1579">
        <v>0.497</v>
      </c>
      <c r="BM71" s="1579">
        <v>0.499</v>
      </c>
      <c r="BN71" s="1579">
        <v>0.496</v>
      </c>
      <c r="BO71" s="160">
        <f>BO70/RevBuild!BO17</f>
        <v>0.49439516655780535</v>
      </c>
      <c r="BP71" s="151"/>
      <c r="BQ71" s="1577">
        <v>0.50600000000000001</v>
      </c>
      <c r="BR71" s="1579">
        <f>BL71+0.7%</f>
        <v>0.504</v>
      </c>
      <c r="BS71" s="1579">
        <f t="shared" ref="BS71:BT71" si="28">BM71+0.7%</f>
        <v>0.50600000000000001</v>
      </c>
      <c r="BT71" s="1579">
        <f t="shared" si="28"/>
        <v>0.503</v>
      </c>
      <c r="BU71" s="160">
        <f>BU70/RevBuild!BU17</f>
        <v>0.50470743785824701</v>
      </c>
      <c r="BV71" s="151"/>
      <c r="BW71" s="1577">
        <f>BQ71+0.5%</f>
        <v>0.51100000000000001</v>
      </c>
      <c r="BX71" s="1579">
        <f t="shared" ref="BX71:BZ71" si="29">BR71+0.5%</f>
        <v>0.50900000000000001</v>
      </c>
      <c r="BY71" s="1579">
        <f t="shared" si="29"/>
        <v>0.51100000000000001</v>
      </c>
      <c r="BZ71" s="1579">
        <f t="shared" si="29"/>
        <v>0.50800000000000001</v>
      </c>
      <c r="CA71" s="160">
        <f>CA70/RevBuild!CA17</f>
        <v>0.50970743785824701</v>
      </c>
      <c r="CB71" s="156"/>
      <c r="CC71" s="1577">
        <f>BW71+0.4%</f>
        <v>0.51500000000000001</v>
      </c>
      <c r="CD71" s="1579">
        <f t="shared" ref="CD71:CF71" si="30">BX71+0.4%</f>
        <v>0.51300000000000001</v>
      </c>
      <c r="CE71" s="1579">
        <f t="shared" si="30"/>
        <v>0.51500000000000001</v>
      </c>
      <c r="CF71" s="1579">
        <f t="shared" si="30"/>
        <v>0.51200000000000001</v>
      </c>
      <c r="CG71" s="160">
        <f>CG70/RevBuild!CG17</f>
        <v>0.51370743785824702</v>
      </c>
      <c r="CH71" s="152"/>
      <c r="CI71" s="2485">
        <f>CC71+0.3%</f>
        <v>0.51800000000000002</v>
      </c>
      <c r="CJ71" s="1579">
        <f t="shared" ref="CJ71:CL71" si="31">CD71+0.3%</f>
        <v>0.51600000000000001</v>
      </c>
      <c r="CK71" s="1579">
        <f t="shared" si="31"/>
        <v>0.51800000000000002</v>
      </c>
      <c r="CL71" s="1579">
        <f t="shared" si="31"/>
        <v>0.51500000000000001</v>
      </c>
      <c r="CM71" s="160">
        <f>CM70/RevBuild!CM17</f>
        <v>0.51670743785824702</v>
      </c>
      <c r="CN71" s="152"/>
      <c r="CO71" s="152"/>
      <c r="CP71" s="142"/>
      <c r="CQ71"/>
      <c r="CR71"/>
      <c r="CS71"/>
      <c r="CT71"/>
      <c r="CU71"/>
      <c r="CV71"/>
      <c r="CW71" s="142"/>
    </row>
    <row r="72" spans="1:101" s="149" customFormat="1" outlineLevel="1">
      <c r="A72" s="180" t="s">
        <v>111</v>
      </c>
      <c r="B72" s="181"/>
      <c r="C72" s="182">
        <f>C58+C62</f>
        <v>239.76499999999999</v>
      </c>
      <c r="D72" s="183">
        <f>D58+D62</f>
        <v>223.48400000000004</v>
      </c>
      <c r="E72" s="183">
        <f>E58+E62</f>
        <v>252.18000000000004</v>
      </c>
      <c r="F72" s="183">
        <f>F58+F62</f>
        <v>286.96600000000001</v>
      </c>
      <c r="G72" s="184">
        <f>G58+G62</f>
        <v>1002.395</v>
      </c>
      <c r="H72" s="181"/>
      <c r="I72" s="182">
        <f>I58+I62</f>
        <v>279.846</v>
      </c>
      <c r="J72" s="183">
        <f>J58+J62</f>
        <v>278.798</v>
      </c>
      <c r="K72" s="183">
        <f>K58+K62</f>
        <v>291.68400000000003</v>
      </c>
      <c r="L72" s="183">
        <f>L58+L62</f>
        <v>330.24599999999998</v>
      </c>
      <c r="M72" s="184">
        <f>M58+M62</f>
        <v>1180.5740000000001</v>
      </c>
      <c r="N72" s="181"/>
      <c r="O72" s="182">
        <f>O58+O62+O60</f>
        <v>287.613</v>
      </c>
      <c r="P72" s="183">
        <f>P58+P62+P60</f>
        <v>269.57500000000005</v>
      </c>
      <c r="Q72" s="183">
        <f>Q58+Q62+Q60</f>
        <v>264.99300000000005</v>
      </c>
      <c r="R72" s="183">
        <f>R58+R62+R60</f>
        <v>297.48200000000003</v>
      </c>
      <c r="S72" s="184">
        <f>S58+S62+S60</f>
        <v>1119.663</v>
      </c>
      <c r="T72" s="185"/>
      <c r="U72" s="182">
        <f>U58+U62+U60</f>
        <v>319.65600000000001</v>
      </c>
      <c r="V72" s="183">
        <f>V58+V62+V60</f>
        <v>312.101</v>
      </c>
      <c r="W72" s="183">
        <f>W58+W62+W60</f>
        <v>375.80200000000002</v>
      </c>
      <c r="X72" s="183">
        <f>X58+X62+X60</f>
        <v>427.15700000000004</v>
      </c>
      <c r="Y72" s="184">
        <f>Y58+Y62+Y60</f>
        <v>1434.7160000000001</v>
      </c>
      <c r="Z72" s="185"/>
      <c r="AA72" s="182">
        <f>AA58+AA62+AA60</f>
        <v>393.839</v>
      </c>
      <c r="AB72" s="183">
        <f>AB58+AB62+AB60</f>
        <v>433.70699999999999</v>
      </c>
      <c r="AC72" s="183">
        <f>AC58+AC62+AC60</f>
        <v>426.35500000000002</v>
      </c>
      <c r="AD72" s="183">
        <f>AD58+AD62+AD60</f>
        <v>453.60300000000001</v>
      </c>
      <c r="AE72" s="184">
        <f>AE58+AE62+AE60</f>
        <v>1707.5039999999999</v>
      </c>
      <c r="AF72" s="186"/>
      <c r="AG72" s="182">
        <f>AG66+AG68+AG70</f>
        <v>447.55199999999996</v>
      </c>
      <c r="AH72" s="183">
        <f>AH66+AH68+AH70</f>
        <v>438.55400000000003</v>
      </c>
      <c r="AI72" s="183">
        <f>AI66+AI68+AI70</f>
        <v>452.77800000000002</v>
      </c>
      <c r="AJ72" s="183">
        <f>AJ66+AJ68+AJ70</f>
        <v>518.798</v>
      </c>
      <c r="AK72" s="184">
        <f>AK66+AK68+AK70</f>
        <v>1857.682</v>
      </c>
      <c r="AL72" s="186"/>
      <c r="AM72" s="182">
        <f>AM66+AM68+AM70</f>
        <v>508.10599999999999</v>
      </c>
      <c r="AN72" s="183">
        <f>AN66+AN68+AN70</f>
        <v>515.85599999999999</v>
      </c>
      <c r="AO72" s="183">
        <f>AO66+AO68+AO70</f>
        <v>499.74700000000001</v>
      </c>
      <c r="AP72" s="183">
        <f>AP66+AP68+AP70</f>
        <v>549.49099999999999</v>
      </c>
      <c r="AQ72" s="184">
        <f>AQ66+AQ68+AQ70</f>
        <v>2073.1999999999998</v>
      </c>
      <c r="AR72" s="186"/>
      <c r="AS72" s="182">
        <f>AS66+AS68+AS70</f>
        <v>545.26800000000003</v>
      </c>
      <c r="AT72" s="183">
        <f>AT66+AT68+AT70</f>
        <v>522.05899999999997</v>
      </c>
      <c r="AU72" s="183">
        <f>AU66+AU68+AU70</f>
        <v>537.30200000000002</v>
      </c>
      <c r="AV72" s="183">
        <f>AV66+AV68+AV70</f>
        <v>561.66899999999987</v>
      </c>
      <c r="AW72" s="184">
        <f>AW66+AW68+AW70</f>
        <v>2166.2979999999998</v>
      </c>
      <c r="AX72" s="186"/>
      <c r="AY72" s="182">
        <f>AY66+AY68+AY70</f>
        <v>544.55700000000002</v>
      </c>
      <c r="AZ72" s="183">
        <f>AZ66+AZ68+AZ70</f>
        <v>517.18100000000004</v>
      </c>
      <c r="BA72" s="183">
        <f>BA66+BA68+BA70</f>
        <v>542.26600000000008</v>
      </c>
      <c r="BB72" s="183">
        <f>BB66+BB68+BB70</f>
        <v>564.74099999999999</v>
      </c>
      <c r="BC72" s="184">
        <f>BC66+BC68+BC70</f>
        <v>2168.7449999999999</v>
      </c>
      <c r="BD72" s="186"/>
      <c r="BE72" s="182">
        <f>BE66+BE68+BE70</f>
        <v>564.20000000000005</v>
      </c>
      <c r="BF72" s="183">
        <f>BF66+BF68+BF70</f>
        <v>556.45100000000002</v>
      </c>
      <c r="BG72" s="183">
        <f>BG66+BG68+BG70</f>
        <v>567.07199999999989</v>
      </c>
      <c r="BH72" s="183">
        <f>BH66+BH68+BH70</f>
        <v>615.21400000000006</v>
      </c>
      <c r="BI72" s="184">
        <f>BI66+BI68+BI70</f>
        <v>2302.9369999999999</v>
      </c>
      <c r="BJ72" s="186"/>
      <c r="BK72" s="182">
        <f>BK66+BK68+BK70</f>
        <v>587.76700000000005</v>
      </c>
      <c r="BL72" s="183">
        <f>BL66+BL68+BL70</f>
        <v>616.91899999999998</v>
      </c>
      <c r="BM72" s="183">
        <f>BM66+BM68+BM70</f>
        <v>613.44000000000005</v>
      </c>
      <c r="BN72" s="183">
        <f>BN66+BN68+BN70</f>
        <v>667.05399999999997</v>
      </c>
      <c r="BO72" s="184">
        <f>BO66+BO68+BO70</f>
        <v>2485.1799999999998</v>
      </c>
      <c r="BP72" s="186"/>
      <c r="BQ72" s="182">
        <f>BQ66+BQ68+BQ70</f>
        <v>689.01199999999994</v>
      </c>
      <c r="BR72" s="183">
        <f>BR66+BR68+BR70</f>
        <v>709.71003951691546</v>
      </c>
      <c r="BS72" s="183">
        <f>BS66+BS68+BS70</f>
        <v>690.1233549501776</v>
      </c>
      <c r="BT72" s="183">
        <f>BT66+BT68+BT70</f>
        <v>745.10191510648599</v>
      </c>
      <c r="BU72" s="184">
        <f>BU66+BU68+BU70</f>
        <v>2833.9473095735793</v>
      </c>
      <c r="BV72" s="186"/>
      <c r="BW72" s="182">
        <f>BW66+BW68+BW70</f>
        <v>741.36123593702791</v>
      </c>
      <c r="BX72" s="183">
        <f>BX66+BX68+BX70</f>
        <v>763.84233094783883</v>
      </c>
      <c r="BY72" s="183">
        <f>BY66+BY68+BY70</f>
        <v>751.8564196720755</v>
      </c>
      <c r="BZ72" s="183">
        <f>BZ66+BZ68+BZ70</f>
        <v>809.88950821376636</v>
      </c>
      <c r="CA72" s="184">
        <f>CA66+CA68+CA70</f>
        <v>3066.9494947707085</v>
      </c>
      <c r="CB72" s="307"/>
      <c r="CC72" s="182">
        <f>CC66+CC68+CC70</f>
        <v>788.7810444837437</v>
      </c>
      <c r="CD72" s="183">
        <f>CD66+CD68+CD70</f>
        <v>815.80869903983989</v>
      </c>
      <c r="CE72" s="183">
        <f>CE66+CE68+CE70</f>
        <v>808.45500593847589</v>
      </c>
      <c r="CF72" s="183">
        <f>CF66+CF68+CF70</f>
        <v>868.09724300696553</v>
      </c>
      <c r="CG72" s="184">
        <f>CG66+CG68+CG70</f>
        <v>3281.1419924690249</v>
      </c>
      <c r="CH72" s="142"/>
      <c r="CI72" s="182">
        <f>CI66+CI68+CI70</f>
        <v>839.33602623459922</v>
      </c>
      <c r="CJ72" s="183">
        <f>CJ66+CJ68+CJ70</f>
        <v>871.72796284635353</v>
      </c>
      <c r="CK72" s="183">
        <f>CK66+CK68+CK70</f>
        <v>870.71568820154403</v>
      </c>
      <c r="CL72" s="183">
        <f>CL66+CL68+CL70</f>
        <v>931.55671579924706</v>
      </c>
      <c r="CM72" s="184">
        <f>CM66+CM68+CM70</f>
        <v>3513.3363930817436</v>
      </c>
      <c r="CN72" s="142"/>
      <c r="CO72" s="142"/>
      <c r="CP72" s="142"/>
      <c r="CQ72"/>
      <c r="CR72"/>
      <c r="CS72"/>
      <c r="CT72"/>
      <c r="CU72"/>
      <c r="CV72"/>
      <c r="CW72" s="142"/>
    </row>
    <row r="73" spans="1:101" s="149" customFormat="1" outlineLevel="1">
      <c r="A73" s="187" t="s">
        <v>112</v>
      </c>
      <c r="B73" s="188"/>
      <c r="C73" s="189">
        <f>C72/C10</f>
        <v>0.5269560439560439</v>
      </c>
      <c r="D73" s="190">
        <f>D72/D10</f>
        <v>0.52215887850467302</v>
      </c>
      <c r="E73" s="190">
        <f>E72/E10</f>
        <v>0.53769722814498944</v>
      </c>
      <c r="F73" s="190">
        <f>F72/F10</f>
        <v>0.54764503816793897</v>
      </c>
      <c r="G73" s="191">
        <f>G72/G10</f>
        <v>0.53432569296375265</v>
      </c>
      <c r="H73" s="188"/>
      <c r="I73" s="189">
        <f>I72/I10</f>
        <v>0.52701694915254238</v>
      </c>
      <c r="J73" s="190">
        <f>J72/J10</f>
        <v>0.526033962264151</v>
      </c>
      <c r="K73" s="190">
        <f>K72/K10</f>
        <v>0.54015555555555561</v>
      </c>
      <c r="L73" s="190">
        <f>L72/L10</f>
        <v>0.55596969696969689</v>
      </c>
      <c r="M73" s="191">
        <f>M72/M10</f>
        <v>0.53784692482915719</v>
      </c>
      <c r="N73" s="188"/>
      <c r="O73" s="189">
        <f>O72/O10</f>
        <v>0.54783428571428572</v>
      </c>
      <c r="P73" s="190">
        <f>P72/P10</f>
        <v>0.54131526104417682</v>
      </c>
      <c r="Q73" s="190">
        <f>Q72/Q10</f>
        <v>0.53426008064516139</v>
      </c>
      <c r="R73" s="190">
        <f>R72/R10</f>
        <v>0.54684191176470598</v>
      </c>
      <c r="S73" s="191">
        <f>S72/S10</f>
        <v>0.54273533688802711</v>
      </c>
      <c r="T73" s="192"/>
      <c r="U73" s="189">
        <f>U72/U10</f>
        <v>0.54735616438356161</v>
      </c>
      <c r="V73" s="190">
        <f>V72/V10</f>
        <v>0.54563111888111893</v>
      </c>
      <c r="W73" s="190">
        <f>W72/W10</f>
        <v>0.53456899004267433</v>
      </c>
      <c r="X73" s="190">
        <f>X72/X10</f>
        <v>0.52092317073170735</v>
      </c>
      <c r="Y73" s="191">
        <f>Y72/Y10</f>
        <v>0.53554162000746552</v>
      </c>
      <c r="Z73" s="192"/>
      <c r="AA73" s="189">
        <f>AA72/AA10</f>
        <v>0.52302656042496676</v>
      </c>
      <c r="AB73" s="190">
        <f>AB72/AB10</f>
        <v>0.51326272189349109</v>
      </c>
      <c r="AC73" s="190">
        <f>AC72/AC10</f>
        <v>0.50999401913875597</v>
      </c>
      <c r="AD73" s="190">
        <f>AD72/AD10</f>
        <v>0.5178116438356164</v>
      </c>
      <c r="AE73" s="191">
        <f>AE72/AE10</f>
        <v>0.51586223564954681</v>
      </c>
      <c r="AF73" s="193"/>
      <c r="AG73" s="189">
        <f>AG72/AG10</f>
        <v>0.52223103850641772</v>
      </c>
      <c r="AH73" s="190">
        <f>AH72/AH10</f>
        <v>0.51173162193698951</v>
      </c>
      <c r="AI73" s="190">
        <f>AI72/AI10</f>
        <v>0.51569248291571756</v>
      </c>
      <c r="AJ73" s="190">
        <f>AJ72/AJ10</f>
        <v>0.54552891692954786</v>
      </c>
      <c r="AK73" s="191">
        <f>AK72/AK10</f>
        <v>0.52432458368614165</v>
      </c>
      <c r="AL73" s="193" t="s">
        <v>113</v>
      </c>
      <c r="AM73" s="189">
        <f>AM72/AM10</f>
        <v>0.53038204592901883</v>
      </c>
      <c r="AN73" s="190">
        <f>AN72/AN10</f>
        <v>0.53071604938271599</v>
      </c>
      <c r="AO73" s="190">
        <f>AO72/AO10</f>
        <v>0.52549631966351207</v>
      </c>
      <c r="AP73" s="190">
        <f>AP72/AP10</f>
        <v>0.54243928923988149</v>
      </c>
      <c r="AQ73" s="191">
        <f>AQ72/AQ10</f>
        <v>0.53240883410374928</v>
      </c>
      <c r="AR73" s="193"/>
      <c r="AS73" s="189">
        <f>AS72/AS10</f>
        <v>0.54094047619047625</v>
      </c>
      <c r="AT73" s="190">
        <f>AT72/AT10</f>
        <v>0.5283997975708502</v>
      </c>
      <c r="AU73" s="190">
        <f>AU72/AU10</f>
        <v>0.53250941526263629</v>
      </c>
      <c r="AV73" s="190">
        <f>AV72/AV10</f>
        <v>0.53851294343240641</v>
      </c>
      <c r="AW73" s="191">
        <f>AW72/AW10</f>
        <v>0.5351526679841897</v>
      </c>
      <c r="AX73" s="193"/>
      <c r="AY73" s="189">
        <f>AY72/AY10</f>
        <v>0.53075730994152048</v>
      </c>
      <c r="AZ73" s="190">
        <f>AZ72/AZ10</f>
        <v>0.53705192107995847</v>
      </c>
      <c r="BA73" s="190">
        <f>BA72/BA10</f>
        <v>0.53477909270216972</v>
      </c>
      <c r="BB73" s="190">
        <f>BB72/BB10</f>
        <v>0.54564347826086956</v>
      </c>
      <c r="BC73" s="191">
        <f>BC72/BC10</f>
        <v>0.5370839524517087</v>
      </c>
      <c r="BD73" s="193"/>
      <c r="BE73" s="189">
        <f>BE72/BE10</f>
        <v>0.54883268482490277</v>
      </c>
      <c r="BF73" s="190">
        <f>BF72/BF10</f>
        <v>0.54607556427870463</v>
      </c>
      <c r="BG73" s="190">
        <f>BG72/BG10</f>
        <v>0.54317241379310333</v>
      </c>
      <c r="BH73" s="190">
        <f>BH72/BH10</f>
        <v>0.55374797479747984</v>
      </c>
      <c r="BI73" s="191">
        <f>BI72/BI10</f>
        <v>0.54805735364112329</v>
      </c>
      <c r="BJ73" s="193"/>
      <c r="BK73" s="189">
        <f>BK72/BK10</f>
        <v>0.55085941893158397</v>
      </c>
      <c r="BL73" s="190">
        <f>BL72/BL10</f>
        <v>0.55981760435571681</v>
      </c>
      <c r="BM73" s="190">
        <f>BM72/BM10</f>
        <v>0.55066427289048481</v>
      </c>
      <c r="BN73" s="190">
        <f>BN72/BN10</f>
        <v>0.56102102607232962</v>
      </c>
      <c r="BO73" s="191">
        <f>BO72/BO10</f>
        <v>0.5557200357781753</v>
      </c>
      <c r="BP73" s="193"/>
      <c r="BQ73" s="189">
        <f>BQ72/BQ10</f>
        <v>0.56896118909991733</v>
      </c>
      <c r="BR73" s="190">
        <f>BR72/BR10</f>
        <v>0.56518900277815654</v>
      </c>
      <c r="BS73" s="190">
        <f>BS72/BS10</f>
        <v>0.55523492387709206</v>
      </c>
      <c r="BT73" s="190">
        <f>BT72/BT10</f>
        <v>0.56517255466230054</v>
      </c>
      <c r="BU73" s="191">
        <f>BU72/BU10</f>
        <v>0.56363254381016159</v>
      </c>
      <c r="BV73" s="193"/>
      <c r="BW73" s="189">
        <f>BW72/BW10</f>
        <v>0.57354893019933839</v>
      </c>
      <c r="BX73" s="190">
        <f>BX72/BX10</f>
        <v>0.56979980604909453</v>
      </c>
      <c r="BY73" s="190">
        <f>BY72/BY10</f>
        <v>0.55961278407123838</v>
      </c>
      <c r="BZ73" s="190">
        <f>BZ72/BZ10</f>
        <v>0.5696802264934252</v>
      </c>
      <c r="CA73" s="191">
        <f>CA72/CA10</f>
        <v>0.56813067414392371</v>
      </c>
      <c r="CB73" s="2109"/>
      <c r="CC73" s="189">
        <f>CC72/CC10</f>
        <v>0.5763299815333297</v>
      </c>
      <c r="CD73" s="190">
        <f>CD72/CD10</f>
        <v>0.5731380772227489</v>
      </c>
      <c r="CE73" s="190">
        <f>CE72/CE10</f>
        <v>0.56237636117817325</v>
      </c>
      <c r="CF73" s="190">
        <f>CF72/CF10</f>
        <v>0.57261323588197632</v>
      </c>
      <c r="CG73" s="191">
        <f>CG72/CG10</f>
        <v>0.5710673109501363</v>
      </c>
      <c r="CH73" s="194"/>
      <c r="CI73" s="189">
        <f>CI72/CI10</f>
        <v>0.57809372688825422</v>
      </c>
      <c r="CJ73" s="190">
        <f>CJ72/CJ10</f>
        <v>0.57551995835350611</v>
      </c>
      <c r="CK73" s="190">
        <f>CK72/CK10</f>
        <v>0.56411479573367529</v>
      </c>
      <c r="CL73" s="190">
        <f>CL72/CL10</f>
        <v>0.57456005670773069</v>
      </c>
      <c r="CM73" s="191">
        <f>CM72/CM10</f>
        <v>0.57300448878030341</v>
      </c>
      <c r="CN73" s="194"/>
      <c r="CO73" s="194"/>
      <c r="CP73" s="194"/>
      <c r="CQ73"/>
      <c r="CR73"/>
      <c r="CS73"/>
      <c r="CT73"/>
      <c r="CU73"/>
      <c r="CV73"/>
      <c r="CW73" s="194"/>
    </row>
    <row r="74" spans="1:101" s="149" customFormat="1">
      <c r="A74" s="167" t="s">
        <v>114</v>
      </c>
      <c r="B74" s="195"/>
      <c r="C74" s="196">
        <f>C13/C10</f>
        <v>9.9301276065981894E-2</v>
      </c>
      <c r="D74" s="197">
        <f>D13/D10</f>
        <v>0.10780664655546349</v>
      </c>
      <c r="E74" s="197">
        <f>E13/E10</f>
        <v>9.707621471601964E-2</v>
      </c>
      <c r="F74" s="198">
        <f>F13/F10</f>
        <v>9.6362968324997911E-2</v>
      </c>
      <c r="G74" s="199">
        <f>G13/G10</f>
        <v>9.9864747036179244E-2</v>
      </c>
      <c r="H74" s="195"/>
      <c r="I74" s="196">
        <f>I13/I10</f>
        <v>0.10121067168863773</v>
      </c>
      <c r="J74" s="197">
        <f>J13/J10</f>
        <v>0.10761082716344236</v>
      </c>
      <c r="K74" s="197">
        <f>K13/K10</f>
        <v>9.8474618935044417E-2</v>
      </c>
      <c r="L74" s="198">
        <f>L13/L10</f>
        <v>9.7640195053988271E-2</v>
      </c>
      <c r="M74" s="199">
        <f>M13/M10</f>
        <v>0.10111670849671257</v>
      </c>
      <c r="N74" s="195"/>
      <c r="O74" s="196">
        <f>O13/O10</f>
        <v>8.7619047619047624E-2</v>
      </c>
      <c r="P74" s="197">
        <f>P13/P10</f>
        <v>9.2369477911646583E-2</v>
      </c>
      <c r="Q74" s="197">
        <f>Q13/Q10</f>
        <v>8.669354838709678E-2</v>
      </c>
      <c r="R74" s="198">
        <f>R13/R10</f>
        <v>8.455882352941177E-2</v>
      </c>
      <c r="S74" s="199">
        <f>S13/S10</f>
        <v>8.7736306349975757E-2</v>
      </c>
      <c r="T74" s="197"/>
      <c r="U74" s="196">
        <f>U13/U10</f>
        <v>7.8767123287671229E-2</v>
      </c>
      <c r="V74" s="197">
        <f>V13/V10</f>
        <v>8.2167832167832161E-2</v>
      </c>
      <c r="W74" s="197">
        <f>W13/W10</f>
        <v>8.1081081081081086E-2</v>
      </c>
      <c r="X74" s="198">
        <f>X13/X10</f>
        <v>7.3170731707317069E-2</v>
      </c>
      <c r="Y74" s="199">
        <f>Y13/Y10</f>
        <v>7.8387458006718924E-2</v>
      </c>
      <c r="Z74" s="197"/>
      <c r="AA74" s="196">
        <f>AA13/AA10</f>
        <v>8.632138114209828E-2</v>
      </c>
      <c r="AB74" s="197">
        <f>AB13/AB10</f>
        <v>8.0473372781065089E-2</v>
      </c>
      <c r="AC74" s="197">
        <f>AC13/AC10</f>
        <v>8.0143540669856461E-2</v>
      </c>
      <c r="AD74" s="198">
        <f>AD13/AD10</f>
        <v>7.5342465753424653E-2</v>
      </c>
      <c r="AE74" s="199">
        <f>AE13/AE10</f>
        <v>8.0362537764350456E-2</v>
      </c>
      <c r="AF74" s="200"/>
      <c r="AG74" s="196">
        <f>AG13/AG10</f>
        <v>7.5845974329054849E-2</v>
      </c>
      <c r="AH74" s="197">
        <f>AH13/AH10</f>
        <v>8.168028004667445E-2</v>
      </c>
      <c r="AI74" s="197">
        <f>AI13/AI10</f>
        <v>8.17744874715262E-2</v>
      </c>
      <c r="AJ74" s="198">
        <f>AJ13/AJ10</f>
        <v>8.2542166140904316E-2</v>
      </c>
      <c r="AK74" s="199">
        <f>AK13/AK10</f>
        <v>8.0523736946090899E-2</v>
      </c>
      <c r="AL74" s="200"/>
      <c r="AM74" s="196">
        <f>AM13/AM10</f>
        <v>8.9926931106471805E-2</v>
      </c>
      <c r="AN74" s="197">
        <f>AN13/AN10</f>
        <v>8.4939814814814815E-2</v>
      </c>
      <c r="AO74" s="197">
        <f>AO13/AO10</f>
        <v>8.7758149316508938E-2</v>
      </c>
      <c r="AP74" s="198">
        <f>AP13/AP10</f>
        <v>8.5257650542941751E-2</v>
      </c>
      <c r="AQ74" s="199">
        <f>AQ13/AQ10</f>
        <v>8.6937724704673855E-2</v>
      </c>
      <c r="AR74" s="200"/>
      <c r="AS74" s="196">
        <f>AS13/AS10</f>
        <v>8.5000000000000006E-2</v>
      </c>
      <c r="AT74" s="197">
        <f>AT13/AT10</f>
        <v>8.6032388663967604E-2</v>
      </c>
      <c r="AU74" s="197">
        <f>AU13/AU10</f>
        <v>8.6162537165510394E-2</v>
      </c>
      <c r="AV74" s="198">
        <f>AV13/AV10</f>
        <v>8.3445829338446784E-2</v>
      </c>
      <c r="AW74" s="199">
        <f>AW13/AW10</f>
        <v>8.5141304347826088E-2</v>
      </c>
      <c r="AX74" s="200"/>
      <c r="AY74" s="196">
        <f>AY13/AY10</f>
        <v>0.08</v>
      </c>
      <c r="AZ74" s="197">
        <f>AZ13/AZ10</f>
        <v>8.2491173416407049E-2</v>
      </c>
      <c r="BA74" s="197">
        <f>BA13/BA10</f>
        <v>7.6005917159763306E-2</v>
      </c>
      <c r="BB74" s="197">
        <f>BB13/BB10</f>
        <v>7.4339130434782616E-2</v>
      </c>
      <c r="BC74" s="199">
        <f>BC13/BC10</f>
        <v>7.8140168400198107E-2</v>
      </c>
      <c r="BD74" s="200"/>
      <c r="BE74" s="196">
        <f>BE13/BE10</f>
        <v>7.7842412451361864E-2</v>
      </c>
      <c r="BF74" s="197">
        <f>BF13/BF10</f>
        <v>7.8524043179587819E-2</v>
      </c>
      <c r="BG74" s="197">
        <f>BG13/BG10</f>
        <v>7.662835249042145E-2</v>
      </c>
      <c r="BH74" s="197">
        <f>BH13/BH10</f>
        <v>7.5322862286228628E-2</v>
      </c>
      <c r="BI74" s="199">
        <f>BI13/BI10</f>
        <v>7.7039909566872913E-2</v>
      </c>
      <c r="BJ74" s="200"/>
      <c r="BK74" s="196">
        <f>BK13/BK10</f>
        <v>7.6370196813495772E-2</v>
      </c>
      <c r="BL74" s="197">
        <f>BL13/BL10</f>
        <v>7.5017785843920132E-2</v>
      </c>
      <c r="BM74" s="197">
        <f>BM13/BM10</f>
        <v>7.6833931777378822E-2</v>
      </c>
      <c r="BN74" s="197">
        <f>BN13/BN10</f>
        <v>7.4032800672834312E-2</v>
      </c>
      <c r="BO74" s="199">
        <f>BO13/BO10</f>
        <v>7.553099284436493E-2</v>
      </c>
      <c r="BP74" s="200"/>
      <c r="BQ74" s="196">
        <f>BQ13/BQ10</f>
        <v>7.6326176713459953E-2</v>
      </c>
      <c r="BR74" s="197">
        <f>BR13/BR10</f>
        <v>6.8992051184243744E-2</v>
      </c>
      <c r="BS74" s="197">
        <f>BS13/BS10</f>
        <v>7.0816909631948116E-2</v>
      </c>
      <c r="BT74" s="197">
        <f>BT13/BT10</f>
        <v>6.8061410922505561E-2</v>
      </c>
      <c r="BU74" s="199">
        <f>BU13/BU10</f>
        <v>7.0965576201451164E-2</v>
      </c>
      <c r="BV74" s="200"/>
      <c r="BW74" s="196">
        <f>BW13/BW10</f>
        <v>7.5818203897500505E-2</v>
      </c>
      <c r="BX74" s="197">
        <f>BX13/BX10</f>
        <v>6.8491100645370312E-2</v>
      </c>
      <c r="BY74" s="197">
        <f>BY13/BY10</f>
        <v>7.0335991338284776E-2</v>
      </c>
      <c r="BZ74" s="197">
        <f>BZ13/BZ10</f>
        <v>6.7577383219043358E-2</v>
      </c>
      <c r="CA74" s="199">
        <f>CA13/CA10</f>
        <v>7.0464045791111249E-2</v>
      </c>
      <c r="CB74" s="234"/>
      <c r="CC74" s="196">
        <f>CC13/CC10</f>
        <v>7.5561291528771835E-2</v>
      </c>
      <c r="CD74" s="197">
        <f>CD13/CD10</f>
        <v>6.831351700196385E-2</v>
      </c>
      <c r="CE74" s="197">
        <f>CE13/CE10</f>
        <v>7.0144776166544257E-2</v>
      </c>
      <c r="CF74" s="197">
        <f>CF13/CF10</f>
        <v>6.7386074309572011E-2</v>
      </c>
      <c r="CG74" s="199">
        <f>CG13/CG10</f>
        <v>7.0253432242033093E-2</v>
      </c>
      <c r="CH74" s="201"/>
      <c r="CI74" s="196">
        <f>CI13/CI10</f>
        <v>7.5009223398591771E-2</v>
      </c>
      <c r="CJ74" s="197">
        <f>CJ13/CJ10</f>
        <v>6.7828336537258838E-2</v>
      </c>
      <c r="CK74" s="197">
        <f>CK13/CK10</f>
        <v>6.9637894261167413E-2</v>
      </c>
      <c r="CL74" s="197">
        <f>CL13/CL10</f>
        <v>6.6877180722134624E-2</v>
      </c>
      <c r="CM74" s="199">
        <f>CM13/CM10</f>
        <v>6.9732765625971999E-2</v>
      </c>
      <c r="CN74" s="201"/>
      <c r="CO74" s="201"/>
      <c r="CP74" s="201"/>
      <c r="CQ74"/>
      <c r="CR74"/>
      <c r="CS74"/>
      <c r="CT74"/>
      <c r="CU74"/>
      <c r="CV74"/>
      <c r="CW74" s="201"/>
    </row>
    <row r="75" spans="1:101" s="149" customFormat="1" ht="12.75" hidden="1" customHeight="1" outlineLevel="2">
      <c r="A75" s="2237" t="s">
        <v>97</v>
      </c>
      <c r="B75" s="2238"/>
      <c r="C75" s="2272">
        <f>C76*RevBuild!C8</f>
        <v>32.844117647058802</v>
      </c>
      <c r="D75" s="2273">
        <f>D76*RevBuild!D8</f>
        <v>34.246244725738379</v>
      </c>
      <c r="E75" s="2273">
        <f>E76*RevBuild!E8</f>
        <v>33.05583829787232</v>
      </c>
      <c r="F75" s="2273">
        <f>F76*RevBuild!F8</f>
        <v>38.174195402298906</v>
      </c>
      <c r="G75" s="2242">
        <f>SUM(C75:F75)</f>
        <v>138.32039607296844</v>
      </c>
      <c r="H75" s="2238"/>
      <c r="I75" s="2272">
        <f>I76*RevBuild!I8</f>
        <v>40.201199999999972</v>
      </c>
      <c r="J75" s="2273">
        <f>J76*RevBuild!J8</f>
        <v>42.21373839662445</v>
      </c>
      <c r="K75" s="2273">
        <f>K76*RevBuild!K8</f>
        <v>39.46200851063827</v>
      </c>
      <c r="L75" s="2273">
        <f>L76*RevBuild!L8</f>
        <v>44.558275862069031</v>
      </c>
      <c r="M75" s="2242">
        <f>SUM(I75:L75)</f>
        <v>166.43522276933172</v>
      </c>
      <c r="N75" s="2238"/>
      <c r="O75" s="2272">
        <v>33</v>
      </c>
      <c r="P75" s="2273">
        <v>33</v>
      </c>
      <c r="Q75" s="2273">
        <v>31</v>
      </c>
      <c r="R75" s="2273">
        <v>34</v>
      </c>
      <c r="S75" s="2242">
        <f>SUM(O75:R75)</f>
        <v>131</v>
      </c>
      <c r="T75" s="2274"/>
      <c r="U75" s="2272">
        <v>33</v>
      </c>
      <c r="V75" s="2273">
        <v>33</v>
      </c>
      <c r="W75" s="2273">
        <v>37</v>
      </c>
      <c r="X75" s="2273">
        <v>39</v>
      </c>
      <c r="Y75" s="2242">
        <f>SUM(U75:X75)</f>
        <v>142</v>
      </c>
      <c r="Z75" s="2274"/>
      <c r="AA75" s="2272">
        <v>42</v>
      </c>
      <c r="AB75" s="2273">
        <v>45</v>
      </c>
      <c r="AC75" s="2273">
        <v>44</v>
      </c>
      <c r="AD75" s="2273">
        <v>43</v>
      </c>
      <c r="AE75" s="2242">
        <f>SUM(AA75:AD75)</f>
        <v>174</v>
      </c>
      <c r="AF75" s="2275"/>
      <c r="AG75" s="2272">
        <v>42</v>
      </c>
      <c r="AH75" s="2273">
        <v>46</v>
      </c>
      <c r="AI75" s="2241">
        <f>RevBuild!AI8*AI76</f>
        <v>39.1</v>
      </c>
      <c r="AJ75" s="2241">
        <f>RevBuild!AJ8*AJ76</f>
        <v>40.1</v>
      </c>
      <c r="AK75" s="2242">
        <f>SUM(AG75:AJ75)</f>
        <v>167.2</v>
      </c>
      <c r="AL75" s="2243"/>
      <c r="AM75" s="2254">
        <f>RevBuild!AM8*AM76</f>
        <v>44.11</v>
      </c>
      <c r="AN75" s="2241">
        <f>RevBuild!AN8*AN76</f>
        <v>42.5655</v>
      </c>
      <c r="AO75" s="2241">
        <f>RevBuild!AO8*AO76</f>
        <v>42.104999999999997</v>
      </c>
      <c r="AP75" s="2241"/>
      <c r="AQ75" s="2242">
        <f>SUM(AM75:AP75)</f>
        <v>128.78049999999999</v>
      </c>
      <c r="AR75" s="2275"/>
      <c r="AS75" s="2254"/>
      <c r="AT75" s="2241"/>
      <c r="AU75" s="2241"/>
      <c r="AV75" s="2241"/>
      <c r="AW75" s="2242"/>
      <c r="AX75" s="2275"/>
      <c r="AY75" s="2254"/>
      <c r="AZ75" s="2241"/>
      <c r="BA75" s="2241"/>
      <c r="BB75" s="2241"/>
      <c r="BC75" s="2242"/>
      <c r="BD75" s="2275"/>
      <c r="BE75" s="2254"/>
      <c r="BF75" s="2241"/>
      <c r="BG75" s="2241"/>
      <c r="BH75" s="2241"/>
      <c r="BI75" s="2242"/>
      <c r="BJ75" s="2275"/>
      <c r="BK75" s="2254"/>
      <c r="BL75" s="2241"/>
      <c r="BM75" s="2241"/>
      <c r="BN75" s="2241"/>
      <c r="BO75" s="2242"/>
      <c r="BP75" s="2275"/>
      <c r="BQ75" s="2276"/>
      <c r="BR75" s="2276"/>
      <c r="BS75" s="2276"/>
      <c r="BT75" s="2276"/>
      <c r="BU75" s="2242"/>
      <c r="BV75" s="2275"/>
      <c r="BW75" s="2276"/>
      <c r="BX75" s="2276"/>
      <c r="BY75" s="2276"/>
      <c r="BZ75" s="2276"/>
      <c r="CA75" s="2242"/>
      <c r="CB75" s="2241"/>
      <c r="CC75" s="2276"/>
      <c r="CD75" s="2276"/>
      <c r="CE75" s="2276"/>
      <c r="CF75" s="2276"/>
      <c r="CG75" s="2242"/>
      <c r="CI75" s="2276"/>
      <c r="CJ75" s="2276"/>
      <c r="CK75" s="2276"/>
      <c r="CL75" s="2276"/>
      <c r="CM75" s="2242"/>
      <c r="CQ75"/>
      <c r="CR75"/>
      <c r="CS75"/>
      <c r="CT75"/>
      <c r="CU75"/>
      <c r="CV75"/>
    </row>
    <row r="76" spans="1:101" s="149" customFormat="1" ht="12.75" hidden="1" customHeight="1" outlineLevel="2">
      <c r="A76" s="2244" t="s">
        <v>98</v>
      </c>
      <c r="B76" s="2245"/>
      <c r="C76" s="2260">
        <v>0.13137647058823521</v>
      </c>
      <c r="D76" s="2261">
        <v>0.13978059071729951</v>
      </c>
      <c r="E76" s="2261">
        <v>0.12812340425531907</v>
      </c>
      <c r="F76" s="2261">
        <v>0.13028735632183927</v>
      </c>
      <c r="G76" s="2249">
        <f>G75/RevBuild!G8</f>
        <v>0.13223747234509411</v>
      </c>
      <c r="H76" s="2245"/>
      <c r="I76" s="2260">
        <v>0.13137647058823521</v>
      </c>
      <c r="J76" s="2261">
        <v>0.13978059071729951</v>
      </c>
      <c r="K76" s="2261">
        <v>0.12812340425531907</v>
      </c>
      <c r="L76" s="2261">
        <v>0.13028735632183927</v>
      </c>
      <c r="M76" s="2249">
        <f>M75/RevBuild!M8</f>
        <v>0.13230144894223506</v>
      </c>
      <c r="N76" s="2245"/>
      <c r="O76" s="2255">
        <f>O75/RevBuild!O8</f>
        <v>0.12941176470588237</v>
      </c>
      <c r="P76" s="2248">
        <f>P75/RevBuild!P8</f>
        <v>0.13924050632911392</v>
      </c>
      <c r="Q76" s="2248">
        <f>Q75/RevBuild!Q8</f>
        <v>0.13191489361702127</v>
      </c>
      <c r="R76" s="2248">
        <f>R75/RevBuild!R8</f>
        <v>0.13026819923371646</v>
      </c>
      <c r="S76" s="2249">
        <f>S75/RevBuild!S8</f>
        <v>0.13259109311740891</v>
      </c>
      <c r="T76" s="2250"/>
      <c r="U76" s="2255">
        <f>U75/RevBuild!U8</f>
        <v>0.11870503597122302</v>
      </c>
      <c r="V76" s="2248">
        <f>V75/RevBuild!V8</f>
        <v>0.12359550561797752</v>
      </c>
      <c r="W76" s="2248">
        <f>W75/RevBuild!W8</f>
        <v>0.1178343949044586</v>
      </c>
      <c r="X76" s="2248">
        <f>X75/RevBuild!X8</f>
        <v>0.10626702997275204</v>
      </c>
      <c r="Y76" s="2249">
        <f>Y75/RevBuild!Y8</f>
        <v>0.11582381729200653</v>
      </c>
      <c r="Z76" s="2250"/>
      <c r="AA76" s="2255">
        <f>AA75/RevBuild!AA8</f>
        <v>0.1242603550295858</v>
      </c>
      <c r="AB76" s="2248">
        <f>AB75/RevBuild!AB8</f>
        <v>0.11479591836734694</v>
      </c>
      <c r="AC76" s="2248">
        <f>AC75/RevBuild!AC8</f>
        <v>0.11488250652741515</v>
      </c>
      <c r="AD76" s="2248">
        <f>AD75/RevBuild!AD8</f>
        <v>0.10696517412935323</v>
      </c>
      <c r="AE76" s="2249">
        <f>AE75/RevBuild!AE8</f>
        <v>0.11485148514851486</v>
      </c>
      <c r="AF76" s="2277"/>
      <c r="AG76" s="2255">
        <f>AG75/RevBuild!AG8</f>
        <v>0.10632911392405063</v>
      </c>
      <c r="AH76" s="2248">
        <f>AH75/RevBuild!AH8</f>
        <v>0.11645569620253164</v>
      </c>
      <c r="AI76" s="2261">
        <v>0.1</v>
      </c>
      <c r="AJ76" s="2261">
        <v>0.1</v>
      </c>
      <c r="AK76" s="2249">
        <f>AK75/RevBuild!AK8</f>
        <v>0.1056890012642225</v>
      </c>
      <c r="AL76" s="2267"/>
      <c r="AM76" s="2260">
        <v>0.11</v>
      </c>
      <c r="AN76" s="2261">
        <v>0.1051</v>
      </c>
      <c r="AO76" s="2261">
        <v>0.105</v>
      </c>
      <c r="AP76" s="2271"/>
      <c r="AQ76" s="2249">
        <f>AQ75/RevBuild!AQ8</f>
        <v>7.9131609257289598E-2</v>
      </c>
      <c r="AR76" s="2277"/>
      <c r="AS76" s="2270"/>
      <c r="AT76" s="2271"/>
      <c r="AU76" s="2271"/>
      <c r="AV76" s="2271"/>
      <c r="AW76" s="2249"/>
      <c r="AX76" s="2267"/>
      <c r="AY76" s="2270"/>
      <c r="AZ76" s="2271"/>
      <c r="BA76" s="2271"/>
      <c r="BB76" s="2271"/>
      <c r="BC76" s="2249"/>
      <c r="BD76" s="2267"/>
      <c r="BE76" s="2270"/>
      <c r="BF76" s="2271"/>
      <c r="BG76" s="2271"/>
      <c r="BH76" s="2271"/>
      <c r="BI76" s="2249"/>
      <c r="BJ76" s="2267"/>
      <c r="BK76" s="2270"/>
      <c r="BL76" s="2271"/>
      <c r="BM76" s="2271"/>
      <c r="BN76" s="2271"/>
      <c r="BO76" s="2249"/>
      <c r="BP76" s="2267"/>
      <c r="BQ76" s="2256"/>
      <c r="BR76" s="2257"/>
      <c r="BS76" s="2257"/>
      <c r="BT76" s="2257"/>
      <c r="BU76" s="2249"/>
      <c r="BV76" s="2267"/>
      <c r="BW76" s="2256"/>
      <c r="BX76" s="2257"/>
      <c r="BY76" s="2257"/>
      <c r="BZ76" s="2257"/>
      <c r="CA76" s="2249"/>
      <c r="CB76" s="2248"/>
      <c r="CC76" s="2256"/>
      <c r="CD76" s="2257"/>
      <c r="CE76" s="2257"/>
      <c r="CF76" s="2257"/>
      <c r="CG76" s="2249"/>
      <c r="CH76" s="142"/>
      <c r="CI76" s="2256"/>
      <c r="CJ76" s="2257"/>
      <c r="CK76" s="2257"/>
      <c r="CL76" s="2257"/>
      <c r="CM76" s="2249"/>
      <c r="CN76" s="142"/>
      <c r="CO76" s="142"/>
      <c r="CP76" s="142"/>
      <c r="CQ76"/>
      <c r="CR76"/>
      <c r="CS76"/>
      <c r="CT76"/>
      <c r="CU76"/>
      <c r="CV76"/>
      <c r="CW76" s="142"/>
    </row>
    <row r="77" spans="1:101" s="149" customFormat="1" ht="12.75" hidden="1" customHeight="1" outlineLevel="2">
      <c r="A77" s="2237" t="str">
        <f>A60</f>
        <v>DGG</v>
      </c>
      <c r="B77" s="2245"/>
      <c r="C77" s="2278"/>
      <c r="D77" s="2259"/>
      <c r="E77" s="2259"/>
      <c r="F77" s="2259"/>
      <c r="G77" s="2242"/>
      <c r="H77" s="2245"/>
      <c r="I77" s="2278"/>
      <c r="J77" s="2259"/>
      <c r="K77" s="2259"/>
      <c r="L77" s="2259"/>
      <c r="M77" s="2242"/>
      <c r="N77" s="2245"/>
      <c r="O77" s="2278"/>
      <c r="P77" s="2259"/>
      <c r="Q77" s="2259"/>
      <c r="R77" s="2259"/>
      <c r="S77" s="2242"/>
      <c r="T77" s="2250"/>
      <c r="U77" s="2278"/>
      <c r="V77" s="2259"/>
      <c r="W77" s="2259"/>
      <c r="X77" s="2259"/>
      <c r="Y77" s="2242"/>
      <c r="Z77" s="2250"/>
      <c r="AA77" s="2278"/>
      <c r="AB77" s="2259"/>
      <c r="AC77" s="2259"/>
      <c r="AD77" s="2259"/>
      <c r="AE77" s="2242"/>
      <c r="AF77" s="2277"/>
      <c r="AG77" s="2278"/>
      <c r="AH77" s="2259"/>
      <c r="AI77" s="2241">
        <f>RevBuild!AI9*AI78</f>
        <v>10.600000000000001</v>
      </c>
      <c r="AJ77" s="2241">
        <f>RevBuild!AJ9*AJ78</f>
        <v>14.7576</v>
      </c>
      <c r="AK77" s="2242">
        <f>SUM(AI77:AJ77)</f>
        <v>25.357600000000001</v>
      </c>
      <c r="AL77" s="2267"/>
      <c r="AM77" s="2254">
        <f>RevBuild!AM9*AM78</f>
        <v>16.3</v>
      </c>
      <c r="AN77" s="2241">
        <f>RevBuild!AN9*AN78</f>
        <v>15.936</v>
      </c>
      <c r="AO77" s="2241">
        <f>RevBuild!AO9*AO78</f>
        <v>15.811</v>
      </c>
      <c r="AP77" s="2241"/>
      <c r="AQ77" s="2242">
        <f>SUM(AM77:AP77)</f>
        <v>48.047000000000004</v>
      </c>
      <c r="AR77" s="2277"/>
      <c r="AS77" s="2254"/>
      <c r="AT77" s="2241"/>
      <c r="AU77" s="2241"/>
      <c r="AV77" s="2241"/>
      <c r="AW77" s="2242"/>
      <c r="AX77" s="2267"/>
      <c r="AY77" s="2254"/>
      <c r="AZ77" s="2241"/>
      <c r="BA77" s="2241"/>
      <c r="BB77" s="2241"/>
      <c r="BC77" s="2242"/>
      <c r="BD77" s="2267"/>
      <c r="BE77" s="2254"/>
      <c r="BF77" s="2241"/>
      <c r="BG77" s="2241"/>
      <c r="BH77" s="2241"/>
      <c r="BI77" s="2242"/>
      <c r="BJ77" s="2267"/>
      <c r="BK77" s="2254"/>
      <c r="BL77" s="2241"/>
      <c r="BM77" s="2241"/>
      <c r="BN77" s="2241"/>
      <c r="BO77" s="2242"/>
      <c r="BP77" s="2267"/>
      <c r="BQ77" s="2254"/>
      <c r="BR77" s="2241"/>
      <c r="BS77" s="2241"/>
      <c r="BT77" s="2241"/>
      <c r="BU77" s="2242"/>
      <c r="BV77" s="2267"/>
      <c r="BW77" s="2254"/>
      <c r="BX77" s="2241"/>
      <c r="BY77" s="2241"/>
      <c r="BZ77" s="2241"/>
      <c r="CA77" s="2242"/>
      <c r="CB77" s="2241"/>
      <c r="CC77" s="2254"/>
      <c r="CD77" s="2241"/>
      <c r="CE77" s="2241"/>
      <c r="CF77" s="2241"/>
      <c r="CG77" s="2242"/>
      <c r="CH77" s="142"/>
      <c r="CI77" s="2254"/>
      <c r="CJ77" s="2241"/>
      <c r="CK77" s="2241"/>
      <c r="CL77" s="2241"/>
      <c r="CM77" s="2242"/>
      <c r="CN77" s="142"/>
      <c r="CO77" s="142"/>
      <c r="CP77" s="142"/>
      <c r="CQ77"/>
      <c r="CR77"/>
      <c r="CS77"/>
      <c r="CT77"/>
      <c r="CU77"/>
      <c r="CV77"/>
      <c r="CW77" s="142"/>
    </row>
    <row r="78" spans="1:101" s="149" customFormat="1" ht="12.75" hidden="1" customHeight="1" outlineLevel="2">
      <c r="A78" s="2244" t="str">
        <f>A61</f>
        <v>% of DGG sales</v>
      </c>
      <c r="B78" s="2245"/>
      <c r="C78" s="2256"/>
      <c r="D78" s="2257"/>
      <c r="E78" s="2257"/>
      <c r="F78" s="2257"/>
      <c r="G78" s="2249"/>
      <c r="H78" s="2245"/>
      <c r="I78" s="2256"/>
      <c r="J78" s="2257"/>
      <c r="K78" s="2257"/>
      <c r="L78" s="2257"/>
      <c r="M78" s="2249"/>
      <c r="N78" s="2245"/>
      <c r="O78" s="2256"/>
      <c r="P78" s="2257"/>
      <c r="Q78" s="2257"/>
      <c r="R78" s="2257"/>
      <c r="S78" s="2249"/>
      <c r="T78" s="2250"/>
      <c r="U78" s="2256"/>
      <c r="V78" s="2257"/>
      <c r="W78" s="2257"/>
      <c r="X78" s="2257"/>
      <c r="Y78" s="2249"/>
      <c r="Z78" s="2250"/>
      <c r="AA78" s="2256"/>
      <c r="AB78" s="2257"/>
      <c r="AC78" s="2257"/>
      <c r="AD78" s="2257"/>
      <c r="AE78" s="2249"/>
      <c r="AF78" s="2277"/>
      <c r="AG78" s="2256"/>
      <c r="AH78" s="2257"/>
      <c r="AI78" s="2261">
        <v>0.1</v>
      </c>
      <c r="AJ78" s="2261">
        <v>9.4600000000000004E-2</v>
      </c>
      <c r="AK78" s="2249">
        <f>AK77/RevBuild!AK$9</f>
        <v>6.307860696517413E-2</v>
      </c>
      <c r="AL78" s="2267"/>
      <c r="AM78" s="2279">
        <v>0.1</v>
      </c>
      <c r="AN78" s="2261">
        <v>9.6000000000000002E-2</v>
      </c>
      <c r="AO78" s="2261">
        <v>9.7000000000000003E-2</v>
      </c>
      <c r="AP78" s="2271"/>
      <c r="AQ78" s="2249">
        <f>AQ77/RevBuild!AQ$9</f>
        <v>7.143703826044491E-2</v>
      </c>
      <c r="AR78" s="2277"/>
      <c r="AS78" s="2280"/>
      <c r="AT78" s="2271"/>
      <c r="AU78" s="2271"/>
      <c r="AV78" s="2271"/>
      <c r="AW78" s="2249"/>
      <c r="AX78" s="2267"/>
      <c r="AY78" s="2280"/>
      <c r="AZ78" s="2271"/>
      <c r="BA78" s="2271"/>
      <c r="BB78" s="2271"/>
      <c r="BC78" s="2249"/>
      <c r="BD78" s="2267"/>
      <c r="BE78" s="2280"/>
      <c r="BF78" s="2271"/>
      <c r="BG78" s="2271"/>
      <c r="BH78" s="2271"/>
      <c r="BI78" s="2249"/>
      <c r="BJ78" s="2267"/>
      <c r="BK78" s="2280"/>
      <c r="BL78" s="2271"/>
      <c r="BM78" s="2271"/>
      <c r="BN78" s="2271"/>
      <c r="BO78" s="2249"/>
      <c r="BP78" s="2267"/>
      <c r="BQ78" s="2256"/>
      <c r="BR78" s="2257"/>
      <c r="BS78" s="2257"/>
      <c r="BT78" s="2257"/>
      <c r="BU78" s="2249"/>
      <c r="BV78" s="2267"/>
      <c r="BW78" s="2256"/>
      <c r="BX78" s="2257"/>
      <c r="BY78" s="2257"/>
      <c r="BZ78" s="2257"/>
      <c r="CA78" s="2249"/>
      <c r="CB78" s="2248"/>
      <c r="CC78" s="2256"/>
      <c r="CD78" s="2257"/>
      <c r="CE78" s="2257"/>
      <c r="CF78" s="2257"/>
      <c r="CG78" s="2249"/>
      <c r="CH78" s="142"/>
      <c r="CI78" s="2256"/>
      <c r="CJ78" s="2257"/>
      <c r="CK78" s="2257"/>
      <c r="CL78" s="2257"/>
      <c r="CM78" s="2249"/>
      <c r="CN78" s="142"/>
      <c r="CO78" s="142"/>
      <c r="CP78" s="142"/>
      <c r="CQ78"/>
      <c r="CR78"/>
      <c r="CS78"/>
      <c r="CT78"/>
      <c r="CU78"/>
      <c r="CV78"/>
      <c r="CW78" s="142"/>
    </row>
    <row r="79" spans="1:101" s="149" customFormat="1" ht="12.75" hidden="1" customHeight="1" outlineLevel="2">
      <c r="A79" s="2237" t="s">
        <v>101</v>
      </c>
      <c r="B79" s="2238"/>
      <c r="C79" s="2281">
        <f>C80*RevBuild!C10</f>
        <v>12.337962962962962</v>
      </c>
      <c r="D79" s="2282">
        <f>D80*RevBuild!D10</f>
        <v>11.895</v>
      </c>
      <c r="E79" s="2282">
        <f>E80*RevBuild!E10</f>
        <v>12.472906403940886</v>
      </c>
      <c r="F79" s="2282">
        <f>F80*RevBuild!F10</f>
        <v>12.32</v>
      </c>
      <c r="G79" s="2283">
        <f>SUM(C79:F79)</f>
        <v>49.025869366903848</v>
      </c>
      <c r="H79" s="2238"/>
      <c r="I79" s="2281">
        <f>I80*RevBuild!I10</f>
        <v>13.541666666666666</v>
      </c>
      <c r="J79" s="2282">
        <f>J80*RevBuild!J10</f>
        <v>14.82</v>
      </c>
      <c r="K79" s="2282">
        <f>K80*RevBuild!K10</f>
        <v>13.714285714285714</v>
      </c>
      <c r="L79" s="2282">
        <f>L80*RevBuild!L10</f>
        <v>13.440000000000001</v>
      </c>
      <c r="M79" s="2283">
        <f>SUM(I79:L79)</f>
        <v>55.515952380952385</v>
      </c>
      <c r="N79" s="2238"/>
      <c r="O79" s="2281">
        <v>13</v>
      </c>
      <c r="P79" s="2282">
        <v>13</v>
      </c>
      <c r="Q79" s="2282">
        <v>12</v>
      </c>
      <c r="R79" s="2282">
        <f>50-Q79-P79-O79</f>
        <v>12</v>
      </c>
      <c r="S79" s="2283">
        <f>SUM(O79:R79)</f>
        <v>50</v>
      </c>
      <c r="T79" s="2284"/>
      <c r="U79" s="2281">
        <v>13</v>
      </c>
      <c r="V79" s="2282">
        <v>14</v>
      </c>
      <c r="W79" s="2282">
        <v>20</v>
      </c>
      <c r="X79" s="2282">
        <f>68-W79-V79-U79</f>
        <v>21</v>
      </c>
      <c r="Y79" s="2283">
        <f>SUM(U79:X79)</f>
        <v>68</v>
      </c>
      <c r="Z79" s="2284"/>
      <c r="AA79" s="2281">
        <v>23</v>
      </c>
      <c r="AB79" s="2282">
        <v>23</v>
      </c>
      <c r="AC79" s="2282">
        <v>23</v>
      </c>
      <c r="AD79" s="2282">
        <v>23</v>
      </c>
      <c r="AE79" s="2283">
        <f>SUM(AA79:AD79)</f>
        <v>92</v>
      </c>
      <c r="AF79" s="2285"/>
      <c r="AG79" s="2281">
        <v>23</v>
      </c>
      <c r="AH79" s="2282">
        <v>24</v>
      </c>
      <c r="AI79" s="2241">
        <f>RevBuild!AI10*AI80</f>
        <v>22.098000000000003</v>
      </c>
      <c r="AJ79" s="2241">
        <f>RevBuild!AJ10*AJ80</f>
        <v>23.64</v>
      </c>
      <c r="AK79" s="2242">
        <f>SUM(AG79:AJ79)</f>
        <v>92.738</v>
      </c>
      <c r="AL79" s="2259"/>
      <c r="AM79" s="2254">
        <f>RevBuild!AM10*AM80</f>
        <v>25.739999999999991</v>
      </c>
      <c r="AN79" s="2241">
        <f>RevBuild!AN10*AN80</f>
        <v>24.06</v>
      </c>
      <c r="AO79" s="2241">
        <f>RevBuild!AO10*AO80</f>
        <v>25.542000000000002</v>
      </c>
      <c r="AP79" s="2241">
        <f>RevBuild!AP10*AP80</f>
        <v>22.66</v>
      </c>
      <c r="AQ79" s="2242">
        <f>SUM(AM79:AP79)</f>
        <v>98.001999999999981</v>
      </c>
      <c r="AR79" s="2286"/>
      <c r="AS79" s="2254">
        <f>RevBuild!AS10*AS80</f>
        <v>27.2425888324873</v>
      </c>
      <c r="AT79" s="2241">
        <f>RevBuild!AT10*AT80</f>
        <v>23.838000000000001</v>
      </c>
      <c r="AU79" s="2241">
        <f>RevBuild!AU10*AU80</f>
        <v>24.186</v>
      </c>
      <c r="AV79" s="2241">
        <f>RevBuild!AV10*AV80</f>
        <v>21.55</v>
      </c>
      <c r="AW79" s="2242">
        <f>SUM(AS79:AV79)</f>
        <v>96.816588832487298</v>
      </c>
      <c r="AX79" s="2259"/>
      <c r="AY79" s="2254"/>
      <c r="AZ79" s="2241"/>
      <c r="BA79" s="2241"/>
      <c r="BB79" s="2241"/>
      <c r="BC79" s="2242"/>
      <c r="BD79" s="2259"/>
      <c r="BE79" s="2254"/>
      <c r="BF79" s="2241"/>
      <c r="BG79" s="2241"/>
      <c r="BH79" s="2241"/>
      <c r="BI79" s="2242"/>
      <c r="BJ79" s="2259"/>
      <c r="BK79" s="2254"/>
      <c r="BL79" s="2241"/>
      <c r="BM79" s="2241"/>
      <c r="BN79" s="2241"/>
      <c r="BO79" s="2242"/>
      <c r="BP79" s="2259"/>
      <c r="BQ79" s="2254"/>
      <c r="BR79" s="2241"/>
      <c r="BS79" s="2241"/>
      <c r="BT79" s="2241"/>
      <c r="BU79" s="2242"/>
      <c r="BV79" s="2259"/>
      <c r="BW79" s="2254"/>
      <c r="BX79" s="2241"/>
      <c r="BY79" s="2241"/>
      <c r="BZ79" s="2241"/>
      <c r="CA79" s="2242"/>
      <c r="CB79" s="2241"/>
      <c r="CC79" s="2254"/>
      <c r="CD79" s="2241"/>
      <c r="CE79" s="2241"/>
      <c r="CF79" s="2241"/>
      <c r="CG79" s="2242"/>
      <c r="CI79" s="2254"/>
      <c r="CJ79" s="2241"/>
      <c r="CK79" s="2241"/>
      <c r="CL79" s="2241"/>
      <c r="CM79" s="2242"/>
      <c r="CQ79"/>
      <c r="CR79"/>
      <c r="CS79"/>
      <c r="CT79"/>
      <c r="CU79"/>
      <c r="CV79"/>
    </row>
    <row r="80" spans="1:101" s="149" customFormat="1" ht="12.75" hidden="1" customHeight="1" outlineLevel="2">
      <c r="A80" s="2244" t="s">
        <v>102</v>
      </c>
      <c r="B80" s="2245"/>
      <c r="C80" s="2260">
        <v>6.0185185185185182E-2</v>
      </c>
      <c r="D80" s="2261">
        <v>6.5000000000000002E-2</v>
      </c>
      <c r="E80" s="2261">
        <v>5.9113300492610835E-2</v>
      </c>
      <c r="F80" s="2261">
        <v>5.3333333333333337E-2</v>
      </c>
      <c r="G80" s="2249">
        <f>G79/RevBuild!G10</f>
        <v>5.9067312490245598E-2</v>
      </c>
      <c r="H80" s="2245"/>
      <c r="I80" s="2260">
        <v>6.0185185185185182E-2</v>
      </c>
      <c r="J80" s="2261">
        <v>6.5000000000000002E-2</v>
      </c>
      <c r="K80" s="2261">
        <v>5.9113300492610835E-2</v>
      </c>
      <c r="L80" s="2261">
        <v>5.3333333333333337E-2</v>
      </c>
      <c r="M80" s="2249">
        <f>M79/RevBuild!M10</f>
        <v>5.9248615134420902E-2</v>
      </c>
      <c r="N80" s="2245"/>
      <c r="O80" s="2255">
        <f>O79/RevBuild!O10</f>
        <v>6.0185185185185182E-2</v>
      </c>
      <c r="P80" s="2248">
        <f>P79/RevBuild!P10</f>
        <v>6.5000000000000002E-2</v>
      </c>
      <c r="Q80" s="2248">
        <f>Q79/RevBuild!Q10</f>
        <v>5.9113300492610835E-2</v>
      </c>
      <c r="R80" s="2248">
        <f>R79/RevBuild!R10</f>
        <v>5.3333333333333337E-2</v>
      </c>
      <c r="S80" s="2249">
        <f>S79/RevBuild!S10</f>
        <v>5.9241706161137442E-2</v>
      </c>
      <c r="T80" s="2250"/>
      <c r="U80" s="2255">
        <f>U79/RevBuild!U10</f>
        <v>5.3278688524590161E-2</v>
      </c>
      <c r="V80" s="2248">
        <f>V79/RevBuild!V10</f>
        <v>5.8823529411764705E-2</v>
      </c>
      <c r="W80" s="2248">
        <f>W79/RevBuild!W10</f>
        <v>6.0790273556231005E-2</v>
      </c>
      <c r="X80" s="2248">
        <f>X79/RevBuild!X10</f>
        <v>5.3984575835475578E-2</v>
      </c>
      <c r="Y80" s="2249">
        <f>Y79/RevBuild!Y10</f>
        <v>5.6666666666666664E-2</v>
      </c>
      <c r="Z80" s="2250"/>
      <c r="AA80" s="2255">
        <f>AA79/RevBuild!AA10</f>
        <v>6.5902578796561598E-2</v>
      </c>
      <c r="AB80" s="2248">
        <f>AB79/RevBuild!AB10</f>
        <v>6.0367454068241469E-2</v>
      </c>
      <c r="AC80" s="2248">
        <f>AC79/RevBuild!AC10</f>
        <v>6.0052219321148827E-2</v>
      </c>
      <c r="AD80" s="2248">
        <f>AD79/RevBuild!AD10</f>
        <v>5.6790123456790124E-2</v>
      </c>
      <c r="AE80" s="2249">
        <f>AE79/RevBuild!AE10</f>
        <v>6.0606060606060608E-2</v>
      </c>
      <c r="AF80" s="2263"/>
      <c r="AG80" s="2255">
        <f>AG79/RevBuild!AG10</f>
        <v>5.808080808080808E-2</v>
      </c>
      <c r="AH80" s="2248">
        <f>AH79/RevBuild!AH10</f>
        <v>6.1855670103092786E-2</v>
      </c>
      <c r="AI80" s="2261">
        <v>5.8000000000000003E-2</v>
      </c>
      <c r="AJ80" s="2261">
        <v>0.06</v>
      </c>
      <c r="AK80" s="2249">
        <f>AK79/RevBuild!AK10</f>
        <v>5.9485567671584347E-2</v>
      </c>
      <c r="AL80" s="2250"/>
      <c r="AM80" s="2279">
        <v>6.5329949238578655E-2</v>
      </c>
      <c r="AN80" s="2261">
        <v>0.06</v>
      </c>
      <c r="AO80" s="2261">
        <v>6.6000000000000003E-2</v>
      </c>
      <c r="AP80" s="2261">
        <v>5.5E-2</v>
      </c>
      <c r="AQ80" s="2249">
        <f>AQ79/RevBuild!AQ10</f>
        <v>6.1481806775407766E-2</v>
      </c>
      <c r="AR80" s="2263"/>
      <c r="AS80" s="2279">
        <f>AM80</f>
        <v>6.5329949238578655E-2</v>
      </c>
      <c r="AT80" s="2261">
        <v>5.8000000000000003E-2</v>
      </c>
      <c r="AU80" s="2261">
        <v>5.8000000000000003E-2</v>
      </c>
      <c r="AV80" s="2261">
        <v>0.05</v>
      </c>
      <c r="AW80" s="2249">
        <f>AW79/RevBuild!AW10</f>
        <v>5.7766461117235858E-2</v>
      </c>
      <c r="AX80" s="2267"/>
      <c r="AY80" s="2280"/>
      <c r="AZ80" s="2248"/>
      <c r="BA80" s="2248"/>
      <c r="BB80" s="2248"/>
      <c r="BC80" s="2249"/>
      <c r="BD80" s="2267"/>
      <c r="BE80" s="2280"/>
      <c r="BF80" s="2248"/>
      <c r="BG80" s="2248"/>
      <c r="BH80" s="2248"/>
      <c r="BI80" s="2249"/>
      <c r="BJ80" s="2267"/>
      <c r="BK80" s="2280"/>
      <c r="BL80" s="2248"/>
      <c r="BM80" s="2248"/>
      <c r="BN80" s="2248"/>
      <c r="BO80" s="2249"/>
      <c r="BP80" s="2267"/>
      <c r="BQ80" s="2280"/>
      <c r="BR80" s="2287"/>
      <c r="BS80" s="2287"/>
      <c r="BT80" s="2287"/>
      <c r="BU80" s="2249"/>
      <c r="BV80" s="2267"/>
      <c r="BW80" s="2280"/>
      <c r="BX80" s="2287"/>
      <c r="BY80" s="2287"/>
      <c r="BZ80" s="2287"/>
      <c r="CA80" s="2249"/>
      <c r="CB80" s="2248"/>
      <c r="CC80" s="2280"/>
      <c r="CD80" s="2287"/>
      <c r="CE80" s="2287"/>
      <c r="CF80" s="2287"/>
      <c r="CG80" s="2249"/>
      <c r="CH80" s="142"/>
      <c r="CI80" s="2280"/>
      <c r="CJ80" s="2287"/>
      <c r="CK80" s="2287"/>
      <c r="CL80" s="2287"/>
      <c r="CM80" s="2249"/>
      <c r="CN80" s="142"/>
      <c r="CO80" s="142"/>
      <c r="CP80" s="142"/>
      <c r="CQ80"/>
      <c r="CR80"/>
      <c r="CS80"/>
      <c r="CT80"/>
      <c r="CU80"/>
      <c r="CV80"/>
      <c r="CW80" s="142"/>
    </row>
    <row r="81" spans="1:101" s="149" customFormat="1" ht="12.75" hidden="1" customHeight="1" outlineLevel="2">
      <c r="A81" s="2237" t="s">
        <v>103</v>
      </c>
      <c r="B81" s="2245"/>
      <c r="C81" s="2254"/>
      <c r="D81" s="2241"/>
      <c r="E81" s="2241"/>
      <c r="F81" s="2241"/>
      <c r="G81" s="2242"/>
      <c r="H81" s="2245"/>
      <c r="I81" s="2254"/>
      <c r="J81" s="2241"/>
      <c r="K81" s="2241"/>
      <c r="L81" s="2241"/>
      <c r="M81" s="2242"/>
      <c r="N81" s="2245"/>
      <c r="O81" s="2254"/>
      <c r="P81" s="2241"/>
      <c r="Q81" s="2241"/>
      <c r="R81" s="2241"/>
      <c r="S81" s="2242"/>
      <c r="T81" s="2250"/>
      <c r="U81" s="2254"/>
      <c r="V81" s="2241"/>
      <c r="W81" s="2241"/>
      <c r="X81" s="2241"/>
      <c r="Y81" s="2242"/>
      <c r="Z81" s="2250"/>
      <c r="AA81" s="2254"/>
      <c r="AB81" s="2241"/>
      <c r="AC81" s="2241"/>
      <c r="AD81" s="2241"/>
      <c r="AE81" s="2242"/>
      <c r="AF81" s="2250"/>
      <c r="AG81" s="2254">
        <f>+AG75+AG77</f>
        <v>42</v>
      </c>
      <c r="AH81" s="2241">
        <f>+AH75+AH77</f>
        <v>46</v>
      </c>
      <c r="AI81" s="2241">
        <f>+AI75+AI77</f>
        <v>49.7</v>
      </c>
      <c r="AJ81" s="2241">
        <f>+AJ75+AJ77</f>
        <v>54.857600000000005</v>
      </c>
      <c r="AK81" s="2242">
        <f>+AK75+AK77</f>
        <v>192.55759999999998</v>
      </c>
      <c r="AL81" s="2250"/>
      <c r="AM81" s="2254">
        <f>+AM75+AM77</f>
        <v>60.41</v>
      </c>
      <c r="AN81" s="2241">
        <f>+AN75+AN77</f>
        <v>58.5015</v>
      </c>
      <c r="AO81" s="2241">
        <f>+AO75+AO77</f>
        <v>57.915999999999997</v>
      </c>
      <c r="AP81" s="2241">
        <f>RevBuild!AP11*AP82</f>
        <v>63.705999999999996</v>
      </c>
      <c r="AQ81" s="2242">
        <f>SUM(AM81:AP81)</f>
        <v>240.53349999999998</v>
      </c>
      <c r="AR81" s="2263"/>
      <c r="AS81" s="2254">
        <f>RevBuild!AS11*AS82</f>
        <v>65.010000000000005</v>
      </c>
      <c r="AT81" s="2241">
        <f>RevBuild!AT11*AT82</f>
        <v>61.161999999999999</v>
      </c>
      <c r="AU81" s="2241">
        <f>RevBuild!AU11*AU82</f>
        <v>62.751999999999995</v>
      </c>
      <c r="AV81" s="2241">
        <f>RevBuild!AV11*AV82</f>
        <v>65.483999999999995</v>
      </c>
      <c r="AW81" s="2242">
        <f>SUM(AS81:AV81)</f>
        <v>254.40799999999996</v>
      </c>
      <c r="AX81" s="2250"/>
      <c r="AY81" s="2254"/>
      <c r="AZ81" s="2241"/>
      <c r="BA81" s="2241"/>
      <c r="BB81" s="2241"/>
      <c r="BC81" s="2242"/>
      <c r="BD81" s="2250"/>
      <c r="BE81" s="2254"/>
      <c r="BF81" s="2241"/>
      <c r="BG81" s="2241"/>
      <c r="BH81" s="2241"/>
      <c r="BI81" s="2242"/>
      <c r="BJ81" s="2250"/>
      <c r="BK81" s="2254"/>
      <c r="BL81" s="2241"/>
      <c r="BM81" s="2241"/>
      <c r="BN81" s="2241"/>
      <c r="BO81" s="2242"/>
      <c r="BP81" s="2250"/>
      <c r="BQ81" s="2254"/>
      <c r="BR81" s="2241"/>
      <c r="BS81" s="2241"/>
      <c r="BT81" s="2241"/>
      <c r="BU81" s="2242"/>
      <c r="BV81" s="2250"/>
      <c r="BW81" s="2254"/>
      <c r="BX81" s="2241"/>
      <c r="BY81" s="2241"/>
      <c r="BZ81" s="2241"/>
      <c r="CA81" s="2242"/>
      <c r="CB81" s="2241"/>
      <c r="CC81" s="2254"/>
      <c r="CD81" s="2241"/>
      <c r="CE81" s="2241"/>
      <c r="CF81" s="2241"/>
      <c r="CG81" s="2242"/>
      <c r="CH81" s="142"/>
      <c r="CI81" s="2254"/>
      <c r="CJ81" s="2241"/>
      <c r="CK81" s="2241"/>
      <c r="CL81" s="2241"/>
      <c r="CM81" s="2242"/>
      <c r="CN81" s="142"/>
      <c r="CO81" s="142"/>
      <c r="CP81" s="142"/>
      <c r="CQ81"/>
      <c r="CR81"/>
      <c r="CS81"/>
      <c r="CT81"/>
      <c r="CU81"/>
      <c r="CV81"/>
      <c r="CW81" s="142"/>
    </row>
    <row r="82" spans="1:101" s="149" customFormat="1" ht="12.75" hidden="1" customHeight="1" outlineLevel="2">
      <c r="A82" s="2244" t="s">
        <v>104</v>
      </c>
      <c r="B82" s="2245"/>
      <c r="C82" s="2255"/>
      <c r="D82" s="2248"/>
      <c r="E82" s="2248"/>
      <c r="F82" s="2248"/>
      <c r="G82" s="2249"/>
      <c r="H82" s="2245"/>
      <c r="I82" s="2255"/>
      <c r="J82" s="2248"/>
      <c r="K82" s="2248"/>
      <c r="L82" s="2248"/>
      <c r="M82" s="2249"/>
      <c r="N82" s="2245"/>
      <c r="O82" s="2255"/>
      <c r="P82" s="2248"/>
      <c r="Q82" s="2248"/>
      <c r="R82" s="2248"/>
      <c r="S82" s="2249"/>
      <c r="T82" s="2250"/>
      <c r="U82" s="2255"/>
      <c r="V82" s="2248"/>
      <c r="W82" s="2248"/>
      <c r="X82" s="2248"/>
      <c r="Y82" s="2249"/>
      <c r="Z82" s="2250"/>
      <c r="AA82" s="2255"/>
      <c r="AB82" s="2248"/>
      <c r="AC82" s="2248"/>
      <c r="AD82" s="2248"/>
      <c r="AE82" s="2249"/>
      <c r="AF82" s="2250"/>
      <c r="AG82" s="2255">
        <f>AG81/RevBuild!AG11</f>
        <v>9.1106290672451198E-2</v>
      </c>
      <c r="AH82" s="2248">
        <f>AH81/RevBuild!AH11</f>
        <v>9.8081023454157784E-2</v>
      </c>
      <c r="AI82" s="2248">
        <f>AI81/RevBuild!AI11</f>
        <v>0.1</v>
      </c>
      <c r="AJ82" s="2248">
        <f>AJ81/RevBuild!AJ11</f>
        <v>9.8487612208258538E-2</v>
      </c>
      <c r="AK82" s="2249">
        <f>AK81/RevBuild!AK11</f>
        <v>9.7055241935483857E-2</v>
      </c>
      <c r="AL82" s="2250"/>
      <c r="AM82" s="2255">
        <f>AM81/RevBuild!AM11</f>
        <v>0.10710992907801418</v>
      </c>
      <c r="AN82" s="2248">
        <f>AN81/RevBuild!AN11</f>
        <v>0.10245446584938704</v>
      </c>
      <c r="AO82" s="2248">
        <f>AO81/RevBuild!AO11</f>
        <v>0.10268794326241135</v>
      </c>
      <c r="AP82" s="2261">
        <v>0.106</v>
      </c>
      <c r="AQ82" s="2249">
        <f>AQ81/RevBuild!AQ11</f>
        <v>0.10457978260869565</v>
      </c>
      <c r="AR82" s="2263"/>
      <c r="AS82" s="2260">
        <v>0.11</v>
      </c>
      <c r="AT82" s="2261">
        <v>0.106</v>
      </c>
      <c r="AU82" s="2261">
        <v>0.106</v>
      </c>
      <c r="AV82" s="2261">
        <v>0.107</v>
      </c>
      <c r="AW82" s="2249">
        <f>AW81/RevBuild!AW11</f>
        <v>0.10725463743676221</v>
      </c>
      <c r="AX82" s="2250"/>
      <c r="AY82" s="2255"/>
      <c r="AZ82" s="2248"/>
      <c r="BA82" s="2248"/>
      <c r="BB82" s="2248"/>
      <c r="BC82" s="2249"/>
      <c r="BD82" s="2250"/>
      <c r="BE82" s="2255"/>
      <c r="BF82" s="2248"/>
      <c r="BG82" s="2248"/>
      <c r="BH82" s="2248"/>
      <c r="BI82" s="2249"/>
      <c r="BJ82" s="2250"/>
      <c r="BK82" s="2255"/>
      <c r="BL82" s="2248"/>
      <c r="BM82" s="2248"/>
      <c r="BN82" s="2248"/>
      <c r="BO82" s="2249"/>
      <c r="BP82" s="2250"/>
      <c r="BQ82" s="2280"/>
      <c r="BR82" s="2287"/>
      <c r="BS82" s="2287"/>
      <c r="BT82" s="2287"/>
      <c r="BU82" s="2249"/>
      <c r="BV82" s="2250"/>
      <c r="BW82" s="2280"/>
      <c r="BX82" s="2287"/>
      <c r="BY82" s="2287"/>
      <c r="BZ82" s="2287"/>
      <c r="CA82" s="2249"/>
      <c r="CB82" s="2248"/>
      <c r="CC82" s="2280"/>
      <c r="CD82" s="2287"/>
      <c r="CE82" s="2287"/>
      <c r="CF82" s="2287"/>
      <c r="CG82" s="2249"/>
      <c r="CH82" s="142"/>
      <c r="CI82" s="2280"/>
      <c r="CJ82" s="2287"/>
      <c r="CK82" s="2287"/>
      <c r="CL82" s="2287"/>
      <c r="CM82" s="2249"/>
      <c r="CN82" s="142"/>
      <c r="CO82" s="142"/>
      <c r="CP82" s="142"/>
      <c r="CQ82"/>
      <c r="CR82"/>
      <c r="CS82"/>
      <c r="CT82"/>
      <c r="CU82"/>
      <c r="CV82"/>
      <c r="CW82" s="142"/>
    </row>
    <row r="83" spans="1:101" s="149" customFormat="1" outlineLevel="1" collapsed="1">
      <c r="A83" s="501" t="s">
        <v>105</v>
      </c>
      <c r="B83" s="150"/>
      <c r="C83" s="1318"/>
      <c r="D83" s="1985"/>
      <c r="E83" s="1985"/>
      <c r="F83" s="1985"/>
      <c r="G83" s="1986"/>
      <c r="H83" s="150"/>
      <c r="I83" s="1318"/>
      <c r="J83" s="1985"/>
      <c r="K83" s="1985"/>
      <c r="L83" s="1985"/>
      <c r="M83" s="1986"/>
      <c r="N83" s="150"/>
      <c r="O83" s="1318"/>
      <c r="P83" s="1985"/>
      <c r="Q83" s="1985"/>
      <c r="R83" s="1985"/>
      <c r="S83" s="1986"/>
      <c r="T83" s="151"/>
      <c r="U83" s="1318"/>
      <c r="V83" s="1985"/>
      <c r="W83" s="1985"/>
      <c r="X83" s="1985"/>
      <c r="Y83" s="1986"/>
      <c r="Z83" s="151"/>
      <c r="AA83" s="1318"/>
      <c r="AB83" s="1985"/>
      <c r="AC83" s="1985"/>
      <c r="AD83" s="1985"/>
      <c r="AE83" s="1986"/>
      <c r="AF83" s="151"/>
      <c r="AG83" s="1318">
        <v>39.212368728121355</v>
      </c>
      <c r="AH83" s="1985">
        <v>40.676779463243875</v>
      </c>
      <c r="AI83" s="1985">
        <v>40.56014578587699</v>
      </c>
      <c r="AJ83" s="1985">
        <v>41.766336067297587</v>
      </c>
      <c r="AK83" s="1986">
        <f>SUM(AG83:AJ83)</f>
        <v>162.21563004453981</v>
      </c>
      <c r="AL83" s="151"/>
      <c r="AM83" s="1318">
        <v>45.952661795407089</v>
      </c>
      <c r="AN83" s="1985">
        <v>43.149425925925918</v>
      </c>
      <c r="AO83" s="1985">
        <v>42.913735015772872</v>
      </c>
      <c r="AP83" s="1985">
        <v>44.930781836130301</v>
      </c>
      <c r="AQ83" s="1986">
        <f>SUM(AM83:AP83)</f>
        <v>176.94660457323619</v>
      </c>
      <c r="AR83" s="157"/>
      <c r="AS83" s="1318">
        <f>RevBuild!AS12*IS!AS84</f>
        <v>45.645000000000003</v>
      </c>
      <c r="AT83" s="1985">
        <v>42.586032388663973</v>
      </c>
      <c r="AU83" s="1985">
        <v>43.684406342913768</v>
      </c>
      <c r="AV83" s="1985">
        <v>44.977302013422815</v>
      </c>
      <c r="AW83" s="1986">
        <f>SUM(AS83:AV83)</f>
        <v>176.89274074500057</v>
      </c>
      <c r="AX83" s="151"/>
      <c r="AY83" s="1318">
        <f>RevBuild!AY12*IS!AY84</f>
        <v>43.76</v>
      </c>
      <c r="AZ83" s="1985">
        <f>RevBuild!AZ12*IS!AZ84</f>
        <v>39.731999999999999</v>
      </c>
      <c r="BA83" s="1985">
        <f>RevBuild!BA12*IS!BA84</f>
        <v>39.347000000000001</v>
      </c>
      <c r="BB83" s="1985">
        <f>RevBuild!BB12*IS!BB84</f>
        <v>38.625</v>
      </c>
      <c r="BC83" s="1986">
        <f>SUM(AY83:BB83)</f>
        <v>161.464</v>
      </c>
      <c r="BD83" s="151"/>
      <c r="BE83" s="1318">
        <f>RevBuild!BE12*IS!BE84</f>
        <v>41.554000000000002</v>
      </c>
      <c r="BF83" s="1985">
        <f>RevBuild!BF12*IS!BF84</f>
        <v>38.61</v>
      </c>
      <c r="BG83" s="1985">
        <f>RevBuild!BG12*IS!BG84</f>
        <v>39.06</v>
      </c>
      <c r="BH83" s="1985">
        <f>RevBuild!BH12*IS!BH84</f>
        <v>41.1</v>
      </c>
      <c r="BI83" s="1986">
        <f>SUM(BE83:BH83)</f>
        <v>160.32400000000001</v>
      </c>
      <c r="BJ83" s="151"/>
      <c r="BK83" s="1318">
        <f>RevBuild!BK12*IS!BK84</f>
        <v>41.634</v>
      </c>
      <c r="BL83" s="1985">
        <f>RevBuild!BL12*IS!BL84</f>
        <v>38.649699999999996</v>
      </c>
      <c r="BM83" s="1985">
        <f>RevBuild!BM12*IS!BM84</f>
        <v>40.887</v>
      </c>
      <c r="BN83" s="1985">
        <f>RevBuild!BN12*IS!BN84</f>
        <v>41.974999999999994</v>
      </c>
      <c r="BO83" s="1986">
        <f>SUM(BK83:BN83)</f>
        <v>163.14569999999998</v>
      </c>
      <c r="BP83" s="151"/>
      <c r="BQ83" s="1318">
        <f>RevBuild!BQ12*IS!BQ84</f>
        <v>47.585999999999999</v>
      </c>
      <c r="BR83" s="1985">
        <f>RevBuild!BR12*IS!BR84</f>
        <v>40.569503099999984</v>
      </c>
      <c r="BS83" s="1985">
        <f>RevBuild!BS12*IS!BS84</f>
        <v>41.02898299999999</v>
      </c>
      <c r="BT83" s="1985">
        <f>RevBuild!BT12*IS!BT84</f>
        <v>41.4529</v>
      </c>
      <c r="BU83" s="1986">
        <f>SUM(BQ83:BT83)</f>
        <v>170.63738609999996</v>
      </c>
      <c r="BV83" s="151"/>
      <c r="BW83" s="1318">
        <f>RevBuild!BW12*IS!BW84</f>
        <v>50.113620000000004</v>
      </c>
      <c r="BX83" s="1985">
        <f>RevBuild!BX12*IS!BX84</f>
        <v>42.687004115999983</v>
      </c>
      <c r="BY83" s="1985">
        <f>RevBuild!BY12*IS!BY84</f>
        <v>43.184449289999989</v>
      </c>
      <c r="BZ83" s="1985">
        <f>RevBuild!BZ12*IS!BZ84</f>
        <v>43.612163000000002</v>
      </c>
      <c r="CA83" s="1986">
        <f>SUM(BW83:BZ83)</f>
        <v>179.59723640599998</v>
      </c>
      <c r="CB83" s="1985"/>
      <c r="CC83" s="1318">
        <f>RevBuild!CC12*IS!CC84</f>
        <v>51.279662400000007</v>
      </c>
      <c r="CD83" s="1985">
        <f>RevBuild!CD12*IS!CD84</f>
        <v>43.641444994379988</v>
      </c>
      <c r="CE83" s="1985">
        <f>RevBuild!CE12*IS!CE84</f>
        <v>44.164521897999997</v>
      </c>
      <c r="CF83" s="1985">
        <f>RevBuild!CF12*IS!CF84</f>
        <v>44.582779559999999</v>
      </c>
      <c r="CG83" s="1986">
        <f>SUM(CC83:CF83)</f>
        <v>183.66840885238</v>
      </c>
      <c r="CH83" s="152"/>
      <c r="CI83" s="1318">
        <f>RevBuild!CI12*IS!CI84</f>
        <v>52.435816367400015</v>
      </c>
      <c r="CJ83" s="1985">
        <f>RevBuild!CJ12*IS!CJ84</f>
        <v>44.581138589513088</v>
      </c>
      <c r="CK83" s="1985">
        <f>RevBuild!CK12*IS!CK84</f>
        <v>45.132040388436899</v>
      </c>
      <c r="CL83" s="1985">
        <f>RevBuild!CL12*IS!CL84</f>
        <v>45.537594088910005</v>
      </c>
      <c r="CM83" s="1986">
        <f>SUM(CI83:CL83)</f>
        <v>187.68658943426001</v>
      </c>
      <c r="CN83" s="1926"/>
      <c r="CO83" s="152"/>
      <c r="CP83" s="142"/>
      <c r="CQ83"/>
      <c r="CR83"/>
      <c r="CS83"/>
      <c r="CT83"/>
      <c r="CU83"/>
      <c r="CV83"/>
      <c r="CW83" s="142"/>
    </row>
    <row r="84" spans="1:101" s="149" customFormat="1" outlineLevel="1">
      <c r="A84" s="158" t="s">
        <v>106</v>
      </c>
      <c r="B84" s="150"/>
      <c r="C84" s="159"/>
      <c r="D84" s="156"/>
      <c r="E84" s="156"/>
      <c r="F84" s="156"/>
      <c r="G84" s="160"/>
      <c r="H84" s="150"/>
      <c r="I84" s="159"/>
      <c r="J84" s="156"/>
      <c r="K84" s="156"/>
      <c r="L84" s="156"/>
      <c r="M84" s="160"/>
      <c r="N84" s="150"/>
      <c r="O84" s="159"/>
      <c r="P84" s="156"/>
      <c r="Q84" s="156"/>
      <c r="R84" s="156"/>
      <c r="S84" s="160"/>
      <c r="T84" s="151"/>
      <c r="U84" s="159"/>
      <c r="V84" s="156"/>
      <c r="W84" s="156"/>
      <c r="X84" s="156"/>
      <c r="Y84" s="160"/>
      <c r="Z84" s="151"/>
      <c r="AA84" s="159"/>
      <c r="AB84" s="156"/>
      <c r="AC84" s="156"/>
      <c r="AD84" s="156"/>
      <c r="AE84" s="160"/>
      <c r="AF84" s="151"/>
      <c r="AG84" s="159">
        <f>AG83/RevBuild!AG12</f>
        <v>7.5845974329054849E-2</v>
      </c>
      <c r="AH84" s="156">
        <f>AH83/RevBuild!AH12</f>
        <v>8.168028004667445E-2</v>
      </c>
      <c r="AI84" s="156">
        <f>AI83/RevBuild!AI12</f>
        <v>8.1774487471526186E-2</v>
      </c>
      <c r="AJ84" s="156">
        <f>AJ83/RevBuild!AJ12</f>
        <v>8.2542166140904316E-2</v>
      </c>
      <c r="AK84" s="160">
        <f>AK83/RevBuild!AK12</f>
        <v>8.0424209243698461E-2</v>
      </c>
      <c r="AL84" s="151"/>
      <c r="AM84" s="159">
        <f>AM83/RevBuild!AM12</f>
        <v>8.9926931106471791E-2</v>
      </c>
      <c r="AN84" s="156">
        <f>AN83/RevBuild!AN12</f>
        <v>8.4939814814814801E-2</v>
      </c>
      <c r="AO84" s="156">
        <f>AO83/RevBuild!AO12</f>
        <v>8.7758149316508938E-2</v>
      </c>
      <c r="AP84" s="156">
        <f>AP83/RevBuild!AP12</f>
        <v>8.5257650542941751E-2</v>
      </c>
      <c r="AQ84" s="160">
        <f>AQ83/RevBuild!AQ12</f>
        <v>8.6951648438936699E-2</v>
      </c>
      <c r="AR84" s="157"/>
      <c r="AS84" s="1580">
        <v>8.5000000000000006E-2</v>
      </c>
      <c r="AT84" s="156">
        <f>AT83/RevBuild!AT12</f>
        <v>8.6032388663967618E-2</v>
      </c>
      <c r="AU84" s="156">
        <f>AU83/RevBuild!AU12</f>
        <v>8.6162537165510394E-2</v>
      </c>
      <c r="AV84" s="156">
        <f>AV83/RevBuild!AV12</f>
        <v>8.3445829338446784E-2</v>
      </c>
      <c r="AW84" s="160">
        <f>AW83/RevBuild!AW12</f>
        <v>8.512643924205994E-2</v>
      </c>
      <c r="AX84" s="151"/>
      <c r="AY84" s="1580">
        <v>0.08</v>
      </c>
      <c r="AZ84" s="1579">
        <v>8.4000000000000005E-2</v>
      </c>
      <c r="BA84" s="1579">
        <v>7.6999999999999999E-2</v>
      </c>
      <c r="BB84" s="1579">
        <v>7.4999999999999997E-2</v>
      </c>
      <c r="BC84" s="160">
        <f>BC83/RevBuild!BC12</f>
        <v>7.8916911045943297E-2</v>
      </c>
      <c r="BD84" s="151"/>
      <c r="BE84" s="1580">
        <v>7.9000000000000001E-2</v>
      </c>
      <c r="BF84" s="1579">
        <v>7.8E-2</v>
      </c>
      <c r="BG84" s="1579">
        <v>7.7499999999999999E-2</v>
      </c>
      <c r="BH84" s="1579">
        <v>7.4999999999999997E-2</v>
      </c>
      <c r="BI84" s="160">
        <f>BI83/RevBuild!BI12</f>
        <v>7.7339122045344919E-2</v>
      </c>
      <c r="BJ84" s="151"/>
      <c r="BK84" s="1580">
        <f>BE84-0.19%</f>
        <v>7.7100000000000002E-2</v>
      </c>
      <c r="BL84" s="1579">
        <v>7.3899999999999993E-2</v>
      </c>
      <c r="BM84" s="1579">
        <v>7.6999999999999999E-2</v>
      </c>
      <c r="BN84" s="1579">
        <v>7.2999999999999995E-2</v>
      </c>
      <c r="BO84" s="160">
        <f>BO83/RevBuild!BO12</f>
        <v>7.5217012448132767E-2</v>
      </c>
      <c r="BP84" s="151"/>
      <c r="BQ84" s="1580">
        <v>7.6999999999999999E-2</v>
      </c>
      <c r="BR84" s="1579">
        <f>BL84-0.6%</f>
        <v>6.7899999999999988E-2</v>
      </c>
      <c r="BS84" s="1579">
        <f t="shared" ref="BS84:BT84" si="32">BM84-0.6%</f>
        <v>7.0999999999999994E-2</v>
      </c>
      <c r="BT84" s="1579">
        <f t="shared" si="32"/>
        <v>6.699999999999999E-2</v>
      </c>
      <c r="BU84" s="160">
        <f>BU83/RevBuild!BU12</f>
        <v>7.0743366505504404E-2</v>
      </c>
      <c r="BV84" s="151"/>
      <c r="BW84" s="1580">
        <f>BQ84-0.05%</f>
        <v>7.6499999999999999E-2</v>
      </c>
      <c r="BX84" s="1579">
        <f t="shared" ref="BX84:BZ84" si="33">BR84-0.05%</f>
        <v>6.7399999999999988E-2</v>
      </c>
      <c r="BY84" s="1579">
        <f t="shared" si="33"/>
        <v>7.0499999999999993E-2</v>
      </c>
      <c r="BZ84" s="1579">
        <f t="shared" si="33"/>
        <v>6.649999999999999E-2</v>
      </c>
      <c r="CA84" s="160">
        <f>CA83/RevBuild!CA12</f>
        <v>7.0243366505504418E-2</v>
      </c>
      <c r="CB84" s="156"/>
      <c r="CC84" s="1580">
        <f>BW84-0.05%</f>
        <v>7.5999999999999998E-2</v>
      </c>
      <c r="CD84" s="1579">
        <f>BX84-0.05%</f>
        <v>6.6899999999999987E-2</v>
      </c>
      <c r="CE84" s="1579">
        <f>BY84-0.05%</f>
        <v>6.9999999999999993E-2</v>
      </c>
      <c r="CF84" s="1579">
        <f>BZ84-0.05%</f>
        <v>6.5999999999999989E-2</v>
      </c>
      <c r="CG84" s="160">
        <f>CG83/RevBuild!CG12</f>
        <v>6.9743366505504403E-2</v>
      </c>
      <c r="CH84" s="142"/>
      <c r="CI84" s="1580">
        <f>CC84-0.055%</f>
        <v>7.5450000000000003E-2</v>
      </c>
      <c r="CJ84" s="1579">
        <f>CD84-0.055%</f>
        <v>6.6349999999999992E-2</v>
      </c>
      <c r="CK84" s="1579">
        <f>CE84-0.055%</f>
        <v>6.9449999999999998E-2</v>
      </c>
      <c r="CL84" s="1579">
        <f>CF84-0.055%</f>
        <v>6.5449999999999994E-2</v>
      </c>
      <c r="CM84" s="160">
        <f>CM83/RevBuild!CM12</f>
        <v>6.9193366505504408E-2</v>
      </c>
      <c r="CN84" s="1925"/>
      <c r="CO84" s="142"/>
      <c r="CP84" s="142"/>
      <c r="CQ84"/>
      <c r="CR84"/>
      <c r="CS84"/>
      <c r="CT84"/>
      <c r="CU84"/>
      <c r="CV84"/>
      <c r="CW84" s="142"/>
    </row>
    <row r="85" spans="1:101" s="149" customFormat="1" outlineLevel="1">
      <c r="A85" s="501" t="s">
        <v>99</v>
      </c>
      <c r="B85" s="150"/>
      <c r="C85" s="1318"/>
      <c r="D85" s="1985"/>
      <c r="E85" s="1985"/>
      <c r="F85" s="1985"/>
      <c r="G85" s="1986"/>
      <c r="H85" s="150"/>
      <c r="I85" s="1318"/>
      <c r="J85" s="1985"/>
      <c r="K85" s="1985"/>
      <c r="L85" s="1985"/>
      <c r="M85" s="1986"/>
      <c r="N85" s="150"/>
      <c r="O85" s="1318"/>
      <c r="P85" s="1985"/>
      <c r="Q85" s="1985"/>
      <c r="R85" s="1985"/>
      <c r="S85" s="1986"/>
      <c r="T85" s="151"/>
      <c r="U85" s="1318"/>
      <c r="V85" s="1985"/>
      <c r="W85" s="1985"/>
      <c r="X85" s="1985"/>
      <c r="Y85" s="1986"/>
      <c r="Z85" s="151"/>
      <c r="AA85" s="1318"/>
      <c r="AB85" s="1985"/>
      <c r="AC85" s="1985"/>
      <c r="AD85" s="1985"/>
      <c r="AE85" s="1986"/>
      <c r="AF85" s="151"/>
      <c r="AG85" s="1318">
        <v>4.4749124854142357</v>
      </c>
      <c r="AH85" s="1985">
        <v>5.4725787631271885</v>
      </c>
      <c r="AI85" s="1985">
        <v>7.9321252847380412</v>
      </c>
      <c r="AJ85" s="1985">
        <v>12.62895141955836</v>
      </c>
      <c r="AK85" s="1986">
        <f>SUM(AG85:AJ85)</f>
        <v>30.508567952837829</v>
      </c>
      <c r="AL85" s="151"/>
      <c r="AM85" s="1318">
        <v>13.758820459290186</v>
      </c>
      <c r="AN85" s="1985">
        <v>13.335550925925924</v>
      </c>
      <c r="AO85" s="1985">
        <v>13.778029442691903</v>
      </c>
      <c r="AP85" s="1985">
        <v>14.323285291214216</v>
      </c>
      <c r="AQ85" s="1986">
        <f>SUM(AM85:AP85)</f>
        <v>55.195686119122229</v>
      </c>
      <c r="AR85" s="157"/>
      <c r="AS85" s="1318">
        <f>RevBuild!AS13*IS!AS86</f>
        <v>13.345000000000001</v>
      </c>
      <c r="AT85" s="1985">
        <v>14.453441295546558</v>
      </c>
      <c r="AU85" s="1985">
        <v>14.302981169474727</v>
      </c>
      <c r="AV85" s="1985">
        <v>14.352682646212845</v>
      </c>
      <c r="AW85" s="1986">
        <f>SUM(AS85:AV85)</f>
        <v>56.454105111234128</v>
      </c>
      <c r="AX85" s="151"/>
      <c r="AY85" s="1318">
        <f>RevBuild!AY13*IS!AY86</f>
        <v>11.84</v>
      </c>
      <c r="AZ85" s="1985">
        <f>RevBuild!AZ13*IS!AZ86</f>
        <v>14.027000000000001</v>
      </c>
      <c r="BA85" s="1985">
        <f>RevBuild!BA13*IS!BA86</f>
        <v>12.859</v>
      </c>
      <c r="BB85" s="1985">
        <f>RevBuild!BB13*IS!BB86</f>
        <v>13.35</v>
      </c>
      <c r="BC85" s="1986">
        <f>SUM(AY85:BB85)</f>
        <v>52.076000000000001</v>
      </c>
      <c r="BD85" s="151"/>
      <c r="BE85" s="1318">
        <f>RevBuild!BE13*IS!BE86</f>
        <v>12.324</v>
      </c>
      <c r="BF85" s="1985">
        <f>RevBuild!BF13*IS!BF86</f>
        <v>14.418000000000001</v>
      </c>
      <c r="BG85" s="1985">
        <f>RevBuild!BG13*IS!BG86</f>
        <v>13.95</v>
      </c>
      <c r="BH85" s="1985">
        <f>RevBuild!BH13*IS!BH86</f>
        <v>14.6487</v>
      </c>
      <c r="BI85" s="1986">
        <f>SUM(BE85:BH85)</f>
        <v>55.340699999999998</v>
      </c>
      <c r="BJ85" s="151"/>
      <c r="BK85" s="1318">
        <f>RevBuild!BK13*IS!BK86</f>
        <v>12.628</v>
      </c>
      <c r="BL85" s="1985">
        <f>RevBuild!BL13*IS!BL86</f>
        <v>15.8589</v>
      </c>
      <c r="BM85" s="1985">
        <f>RevBuild!BM13*IS!BM86</f>
        <v>15.563000000000001</v>
      </c>
      <c r="BN85" s="1985">
        <f>RevBuild!BN13*IS!BN86</f>
        <v>15.75</v>
      </c>
      <c r="BO85" s="1986">
        <f>SUM(BK85:BN85)</f>
        <v>59.799900000000001</v>
      </c>
      <c r="BP85" s="151"/>
      <c r="BQ85" s="1318">
        <f>RevBuild!BQ13*IS!BQ86</f>
        <v>14.244999999999999</v>
      </c>
      <c r="BR85" s="1985">
        <f>RevBuild!BR13*IS!BR86</f>
        <v>16.17657618929973</v>
      </c>
      <c r="BS85" s="1985">
        <f>RevBuild!BS13*IS!BS86</f>
        <v>16.060612122862715</v>
      </c>
      <c r="BT85" s="1985">
        <f>RevBuild!BT13*IS!BT86</f>
        <v>16.191389253765763</v>
      </c>
      <c r="BU85" s="1986">
        <f>SUM(BQ85:BT85)</f>
        <v>62.673577565928206</v>
      </c>
      <c r="BV85" s="151"/>
      <c r="BW85" s="1318">
        <f>RevBuild!BW13*IS!BW86</f>
        <v>15.060238122372729</v>
      </c>
      <c r="BX85" s="1985">
        <f>RevBuild!BX13*IS!BX86</f>
        <v>17.085504242470201</v>
      </c>
      <c r="BY85" s="1985">
        <f>RevBuild!BY13*IS!BY86</f>
        <v>18.148324879842594</v>
      </c>
      <c r="BZ85" s="1985">
        <f>RevBuild!BZ13*IS!BZ86</f>
        <v>18.058656664204602</v>
      </c>
      <c r="CA85" s="1986">
        <f>SUM(BW85:BZ85)</f>
        <v>68.352723908890127</v>
      </c>
      <c r="CB85" s="1985"/>
      <c r="CC85" s="1318">
        <f>RevBuild!CC13*IS!CC86</f>
        <v>16.845840851367779</v>
      </c>
      <c r="CD85" s="1985">
        <f>RevBuild!CD13*IS!CD86</f>
        <v>19.150369425415885</v>
      </c>
      <c r="CE85" s="1985">
        <f>RevBuild!CE13*IS!CE86</f>
        <v>21.020305306465801</v>
      </c>
      <c r="CF85" s="1985">
        <f>RevBuild!CF13*IS!CF86</f>
        <v>20.595271654715766</v>
      </c>
      <c r="CG85" s="1986">
        <f>SUM(CC85:CF85)</f>
        <v>77.611787237965231</v>
      </c>
      <c r="CH85" s="152"/>
      <c r="CI85" s="1318">
        <f>RevBuild!CI13*IS!CI86</f>
        <v>18.813881725208283</v>
      </c>
      <c r="CJ85" s="1985">
        <f>RevBuild!CJ13*IS!CJ86</f>
        <v>21.426942009192036</v>
      </c>
      <c r="CK85" s="1985">
        <f>RevBuild!CK13*IS!CK86</f>
        <v>24.332973532591037</v>
      </c>
      <c r="CL85" s="1985">
        <f>RevBuild!CL13*IS!CL86</f>
        <v>23.457544487807976</v>
      </c>
      <c r="CM85" s="1986">
        <f>SUM(CI85:CL85)</f>
        <v>88.031341754799342</v>
      </c>
      <c r="CN85" s="152"/>
      <c r="CO85" s="152"/>
      <c r="CP85" s="142"/>
      <c r="CQ85"/>
      <c r="CR85"/>
      <c r="CS85"/>
      <c r="CT85"/>
      <c r="CU85"/>
      <c r="CV85"/>
      <c r="CW85" s="142"/>
    </row>
    <row r="86" spans="1:101" s="149" customFormat="1" outlineLevel="1">
      <c r="A86" s="158" t="s">
        <v>100</v>
      </c>
      <c r="B86" s="150"/>
      <c r="C86" s="159"/>
      <c r="D86" s="156"/>
      <c r="E86" s="156"/>
      <c r="F86" s="156"/>
      <c r="G86" s="160"/>
      <c r="H86" s="150"/>
      <c r="I86" s="159"/>
      <c r="J86" s="156"/>
      <c r="K86" s="156"/>
      <c r="L86" s="156"/>
      <c r="M86" s="160"/>
      <c r="N86" s="150"/>
      <c r="O86" s="159"/>
      <c r="P86" s="156"/>
      <c r="Q86" s="156"/>
      <c r="R86" s="156"/>
      <c r="S86" s="160"/>
      <c r="T86" s="151"/>
      <c r="U86" s="159"/>
      <c r="V86" s="156"/>
      <c r="W86" s="156"/>
      <c r="X86" s="156"/>
      <c r="Y86" s="160"/>
      <c r="Z86" s="151"/>
      <c r="AA86" s="159"/>
      <c r="AB86" s="156"/>
      <c r="AC86" s="156"/>
      <c r="AD86" s="156"/>
      <c r="AE86" s="160"/>
      <c r="AF86" s="151"/>
      <c r="AG86" s="159">
        <f>AG85/RevBuild!AG13</f>
        <v>7.5845974329054835E-2</v>
      </c>
      <c r="AH86" s="156">
        <f>AH85/RevBuild!AH13</f>
        <v>8.168028004667445E-2</v>
      </c>
      <c r="AI86" s="156">
        <f>AI85/RevBuild!AI13</f>
        <v>8.17744874715262E-2</v>
      </c>
      <c r="AJ86" s="156">
        <f>AJ85/RevBuild!AJ13</f>
        <v>8.2542166140904316E-2</v>
      </c>
      <c r="AK86" s="160">
        <f>AK85/RevBuild!AK13</f>
        <v>8.1139808385206999E-2</v>
      </c>
      <c r="AL86" s="151"/>
      <c r="AM86" s="159">
        <f>AM85/RevBuild!AM13</f>
        <v>8.9926931106471805E-2</v>
      </c>
      <c r="AN86" s="156">
        <f>AN85/RevBuild!AN13</f>
        <v>8.4939814814814801E-2</v>
      </c>
      <c r="AO86" s="156">
        <f>AO85/RevBuild!AO13</f>
        <v>8.7758149316508938E-2</v>
      </c>
      <c r="AP86" s="156">
        <f>AP85/RevBuild!AP13</f>
        <v>8.5257650542941765E-2</v>
      </c>
      <c r="AQ86" s="160">
        <f>AQ85/RevBuild!AQ13</f>
        <v>8.6922340345074373E-2</v>
      </c>
      <c r="AR86" s="157"/>
      <c r="AS86" s="1580">
        <v>8.5000000000000006E-2</v>
      </c>
      <c r="AT86" s="156">
        <f>AT85/RevBuild!AT13</f>
        <v>8.6032388663967604E-2</v>
      </c>
      <c r="AU86" s="156">
        <f>AU85/RevBuild!AU13</f>
        <v>8.6162537165510408E-2</v>
      </c>
      <c r="AV86" s="156">
        <f>AV85/RevBuild!AV13</f>
        <v>8.344582933844677E-2</v>
      </c>
      <c r="AW86" s="160">
        <f>AW85/RevBuild!AW13</f>
        <v>8.5149479805782996E-2</v>
      </c>
      <c r="AX86" s="151"/>
      <c r="AY86" s="1580">
        <v>0.08</v>
      </c>
      <c r="AZ86" s="1579">
        <v>8.3000000000000004E-2</v>
      </c>
      <c r="BA86" s="1579">
        <v>7.6999999999999999E-2</v>
      </c>
      <c r="BB86" s="1579">
        <v>7.4999999999999997E-2</v>
      </c>
      <c r="BC86" s="160">
        <f>BC85/RevBuild!BC13</f>
        <v>7.8664652567975835E-2</v>
      </c>
      <c r="BD86" s="151"/>
      <c r="BE86" s="1580">
        <v>7.8E-2</v>
      </c>
      <c r="BF86" s="1579">
        <v>8.1000000000000003E-2</v>
      </c>
      <c r="BG86" s="1579">
        <v>7.7499999999999999E-2</v>
      </c>
      <c r="BH86" s="1579">
        <v>7.5899999999999995E-2</v>
      </c>
      <c r="BI86" s="160">
        <f>BI85/RevBuild!BI13</f>
        <v>7.8054583921015511E-2</v>
      </c>
      <c r="BJ86" s="151"/>
      <c r="BK86" s="1580">
        <f>BE86-0.1%</f>
        <v>7.6999999999999999E-2</v>
      </c>
      <c r="BL86" s="1579">
        <v>7.8899999999999998E-2</v>
      </c>
      <c r="BM86" s="1579">
        <v>7.9000000000000001E-2</v>
      </c>
      <c r="BN86" s="1579">
        <v>7.4999999999999997E-2</v>
      </c>
      <c r="BO86" s="160">
        <f>BO85/RevBuild!BO13</f>
        <v>7.7461010362694302E-2</v>
      </c>
      <c r="BP86" s="151"/>
      <c r="BQ86" s="1580">
        <v>7.6999999999999999E-2</v>
      </c>
      <c r="BR86" s="1579">
        <f>BL86-0.6%</f>
        <v>7.2899999999999993E-2</v>
      </c>
      <c r="BS86" s="1579">
        <f t="shared" ref="BS86:BT86" si="34">BM86-0.6%</f>
        <v>7.2999999999999995E-2</v>
      </c>
      <c r="BT86" s="1579">
        <f t="shared" si="34"/>
        <v>6.8999999999999992E-2</v>
      </c>
      <c r="BU86" s="160">
        <f>BU85/RevBuild!BU13</f>
        <v>7.2743698024549219E-2</v>
      </c>
      <c r="BV86" s="151"/>
      <c r="BW86" s="1580">
        <f>BQ86-0.05%</f>
        <v>7.6499999999999999E-2</v>
      </c>
      <c r="BX86" s="1579">
        <f t="shared" ref="BX86:BZ86" si="35">BR86-0.05%</f>
        <v>7.2399999999999992E-2</v>
      </c>
      <c r="BY86" s="1579">
        <f t="shared" si="35"/>
        <v>7.2499999999999995E-2</v>
      </c>
      <c r="BZ86" s="1579">
        <f t="shared" si="35"/>
        <v>6.8499999999999991E-2</v>
      </c>
      <c r="CA86" s="160">
        <f>CA85/RevBuild!CA13</f>
        <v>7.2193014551660217E-2</v>
      </c>
      <c r="CB86" s="156"/>
      <c r="CC86" s="1580">
        <f>BW86</f>
        <v>7.6499999999999999E-2</v>
      </c>
      <c r="CD86" s="1579">
        <f>BX86</f>
        <v>7.2399999999999992E-2</v>
      </c>
      <c r="CE86" s="1579">
        <f>BY86</f>
        <v>7.2499999999999995E-2</v>
      </c>
      <c r="CF86" s="1579">
        <f>BZ86</f>
        <v>6.8499999999999991E-2</v>
      </c>
      <c r="CG86" s="160">
        <f>CG85/RevBuild!CG13</f>
        <v>7.2176125250412393E-2</v>
      </c>
      <c r="CH86" s="142"/>
      <c r="CI86" s="1580">
        <f t="shared" ref="CI86:CL86" si="36">CC86-0.055%</f>
        <v>7.5950000000000004E-2</v>
      </c>
      <c r="CJ86" s="1579">
        <f t="shared" si="36"/>
        <v>7.1849999999999997E-2</v>
      </c>
      <c r="CK86" s="1579">
        <f t="shared" si="36"/>
        <v>7.195E-2</v>
      </c>
      <c r="CL86" s="1579">
        <f t="shared" si="36"/>
        <v>6.7949999999999997E-2</v>
      </c>
      <c r="CM86" s="160">
        <f>CM85/RevBuild!CM13</f>
        <v>7.1608486903562987E-2</v>
      </c>
      <c r="CN86" s="142"/>
      <c r="CO86" s="142"/>
      <c r="CP86" s="142"/>
      <c r="CQ86"/>
      <c r="CR86"/>
      <c r="CS86"/>
      <c r="CT86"/>
      <c r="CU86"/>
      <c r="CV86"/>
      <c r="CW86" s="142"/>
    </row>
    <row r="87" spans="1:101" s="149" customFormat="1" outlineLevel="1">
      <c r="A87" s="501" t="s">
        <v>107</v>
      </c>
      <c r="B87" s="150"/>
      <c r="C87" s="1318"/>
      <c r="D87" s="1985"/>
      <c r="E87" s="1985"/>
      <c r="F87" s="1985"/>
      <c r="G87" s="1986"/>
      <c r="H87" s="150"/>
      <c r="I87" s="1318"/>
      <c r="J87" s="1985"/>
      <c r="K87" s="1985"/>
      <c r="L87" s="1985"/>
      <c r="M87" s="1986"/>
      <c r="N87" s="150"/>
      <c r="O87" s="1318"/>
      <c r="P87" s="1985"/>
      <c r="Q87" s="1985"/>
      <c r="R87" s="1985"/>
      <c r="S87" s="1986"/>
      <c r="T87" s="151"/>
      <c r="U87" s="1318"/>
      <c r="V87" s="1985"/>
      <c r="W87" s="1985"/>
      <c r="X87" s="1985"/>
      <c r="Y87" s="1986"/>
      <c r="Z87" s="151"/>
      <c r="AA87" s="1318"/>
      <c r="AB87" s="1985"/>
      <c r="AC87" s="1985"/>
      <c r="AD87" s="1985"/>
      <c r="AE87" s="1986"/>
      <c r="AF87" s="151"/>
      <c r="AG87" s="1318">
        <v>21.312718786464409</v>
      </c>
      <c r="AH87" s="1985">
        <v>23.85064177362894</v>
      </c>
      <c r="AI87" s="1985">
        <v>23.305728929384966</v>
      </c>
      <c r="AJ87" s="1985">
        <v>24.10231251314406</v>
      </c>
      <c r="AK87" s="1986">
        <f>SUM(AG87:AJ87)</f>
        <v>92.571402002622378</v>
      </c>
      <c r="AL87" s="151"/>
      <c r="AM87" s="1318">
        <v>26.438517745302711</v>
      </c>
      <c r="AN87" s="1985">
        <v>26.076523148148144</v>
      </c>
      <c r="AO87" s="1985">
        <v>26.766235541535227</v>
      </c>
      <c r="AP87" s="1985">
        <v>27.11193287265548</v>
      </c>
      <c r="AQ87" s="1986">
        <f>SUM(AM87:AP87)</f>
        <v>106.39320930764157</v>
      </c>
      <c r="AR87" s="157"/>
      <c r="AS87" s="1318">
        <f>RevBuild!AS17*IS!AS88</f>
        <v>26.69</v>
      </c>
      <c r="AT87" s="1985">
        <v>27.960526315789476</v>
      </c>
      <c r="AU87" s="1985">
        <v>28.95061248761149</v>
      </c>
      <c r="AV87" s="1985">
        <v>27.704015340364329</v>
      </c>
      <c r="AW87" s="1986">
        <f>SUM(AS87:AV87)</f>
        <v>111.30515414376529</v>
      </c>
      <c r="AX87" s="151"/>
      <c r="AY87" s="1318">
        <f>RevBuild!AY17*IS!AY88</f>
        <v>26.48</v>
      </c>
      <c r="AZ87" s="1985">
        <f>RevBuild!AZ17*IS!AZ88</f>
        <v>25.68</v>
      </c>
      <c r="BA87" s="1985">
        <f>RevBuild!BA17*IS!BA88</f>
        <v>24.863999999999997</v>
      </c>
      <c r="BB87" s="1985">
        <f>RevBuild!BB17*IS!BB88</f>
        <v>24.965999999999998</v>
      </c>
      <c r="BC87" s="1986">
        <f>SUM(AY87:BB87)</f>
        <v>101.99</v>
      </c>
      <c r="BD87" s="151"/>
      <c r="BE87" s="1318">
        <f>RevBuild!BE17*IS!BE88</f>
        <v>26.143999999999998</v>
      </c>
      <c r="BF87" s="1985">
        <f>RevBuild!BF17*IS!BF88</f>
        <v>26.988</v>
      </c>
      <c r="BG87" s="1985">
        <f>RevBuild!BG17*IS!BG88</f>
        <v>26.989999999999995</v>
      </c>
      <c r="BH87" s="1985">
        <f>RevBuild!BH17*IS!BH88</f>
        <v>27.934999999999999</v>
      </c>
      <c r="BI87" s="1986">
        <f>SUM(BE87:BH87)</f>
        <v>108.05699999999999</v>
      </c>
      <c r="BJ87" s="151"/>
      <c r="BK87" s="1318">
        <f>RevBuild!BK17*IS!BK88</f>
        <v>27.224999999999998</v>
      </c>
      <c r="BL87" s="1985">
        <f>RevBuild!BL17*IS!BL88</f>
        <v>28.160999999999998</v>
      </c>
      <c r="BM87" s="1985">
        <f>RevBuild!BM17*IS!BM88</f>
        <v>29.143000000000001</v>
      </c>
      <c r="BN87" s="1985">
        <f>RevBuild!BN17*IS!BN88</f>
        <v>30.299999999999997</v>
      </c>
      <c r="BO87" s="1986">
        <f>SUM(BK87:BN87)</f>
        <v>114.82899999999999</v>
      </c>
      <c r="BP87" s="151"/>
      <c r="BQ87" s="1318">
        <f>RevBuild!BQ17*IS!BQ88</f>
        <v>30.599999999999998</v>
      </c>
      <c r="BR87" s="1985">
        <f>RevBuild!BR17*IS!BR88</f>
        <v>29.887508999999998</v>
      </c>
      <c r="BS87" s="1985">
        <f>RevBuild!BS17*IS!BS88</f>
        <v>30.931530999999996</v>
      </c>
      <c r="BT87" s="1985">
        <f>RevBuild!BT17*IS!BT88</f>
        <v>32.085276</v>
      </c>
      <c r="BU87" s="1986">
        <f>SUM(BQ87:BT87)</f>
        <v>123.50431599999999</v>
      </c>
      <c r="BV87" s="151"/>
      <c r="BW87" s="1318">
        <f>RevBuild!BW17*IS!BW88</f>
        <v>32.827680000000001</v>
      </c>
      <c r="BX87" s="1985">
        <f>RevBuild!BX17*IS!BX88</f>
        <v>32.042900159999995</v>
      </c>
      <c r="BY87" s="1985">
        <f>RevBuild!BY17*IS!BY88</f>
        <v>33.165722159999994</v>
      </c>
      <c r="BZ87" s="1985">
        <f>RevBuild!BZ17*IS!BZ88</f>
        <v>34.40099592</v>
      </c>
      <c r="CA87" s="1986">
        <f>SUM(BW87:BZ87)</f>
        <v>132.43729824000002</v>
      </c>
      <c r="CB87" s="1985"/>
      <c r="CC87" s="1318">
        <f>RevBuild!CC17*IS!CC88</f>
        <v>35.289756000000004</v>
      </c>
      <c r="CD87" s="1985">
        <f>RevBuild!CD17*IS!CD88</f>
        <v>34.446117672</v>
      </c>
      <c r="CE87" s="1985">
        <f>RevBuild!CE17*IS!CE88</f>
        <v>35.653151321999999</v>
      </c>
      <c r="CF87" s="1985">
        <f>RevBuild!CF17*IS!CF88</f>
        <v>36.981070613999997</v>
      </c>
      <c r="CG87" s="1986">
        <f>SUM(CC87:CF87)</f>
        <v>142.37009560799999</v>
      </c>
      <c r="CH87" s="152"/>
      <c r="CI87" s="1318">
        <f>RevBuild!CI17*IS!CI88</f>
        <v>37.656419670000005</v>
      </c>
      <c r="CJ87" s="1985">
        <f>RevBuild!CJ17*IS!CJ88</f>
        <v>36.730072569847493</v>
      </c>
      <c r="CK87" s="1985">
        <f>RevBuild!CK17*IS!CK88</f>
        <v>38.021631501307496</v>
      </c>
      <c r="CL87" s="1985">
        <f>RevBuild!CL17*IS!CL88</f>
        <v>39.435452983034999</v>
      </c>
      <c r="CM87" s="1986">
        <f>SUM(CI87:CL87)</f>
        <v>151.84357672419</v>
      </c>
      <c r="CN87" s="152"/>
      <c r="CO87" s="152"/>
      <c r="CP87" s="142"/>
      <c r="CQ87"/>
      <c r="CR87"/>
      <c r="CS87"/>
      <c r="CT87"/>
      <c r="CU87"/>
      <c r="CV87"/>
      <c r="CW87" s="142"/>
    </row>
    <row r="88" spans="1:101" s="149" customFormat="1" outlineLevel="1">
      <c r="A88" s="158" t="s">
        <v>108</v>
      </c>
      <c r="B88" s="150"/>
      <c r="C88" s="159"/>
      <c r="D88" s="156"/>
      <c r="E88" s="156"/>
      <c r="F88" s="156"/>
      <c r="G88" s="160"/>
      <c r="H88" s="150"/>
      <c r="I88" s="159"/>
      <c r="J88" s="156"/>
      <c r="K88" s="156"/>
      <c r="L88" s="156"/>
      <c r="M88" s="160"/>
      <c r="N88" s="150"/>
      <c r="O88" s="159"/>
      <c r="P88" s="156"/>
      <c r="Q88" s="156"/>
      <c r="R88" s="156"/>
      <c r="S88" s="160"/>
      <c r="T88" s="151"/>
      <c r="U88" s="159"/>
      <c r="V88" s="156"/>
      <c r="W88" s="156"/>
      <c r="X88" s="156"/>
      <c r="Y88" s="160"/>
      <c r="Z88" s="151"/>
      <c r="AA88" s="159"/>
      <c r="AB88" s="156"/>
      <c r="AC88" s="156"/>
      <c r="AD88" s="156"/>
      <c r="AE88" s="160"/>
      <c r="AF88" s="151"/>
      <c r="AG88" s="159">
        <f>AG87/RevBuild!AG17</f>
        <v>7.5845974329054835E-2</v>
      </c>
      <c r="AH88" s="156">
        <f>AH87/RevBuild!AH17</f>
        <v>8.168028004667445E-2</v>
      </c>
      <c r="AI88" s="156">
        <f>AI87/RevBuild!AI17</f>
        <v>8.17744874715262E-2</v>
      </c>
      <c r="AJ88" s="156">
        <f>AJ87/RevBuild!AJ17</f>
        <v>8.2542166140904316E-2</v>
      </c>
      <c r="AK88" s="160">
        <f>AK87/RevBuild!AK17</f>
        <v>8.0496871306628151E-2</v>
      </c>
      <c r="AL88" s="151"/>
      <c r="AM88" s="159">
        <f>AM87/RevBuild!AM17</f>
        <v>8.9926931106471805E-2</v>
      </c>
      <c r="AN88" s="156">
        <f>AN87/RevBuild!AN17</f>
        <v>8.4939814814814801E-2</v>
      </c>
      <c r="AO88" s="156">
        <f>AO87/RevBuild!AO17</f>
        <v>8.7758149316508938E-2</v>
      </c>
      <c r="AP88" s="156">
        <f>AP87/RevBuild!AP17</f>
        <v>8.5257650542941765E-2</v>
      </c>
      <c r="AQ88" s="160">
        <f>AQ87/RevBuild!AQ17</f>
        <v>8.6922556623890174E-2</v>
      </c>
      <c r="AR88" s="208"/>
      <c r="AS88" s="1580">
        <v>8.5000000000000006E-2</v>
      </c>
      <c r="AT88" s="156">
        <f>AT87/RevBuild!AT17</f>
        <v>8.6032388663967618E-2</v>
      </c>
      <c r="AU88" s="156">
        <f>AU87/RevBuild!AU17</f>
        <v>8.6162537165510394E-2</v>
      </c>
      <c r="AV88" s="156">
        <f>AV87/RevBuild!AV17</f>
        <v>8.344582933844677E-2</v>
      </c>
      <c r="AW88" s="160">
        <f>AW87/RevBuild!AW17</f>
        <v>8.5160791234709488E-2</v>
      </c>
      <c r="AX88" s="151"/>
      <c r="AY88" s="1580">
        <v>0.08</v>
      </c>
      <c r="AZ88" s="1579">
        <v>0.08</v>
      </c>
      <c r="BA88" s="1579">
        <v>7.3999999999999996E-2</v>
      </c>
      <c r="BB88" s="1579">
        <v>7.2999999999999995E-2</v>
      </c>
      <c r="BC88" s="160">
        <f>BC87/RevBuild!BC17</f>
        <v>7.6684210526315785E-2</v>
      </c>
      <c r="BD88" s="151"/>
      <c r="BE88" s="1580">
        <v>7.5999999999999998E-2</v>
      </c>
      <c r="BF88" s="1579">
        <v>7.8E-2</v>
      </c>
      <c r="BG88" s="1579">
        <v>7.4972222222222204E-2</v>
      </c>
      <c r="BH88" s="1579">
        <v>7.5499999999999998E-2</v>
      </c>
      <c r="BI88" s="160">
        <f>BI87/RevBuild!BI17</f>
        <v>7.6096478873239434E-2</v>
      </c>
      <c r="BJ88" s="151"/>
      <c r="BK88" s="1580">
        <f>+BE88-0.1%</f>
        <v>7.4999999999999997E-2</v>
      </c>
      <c r="BL88" s="1579">
        <v>7.4499999999999997E-2</v>
      </c>
      <c r="BM88" s="1579">
        <v>7.5499999999999998E-2</v>
      </c>
      <c r="BN88" s="1579">
        <v>7.4999999999999997E-2</v>
      </c>
      <c r="BO88" s="160">
        <f>BO87/RevBuild!BO17</f>
        <v>7.5002612671456553E-2</v>
      </c>
      <c r="BP88" s="151"/>
      <c r="BQ88" s="1580">
        <v>7.4999999999999997E-2</v>
      </c>
      <c r="BR88" s="1579">
        <f>BL88-0.6%</f>
        <v>6.8499999999999991E-2</v>
      </c>
      <c r="BS88" s="1579">
        <f t="shared" ref="BS88:BT88" si="37">BM88-0.6%</f>
        <v>6.9499999999999992E-2</v>
      </c>
      <c r="BT88" s="1579">
        <f t="shared" si="37"/>
        <v>6.8999999999999992E-2</v>
      </c>
      <c r="BU88" s="160">
        <f>BU87/RevBuild!BU17</f>
        <v>7.0397859979844671E-2</v>
      </c>
      <c r="BV88" s="151"/>
      <c r="BW88" s="1580">
        <f>BQ88-0.05%</f>
        <v>7.4499999999999997E-2</v>
      </c>
      <c r="BX88" s="1579">
        <f t="shared" ref="BX88:BZ88" si="38">BR88-0.05%</f>
        <v>6.7999999999999991E-2</v>
      </c>
      <c r="BY88" s="1579">
        <f t="shared" si="38"/>
        <v>6.8999999999999992E-2</v>
      </c>
      <c r="BZ88" s="1579">
        <f t="shared" si="38"/>
        <v>6.8499999999999991E-2</v>
      </c>
      <c r="CA88" s="160">
        <f>CA87/RevBuild!CA17</f>
        <v>6.9897859979844684E-2</v>
      </c>
      <c r="CB88" s="156"/>
      <c r="CC88" s="1580">
        <f>+BW88</f>
        <v>7.4499999999999997E-2</v>
      </c>
      <c r="CD88" s="1579">
        <f>+BX88</f>
        <v>6.7999999999999991E-2</v>
      </c>
      <c r="CE88" s="1579">
        <f>+BY88</f>
        <v>6.8999999999999992E-2</v>
      </c>
      <c r="CF88" s="1579">
        <f>+BZ88</f>
        <v>6.8499999999999991E-2</v>
      </c>
      <c r="CG88" s="160">
        <f>CG87/RevBuild!CG17</f>
        <v>6.9897859979844684E-2</v>
      </c>
      <c r="CH88" s="142"/>
      <c r="CI88" s="1580">
        <f t="shared" ref="CI88" si="39">CC88-0.055%</f>
        <v>7.3950000000000002E-2</v>
      </c>
      <c r="CJ88" s="1579">
        <f t="shared" ref="CJ88" si="40">CD88-0.055%</f>
        <v>6.7449999999999996E-2</v>
      </c>
      <c r="CK88" s="1579">
        <f t="shared" ref="CK88" si="41">CE88-0.055%</f>
        <v>6.8449999999999997E-2</v>
      </c>
      <c r="CL88" s="1579">
        <f t="shared" ref="CL88" si="42">CF88-0.055%</f>
        <v>6.7949999999999997E-2</v>
      </c>
      <c r="CM88" s="160">
        <f>CM87/RevBuild!CM17</f>
        <v>6.9347859979844675E-2</v>
      </c>
      <c r="CN88" s="142"/>
      <c r="CO88" s="142"/>
      <c r="CP88" s="142"/>
      <c r="CQ88"/>
      <c r="CR88"/>
      <c r="CS88"/>
      <c r="CT88"/>
      <c r="CU88"/>
      <c r="CV88"/>
      <c r="CW88" s="142"/>
    </row>
    <row r="89" spans="1:101" s="149" customFormat="1" outlineLevel="1">
      <c r="A89" s="180" t="s">
        <v>115</v>
      </c>
      <c r="B89" s="209"/>
      <c r="C89" s="210">
        <f>C75+C79</f>
        <v>45.182080610021764</v>
      </c>
      <c r="D89" s="211">
        <f>D75+D79</f>
        <v>46.141244725738375</v>
      </c>
      <c r="E89" s="211">
        <f>E75+E79</f>
        <v>45.52874470181321</v>
      </c>
      <c r="F89" s="212">
        <f>F75+F79</f>
        <v>50.494195402298907</v>
      </c>
      <c r="G89" s="213">
        <f>SUM(C89:F89)</f>
        <v>187.34626543987227</v>
      </c>
      <c r="H89" s="209"/>
      <c r="I89" s="210">
        <f>I75+I79</f>
        <v>53.742866666666636</v>
      </c>
      <c r="J89" s="211">
        <f>J75+J79</f>
        <v>57.03373839662445</v>
      </c>
      <c r="K89" s="211">
        <f>K75+K79</f>
        <v>53.176294224923986</v>
      </c>
      <c r="L89" s="212">
        <f>L75+L79</f>
        <v>57.998275862069036</v>
      </c>
      <c r="M89" s="213">
        <f>SUM(I89:L89)</f>
        <v>221.95117515028409</v>
      </c>
      <c r="N89" s="209"/>
      <c r="O89" s="210">
        <f>O75+O79</f>
        <v>46</v>
      </c>
      <c r="P89" s="211">
        <f>P75+P79</f>
        <v>46</v>
      </c>
      <c r="Q89" s="211">
        <f>Q75+Q79</f>
        <v>43</v>
      </c>
      <c r="R89" s="212">
        <f>R75+R79</f>
        <v>46</v>
      </c>
      <c r="S89" s="213">
        <f>SUM(O89:R89)</f>
        <v>181</v>
      </c>
      <c r="T89" s="214"/>
      <c r="U89" s="210">
        <f>U75+U79</f>
        <v>46</v>
      </c>
      <c r="V89" s="211">
        <f>V75+V79</f>
        <v>47</v>
      </c>
      <c r="W89" s="211">
        <f>W75+W79</f>
        <v>57</v>
      </c>
      <c r="X89" s="212">
        <f>X75+X79</f>
        <v>60</v>
      </c>
      <c r="Y89" s="213">
        <f>SUM(U89:X89)</f>
        <v>210</v>
      </c>
      <c r="Z89" s="214"/>
      <c r="AA89" s="210">
        <f>AA75+AA79</f>
        <v>65</v>
      </c>
      <c r="AB89" s="211">
        <f>AB75+AB79</f>
        <v>68</v>
      </c>
      <c r="AC89" s="211">
        <f>AC75+AC79</f>
        <v>67</v>
      </c>
      <c r="AD89" s="212">
        <f>AD75+AD79</f>
        <v>66</v>
      </c>
      <c r="AE89" s="213">
        <f>SUM(AA89:AD89)</f>
        <v>266</v>
      </c>
      <c r="AF89" s="215"/>
      <c r="AG89" s="210">
        <f>AG75+AG79+AG77</f>
        <v>65</v>
      </c>
      <c r="AH89" s="211">
        <f>AH75+AH79+AH77</f>
        <v>70</v>
      </c>
      <c r="AI89" s="211">
        <f>AI75+AI79+AI77</f>
        <v>71.798000000000002</v>
      </c>
      <c r="AJ89" s="212">
        <f>AJ75+AJ79+AJ77</f>
        <v>78.497600000000006</v>
      </c>
      <c r="AK89" s="213">
        <f>AK75+AK79+AK77</f>
        <v>285.29559999999998</v>
      </c>
      <c r="AL89" s="215"/>
      <c r="AM89" s="210">
        <f>AM75+AM79+AM77</f>
        <v>86.149999999999991</v>
      </c>
      <c r="AN89" s="211">
        <f>AN75+AN79+AN77</f>
        <v>82.561499999999995</v>
      </c>
      <c r="AO89" s="211">
        <f>AO75+AO79+AO77</f>
        <v>83.457999999999998</v>
      </c>
      <c r="AP89" s="212">
        <f>AP81+AP79</f>
        <v>86.366</v>
      </c>
      <c r="AQ89" s="213">
        <f>AQ81+AQ79</f>
        <v>338.53549999999996</v>
      </c>
      <c r="AR89" s="215"/>
      <c r="AS89" s="210">
        <f>+AS87+AS85+AS83</f>
        <v>85.68</v>
      </c>
      <c r="AT89" s="211">
        <f>AT81+AT79</f>
        <v>85</v>
      </c>
      <c r="AU89" s="211">
        <f>AU81+AU79</f>
        <v>86.937999999999988</v>
      </c>
      <c r="AV89" s="212">
        <f>AV81+AV79</f>
        <v>87.033999999999992</v>
      </c>
      <c r="AW89" s="213">
        <f>AW81+AW79</f>
        <v>351.22458883248726</v>
      </c>
      <c r="AX89" s="215"/>
      <c r="AY89" s="210">
        <f>AY83+AY85+AY87</f>
        <v>82.08</v>
      </c>
      <c r="AZ89" s="211">
        <f>AZ83+AZ85+AZ87</f>
        <v>79.438999999999993</v>
      </c>
      <c r="BA89" s="211">
        <f>BA83+BA85+BA87</f>
        <v>77.069999999999993</v>
      </c>
      <c r="BB89" s="212">
        <f>BB83+BB85+BB87</f>
        <v>76.941000000000003</v>
      </c>
      <c r="BC89" s="213">
        <f>BC83+BC85+BC87</f>
        <v>315.52999999999997</v>
      </c>
      <c r="BD89" s="215"/>
      <c r="BE89" s="210">
        <f>BE83+BE85+BE87</f>
        <v>80.021999999999991</v>
      </c>
      <c r="BF89" s="211">
        <f>BF83+BF85+BF87</f>
        <v>80.015999999999991</v>
      </c>
      <c r="BG89" s="211">
        <f>BG83+BG85+BG87</f>
        <v>80</v>
      </c>
      <c r="BH89" s="212">
        <f>BH83+BH85+BH87</f>
        <v>83.683700000000002</v>
      </c>
      <c r="BI89" s="213">
        <f>BI83+BI85+BI87</f>
        <v>323.7217</v>
      </c>
      <c r="BJ89" s="215"/>
      <c r="BK89" s="210">
        <f>BK83+BK85+BK87</f>
        <v>81.486999999999995</v>
      </c>
      <c r="BL89" s="211">
        <f>BL83+BL85+BL87</f>
        <v>82.669599999999988</v>
      </c>
      <c r="BM89" s="211">
        <f>BM83+BM85+BM87</f>
        <v>85.593000000000004</v>
      </c>
      <c r="BN89" s="212">
        <f>BN83+BN85+BN87</f>
        <v>88.024999999999991</v>
      </c>
      <c r="BO89" s="213">
        <f>BO83+BO85+BO87</f>
        <v>337.77459999999996</v>
      </c>
      <c r="BP89" s="215"/>
      <c r="BQ89" s="210">
        <f>BQ83+BQ85+BQ87</f>
        <v>92.430999999999997</v>
      </c>
      <c r="BR89" s="211">
        <f>BR83+BR85+BR87</f>
        <v>86.633588289299709</v>
      </c>
      <c r="BS89" s="211">
        <f>BS83+BS85+BS87</f>
        <v>88.021126122862697</v>
      </c>
      <c r="BT89" s="212">
        <f>BT83+BT85+BT87</f>
        <v>89.72956525376577</v>
      </c>
      <c r="BU89" s="213">
        <f>BU83+BU85+BU87</f>
        <v>356.81527966592819</v>
      </c>
      <c r="BV89" s="215"/>
      <c r="BW89" s="210">
        <f>BW83+BW85+BW87</f>
        <v>98.001538122372736</v>
      </c>
      <c r="BX89" s="211">
        <f>BX83+BX85+BX87</f>
        <v>91.815408518470178</v>
      </c>
      <c r="BY89" s="211">
        <f>BY83+BY85+BY87</f>
        <v>94.498496329842567</v>
      </c>
      <c r="BZ89" s="212">
        <f>BZ83+BZ85+BZ87</f>
        <v>96.0718155842046</v>
      </c>
      <c r="CA89" s="213">
        <f>CA83+CA85+CA87</f>
        <v>380.38725855489014</v>
      </c>
      <c r="CB89" s="1858"/>
      <c r="CC89" s="210">
        <f>CC83+CC85+CC87</f>
        <v>103.41525925136779</v>
      </c>
      <c r="CD89" s="211">
        <f>CD83+CD85+CD87</f>
        <v>97.237932091795869</v>
      </c>
      <c r="CE89" s="211">
        <f>CE83+CE85+CE87</f>
        <v>100.83797852646579</v>
      </c>
      <c r="CF89" s="212">
        <f>CF83+CF85+CF87</f>
        <v>102.15912182871577</v>
      </c>
      <c r="CG89" s="213">
        <f>CG83+CG85+CG87</f>
        <v>403.6502916983452</v>
      </c>
      <c r="CH89" s="166"/>
      <c r="CI89" s="210">
        <f>CI83+CI85+CI87</f>
        <v>108.9061177626083</v>
      </c>
      <c r="CJ89" s="211">
        <f>CJ83+CJ85+CJ87</f>
        <v>102.73815316855261</v>
      </c>
      <c r="CK89" s="211">
        <f>CK83+CK85+CK87</f>
        <v>107.48664542233543</v>
      </c>
      <c r="CL89" s="212">
        <f>CL83+CL85+CL87</f>
        <v>108.43059155975297</v>
      </c>
      <c r="CM89" s="213">
        <f>CM83+CM85+CM87</f>
        <v>427.56150791324933</v>
      </c>
      <c r="CN89" s="166"/>
      <c r="CO89" s="166"/>
      <c r="CP89" s="166"/>
      <c r="CQ89"/>
      <c r="CR89"/>
      <c r="CS89"/>
      <c r="CT89"/>
      <c r="CU89"/>
      <c r="CV89"/>
      <c r="CW89" s="166"/>
    </row>
    <row r="90" spans="1:101" s="149" customFormat="1" outlineLevel="1">
      <c r="A90" s="216" t="s">
        <v>116</v>
      </c>
      <c r="B90" s="188"/>
      <c r="C90" s="189">
        <f>C89/C10</f>
        <v>9.9301276065981894E-2</v>
      </c>
      <c r="D90" s="190">
        <f>D89/D10</f>
        <v>0.10780664655546349</v>
      </c>
      <c r="E90" s="190">
        <f>E89/E10</f>
        <v>9.707621471601964E-2</v>
      </c>
      <c r="F90" s="217">
        <f>F89/F10</f>
        <v>9.6362968324997911E-2</v>
      </c>
      <c r="G90" s="191">
        <f>G89/G10</f>
        <v>9.9864747036179244E-2</v>
      </c>
      <c r="H90" s="188"/>
      <c r="I90" s="189">
        <f>I89/I10</f>
        <v>0.10121067168863773</v>
      </c>
      <c r="J90" s="190">
        <f>J89/J10</f>
        <v>0.10761082716344236</v>
      </c>
      <c r="K90" s="190">
        <f>K89/K10</f>
        <v>9.8474618935044417E-2</v>
      </c>
      <c r="L90" s="217">
        <f>L89/L10</f>
        <v>9.7640195053988271E-2</v>
      </c>
      <c r="M90" s="191">
        <f>M89/M10</f>
        <v>0.10111670849671257</v>
      </c>
      <c r="N90" s="188"/>
      <c r="O90" s="189">
        <f>O89/O10</f>
        <v>8.7619047619047624E-2</v>
      </c>
      <c r="P90" s="190">
        <f>P89/P10</f>
        <v>9.2369477911646583E-2</v>
      </c>
      <c r="Q90" s="190">
        <f>Q89/Q10</f>
        <v>8.669354838709678E-2</v>
      </c>
      <c r="R90" s="217">
        <f>R89/R10</f>
        <v>8.455882352941177E-2</v>
      </c>
      <c r="S90" s="191">
        <f>S89/S10</f>
        <v>8.7736306349975757E-2</v>
      </c>
      <c r="T90" s="192"/>
      <c r="U90" s="189">
        <f>U89/U10</f>
        <v>7.8767123287671229E-2</v>
      </c>
      <c r="V90" s="190">
        <f>V89/V10</f>
        <v>8.2167832167832161E-2</v>
      </c>
      <c r="W90" s="190">
        <f>W89/W10</f>
        <v>8.1081081081081086E-2</v>
      </c>
      <c r="X90" s="217">
        <f>X89/X10</f>
        <v>7.3170731707317069E-2</v>
      </c>
      <c r="Y90" s="191">
        <f>Y89/Y10</f>
        <v>7.8387458006718924E-2</v>
      </c>
      <c r="Z90" s="192"/>
      <c r="AA90" s="189">
        <f>AA89/AA10</f>
        <v>8.632138114209828E-2</v>
      </c>
      <c r="AB90" s="190">
        <f>AB89/AB10</f>
        <v>8.0473372781065089E-2</v>
      </c>
      <c r="AC90" s="190">
        <f>AC89/AC10</f>
        <v>8.0143540669856461E-2</v>
      </c>
      <c r="AD90" s="217">
        <f>AD89/AD10</f>
        <v>7.5342465753424653E-2</v>
      </c>
      <c r="AE90" s="191">
        <f>AE89/AE10</f>
        <v>8.0362537764350456E-2</v>
      </c>
      <c r="AF90" s="193"/>
      <c r="AG90" s="189">
        <f>AG89/AG10</f>
        <v>7.5845974329054849E-2</v>
      </c>
      <c r="AH90" s="190">
        <f>AH89/AH10</f>
        <v>8.168028004667445E-2</v>
      </c>
      <c r="AI90" s="190">
        <f>AI89/AI10</f>
        <v>8.17744874715262E-2</v>
      </c>
      <c r="AJ90" s="217">
        <f>AJ89/AJ10</f>
        <v>8.2542166140904316E-2</v>
      </c>
      <c r="AK90" s="191">
        <f>AK89/AK10</f>
        <v>8.0523736946090871E-2</v>
      </c>
      <c r="AL90" s="193"/>
      <c r="AM90" s="189">
        <f>AM89/AM10</f>
        <v>8.9926931106471805E-2</v>
      </c>
      <c r="AN90" s="190">
        <f>AN89/AN10</f>
        <v>8.4939814814814815E-2</v>
      </c>
      <c r="AO90" s="190">
        <f>AO89/AO10</f>
        <v>8.7758149316508938E-2</v>
      </c>
      <c r="AP90" s="217">
        <f>AP89/AP10</f>
        <v>8.5257650542941751E-2</v>
      </c>
      <c r="AQ90" s="191">
        <f>AQ89/AQ10</f>
        <v>8.6937724704673841E-2</v>
      </c>
      <c r="AR90" s="193"/>
      <c r="AS90" s="189">
        <f>AS89/AS10</f>
        <v>8.5000000000000006E-2</v>
      </c>
      <c r="AT90" s="190">
        <f>AT89/AT10</f>
        <v>8.6032388663967604E-2</v>
      </c>
      <c r="AU90" s="190">
        <f>AU89/AU10</f>
        <v>8.6162537165510394E-2</v>
      </c>
      <c r="AV90" s="217">
        <f>AV89/AV10</f>
        <v>8.3445829338446784E-2</v>
      </c>
      <c r="AW90" s="191">
        <f>AW89/AW10</f>
        <v>8.6764967596958315E-2</v>
      </c>
      <c r="AX90" s="193"/>
      <c r="AY90" s="189">
        <f>AY89/AY10</f>
        <v>0.08</v>
      </c>
      <c r="AZ90" s="190">
        <f>AZ89/AZ10</f>
        <v>8.2491173416407049E-2</v>
      </c>
      <c r="BA90" s="190">
        <f>BA89/BA10</f>
        <v>7.6005917159763306E-2</v>
      </c>
      <c r="BB90" s="190">
        <f>BB89/BB10</f>
        <v>7.4339130434782616E-2</v>
      </c>
      <c r="BC90" s="191">
        <f>BC89/BC10</f>
        <v>7.8140168400198107E-2</v>
      </c>
      <c r="BD90" s="193"/>
      <c r="BE90" s="189">
        <f>BE89/BE10</f>
        <v>7.7842412451361864E-2</v>
      </c>
      <c r="BF90" s="190">
        <f>BF89/BF10</f>
        <v>7.8524043179587819E-2</v>
      </c>
      <c r="BG90" s="190">
        <f>BG89/BG10</f>
        <v>7.662835249042145E-2</v>
      </c>
      <c r="BH90" s="190">
        <f>BH89/BH10</f>
        <v>7.5322862286228628E-2</v>
      </c>
      <c r="BI90" s="191">
        <f>BI89/BI10</f>
        <v>7.7039909566872913E-2</v>
      </c>
      <c r="BJ90" s="193"/>
      <c r="BK90" s="189">
        <f>BK89/BK10</f>
        <v>7.6370196813495772E-2</v>
      </c>
      <c r="BL90" s="190">
        <f>BL89/BL10</f>
        <v>7.5017785843920132E-2</v>
      </c>
      <c r="BM90" s="190">
        <f>BM89/BM10</f>
        <v>7.6833931777378822E-2</v>
      </c>
      <c r="BN90" s="190">
        <f>BN89/BN10</f>
        <v>7.4032800672834312E-2</v>
      </c>
      <c r="BO90" s="191">
        <f>BO89/BO10</f>
        <v>7.553099284436493E-2</v>
      </c>
      <c r="BP90" s="193"/>
      <c r="BQ90" s="189">
        <f>BQ89/BQ10</f>
        <v>7.6326176713459953E-2</v>
      </c>
      <c r="BR90" s="190">
        <f>BR89/BR10</f>
        <v>6.8992051184243744E-2</v>
      </c>
      <c r="BS90" s="190">
        <f>BS89/BS10</f>
        <v>7.0816909631948116E-2</v>
      </c>
      <c r="BT90" s="190">
        <f>BT89/BT10</f>
        <v>6.8061410922505561E-2</v>
      </c>
      <c r="BU90" s="191">
        <f>BU89/BU10</f>
        <v>7.0965576201451164E-2</v>
      </c>
      <c r="BV90" s="193"/>
      <c r="BW90" s="189">
        <f>BW89/BW10</f>
        <v>7.5818203897500505E-2</v>
      </c>
      <c r="BX90" s="190">
        <f>BX89/BX10</f>
        <v>6.8491100645370312E-2</v>
      </c>
      <c r="BY90" s="190">
        <f>BY89/BY10</f>
        <v>7.0335991338284776E-2</v>
      </c>
      <c r="BZ90" s="190">
        <f>BZ89/BZ10</f>
        <v>6.7577383219043358E-2</v>
      </c>
      <c r="CA90" s="191">
        <f>CA89/CA10</f>
        <v>7.0464045791111263E-2</v>
      </c>
      <c r="CB90" s="2109"/>
      <c r="CC90" s="189">
        <f>CC89/CC10</f>
        <v>7.5561291528771835E-2</v>
      </c>
      <c r="CD90" s="190">
        <f>CD89/CD10</f>
        <v>6.831351700196385E-2</v>
      </c>
      <c r="CE90" s="190">
        <f>CE89/CE10</f>
        <v>7.0144776166544257E-2</v>
      </c>
      <c r="CF90" s="190">
        <f>CF89/CF10</f>
        <v>6.7386074309572011E-2</v>
      </c>
      <c r="CG90" s="191">
        <f>CG89/CG10</f>
        <v>7.0253432242033093E-2</v>
      </c>
      <c r="CH90" s="194"/>
      <c r="CI90" s="189">
        <f>CI89/CI10</f>
        <v>7.5009223398591771E-2</v>
      </c>
      <c r="CJ90" s="190">
        <f>CJ89/CJ10</f>
        <v>6.7828336537258838E-2</v>
      </c>
      <c r="CK90" s="190">
        <f>CK89/CK10</f>
        <v>6.9637894261167413E-2</v>
      </c>
      <c r="CL90" s="190">
        <f>CL89/CL10</f>
        <v>6.6877180722134624E-2</v>
      </c>
      <c r="CM90" s="191">
        <f>CM89/CM10</f>
        <v>6.9732765625971999E-2</v>
      </c>
      <c r="CN90" s="194"/>
      <c r="CO90" s="194"/>
      <c r="CP90" s="194"/>
      <c r="CQ90"/>
      <c r="CR90"/>
      <c r="CS90"/>
      <c r="CT90"/>
      <c r="CU90"/>
      <c r="CV90"/>
      <c r="CW90" s="194"/>
    </row>
    <row r="91" spans="1:101" s="149" customFormat="1">
      <c r="A91" s="143" t="s">
        <v>117</v>
      </c>
      <c r="B91" s="218"/>
      <c r="C91" s="144">
        <f>C14/C10</f>
        <v>0.26281960305489716</v>
      </c>
      <c r="D91" s="219">
        <f>D14/D10</f>
        <v>0.28818400765014401</v>
      </c>
      <c r="E91" s="219">
        <f>E14/E10</f>
        <v>0.27644190895135778</v>
      </c>
      <c r="F91" s="220">
        <f>F14/F10</f>
        <v>0.25853397823988755</v>
      </c>
      <c r="G91" s="221">
        <f>G14/G10</f>
        <v>0.27081489049047319</v>
      </c>
      <c r="H91" s="218"/>
      <c r="I91" s="144">
        <f>I14/I10</f>
        <v>0.26196446955430019</v>
      </c>
      <c r="J91" s="219">
        <f>J14/J10</f>
        <v>0.25804577661014255</v>
      </c>
      <c r="K91" s="219">
        <f>K14/K10</f>
        <v>0.25279204773162228</v>
      </c>
      <c r="L91" s="220">
        <f>L14/L10</f>
        <v>0.22937327295947973</v>
      </c>
      <c r="M91" s="221">
        <f>M14/M10</f>
        <v>0.24994206143495032</v>
      </c>
      <c r="N91" s="218"/>
      <c r="O91" s="144">
        <f>O14/O10</f>
        <v>0.26666666666666666</v>
      </c>
      <c r="P91" s="219">
        <f>P14/P10</f>
        <v>0.27108433734939757</v>
      </c>
      <c r="Q91" s="219">
        <f>Q14/Q10</f>
        <v>0.26411290322580644</v>
      </c>
      <c r="R91" s="220">
        <f>R14/R10</f>
        <v>0.26286764705882354</v>
      </c>
      <c r="S91" s="221">
        <f>S14/S10</f>
        <v>0.26611730489578284</v>
      </c>
      <c r="T91" s="219"/>
      <c r="U91" s="144">
        <f>U14/U10</f>
        <v>0.25856164383561642</v>
      </c>
      <c r="V91" s="219">
        <f>V14/V10</f>
        <v>0.28321678321678323</v>
      </c>
      <c r="W91" s="219">
        <f>W14/W10</f>
        <v>0.27311522048364156</v>
      </c>
      <c r="X91" s="220">
        <f>X14/X10</f>
        <v>0.26341463414634148</v>
      </c>
      <c r="Y91" s="221">
        <f>Y14/Y10</f>
        <v>0.26913027248973498</v>
      </c>
      <c r="Z91" s="219"/>
      <c r="AA91" s="144">
        <f>AA14/AA10</f>
        <v>0.28552456839309431</v>
      </c>
      <c r="AB91" s="219">
        <f>AB14/AB10</f>
        <v>0.27455621301775146</v>
      </c>
      <c r="AC91" s="219">
        <f>AC14/AC10</f>
        <v>0.26555023923444976</v>
      </c>
      <c r="AD91" s="220">
        <f>AD14/AD10</f>
        <v>0.25570776255707761</v>
      </c>
      <c r="AE91" s="222">
        <f>AE14/AE10</f>
        <v>0.26978851963746225</v>
      </c>
      <c r="AF91" s="223"/>
      <c r="AG91" s="145">
        <f>AG14/AG10</f>
        <v>0.26668844807467906</v>
      </c>
      <c r="AH91" s="219">
        <f>AH14/AH10</f>
        <v>0.27602567094515756</v>
      </c>
      <c r="AI91" s="219">
        <f>AI14/AI10</f>
        <v>0.25965831435079728</v>
      </c>
      <c r="AJ91" s="220">
        <f>AJ14/AJ10</f>
        <v>0.2589909568874868</v>
      </c>
      <c r="AK91" s="222">
        <f>AK14/AK10</f>
        <v>0.26513869602032175</v>
      </c>
      <c r="AL91" s="224"/>
      <c r="AM91" s="144">
        <f>AM14/AM10</f>
        <v>0.27030897703549062</v>
      </c>
      <c r="AN91" s="219">
        <f>AN14/AN10</f>
        <v>0.26264866255144032</v>
      </c>
      <c r="AO91" s="219">
        <f>AO14/AO10</f>
        <v>0.25477287066246057</v>
      </c>
      <c r="AP91" s="220">
        <f>AP14/AP10</f>
        <v>0.2429664363277394</v>
      </c>
      <c r="AQ91" s="222">
        <f>AQ14/AQ10</f>
        <v>0.25748959938366717</v>
      </c>
      <c r="AR91" s="224"/>
      <c r="AS91" s="144">
        <f>AS14/AS10</f>
        <v>0.26447222222222222</v>
      </c>
      <c r="AT91" s="219">
        <f>AT14/AT10</f>
        <v>0.27333906882591091</v>
      </c>
      <c r="AU91" s="219">
        <f>AU14/AU10</f>
        <v>0.25804162537165515</v>
      </c>
      <c r="AV91" s="220">
        <f>AV14/AV10</f>
        <v>0.25084851390220508</v>
      </c>
      <c r="AW91" s="222">
        <f>AW14/AW10</f>
        <v>0.26152322134387346</v>
      </c>
      <c r="AX91" s="224"/>
      <c r="AY91" s="144">
        <f>AY14/AY10</f>
        <v>0.27876023391812865</v>
      </c>
      <c r="AZ91" s="219">
        <f>AZ14/AZ10</f>
        <v>0.27896469366562826</v>
      </c>
      <c r="BA91" s="219">
        <f>BA14/BA10</f>
        <v>0.26197928994082842</v>
      </c>
      <c r="BB91" s="219">
        <f>BB14/BB10</f>
        <v>0.2558280193236715</v>
      </c>
      <c r="BC91" s="222">
        <f>BC14/BC10</f>
        <v>0.26871718672610201</v>
      </c>
      <c r="BD91" s="223"/>
      <c r="BE91" s="144">
        <f>BE14/BE10</f>
        <v>0.27124902723735406</v>
      </c>
      <c r="BF91" s="219">
        <f>BF14/BF10</f>
        <v>0.27605004906771341</v>
      </c>
      <c r="BG91" s="219">
        <f>BG14/BG10</f>
        <v>0.26364750957854405</v>
      </c>
      <c r="BH91" s="219">
        <f>BH14/BH10</f>
        <v>0.25601710171017106</v>
      </c>
      <c r="BI91" s="222">
        <f>BI14/BI10</f>
        <v>0.26649738219895291</v>
      </c>
      <c r="BJ91" s="224"/>
      <c r="BK91" s="144">
        <f>BK14/BK10</f>
        <v>0.2652755388940955</v>
      </c>
      <c r="BL91" s="219">
        <f>BL14/BL10</f>
        <v>0.26595589836660616</v>
      </c>
      <c r="BM91" s="219">
        <f>BM14/BM10</f>
        <v>0.2617871633752244</v>
      </c>
      <c r="BN91" s="219">
        <f>BN14/BN10</f>
        <v>0.25686122792262406</v>
      </c>
      <c r="BO91" s="222">
        <f>BO14/BO10</f>
        <v>0.26233705277280855</v>
      </c>
      <c r="BP91" s="224"/>
      <c r="BQ91" s="144">
        <f>BQ14/BQ10</f>
        <v>0.27072535094962841</v>
      </c>
      <c r="BR91" s="219">
        <f>BR14/BR10</f>
        <v>0.26033490690653133</v>
      </c>
      <c r="BS91" s="219">
        <f>BS14/BS10</f>
        <v>0.25495929866868083</v>
      </c>
      <c r="BT91" s="219">
        <f>BT14/BT10</f>
        <v>0.2499813081766272</v>
      </c>
      <c r="BU91" s="222">
        <f>BU14/BU10</f>
        <v>0.2587938351471985</v>
      </c>
      <c r="BV91" s="224"/>
      <c r="BW91" s="144">
        <f>BW14/BW10</f>
        <v>0.26842329332672304</v>
      </c>
      <c r="BX91" s="219">
        <f t="shared" ref="BX91:BZ91" si="43">BX14/BX10</f>
        <v>0.25794602179331039</v>
      </c>
      <c r="BY91" s="219">
        <f t="shared" si="43"/>
        <v>0.25274469818658774</v>
      </c>
      <c r="BZ91" s="219">
        <f t="shared" si="43"/>
        <v>0.24771615656519952</v>
      </c>
      <c r="CA91" s="222">
        <f>CA14/CA10</f>
        <v>0.25646616933031163</v>
      </c>
      <c r="CB91" s="234"/>
      <c r="CC91" s="144">
        <f>CC14/CC10</f>
        <v>0.26566926293997983</v>
      </c>
      <c r="CD91" s="219">
        <f>CD14/CD10</f>
        <v>0.25391125120302821</v>
      </c>
      <c r="CE91" s="219">
        <f>CE14/CE10</f>
        <v>0.24909255456398827</v>
      </c>
      <c r="CF91" s="219">
        <f>CF14/CF10</f>
        <v>0.24401510513586669</v>
      </c>
      <c r="CG91" s="222">
        <f>CG14/CG10</f>
        <v>0.25289522713777129</v>
      </c>
      <c r="CH91" s="154"/>
      <c r="CI91" s="144">
        <f>CI14/CI10</f>
        <v>0.26255548824687275</v>
      </c>
      <c r="CJ91" s="219">
        <f>CJ14/CJ10</f>
        <v>0.24954752335616576</v>
      </c>
      <c r="CK91" s="219">
        <f>CK14/CK10</f>
        <v>0.24527549215020497</v>
      </c>
      <c r="CL91" s="219">
        <f>CL14/CL10</f>
        <v>0.24009807894414656</v>
      </c>
      <c r="CM91" s="222">
        <f>CM14/CM10</f>
        <v>0.24905361485030231</v>
      </c>
      <c r="CN91" s="154"/>
      <c r="CO91" s="154"/>
      <c r="CP91" s="154"/>
      <c r="CQ91"/>
      <c r="CR91"/>
      <c r="CS91"/>
      <c r="CT91"/>
      <c r="CU91"/>
      <c r="CV91"/>
      <c r="CW91" s="154"/>
    </row>
    <row r="92" spans="1:101" s="149" customFormat="1" ht="12.75" hidden="1" customHeight="1" outlineLevel="2">
      <c r="A92" s="501" t="s">
        <v>97</v>
      </c>
      <c r="B92" s="4"/>
      <c r="C92" s="1704">
        <f>C10-C56-C89-C96-C147</f>
        <v>73.078289760348582</v>
      </c>
      <c r="D92" s="1703">
        <f>D10-D56-D89-D96-D147</f>
        <v>79.422755274261647</v>
      </c>
      <c r="E92" s="1703">
        <f>E10-E56-E89-E96-E147</f>
        <v>81.838447416413402</v>
      </c>
      <c r="F92" s="1703">
        <f>F10-F56-F89-F96-F147</f>
        <v>84.138471264367752</v>
      </c>
      <c r="G92" s="825">
        <f>SUM(C92:F92)</f>
        <v>318.47796371539141</v>
      </c>
      <c r="H92" s="4"/>
      <c r="I92" s="1704">
        <f>I10-I56-I89-I96-I147</f>
        <v>88.061466666666718</v>
      </c>
      <c r="J92" s="1703">
        <f>J10-J56-J89-J96-J147</f>
        <v>82.04426160337556</v>
      </c>
      <c r="K92" s="1703">
        <f>K10-K56-K89-K96-K147</f>
        <v>83.936277203647478</v>
      </c>
      <c r="L92" s="1703">
        <f>L10-L56-L89-L96-L147</f>
        <v>80.247724137930959</v>
      </c>
      <c r="M92" s="825">
        <f>SUM(I92:L92)</f>
        <v>334.28972961162071</v>
      </c>
      <c r="N92" s="4"/>
      <c r="O92" s="1704">
        <v>91</v>
      </c>
      <c r="P92" s="1703">
        <v>87</v>
      </c>
      <c r="Q92" s="1703">
        <v>85</v>
      </c>
      <c r="R92" s="1703">
        <f>356-Q92-P92-O92</f>
        <v>93</v>
      </c>
      <c r="S92" s="825">
        <f>SUM(O92:R92)</f>
        <v>356</v>
      </c>
      <c r="T92" s="1247"/>
      <c r="U92" s="1704">
        <v>97</v>
      </c>
      <c r="V92" s="1703">
        <v>103</v>
      </c>
      <c r="W92" s="1703">
        <v>108</v>
      </c>
      <c r="X92" s="2016">
        <f>427-W92-V92-U92</f>
        <v>119</v>
      </c>
      <c r="Y92" s="825">
        <f>SUM(U92:X92)</f>
        <v>427</v>
      </c>
      <c r="Z92" s="1247"/>
      <c r="AA92" s="1704">
        <v>125</v>
      </c>
      <c r="AB92" s="1703">
        <v>136</v>
      </c>
      <c r="AC92" s="1703">
        <v>129</v>
      </c>
      <c r="AD92" s="1703">
        <v>132</v>
      </c>
      <c r="AE92" s="825">
        <f>SUM(AA92:AD92)</f>
        <v>522</v>
      </c>
      <c r="AF92" s="1316"/>
      <c r="AG92" s="1704">
        <v>125</v>
      </c>
      <c r="AH92" s="1703">
        <v>137</v>
      </c>
      <c r="AI92" s="204">
        <f>RevBuild!AI8*AI93</f>
        <v>101.66</v>
      </c>
      <c r="AJ92" s="204">
        <f>RevBuild!AJ8*AJ93</f>
        <v>106.265</v>
      </c>
      <c r="AK92" s="825">
        <f>SUM(AG92:AJ92)</f>
        <v>469.92499999999995</v>
      </c>
      <c r="AL92" s="148"/>
      <c r="AM92" s="701">
        <f>RevBuild!AM8*AM93</f>
        <v>103.057</v>
      </c>
      <c r="AN92" s="204">
        <f>RevBuild!AN8*AN93</f>
        <v>102.22200000000002</v>
      </c>
      <c r="AO92" s="204">
        <f>RevBuild!AO8*AO93</f>
        <v>96.640999999999991</v>
      </c>
      <c r="AP92" s="2016"/>
      <c r="AQ92" s="825">
        <f>SUM(AM92:AP92)</f>
        <v>301.92</v>
      </c>
      <c r="AR92" s="225"/>
      <c r="AS92" s="2016"/>
      <c r="AT92" s="2016"/>
      <c r="AU92" s="2016"/>
      <c r="AV92" s="2016"/>
      <c r="AW92" s="825"/>
      <c r="AX92" s="225"/>
      <c r="AY92" s="2016"/>
      <c r="AZ92" s="2016"/>
      <c r="BA92" s="2016"/>
      <c r="BB92" s="2016"/>
      <c r="BC92" s="825"/>
      <c r="BD92" s="225"/>
      <c r="BE92" s="2016"/>
      <c r="BF92" s="2016"/>
      <c r="BG92" s="2016"/>
      <c r="BH92" s="2016"/>
      <c r="BI92" s="825"/>
      <c r="BJ92" s="225"/>
      <c r="BK92" s="2016"/>
      <c r="BL92" s="2016"/>
      <c r="BM92" s="2016"/>
      <c r="BN92" s="2016"/>
      <c r="BO92" s="825"/>
      <c r="BP92" s="225"/>
      <c r="BQ92" s="2016"/>
      <c r="BR92" s="2016"/>
      <c r="BS92" s="2016"/>
      <c r="BT92" s="2016"/>
      <c r="BU92" s="825"/>
      <c r="BV92" s="225"/>
      <c r="BW92" s="2016"/>
      <c r="BX92" s="2016"/>
      <c r="BY92" s="2016"/>
      <c r="BZ92" s="2016"/>
      <c r="CA92" s="825"/>
      <c r="CB92" s="204"/>
      <c r="CC92" s="2016"/>
      <c r="CD92" s="2016"/>
      <c r="CE92" s="2016"/>
      <c r="CF92" s="2016"/>
      <c r="CG92" s="825"/>
      <c r="CI92" s="2016"/>
      <c r="CJ92" s="2016"/>
      <c r="CK92" s="2016"/>
      <c r="CL92" s="2016"/>
      <c r="CM92" s="825"/>
      <c r="CQ92"/>
      <c r="CR92"/>
      <c r="CS92"/>
      <c r="CT92"/>
      <c r="CU92"/>
      <c r="CV92"/>
    </row>
    <row r="93" spans="1:101" s="149" customFormat="1" ht="12.75" hidden="1" customHeight="1" outlineLevel="2">
      <c r="A93" s="158" t="s">
        <v>98</v>
      </c>
      <c r="B93" s="150"/>
      <c r="C93" s="159">
        <f>C92/RevBuild!C8</f>
        <v>0.29231315904139432</v>
      </c>
      <c r="D93" s="156">
        <f>D92/RevBuild!D8</f>
        <v>0.32417451132351693</v>
      </c>
      <c r="E93" s="156">
        <f>E92/RevBuild!E8</f>
        <v>0.31720328455974189</v>
      </c>
      <c r="F93" s="156">
        <f>F92/RevBuild!F8</f>
        <v>0.28716201796712543</v>
      </c>
      <c r="G93" s="160">
        <f>G92/RevBuild!G8</f>
        <v>0.30447224064568967</v>
      </c>
      <c r="H93" s="150"/>
      <c r="I93" s="159">
        <f>I92/RevBuild!I8</f>
        <v>0.28778257080610037</v>
      </c>
      <c r="J93" s="156">
        <f>J92/RevBuild!J8</f>
        <v>0.27166974040852837</v>
      </c>
      <c r="K93" s="156">
        <f>K92/RevBuild!K8</f>
        <v>0.27252038053132299</v>
      </c>
      <c r="L93" s="156">
        <f>L92/RevBuild!L8</f>
        <v>0.23464246823956419</v>
      </c>
      <c r="M93" s="160">
        <f>M92/RevBuild!M8</f>
        <v>0.26573110461973032</v>
      </c>
      <c r="N93" s="150"/>
      <c r="O93" s="159">
        <f>O92/RevBuild!O8</f>
        <v>0.35686274509803922</v>
      </c>
      <c r="P93" s="156">
        <f>P92/RevBuild!P8</f>
        <v>0.36708860759493672</v>
      </c>
      <c r="Q93" s="156">
        <f>Q92/RevBuild!Q8</f>
        <v>0.36170212765957449</v>
      </c>
      <c r="R93" s="156">
        <f>R92/RevBuild!R8</f>
        <v>0.35632183908045978</v>
      </c>
      <c r="S93" s="160">
        <f>S92/RevBuild!S8</f>
        <v>0.36032388663967613</v>
      </c>
      <c r="T93" s="151"/>
      <c r="U93" s="159">
        <f>U92/RevBuild!U8</f>
        <v>0.34892086330935251</v>
      </c>
      <c r="V93" s="156">
        <f>V92/RevBuild!V8</f>
        <v>0.38576779026217228</v>
      </c>
      <c r="W93" s="156">
        <f>W92/RevBuild!W8</f>
        <v>0.34394904458598724</v>
      </c>
      <c r="X93" s="156">
        <f>X92/RevBuild!X8</f>
        <v>0.3242506811989101</v>
      </c>
      <c r="Y93" s="160">
        <f>Y92/RevBuild!Y8</f>
        <v>0.34828711256117456</v>
      </c>
      <c r="Z93" s="151"/>
      <c r="AA93" s="159">
        <f>AA92/RevBuild!AA8</f>
        <v>0.36982248520710059</v>
      </c>
      <c r="AB93" s="156">
        <f>AB92/RevBuild!AB8</f>
        <v>0.34693877551020408</v>
      </c>
      <c r="AC93" s="156">
        <f>AC92/RevBuild!AC8</f>
        <v>0.33681462140992169</v>
      </c>
      <c r="AD93" s="156">
        <f>AD92/RevBuild!AD8</f>
        <v>0.32835820895522388</v>
      </c>
      <c r="AE93" s="160">
        <f>AE92/RevBuild!AE8</f>
        <v>0.34455445544554453</v>
      </c>
      <c r="AF93" s="203"/>
      <c r="AG93" s="156">
        <f>AG92/RevBuild!AG8</f>
        <v>0.31645569620253167</v>
      </c>
      <c r="AH93" s="156">
        <f>AH92/RevBuild!AH8</f>
        <v>0.3468354430379747</v>
      </c>
      <c r="AI93" s="1578">
        <v>0.26</v>
      </c>
      <c r="AJ93" s="1578">
        <v>0.26500000000000001</v>
      </c>
      <c r="AK93" s="160">
        <f>AK92/RevBuild!AK8</f>
        <v>0.29704487989886219</v>
      </c>
      <c r="AL93" s="203"/>
      <c r="AM93" s="156">
        <f>AM59-15.2%-AM76</f>
        <v>0.25700000000000001</v>
      </c>
      <c r="AN93" s="156">
        <f>AN59-15.04%-AN76</f>
        <v>0.25240000000000007</v>
      </c>
      <c r="AO93" s="156">
        <f>AO59-16.6%-AO76</f>
        <v>0.24099999999999999</v>
      </c>
      <c r="AP93" s="156"/>
      <c r="AQ93" s="160">
        <f>AQ92/RevBuild!AQ8</f>
        <v>0.1855204434441618</v>
      </c>
      <c r="AR93" s="203"/>
      <c r="AS93" s="156"/>
      <c r="AT93" s="156"/>
      <c r="AU93" s="156"/>
      <c r="AV93" s="156"/>
      <c r="AW93" s="160"/>
      <c r="AX93" s="203"/>
      <c r="AY93" s="156"/>
      <c r="AZ93" s="156"/>
      <c r="BA93" s="156"/>
      <c r="BB93" s="156"/>
      <c r="BC93" s="160"/>
      <c r="BD93" s="203"/>
      <c r="BE93" s="156"/>
      <c r="BF93" s="156"/>
      <c r="BG93" s="156"/>
      <c r="BH93" s="156"/>
      <c r="BI93" s="160"/>
      <c r="BJ93" s="203"/>
      <c r="BK93" s="156"/>
      <c r="BL93" s="156"/>
      <c r="BM93" s="156"/>
      <c r="BN93" s="156"/>
      <c r="BO93" s="160"/>
      <c r="BP93" s="203"/>
      <c r="BQ93" s="156"/>
      <c r="BR93" s="156"/>
      <c r="BS93" s="156"/>
      <c r="BT93" s="156"/>
      <c r="BU93" s="160"/>
      <c r="BV93" s="203"/>
      <c r="BW93" s="156"/>
      <c r="BX93" s="156"/>
      <c r="BY93" s="156"/>
      <c r="BZ93" s="156"/>
      <c r="CA93" s="160"/>
      <c r="CB93" s="156"/>
      <c r="CC93" s="156"/>
      <c r="CD93" s="156"/>
      <c r="CE93" s="156"/>
      <c r="CF93" s="156"/>
      <c r="CG93" s="160"/>
      <c r="CH93" s="142"/>
      <c r="CI93" s="156"/>
      <c r="CJ93" s="156"/>
      <c r="CK93" s="156"/>
      <c r="CL93" s="156"/>
      <c r="CM93" s="160"/>
      <c r="CN93" s="142"/>
      <c r="CO93" s="142"/>
      <c r="CP93" s="142"/>
      <c r="CQ93"/>
      <c r="CR93"/>
      <c r="CS93"/>
      <c r="CT93"/>
      <c r="CU93"/>
      <c r="CV93"/>
      <c r="CW93" s="142"/>
    </row>
    <row r="94" spans="1:101" s="149" customFormat="1" ht="12.75" hidden="1" customHeight="1" outlineLevel="2">
      <c r="A94" s="501" t="str">
        <f>A77</f>
        <v>DGG</v>
      </c>
      <c r="B94" s="150"/>
      <c r="C94" s="2017"/>
      <c r="D94" s="155"/>
      <c r="E94" s="155"/>
      <c r="F94" s="155"/>
      <c r="G94" s="251"/>
      <c r="H94" s="150"/>
      <c r="I94" s="2017"/>
      <c r="J94" s="155"/>
      <c r="K94" s="155"/>
      <c r="L94" s="155"/>
      <c r="M94" s="251"/>
      <c r="N94" s="150"/>
      <c r="O94" s="2017"/>
      <c r="P94" s="155"/>
      <c r="Q94" s="155"/>
      <c r="R94" s="155"/>
      <c r="S94" s="251"/>
      <c r="T94" s="175"/>
      <c r="U94" s="2017"/>
      <c r="V94" s="155"/>
      <c r="W94" s="155"/>
      <c r="X94" s="155"/>
      <c r="Y94" s="251"/>
      <c r="Z94" s="175"/>
      <c r="AA94" s="2017"/>
      <c r="AB94" s="155"/>
      <c r="AC94" s="155"/>
      <c r="AD94" s="155"/>
      <c r="AE94" s="251"/>
      <c r="AF94" s="203"/>
      <c r="AI94" s="177">
        <f>RevBuild!AI9*AI95</f>
        <v>38.159999999999997</v>
      </c>
      <c r="AJ94" s="177">
        <f>RevBuild!AJ9*AJ95</f>
        <v>56.16</v>
      </c>
      <c r="AK94" s="251">
        <f>SUM(AI94:AJ94)</f>
        <v>94.32</v>
      </c>
      <c r="AL94" s="203"/>
      <c r="AM94" s="1318">
        <f>RevBuild!AM9*AM95</f>
        <v>60.962000000000003</v>
      </c>
      <c r="AN94" s="177">
        <f>RevBuild!AN9*AN95</f>
        <v>60.108599999999996</v>
      </c>
      <c r="AO94" s="177">
        <f>RevBuild!AO9*AO95</f>
        <v>57.212999999999994</v>
      </c>
      <c r="AP94" s="155"/>
      <c r="AQ94" s="251">
        <f>SUM(AM94:AP94)</f>
        <v>178.28359999999998</v>
      </c>
      <c r="AR94" s="203"/>
      <c r="AU94" s="155"/>
      <c r="AV94" s="155"/>
      <c r="AW94" s="251"/>
      <c r="AX94" s="203"/>
      <c r="BA94" s="155"/>
      <c r="BB94" s="155"/>
      <c r="BC94" s="251"/>
      <c r="BD94" s="203"/>
      <c r="BG94" s="155"/>
      <c r="BH94" s="155"/>
      <c r="BI94" s="251"/>
      <c r="BJ94" s="203"/>
      <c r="BM94" s="155"/>
      <c r="BN94" s="155"/>
      <c r="BO94" s="251"/>
      <c r="BP94" s="203"/>
      <c r="BS94" s="155"/>
      <c r="BT94" s="155"/>
      <c r="BU94" s="251"/>
      <c r="BV94" s="203"/>
      <c r="BY94" s="155"/>
      <c r="BZ94" s="155"/>
      <c r="CA94" s="251"/>
      <c r="CB94" s="177"/>
      <c r="CE94" s="155"/>
      <c r="CF94" s="155"/>
      <c r="CG94" s="251"/>
      <c r="CH94" s="142"/>
      <c r="CK94" s="155"/>
      <c r="CL94" s="155"/>
      <c r="CM94" s="251"/>
      <c r="CN94" s="142"/>
      <c r="CO94" s="142"/>
      <c r="CP94" s="142"/>
      <c r="CQ94"/>
      <c r="CR94"/>
      <c r="CS94"/>
      <c r="CT94"/>
      <c r="CU94"/>
      <c r="CV94"/>
      <c r="CW94" s="142"/>
    </row>
    <row r="95" spans="1:101" s="149" customFormat="1" ht="12.75" hidden="1" customHeight="1" outlineLevel="2">
      <c r="A95" s="158" t="str">
        <f>A61</f>
        <v>% of DGG sales</v>
      </c>
      <c r="B95" s="150"/>
      <c r="C95" s="159"/>
      <c r="D95" s="156"/>
      <c r="E95" s="156"/>
      <c r="F95" s="156"/>
      <c r="G95" s="160"/>
      <c r="H95" s="150"/>
      <c r="I95" s="159"/>
      <c r="J95" s="156"/>
      <c r="K95" s="156"/>
      <c r="L95" s="156"/>
      <c r="M95" s="160"/>
      <c r="N95" s="150"/>
      <c r="O95" s="159"/>
      <c r="P95" s="156"/>
      <c r="Q95" s="156"/>
      <c r="R95" s="156"/>
      <c r="S95" s="160"/>
      <c r="T95" s="175"/>
      <c r="U95" s="159"/>
      <c r="V95" s="156"/>
      <c r="W95" s="156"/>
      <c r="X95" s="156"/>
      <c r="Y95" s="160"/>
      <c r="Z95" s="175"/>
      <c r="AA95" s="159"/>
      <c r="AB95" s="156"/>
      <c r="AC95" s="156"/>
      <c r="AD95" s="156"/>
      <c r="AE95" s="160"/>
      <c r="AF95" s="203"/>
      <c r="AG95" s="156"/>
      <c r="AH95" s="156"/>
      <c r="AI95" s="1578">
        <v>0.36</v>
      </c>
      <c r="AJ95" s="1578">
        <v>0.36</v>
      </c>
      <c r="AK95" s="160">
        <f>AK94/RevBuild!AK$9</f>
        <v>0.23462686567164179</v>
      </c>
      <c r="AL95" s="203"/>
      <c r="AM95" s="156">
        <f>AM61-13.1%-AM78</f>
        <v>0.374</v>
      </c>
      <c r="AN95" s="156">
        <f>AN61-16.74%-AN78</f>
        <v>0.36209999999999998</v>
      </c>
      <c r="AO95" s="156">
        <f>AO61-14.6%-AO78</f>
        <v>0.35099999999999998</v>
      </c>
      <c r="AP95" s="156"/>
      <c r="AQ95" s="160">
        <f>AQ94/RevBuild!AQ$9</f>
        <v>0.26507487157179122</v>
      </c>
      <c r="AR95" s="203"/>
      <c r="AS95" s="156"/>
      <c r="AT95" s="156"/>
      <c r="AU95" s="156"/>
      <c r="AV95" s="156"/>
      <c r="AW95" s="160"/>
      <c r="AX95" s="203"/>
      <c r="AY95" s="156"/>
      <c r="AZ95" s="156"/>
      <c r="BA95" s="156"/>
      <c r="BB95" s="156"/>
      <c r="BC95" s="160"/>
      <c r="BD95" s="203"/>
      <c r="BE95" s="156"/>
      <c r="BF95" s="156"/>
      <c r="BG95" s="156"/>
      <c r="BH95" s="156"/>
      <c r="BI95" s="160"/>
      <c r="BJ95" s="203"/>
      <c r="BK95" s="156"/>
      <c r="BL95" s="156"/>
      <c r="BM95" s="156"/>
      <c r="BN95" s="156"/>
      <c r="BO95" s="160"/>
      <c r="BP95" s="203"/>
      <c r="BQ95" s="156"/>
      <c r="BR95" s="156"/>
      <c r="BS95" s="156"/>
      <c r="BT95" s="156"/>
      <c r="BU95" s="160"/>
      <c r="BV95" s="203"/>
      <c r="BW95" s="156"/>
      <c r="BX95" s="156"/>
      <c r="BY95" s="156"/>
      <c r="BZ95" s="156"/>
      <c r="CA95" s="160"/>
      <c r="CB95" s="156"/>
      <c r="CC95" s="156"/>
      <c r="CD95" s="156"/>
      <c r="CE95" s="156"/>
      <c r="CF95" s="156"/>
      <c r="CG95" s="160"/>
      <c r="CH95" s="142"/>
      <c r="CI95" s="156"/>
      <c r="CJ95" s="156"/>
      <c r="CK95" s="156"/>
      <c r="CL95" s="156"/>
      <c r="CM95" s="160"/>
      <c r="CN95" s="142"/>
      <c r="CO95" s="142"/>
      <c r="CP95" s="142"/>
      <c r="CQ95"/>
      <c r="CR95"/>
      <c r="CS95"/>
      <c r="CT95"/>
      <c r="CU95"/>
      <c r="CV95"/>
      <c r="CW95" s="142"/>
    </row>
    <row r="96" spans="1:101" s="149" customFormat="1" ht="12.75" hidden="1" customHeight="1" outlineLevel="2">
      <c r="A96" s="501" t="s">
        <v>101</v>
      </c>
      <c r="B96" s="4"/>
      <c r="C96" s="1704">
        <f>C97*RevBuild!C10</f>
        <v>46.504629629629633</v>
      </c>
      <c r="D96" s="1703">
        <f>D97*RevBuild!D10</f>
        <v>43.92</v>
      </c>
      <c r="E96" s="1703">
        <f>E97*RevBuild!E10</f>
        <v>47.812807881773402</v>
      </c>
      <c r="F96" s="1703">
        <f>F97*RevBuild!F10</f>
        <v>51.333333333333329</v>
      </c>
      <c r="G96" s="825">
        <f>SUM(C96:F96)</f>
        <v>189.57077084473639</v>
      </c>
      <c r="H96" s="4"/>
      <c r="I96" s="1704">
        <f>I97*RevBuild!I10</f>
        <v>51.041666666666671</v>
      </c>
      <c r="J96" s="1703">
        <f>J97*RevBuild!J10</f>
        <v>54.72</v>
      </c>
      <c r="K96" s="1703">
        <f>K97*RevBuild!K10</f>
        <v>52.571428571428569</v>
      </c>
      <c r="L96" s="1703">
        <f>L97*RevBuild!L10</f>
        <v>56</v>
      </c>
      <c r="M96" s="825">
        <f>SUM(I96:L96)</f>
        <v>214.33309523809524</v>
      </c>
      <c r="N96" s="4"/>
      <c r="O96" s="1704">
        <v>49</v>
      </c>
      <c r="P96" s="1703">
        <v>48</v>
      </c>
      <c r="Q96" s="1703">
        <v>46</v>
      </c>
      <c r="R96" s="1703">
        <f>193-Q96-P96-O96</f>
        <v>50</v>
      </c>
      <c r="S96" s="825">
        <f>SUM(O96:R96)</f>
        <v>193</v>
      </c>
      <c r="T96" s="204"/>
      <c r="U96" s="1704">
        <v>54</v>
      </c>
      <c r="V96" s="1703">
        <v>59</v>
      </c>
      <c r="W96" s="1703">
        <v>84</v>
      </c>
      <c r="X96" s="2016">
        <f>294-W96-V96-U96</f>
        <v>97</v>
      </c>
      <c r="Y96" s="825">
        <f>SUM(U96:X96)</f>
        <v>294</v>
      </c>
      <c r="Z96" s="204"/>
      <c r="AA96" s="1704">
        <v>90</v>
      </c>
      <c r="AB96" s="1703">
        <v>96</v>
      </c>
      <c r="AC96" s="1703">
        <v>93</v>
      </c>
      <c r="AD96" s="1703">
        <v>92</v>
      </c>
      <c r="AE96" s="825">
        <f>SUM(AA96:AD96)</f>
        <v>371</v>
      </c>
      <c r="AF96" s="205"/>
      <c r="AG96" s="1704">
        <v>90</v>
      </c>
      <c r="AH96" s="1703">
        <v>100</v>
      </c>
      <c r="AI96" s="204">
        <f>RevBuild!AI10*AI97</f>
        <v>88.39200000000001</v>
      </c>
      <c r="AJ96" s="204">
        <f>RevBuild!AJ10*AJ97</f>
        <v>90.62</v>
      </c>
      <c r="AK96" s="825">
        <f>SUM(AG96:AJ96)</f>
        <v>369.012</v>
      </c>
      <c r="AL96" s="206"/>
      <c r="AM96" s="701">
        <f>RevBuild!AM10*AM97</f>
        <v>94.824000000000012</v>
      </c>
      <c r="AN96" s="204">
        <f>RevBuild!AN10*AN97</f>
        <v>93.072099999999963</v>
      </c>
      <c r="AO96" s="204">
        <f>RevBuild!AO10*AO97</f>
        <v>88.623000000000019</v>
      </c>
      <c r="AP96" s="204">
        <f>RevBuild!AP10*AP97</f>
        <v>93.524000000000015</v>
      </c>
      <c r="AQ96" s="825">
        <f>SUM(AM96:AP96)</f>
        <v>370.04309999999998</v>
      </c>
      <c r="AR96" s="206"/>
      <c r="AS96" s="204">
        <f>RevBuild!AS10*AS97</f>
        <v>95.772411167512715</v>
      </c>
      <c r="AT96" s="204">
        <f>RevBuild!AT10*AT97</f>
        <v>101.51700000000002</v>
      </c>
      <c r="AU96" s="204">
        <f>RevBuild!AU10*AU97</f>
        <v>98.41200000000002</v>
      </c>
      <c r="AV96" s="204">
        <f>RevBuild!AV10*AV97</f>
        <v>102.14700000000002</v>
      </c>
      <c r="AW96" s="825">
        <f>SUM(AS96:AV96)</f>
        <v>397.84841116751284</v>
      </c>
      <c r="AX96" s="206"/>
      <c r="AY96" s="2016"/>
      <c r="AZ96" s="2016"/>
      <c r="BA96" s="2016"/>
      <c r="BB96" s="2016"/>
      <c r="BC96" s="825"/>
      <c r="BD96" s="206"/>
      <c r="BE96" s="2016"/>
      <c r="BF96" s="2016"/>
      <c r="BG96" s="2016"/>
      <c r="BH96" s="2016"/>
      <c r="BI96" s="825"/>
      <c r="BJ96" s="206"/>
      <c r="BK96" s="2016"/>
      <c r="BL96" s="2016"/>
      <c r="BM96" s="2016"/>
      <c r="BN96" s="2016"/>
      <c r="BO96" s="825"/>
      <c r="BP96" s="206"/>
      <c r="BQ96" s="2016"/>
      <c r="BR96" s="2016"/>
      <c r="BS96" s="2016"/>
      <c r="BT96" s="2016"/>
      <c r="BU96" s="825"/>
      <c r="BV96" s="206"/>
      <c r="BW96" s="2016"/>
      <c r="BX96" s="2016"/>
      <c r="BY96" s="2016"/>
      <c r="BZ96" s="2016"/>
      <c r="CA96" s="825"/>
      <c r="CB96" s="204"/>
      <c r="CC96" s="2016"/>
      <c r="CD96" s="2016"/>
      <c r="CE96" s="2016"/>
      <c r="CF96" s="2016"/>
      <c r="CG96" s="825"/>
      <c r="CI96" s="2016"/>
      <c r="CJ96" s="2016"/>
      <c r="CK96" s="2016"/>
      <c r="CL96" s="2016"/>
      <c r="CM96" s="825"/>
      <c r="CP96" s="226"/>
      <c r="CQ96"/>
      <c r="CR96"/>
      <c r="CS96"/>
      <c r="CT96"/>
      <c r="CU96"/>
      <c r="CV96"/>
    </row>
    <row r="97" spans="1:101" s="149" customFormat="1" ht="12.75" hidden="1" customHeight="1" outlineLevel="2">
      <c r="A97" s="158" t="s">
        <v>102</v>
      </c>
      <c r="B97" s="150"/>
      <c r="C97" s="1577">
        <v>0.22685185185185186</v>
      </c>
      <c r="D97" s="1578">
        <v>0.24</v>
      </c>
      <c r="E97" s="1578">
        <v>0.22660098522167488</v>
      </c>
      <c r="F97" s="1578">
        <v>0.22222222222222221</v>
      </c>
      <c r="G97" s="160">
        <f>G96/RevBuild!G10</f>
        <v>0.22839851909004383</v>
      </c>
      <c r="H97" s="150"/>
      <c r="I97" s="1577">
        <v>0.22685185185185186</v>
      </c>
      <c r="J97" s="1578">
        <v>0.24</v>
      </c>
      <c r="K97" s="1578">
        <v>0.22660098522167488</v>
      </c>
      <c r="L97" s="1578">
        <v>0.22222222222222221</v>
      </c>
      <c r="M97" s="160">
        <f>M96/RevBuild!M10</f>
        <v>0.22874396503532043</v>
      </c>
      <c r="N97" s="150"/>
      <c r="O97" s="159">
        <f>O96/RevBuild!O10</f>
        <v>0.22685185185185186</v>
      </c>
      <c r="P97" s="156">
        <f>P96/RevBuild!P10</f>
        <v>0.24</v>
      </c>
      <c r="Q97" s="156">
        <f>Q96/RevBuild!Q10</f>
        <v>0.22660098522167488</v>
      </c>
      <c r="R97" s="156">
        <f>R96/RevBuild!R10</f>
        <v>0.22222222222222221</v>
      </c>
      <c r="S97" s="160">
        <f>S96/RevBuild!S10</f>
        <v>0.22867298578199052</v>
      </c>
      <c r="T97" s="151"/>
      <c r="U97" s="159">
        <f>U96/RevBuild!U10</f>
        <v>0.22131147540983606</v>
      </c>
      <c r="V97" s="156">
        <f>V96/RevBuild!V10</f>
        <v>0.24789915966386555</v>
      </c>
      <c r="W97" s="156">
        <f>W96/RevBuild!W10</f>
        <v>0.25531914893617019</v>
      </c>
      <c r="X97" s="156">
        <f>X96/RevBuild!X10</f>
        <v>0.24935732647814909</v>
      </c>
      <c r="Y97" s="160">
        <f>Y96/RevBuild!Y10</f>
        <v>0.245</v>
      </c>
      <c r="Z97" s="151"/>
      <c r="AA97" s="159">
        <f>AA96/RevBuild!AA10</f>
        <v>0.25787965616045844</v>
      </c>
      <c r="AB97" s="156">
        <f>AB96/RevBuild!AB10</f>
        <v>0.25196850393700787</v>
      </c>
      <c r="AC97" s="156">
        <f>AC96/RevBuild!AC10</f>
        <v>0.24281984334203655</v>
      </c>
      <c r="AD97" s="156">
        <f>AD96/RevBuild!AD10</f>
        <v>0.2271604938271605</v>
      </c>
      <c r="AE97" s="160">
        <f>AE96/RevBuild!AE10</f>
        <v>0.24440052700922266</v>
      </c>
      <c r="AF97" s="203"/>
      <c r="AG97" s="156">
        <f>AG96/RevBuild!AG10</f>
        <v>0.22727272727272727</v>
      </c>
      <c r="AH97" s="156">
        <f>AH96/RevBuild!AH10</f>
        <v>0.25773195876288657</v>
      </c>
      <c r="AI97" s="1578">
        <v>0.23200000000000001</v>
      </c>
      <c r="AJ97" s="1578">
        <v>0.23</v>
      </c>
      <c r="AK97" s="160">
        <f>AK96/RevBuild!AK10</f>
        <v>0.23669788325849903</v>
      </c>
      <c r="AL97" s="203"/>
      <c r="AM97" s="156">
        <f>AM63-20.6%-AM80</f>
        <v>0.24067005076142134</v>
      </c>
      <c r="AN97" s="156">
        <f>AN63-22.14%-AN80</f>
        <v>0.23209999999999992</v>
      </c>
      <c r="AO97" s="156">
        <f>AO63-21.5%-AO80</f>
        <v>0.22900000000000004</v>
      </c>
      <c r="AP97" s="156">
        <f>AP63-24.7%-AP80</f>
        <v>0.22700000000000004</v>
      </c>
      <c r="AQ97" s="160">
        <f>AQ96/RevBuild!AQ10</f>
        <v>0.2321474905897114</v>
      </c>
      <c r="AR97" s="203"/>
      <c r="AS97" s="156">
        <f>AS63-22.6%-AS80</f>
        <v>0.22967005076142138</v>
      </c>
      <c r="AT97" s="156">
        <f>AT63-22%-AT80</f>
        <v>0.24700000000000005</v>
      </c>
      <c r="AU97" s="156">
        <f>AU63-23.3%-AU80</f>
        <v>0.23600000000000004</v>
      </c>
      <c r="AV97" s="156">
        <f>+AV63-AV80-0.245</f>
        <v>0.23700000000000004</v>
      </c>
      <c r="AW97" s="160">
        <f>AW96/RevBuild!AW10</f>
        <v>0.23737972026701243</v>
      </c>
      <c r="AX97" s="203"/>
      <c r="AY97" s="156"/>
      <c r="AZ97" s="156"/>
      <c r="BA97" s="156"/>
      <c r="BB97" s="156"/>
      <c r="BC97" s="160"/>
      <c r="BD97" s="203"/>
      <c r="BE97" s="156"/>
      <c r="BF97" s="156"/>
      <c r="BG97" s="156"/>
      <c r="BH97" s="156"/>
      <c r="BI97" s="160"/>
      <c r="BJ97" s="203"/>
      <c r="BK97" s="156"/>
      <c r="BL97" s="156"/>
      <c r="BM97" s="156"/>
      <c r="BN97" s="156"/>
      <c r="BO97" s="160"/>
      <c r="BP97" s="203"/>
      <c r="BQ97" s="156"/>
      <c r="BR97" s="156"/>
      <c r="BS97" s="156"/>
      <c r="BT97" s="156"/>
      <c r="BU97" s="160"/>
      <c r="BV97" s="203"/>
      <c r="BW97" s="156"/>
      <c r="BX97" s="156"/>
      <c r="BY97" s="156"/>
      <c r="BZ97" s="156"/>
      <c r="CA97" s="160"/>
      <c r="CB97" s="156"/>
      <c r="CC97" s="156"/>
      <c r="CD97" s="156"/>
      <c r="CE97" s="156"/>
      <c r="CF97" s="156"/>
      <c r="CG97" s="160"/>
      <c r="CH97" s="142"/>
      <c r="CI97" s="156"/>
      <c r="CJ97" s="156"/>
      <c r="CK97" s="156"/>
      <c r="CL97" s="156"/>
      <c r="CM97" s="160"/>
      <c r="CN97" s="142"/>
      <c r="CO97" s="142"/>
      <c r="CP97" s="142"/>
      <c r="CQ97"/>
      <c r="CR97"/>
      <c r="CS97"/>
      <c r="CT97"/>
      <c r="CU97"/>
      <c r="CV97"/>
      <c r="CW97" s="142"/>
    </row>
    <row r="98" spans="1:101" s="149" customFormat="1" ht="12.75" hidden="1" customHeight="1" outlineLevel="2">
      <c r="A98" s="501" t="s">
        <v>103</v>
      </c>
      <c r="B98" s="150"/>
      <c r="C98" s="1318"/>
      <c r="D98" s="177"/>
      <c r="E98" s="177"/>
      <c r="F98" s="177"/>
      <c r="G98" s="251"/>
      <c r="H98" s="150"/>
      <c r="I98" s="1318"/>
      <c r="J98" s="177"/>
      <c r="K98" s="177"/>
      <c r="L98" s="177"/>
      <c r="M98" s="251"/>
      <c r="N98" s="150"/>
      <c r="O98" s="1318"/>
      <c r="P98" s="177"/>
      <c r="Q98" s="177"/>
      <c r="R98" s="177"/>
      <c r="S98" s="251"/>
      <c r="T98" s="151"/>
      <c r="U98" s="1318"/>
      <c r="V98" s="177"/>
      <c r="W98" s="177"/>
      <c r="X98" s="177"/>
      <c r="Y98" s="251"/>
      <c r="Z98" s="151"/>
      <c r="AA98" s="1318"/>
      <c r="AB98" s="177"/>
      <c r="AC98" s="177"/>
      <c r="AD98" s="177"/>
      <c r="AE98" s="251"/>
      <c r="AF98" s="151"/>
      <c r="AG98" s="1318">
        <f>+AG92+AG94</f>
        <v>125</v>
      </c>
      <c r="AH98" s="177">
        <f>+AH92+AH94</f>
        <v>137</v>
      </c>
      <c r="AI98" s="177">
        <f>+AI92+AI94</f>
        <v>139.82</v>
      </c>
      <c r="AJ98" s="177">
        <f>+AJ92+AJ94</f>
        <v>162.42500000000001</v>
      </c>
      <c r="AK98" s="251">
        <f>+AK92+AK94</f>
        <v>564.24499999999989</v>
      </c>
      <c r="AL98" s="157"/>
      <c r="AM98" s="1318">
        <f>+AM92+AM94</f>
        <v>164.01900000000001</v>
      </c>
      <c r="AN98" s="177">
        <f>+AN92+AN94</f>
        <v>162.3306</v>
      </c>
      <c r="AO98" s="177">
        <f>+AO92+AO94</f>
        <v>153.85399999999998</v>
      </c>
      <c r="AP98" s="177">
        <f>RevBuild!AP11*AP99</f>
        <v>152.05300000000003</v>
      </c>
      <c r="AQ98" s="251">
        <f>SUM(AM98:AP98)</f>
        <v>632.25660000000005</v>
      </c>
      <c r="AR98" s="157"/>
      <c r="AS98" s="177">
        <f>RevBuild!AS11*AS99</f>
        <v>163.11600000000004</v>
      </c>
      <c r="AT98" s="177">
        <f>RevBuild!AT11*AT99</f>
        <v>170.21500000000003</v>
      </c>
      <c r="AU98" s="177">
        <f>RevBuild!AU11*AU99</f>
        <v>161.61600000000001</v>
      </c>
      <c r="AV98" s="177">
        <f>RevBuild!AV$11*AV99</f>
        <v>159.12000000000003</v>
      </c>
      <c r="AW98" s="251">
        <f>SUM(AS98:AV98)</f>
        <v>654.06700000000012</v>
      </c>
      <c r="AX98" s="157"/>
      <c r="AY98" s="177"/>
      <c r="AZ98" s="177"/>
      <c r="BA98" s="177"/>
      <c r="BB98" s="177"/>
      <c r="BC98" s="251"/>
      <c r="BD98" s="157"/>
      <c r="BE98" s="177"/>
      <c r="BF98" s="177"/>
      <c r="BG98" s="177"/>
      <c r="BH98" s="177"/>
      <c r="BI98" s="251"/>
      <c r="BJ98" s="157"/>
      <c r="BK98" s="177"/>
      <c r="BL98" s="177"/>
      <c r="BM98" s="177"/>
      <c r="BN98" s="177"/>
      <c r="BO98" s="251"/>
      <c r="BP98" s="157"/>
      <c r="BQ98" s="177"/>
      <c r="BR98" s="177"/>
      <c r="BS98" s="177"/>
      <c r="BT98" s="177"/>
      <c r="BU98" s="251"/>
      <c r="BV98" s="157"/>
      <c r="BW98" s="177"/>
      <c r="BX98" s="177"/>
      <c r="BY98" s="177"/>
      <c r="BZ98" s="177"/>
      <c r="CA98" s="251"/>
      <c r="CB98" s="177"/>
      <c r="CC98" s="177"/>
      <c r="CD98" s="177"/>
      <c r="CE98" s="177"/>
      <c r="CF98" s="177"/>
      <c r="CG98" s="251"/>
      <c r="CH98" s="142"/>
      <c r="CI98" s="177"/>
      <c r="CJ98" s="177"/>
      <c r="CK98" s="177"/>
      <c r="CL98" s="177"/>
      <c r="CM98" s="251"/>
      <c r="CN98" s="142"/>
      <c r="CO98" s="142"/>
      <c r="CP98" s="142"/>
      <c r="CQ98"/>
      <c r="CR98"/>
      <c r="CS98"/>
      <c r="CT98"/>
      <c r="CU98"/>
      <c r="CV98"/>
      <c r="CW98" s="142"/>
    </row>
    <row r="99" spans="1:101" s="149" customFormat="1" ht="12.75" hidden="1" customHeight="1" outlineLevel="2">
      <c r="A99" s="158" t="s">
        <v>104</v>
      </c>
      <c r="B99" s="150"/>
      <c r="C99" s="159"/>
      <c r="D99" s="156"/>
      <c r="E99" s="156"/>
      <c r="F99" s="156"/>
      <c r="G99" s="160"/>
      <c r="H99" s="150"/>
      <c r="I99" s="159"/>
      <c r="J99" s="156"/>
      <c r="K99" s="156"/>
      <c r="L99" s="156"/>
      <c r="M99" s="160"/>
      <c r="N99" s="150"/>
      <c r="O99" s="159"/>
      <c r="P99" s="156"/>
      <c r="Q99" s="156"/>
      <c r="R99" s="156"/>
      <c r="S99" s="160"/>
      <c r="T99" s="151"/>
      <c r="U99" s="159"/>
      <c r="V99" s="156"/>
      <c r="W99" s="156"/>
      <c r="X99" s="156"/>
      <c r="Y99" s="160"/>
      <c r="Z99" s="151"/>
      <c r="AA99" s="159"/>
      <c r="AB99" s="156"/>
      <c r="AC99" s="156"/>
      <c r="AD99" s="156"/>
      <c r="AE99" s="160"/>
      <c r="AF99" s="151"/>
      <c r="AG99" s="159">
        <f>+AG98/RevBuild!AG11</f>
        <v>0.27114967462039047</v>
      </c>
      <c r="AH99" s="156">
        <f>+AH98/RevBuild!AH11</f>
        <v>0.29211087420042642</v>
      </c>
      <c r="AI99" s="156">
        <f>+AI98/RevBuild!AI11</f>
        <v>0.28132796780684105</v>
      </c>
      <c r="AJ99" s="156">
        <f>+AJ98/RevBuild!AJ11</f>
        <v>0.29160682226211854</v>
      </c>
      <c r="AK99" s="160">
        <f>+AK98/RevBuild!AK11</f>
        <v>0.28439768145161287</v>
      </c>
      <c r="AL99" s="151"/>
      <c r="AM99" s="159">
        <f>+AM98/RevBuild!AM11</f>
        <v>0.29081382978723408</v>
      </c>
      <c r="AN99" s="156">
        <f>+AN98/RevBuild!AN11</f>
        <v>0.28429176882661999</v>
      </c>
      <c r="AO99" s="156">
        <f>+AO98/RevBuild!AO11</f>
        <v>0.27279078014184394</v>
      </c>
      <c r="AP99" s="156">
        <f>AP65-19.2%-AP82</f>
        <v>0.25300000000000006</v>
      </c>
      <c r="AQ99" s="160">
        <f>+AQ98/RevBuild!AQ11</f>
        <v>0.27489417391304349</v>
      </c>
      <c r="AR99" s="151"/>
      <c r="AS99" s="159">
        <f>AS65-16.9%-AS82</f>
        <v>0.27600000000000008</v>
      </c>
      <c r="AT99" s="156">
        <f>AT65-13.1%-AT82</f>
        <v>0.29500000000000004</v>
      </c>
      <c r="AU99" s="156">
        <f>AU65-15.7%-AU82</f>
        <v>0.27300000000000002</v>
      </c>
      <c r="AV99" s="156">
        <f>+AV65-AV82-0.175</f>
        <v>0.26000000000000006</v>
      </c>
      <c r="AW99" s="160">
        <f>+AW98/RevBuild!AW11</f>
        <v>0.27574494097807761</v>
      </c>
      <c r="AX99" s="157"/>
      <c r="AY99" s="156"/>
      <c r="AZ99" s="156"/>
      <c r="BA99" s="156"/>
      <c r="BB99" s="156"/>
      <c r="BC99" s="160"/>
      <c r="BD99" s="157"/>
      <c r="BE99" s="156"/>
      <c r="BF99" s="156"/>
      <c r="BG99" s="156"/>
      <c r="BH99" s="156"/>
      <c r="BI99" s="160"/>
      <c r="BJ99" s="157"/>
      <c r="BK99" s="156"/>
      <c r="BL99" s="156"/>
      <c r="BM99" s="156"/>
      <c r="BN99" s="156"/>
      <c r="BO99" s="160"/>
      <c r="BP99" s="157"/>
      <c r="BQ99" s="156"/>
      <c r="BR99" s="156"/>
      <c r="BS99" s="156"/>
      <c r="BT99" s="156"/>
      <c r="BU99" s="160"/>
      <c r="BV99" s="157"/>
      <c r="BW99" s="156"/>
      <c r="BX99" s="156"/>
      <c r="BY99" s="156"/>
      <c r="BZ99" s="156"/>
      <c r="CA99" s="160"/>
      <c r="CB99" s="156"/>
      <c r="CC99" s="156"/>
      <c r="CD99" s="156"/>
      <c r="CE99" s="156"/>
      <c r="CF99" s="156"/>
      <c r="CG99" s="160"/>
      <c r="CH99" s="142"/>
      <c r="CI99" s="156"/>
      <c r="CJ99" s="156"/>
      <c r="CK99" s="156"/>
      <c r="CL99" s="156"/>
      <c r="CM99" s="160"/>
      <c r="CN99" s="142"/>
      <c r="CO99" s="142"/>
      <c r="CP99" s="142"/>
      <c r="CQ99"/>
      <c r="CR99"/>
      <c r="CS99"/>
      <c r="CT99"/>
      <c r="CU99"/>
      <c r="CV99"/>
      <c r="CW99" s="142"/>
    </row>
    <row r="100" spans="1:101" s="149" customFormat="1" outlineLevel="1" collapsed="1">
      <c r="A100" s="501" t="s">
        <v>105</v>
      </c>
      <c r="B100" s="150"/>
      <c r="C100" s="1318"/>
      <c r="D100" s="1985"/>
      <c r="E100" s="1985"/>
      <c r="F100" s="1985"/>
      <c r="G100" s="1986"/>
      <c r="H100" s="150"/>
      <c r="I100" s="1318"/>
      <c r="J100" s="1985"/>
      <c r="K100" s="1985"/>
      <c r="L100" s="1985"/>
      <c r="M100" s="1986"/>
      <c r="N100" s="150"/>
      <c r="O100" s="1318"/>
      <c r="P100" s="1985"/>
      <c r="Q100" s="1985"/>
      <c r="R100" s="1985"/>
      <c r="S100" s="1986"/>
      <c r="T100" s="151"/>
      <c r="U100" s="1318"/>
      <c r="V100" s="1985"/>
      <c r="W100" s="1985"/>
      <c r="X100" s="1985"/>
      <c r="Y100" s="1986"/>
      <c r="Z100" s="151"/>
      <c r="AA100" s="1318"/>
      <c r="AB100" s="1985"/>
      <c r="AC100" s="1985"/>
      <c r="AD100" s="1985"/>
      <c r="AE100" s="1986"/>
      <c r="AF100" s="151"/>
      <c r="AG100" s="1318">
        <v>137.8779276546091</v>
      </c>
      <c r="AH100" s="1985">
        <v>137.46078413068847</v>
      </c>
      <c r="AI100" s="1985">
        <v>128.79052391799544</v>
      </c>
      <c r="AJ100" s="1985">
        <v>131.04942418506835</v>
      </c>
      <c r="AK100" s="1986">
        <f>SUM(AG100:AJ100)</f>
        <v>535.17865988836138</v>
      </c>
      <c r="AL100" s="151"/>
      <c r="AM100" s="1318">
        <v>138.12788726513568</v>
      </c>
      <c r="AN100" s="1985">
        <v>133.42552057613165</v>
      </c>
      <c r="AO100" s="1985">
        <v>124.58393375394321</v>
      </c>
      <c r="AP100" s="1985">
        <v>128.04331194471865</v>
      </c>
      <c r="AQ100" s="1986">
        <f>SUM(AM100:AP100)</f>
        <v>524.18065353992915</v>
      </c>
      <c r="AR100" s="151"/>
      <c r="AS100" s="1987">
        <v>142.02158333333335</v>
      </c>
      <c r="AT100" s="1985">
        <v>135.3028390688259</v>
      </c>
      <c r="AU100" s="1985">
        <v>130.82710406342915</v>
      </c>
      <c r="AV100" s="1985">
        <v>135.20734899328855</v>
      </c>
      <c r="AW100" s="1986">
        <f>SUM(AS100:AV100)</f>
        <v>543.35887545887692</v>
      </c>
      <c r="AX100" s="151"/>
      <c r="AY100" s="1318">
        <f>AY101*RevBuild!AY12</f>
        <v>155.6215</v>
      </c>
      <c r="AZ100" s="1985">
        <f>AZ101*RevBuild!AZ12</f>
        <v>150.88700000000003</v>
      </c>
      <c r="BA100" s="1985">
        <f>BA101*RevBuild!BA12</f>
        <v>149.21200000000002</v>
      </c>
      <c r="BB100" s="1985">
        <f>BB101*RevBuild!BB12</f>
        <v>151.40999999999997</v>
      </c>
      <c r="BC100" s="1986">
        <f>SUM(AY100:BB100)</f>
        <v>607.13049999999998</v>
      </c>
      <c r="BD100" s="151"/>
      <c r="BE100" s="1318">
        <f>BE101*RevBuild!BE12</f>
        <v>153.06600000000003</v>
      </c>
      <c r="BF100" s="1985">
        <f>BF101*RevBuild!BF12</f>
        <v>156.91499999999999</v>
      </c>
      <c r="BG100" s="1985">
        <f>BG101*RevBuild!BG12</f>
        <v>155.98799999999997</v>
      </c>
      <c r="BH100" s="1985">
        <f>BH101*RevBuild!BH12</f>
        <v>159.30360000000005</v>
      </c>
      <c r="BI100" s="1986">
        <f>SUM(BE100:BH100)</f>
        <v>625.27260000000001</v>
      </c>
      <c r="BJ100" s="151"/>
      <c r="BK100" s="1318">
        <f>BK101*RevBuild!BK12</f>
        <v>154.11599999999993</v>
      </c>
      <c r="BL100" s="1985">
        <f>BL101*RevBuild!BL12</f>
        <v>163.75130000000001</v>
      </c>
      <c r="BM100" s="1985">
        <f>BM101*RevBuild!BM12</f>
        <v>163.2294</v>
      </c>
      <c r="BN100" s="1985">
        <f>BN101*RevBuild!BN12</f>
        <v>171.35000000000002</v>
      </c>
      <c r="BO100" s="1986">
        <f>SUM(BK100:BN100)</f>
        <v>652.44669999999996</v>
      </c>
      <c r="BP100" s="151"/>
      <c r="BQ100" s="1318">
        <f>BQ101*RevBuild!BQ12</f>
        <v>175.14120000000003</v>
      </c>
      <c r="BR100" s="1985">
        <f>BR101*RevBuild!BR12</f>
        <v>183.48887189999999</v>
      </c>
      <c r="BS100" s="1985">
        <f>BS101*RevBuild!BS12</f>
        <v>174.17092219999998</v>
      </c>
      <c r="BT100" s="1985">
        <f>BT101*RevBuild!BT12</f>
        <v>180.66040000000004</v>
      </c>
      <c r="BU100" s="1986">
        <f>SUM(BQ100:BT100)</f>
        <v>713.46139410000001</v>
      </c>
      <c r="BV100" s="151"/>
      <c r="BW100" s="1318">
        <f>BW101*RevBuild!BW12</f>
        <v>184.33951200000004</v>
      </c>
      <c r="BX100" s="1985">
        <f>BX101*RevBuild!BX12</f>
        <v>193.23152753400001</v>
      </c>
      <c r="BY100" s="1985">
        <f>BY101*RevBuild!BY12</f>
        <v>183.39608677199996</v>
      </c>
      <c r="BZ100" s="1985">
        <f>BZ101*RevBuild!BZ12</f>
        <v>190.18838000000005</v>
      </c>
      <c r="CA100" s="1986">
        <f>SUM(BW100:BZ100)</f>
        <v>751.15550630600012</v>
      </c>
      <c r="CB100" s="1985"/>
      <c r="CC100" s="1318">
        <f>CC101*RevBuild!CC12</f>
        <v>187.84550016000006</v>
      </c>
      <c r="CD100" s="1985">
        <f>CD101*RevBuild!CD12</f>
        <v>197.07145788942</v>
      </c>
      <c r="CE100" s="1985">
        <f>CE101*RevBuild!CE12</f>
        <v>187.00520415096</v>
      </c>
      <c r="CF100" s="1985">
        <f>CF101*RevBuild!CF12</f>
        <v>193.86754142000007</v>
      </c>
      <c r="CG100" s="1986">
        <f>SUM(CC100:CF100)</f>
        <v>765.78970362038012</v>
      </c>
      <c r="CH100" s="152"/>
      <c r="CI100" s="1318">
        <f>CI101*RevBuild!CI12</f>
        <v>190.00599330480006</v>
      </c>
      <c r="CJ100" s="1985">
        <f>CJ101*RevBuild!CJ12</f>
        <v>199.6240584015726</v>
      </c>
      <c r="CK100" s="1985">
        <f>CK101*RevBuild!CK12</f>
        <v>189.36611330727879</v>
      </c>
      <c r="CL100" s="1985">
        <f>CL101*RevBuild!CL12</f>
        <v>196.20475986360006</v>
      </c>
      <c r="CM100" s="1986">
        <f>SUM(CI100:CL100)</f>
        <v>775.20092487725162</v>
      </c>
      <c r="CN100" s="152"/>
      <c r="CO100" s="152"/>
      <c r="CP100" s="142"/>
      <c r="CQ100"/>
      <c r="CR100"/>
      <c r="CS100"/>
      <c r="CT100"/>
      <c r="CU100"/>
      <c r="CV100"/>
      <c r="CW100" s="142"/>
    </row>
    <row r="101" spans="1:101" s="149" customFormat="1" outlineLevel="1">
      <c r="A101" s="158" t="s">
        <v>106</v>
      </c>
      <c r="B101" s="150"/>
      <c r="C101" s="159"/>
      <c r="D101" s="156"/>
      <c r="E101" s="156"/>
      <c r="F101" s="156"/>
      <c r="G101" s="160"/>
      <c r="H101" s="150"/>
      <c r="I101" s="159"/>
      <c r="J101" s="156"/>
      <c r="K101" s="156"/>
      <c r="L101" s="156"/>
      <c r="M101" s="160"/>
      <c r="N101" s="150"/>
      <c r="O101" s="159"/>
      <c r="P101" s="156"/>
      <c r="Q101" s="156"/>
      <c r="R101" s="156"/>
      <c r="S101" s="160"/>
      <c r="T101" s="151"/>
      <c r="U101" s="159"/>
      <c r="V101" s="156"/>
      <c r="W101" s="156"/>
      <c r="X101" s="156"/>
      <c r="Y101" s="160"/>
      <c r="Z101" s="151"/>
      <c r="AA101" s="159"/>
      <c r="AB101" s="156"/>
      <c r="AC101" s="156"/>
      <c r="AD101" s="156"/>
      <c r="AE101" s="160"/>
      <c r="AF101" s="151"/>
      <c r="AG101" s="159">
        <f>AG100/RevBuild!AG12</f>
        <v>0.26668844807467912</v>
      </c>
      <c r="AH101" s="156">
        <f>AH100/RevBuild!AH12</f>
        <v>0.27602567094515756</v>
      </c>
      <c r="AI101" s="156">
        <f>AI100/RevBuild!AI12</f>
        <v>0.25965831435079728</v>
      </c>
      <c r="AJ101" s="156">
        <f>AJ100/RevBuild!AJ12</f>
        <v>0.25899095688748686</v>
      </c>
      <c r="AK101" s="160">
        <f>AK100/RevBuild!AK12</f>
        <v>0.26533399102050637</v>
      </c>
      <c r="AL101" s="151"/>
      <c r="AM101" s="159">
        <f>AM100/RevBuild!AM12</f>
        <v>0.27030897703549056</v>
      </c>
      <c r="AN101" s="156">
        <f>AN100/RevBuild!AN12</f>
        <v>0.26264866255144026</v>
      </c>
      <c r="AO101" s="156">
        <f>AO100/RevBuild!AO12</f>
        <v>0.25477287066246057</v>
      </c>
      <c r="AP101" s="156">
        <f>AP100/RevBuild!AP12</f>
        <v>0.24296643632773937</v>
      </c>
      <c r="AQ101" s="160">
        <f>AQ100/RevBuild!AQ12</f>
        <v>0.25758263073215193</v>
      </c>
      <c r="AR101" s="151"/>
      <c r="AS101" s="159">
        <f>AS100/RevBuild!AS12</f>
        <v>0.26447222222222228</v>
      </c>
      <c r="AT101" s="156">
        <f>AT100/RevBuild!AT12</f>
        <v>0.27333906882591091</v>
      </c>
      <c r="AU101" s="156">
        <f>AU100/RevBuild!AU12</f>
        <v>0.25804162537165515</v>
      </c>
      <c r="AV101" s="156">
        <f>AV100/RevBuild!AV12</f>
        <v>0.25084851390220508</v>
      </c>
      <c r="AW101" s="160">
        <f>AW100/RevBuild!AW12</f>
        <v>0.26148165325258754</v>
      </c>
      <c r="AX101" s="151"/>
      <c r="AY101" s="207">
        <f>+AY67-AY84-19.6%</f>
        <v>0.28449999999999998</v>
      </c>
      <c r="AZ101" s="441">
        <f>+AZ67-AZ84-15.8%</f>
        <v>0.31900000000000006</v>
      </c>
      <c r="BA101" s="441">
        <f>+BA67-BA84-18.7%</f>
        <v>0.29200000000000004</v>
      </c>
      <c r="BB101" s="441">
        <f>+BB67-BB84-20%</f>
        <v>0.29399999999999993</v>
      </c>
      <c r="BC101" s="160">
        <f>BC100/RevBuild!BC12</f>
        <v>0.29674022482893447</v>
      </c>
      <c r="BD101" s="151"/>
      <c r="BE101" s="1580">
        <f>+BE67-BE84-21.7%</f>
        <v>0.29100000000000004</v>
      </c>
      <c r="BF101" s="1579">
        <f>+BF67-BF84-19%</f>
        <v>0.317</v>
      </c>
      <c r="BG101" s="1579">
        <f>+BG67-BG84-19.1%</f>
        <v>0.30949999999999994</v>
      </c>
      <c r="BH101" s="1579">
        <f>+BH67-BH84-22.83%</f>
        <v>0.29070000000000007</v>
      </c>
      <c r="BI101" s="160">
        <f>BI100/RevBuild!BI12</f>
        <v>0.30162691751085385</v>
      </c>
      <c r="BJ101" s="151"/>
      <c r="BK101" s="2155">
        <f>+BK67-BK84-23.35%</f>
        <v>0.28539999999999988</v>
      </c>
      <c r="BL101" s="2209">
        <f>+BL67-BL84-21.2%</f>
        <v>0.31310000000000004</v>
      </c>
      <c r="BM101" s="2347">
        <f>+BM67-BM84-21.26%</f>
        <v>0.30740000000000001</v>
      </c>
      <c r="BN101" s="2430">
        <f>+BN67-BN84-23.9%</f>
        <v>0.29800000000000004</v>
      </c>
      <c r="BO101" s="160">
        <f>BO100/RevBuild!BO12</f>
        <v>0.3008053019824804</v>
      </c>
      <c r="BP101" s="151"/>
      <c r="BQ101" s="2155">
        <f>+BQ67-BQ84-25.76%</f>
        <v>0.28340000000000004</v>
      </c>
      <c r="BR101" s="1579">
        <f>BL101-0.6%</f>
        <v>0.30710000000000004</v>
      </c>
      <c r="BS101" s="1579">
        <f t="shared" ref="BS101:BT101" si="44">BM101-0.6%</f>
        <v>0.3014</v>
      </c>
      <c r="BT101" s="1579">
        <f t="shared" si="44"/>
        <v>0.29200000000000004</v>
      </c>
      <c r="BU101" s="160">
        <f>BU100/RevBuild!BU12</f>
        <v>0.29578899468587461</v>
      </c>
      <c r="BV101" s="151"/>
      <c r="BW101" s="1580">
        <f>BQ101-0.2%</f>
        <v>0.28140000000000004</v>
      </c>
      <c r="BX101" s="1579">
        <f t="shared" ref="BX101:BZ101" si="45">BR101-0.2%</f>
        <v>0.30510000000000004</v>
      </c>
      <c r="BY101" s="1579">
        <f t="shared" si="45"/>
        <v>0.2994</v>
      </c>
      <c r="BZ101" s="1579">
        <f t="shared" si="45"/>
        <v>0.29000000000000004</v>
      </c>
      <c r="CA101" s="160">
        <f>CA100/RevBuild!CA12</f>
        <v>0.29378899468587466</v>
      </c>
      <c r="CB101" s="156"/>
      <c r="CC101" s="1580">
        <f>BW101-0.3%</f>
        <v>0.27840000000000004</v>
      </c>
      <c r="CD101" s="1579">
        <f t="shared" ref="CD101:CF101" si="46">BX101-0.3%</f>
        <v>0.30210000000000004</v>
      </c>
      <c r="CE101" s="1579">
        <f t="shared" si="46"/>
        <v>0.2964</v>
      </c>
      <c r="CF101" s="1579">
        <f t="shared" si="46"/>
        <v>0.28700000000000003</v>
      </c>
      <c r="CG101" s="160">
        <f>CG100/RevBuild!CG12</f>
        <v>0.2907889946858746</v>
      </c>
      <c r="CH101" s="142"/>
      <c r="CI101" s="1580">
        <f>CC101-0.5%</f>
        <v>0.27340000000000003</v>
      </c>
      <c r="CJ101" s="1579">
        <f t="shared" ref="CJ101" si="47">CD101-0.5%</f>
        <v>0.29710000000000003</v>
      </c>
      <c r="CK101" s="1579">
        <f t="shared" ref="CK101" si="48">CE101-0.5%</f>
        <v>0.29139999999999999</v>
      </c>
      <c r="CL101" s="1579">
        <f t="shared" ref="CL101" si="49">CF101-0.5%</f>
        <v>0.28200000000000003</v>
      </c>
      <c r="CM101" s="160">
        <f>CM100/RevBuild!CM12</f>
        <v>0.2857889946858746</v>
      </c>
      <c r="CN101" s="142"/>
      <c r="CO101" s="142"/>
      <c r="CP101" s="142"/>
      <c r="CQ101"/>
      <c r="CR101"/>
      <c r="CS101"/>
      <c r="CT101"/>
      <c r="CU101"/>
      <c r="CV101"/>
      <c r="CW101" s="142"/>
    </row>
    <row r="102" spans="1:101" s="149" customFormat="1" outlineLevel="1">
      <c r="A102" s="501" t="s">
        <v>99</v>
      </c>
      <c r="B102" s="150"/>
      <c r="C102" s="1318"/>
      <c r="D102" s="1985"/>
      <c r="E102" s="1985"/>
      <c r="F102" s="1985"/>
      <c r="G102" s="1986"/>
      <c r="H102" s="150"/>
      <c r="I102" s="1318"/>
      <c r="J102" s="1985"/>
      <c r="K102" s="1985"/>
      <c r="L102" s="1985"/>
      <c r="M102" s="1986"/>
      <c r="N102" s="150"/>
      <c r="O102" s="1318"/>
      <c r="P102" s="1985"/>
      <c r="Q102" s="1985"/>
      <c r="R102" s="1985"/>
      <c r="S102" s="1986"/>
      <c r="T102" s="151"/>
      <c r="U102" s="1318"/>
      <c r="V102" s="1985"/>
      <c r="W102" s="1985"/>
      <c r="X102" s="1985"/>
      <c r="Y102" s="1986"/>
      <c r="Z102" s="151"/>
      <c r="AA102" s="1318"/>
      <c r="AB102" s="1985"/>
      <c r="AC102" s="1985"/>
      <c r="AD102" s="1985"/>
      <c r="AE102" s="1986"/>
      <c r="AF102" s="151"/>
      <c r="AG102" s="1318">
        <v>15.734618436406064</v>
      </c>
      <c r="AH102" s="1985">
        <v>18.493719953325559</v>
      </c>
      <c r="AI102" s="1985">
        <v>25.186856492027339</v>
      </c>
      <c r="AJ102" s="1985">
        <v>39.625616403785486</v>
      </c>
      <c r="AK102" s="1986">
        <f>SUM(AG102:AJ102)</f>
        <v>99.04081128554445</v>
      </c>
      <c r="AL102" s="151"/>
      <c r="AM102" s="1318">
        <v>41.357273486430067</v>
      </c>
      <c r="AN102" s="1985">
        <v>41.23584002057612</v>
      </c>
      <c r="AO102" s="1985">
        <v>39.999340694006307</v>
      </c>
      <c r="AP102" s="1985">
        <v>40.818361303060215</v>
      </c>
      <c r="AQ102" s="1986">
        <f>SUM(AM102:AP102)</f>
        <v>163.41081550407273</v>
      </c>
      <c r="AR102" s="151"/>
      <c r="AS102" s="1987">
        <v>41.52213888888889</v>
      </c>
      <c r="AT102" s="1985">
        <v>45.92096356275303</v>
      </c>
      <c r="AU102" s="1985">
        <v>42.834909811694757</v>
      </c>
      <c r="AV102" s="1985">
        <v>43.14594439117927</v>
      </c>
      <c r="AW102" s="1986">
        <f>SUM(AS102:AV102)</f>
        <v>173.42395665451596</v>
      </c>
      <c r="AX102" s="151"/>
      <c r="AY102" s="1318">
        <f>RevBuild!AY13*IS!AY103</f>
        <v>59.717999999999996</v>
      </c>
      <c r="AZ102" s="1985">
        <f>RevBuild!AZ13*IS!AZ103</f>
        <v>53.235000000000007</v>
      </c>
      <c r="BA102" s="1985">
        <f>RevBuild!BA13*IS!BA103</f>
        <v>54.274999999999991</v>
      </c>
      <c r="BB102" s="1985">
        <f>RevBuild!BB13*IS!BB103</f>
        <v>52.154000000000003</v>
      </c>
      <c r="BC102" s="1986">
        <f>SUM(AY102:BB102)</f>
        <v>219.38200000000001</v>
      </c>
      <c r="BD102" s="151"/>
      <c r="BE102" s="1318">
        <f>RevBuild!BE13*IS!BE103</f>
        <v>55.773999999999994</v>
      </c>
      <c r="BF102" s="1985">
        <f>RevBuild!BF13*IS!BF103</f>
        <v>55.180000000000007</v>
      </c>
      <c r="BG102" s="1985">
        <f>RevBuild!BG13*IS!BG103</f>
        <v>52.650000000000006</v>
      </c>
      <c r="BH102" s="1985">
        <f>RevBuild!BH13*IS!BH103</f>
        <v>54.387400000000007</v>
      </c>
      <c r="BI102" s="1986">
        <f>SUM(BE102:BH102)</f>
        <v>217.99140000000003</v>
      </c>
      <c r="BJ102" s="151"/>
      <c r="BK102" s="1318">
        <f>RevBuild!BK13*IS!BK103</f>
        <v>53.792000000000002</v>
      </c>
      <c r="BL102" s="1985">
        <f>RevBuild!BL13*IS!BL103</f>
        <v>51.275100000000002</v>
      </c>
      <c r="BM102" s="1985">
        <f>RevBuild!BM13*IS!BM103</f>
        <v>55.061499999999995</v>
      </c>
      <c r="BN102" s="1985">
        <f>RevBuild!BN13*IS!BN103</f>
        <v>56.49</v>
      </c>
      <c r="BO102" s="1986">
        <f>SUM(BK102:BN102)</f>
        <v>216.61860000000001</v>
      </c>
      <c r="BP102" s="151"/>
      <c r="BQ102" s="1318">
        <f>RevBuild!BQ13*IS!BQ103</f>
        <v>64.824000000000012</v>
      </c>
      <c r="BR102" s="1985">
        <f>RevBuild!BR13*IS!BR103</f>
        <v>55.497417077419236</v>
      </c>
      <c r="BS102" s="1985">
        <f>RevBuild!BS13*IS!BS103</f>
        <v>60.392301749668697</v>
      </c>
      <c r="BT102" s="1985">
        <f>RevBuild!BT13*IS!BT103</f>
        <v>61.949663231799448</v>
      </c>
      <c r="BU102" s="1986">
        <f>SUM(BQ102:BT102)</f>
        <v>242.66338205888741</v>
      </c>
      <c r="BV102" s="151"/>
      <c r="BW102" s="1318">
        <f>RevBuild!BW13*IS!BW103</f>
        <v>68.588064860583785</v>
      </c>
      <c r="BX102" s="1985">
        <f>RevBuild!BX13*IS!BX103</f>
        <v>58.548530422056032</v>
      </c>
      <c r="BY102" s="1985">
        <f>RevBuild!BY13*IS!BY103</f>
        <v>68.21266937596009</v>
      </c>
      <c r="BZ102" s="1985">
        <f>RevBuild!BZ13*IS!BZ103</f>
        <v>69.071066365278924</v>
      </c>
      <c r="CA102" s="1986">
        <f>SUM(BW102:BZ102)</f>
        <v>264.42033102387882</v>
      </c>
      <c r="CB102" s="1985"/>
      <c r="CC102" s="1318">
        <f>RevBuild!CC13*IS!CC103</f>
        <v>75.619107821695366</v>
      </c>
      <c r="CD102" s="1985">
        <f>RevBuild!CD13*IS!CD103</f>
        <v>64.3018619795387</v>
      </c>
      <c r="CE102" s="1985">
        <f>RevBuild!CE13*IS!CE103</f>
        <v>77.557678199718637</v>
      </c>
      <c r="CF102" s="1985">
        <f>RevBuild!CF13*IS!CF103</f>
        <v>77.269851317692741</v>
      </c>
      <c r="CG102" s="1986">
        <f>SUM(CC102:CF102)</f>
        <v>294.74849931864549</v>
      </c>
      <c r="CH102" s="152"/>
      <c r="CI102" s="1318">
        <f>RevBuild!CI13*IS!CI103</f>
        <v>84.569574996525446</v>
      </c>
      <c r="CJ102" s="1985">
        <f>RevBuild!CJ13*IS!CJ103</f>
        <v>71.900288356523305</v>
      </c>
      <c r="CK102" s="1985">
        <f>RevBuild!CK13*IS!CK103</f>
        <v>89.79019420295927</v>
      </c>
      <c r="CL102" s="1985">
        <f>RevBuild!CL13*IS!CL103</f>
        <v>88.030520152921781</v>
      </c>
      <c r="CM102" s="1986">
        <f>SUM(CI102:CL102)</f>
        <v>334.29057770892985</v>
      </c>
      <c r="CN102" s="152"/>
      <c r="CO102" s="152"/>
      <c r="CP102" s="142"/>
      <c r="CQ102"/>
      <c r="CR102"/>
      <c r="CS102"/>
      <c r="CT102"/>
      <c r="CU102"/>
      <c r="CV102"/>
      <c r="CW102" s="142"/>
    </row>
    <row r="103" spans="1:101" s="149" customFormat="1" outlineLevel="1">
      <c r="A103" s="158" t="s">
        <v>100</v>
      </c>
      <c r="B103" s="150"/>
      <c r="C103" s="159"/>
      <c r="D103" s="156"/>
      <c r="E103" s="156"/>
      <c r="F103" s="156"/>
      <c r="G103" s="160"/>
      <c r="H103" s="150"/>
      <c r="I103" s="159"/>
      <c r="J103" s="156"/>
      <c r="K103" s="156"/>
      <c r="L103" s="156"/>
      <c r="M103" s="160"/>
      <c r="N103" s="150"/>
      <c r="O103" s="159"/>
      <c r="P103" s="156"/>
      <c r="Q103" s="156"/>
      <c r="R103" s="156"/>
      <c r="S103" s="160"/>
      <c r="T103" s="151"/>
      <c r="U103" s="159"/>
      <c r="V103" s="156"/>
      <c r="W103" s="156"/>
      <c r="X103" s="156"/>
      <c r="Y103" s="160"/>
      <c r="Z103" s="151"/>
      <c r="AA103" s="159"/>
      <c r="AB103" s="156"/>
      <c r="AC103" s="156"/>
      <c r="AD103" s="156"/>
      <c r="AE103" s="160"/>
      <c r="AF103" s="151"/>
      <c r="AG103" s="159">
        <f>AG102/RevBuild!AG13</f>
        <v>0.26668844807467906</v>
      </c>
      <c r="AH103" s="156">
        <f>AH102/RevBuild!AH13</f>
        <v>0.27602567094515762</v>
      </c>
      <c r="AI103" s="156">
        <f>AI102/RevBuild!AI13</f>
        <v>0.25965831435079728</v>
      </c>
      <c r="AJ103" s="156">
        <f>AJ102/RevBuild!AJ13</f>
        <v>0.25899095688748686</v>
      </c>
      <c r="AK103" s="160">
        <f>AK102/RevBuild!AK13</f>
        <v>0.26340641299346929</v>
      </c>
      <c r="AL103" s="151"/>
      <c r="AM103" s="159">
        <f>AM102/RevBuild!AM13</f>
        <v>0.27030897703549062</v>
      </c>
      <c r="AN103" s="156">
        <f>AN102/RevBuild!AN13</f>
        <v>0.26264866255144026</v>
      </c>
      <c r="AO103" s="156">
        <f>AO102/RevBuild!AO13</f>
        <v>0.25477287066246057</v>
      </c>
      <c r="AP103" s="156">
        <f>AP102/RevBuild!AP13</f>
        <v>0.24296643632773937</v>
      </c>
      <c r="AQ103" s="160">
        <f>AQ102/RevBuild!AQ13</f>
        <v>0.25733986693554761</v>
      </c>
      <c r="AR103" s="151"/>
      <c r="AS103" s="159">
        <f>AS102/RevBuild!AS13</f>
        <v>0.26447222222222222</v>
      </c>
      <c r="AT103" s="156">
        <f>AT102/RevBuild!AT13</f>
        <v>0.27333906882591091</v>
      </c>
      <c r="AU103" s="156">
        <f>AU102/RevBuild!AU13</f>
        <v>0.25804162537165515</v>
      </c>
      <c r="AV103" s="156">
        <f>AV102/RevBuild!AV13</f>
        <v>0.25084851390220508</v>
      </c>
      <c r="AW103" s="160">
        <f>AW102/RevBuild!AW13</f>
        <v>0.26157459525568016</v>
      </c>
      <c r="AX103" s="151"/>
      <c r="AY103" s="207">
        <f>+AY69-AY86-0.5%</f>
        <v>0.40349999999999997</v>
      </c>
      <c r="AZ103" s="441">
        <f>+AZ69-AZ86-15%</f>
        <v>0.31500000000000006</v>
      </c>
      <c r="BA103" s="441">
        <f>+BA69-BA86-16.8%</f>
        <v>0.32499999999999996</v>
      </c>
      <c r="BB103" s="441">
        <f>+BB69-BB86-19.2%</f>
        <v>0.29300000000000004</v>
      </c>
      <c r="BC103" s="160">
        <f>BC102/RevBuild!BC13</f>
        <v>0.33139274924471301</v>
      </c>
      <c r="BD103" s="151"/>
      <c r="BE103" s="1580">
        <f>+BE69-BE86-9.6%</f>
        <v>0.35299999999999998</v>
      </c>
      <c r="BF103" s="1579">
        <f>+BF69-BF86-15%</f>
        <v>0.31000000000000005</v>
      </c>
      <c r="BG103" s="1579">
        <f>+BG69-BG86-18.8%</f>
        <v>0.29250000000000004</v>
      </c>
      <c r="BH103" s="1579">
        <f>+BH69-BH86-19.63%</f>
        <v>0.28180000000000005</v>
      </c>
      <c r="BI103" s="160">
        <f>BI102/RevBuild!BI13</f>
        <v>0.30746318758815239</v>
      </c>
      <c r="BJ103" s="151"/>
      <c r="BK103" s="2155">
        <f>+BK69-BK86-14.3%</f>
        <v>0.32800000000000001</v>
      </c>
      <c r="BL103" s="2209">
        <f>+BL69-BL86-24.2%</f>
        <v>0.25509999999999999</v>
      </c>
      <c r="BM103" s="2347">
        <f>+BM69-BM86-16.85%</f>
        <v>0.27949999999999997</v>
      </c>
      <c r="BN103" s="2430">
        <f>+BN69-BN86-20.8%</f>
        <v>0.26900000000000002</v>
      </c>
      <c r="BO103" s="160">
        <f>BO102/RevBuild!BO13</f>
        <v>0.28059404145077721</v>
      </c>
      <c r="BP103" s="151"/>
      <c r="BQ103" s="2155">
        <f>+BQ69-BQ86-11.66%</f>
        <v>0.35040000000000004</v>
      </c>
      <c r="BR103" s="1579">
        <f>BL103-0.5%</f>
        <v>0.25009999999999999</v>
      </c>
      <c r="BS103" s="1579">
        <f t="shared" ref="BS103:BT103" si="50">BM103-0.5%</f>
        <v>0.27449999999999997</v>
      </c>
      <c r="BT103" s="1579">
        <f t="shared" si="50"/>
        <v>0.26400000000000001</v>
      </c>
      <c r="BU103" s="160">
        <f>BU102/RevBuild!BU13</f>
        <v>0.28165348894498021</v>
      </c>
      <c r="BV103" s="151"/>
      <c r="BW103" s="1580">
        <f>BQ103-0.2%</f>
        <v>0.34840000000000004</v>
      </c>
      <c r="BX103" s="1579">
        <f t="shared" ref="BX103:BZ103" si="51">BR103-0.2%</f>
        <v>0.24809999999999999</v>
      </c>
      <c r="BY103" s="1579">
        <f t="shared" si="51"/>
        <v>0.27249999999999996</v>
      </c>
      <c r="BZ103" s="1579">
        <f t="shared" si="51"/>
        <v>0.26200000000000001</v>
      </c>
      <c r="CA103" s="160">
        <f>CA102/RevBuild!CA13</f>
        <v>0.27927637281590312</v>
      </c>
      <c r="CB103" s="156"/>
      <c r="CC103" s="2446">
        <f>BW103-0.5%</f>
        <v>0.34340000000000004</v>
      </c>
      <c r="CD103" s="1579">
        <f t="shared" ref="CD103:CF103" si="52">BX103-0.5%</f>
        <v>0.24309999999999998</v>
      </c>
      <c r="CE103" s="1579">
        <f t="shared" si="52"/>
        <v>0.26749999999999996</v>
      </c>
      <c r="CF103" s="1579">
        <f t="shared" si="52"/>
        <v>0.25700000000000001</v>
      </c>
      <c r="CG103" s="160">
        <f>CG102/RevBuild!CG13</f>
        <v>0.27410533066280396</v>
      </c>
      <c r="CH103" s="142"/>
      <c r="CI103" s="1580">
        <f>CC103-0.2%</f>
        <v>0.34140000000000004</v>
      </c>
      <c r="CJ103" s="1579">
        <f t="shared" ref="CJ103:CL103" si="53">CD103-0.2%</f>
        <v>0.24109999999999998</v>
      </c>
      <c r="CK103" s="1579">
        <f t="shared" si="53"/>
        <v>0.26549999999999996</v>
      </c>
      <c r="CL103" s="1579">
        <f t="shared" si="53"/>
        <v>0.255</v>
      </c>
      <c r="CM103" s="160">
        <f>CM102/RevBuild!CM13</f>
        <v>0.27192636143762222</v>
      </c>
      <c r="CN103" s="142"/>
      <c r="CO103" s="142"/>
      <c r="CP103" s="142"/>
      <c r="CQ103"/>
      <c r="CR103"/>
      <c r="CS103"/>
      <c r="CT103"/>
      <c r="CU103"/>
      <c r="CV103"/>
      <c r="CW103" s="142"/>
    </row>
    <row r="104" spans="1:101" s="149" customFormat="1" outlineLevel="1">
      <c r="A104" s="501" t="s">
        <v>107</v>
      </c>
      <c r="B104" s="150"/>
      <c r="C104" s="1318"/>
      <c r="D104" s="1985"/>
      <c r="E104" s="1985"/>
      <c r="F104" s="1985"/>
      <c r="G104" s="1986"/>
      <c r="H104" s="150"/>
      <c r="I104" s="1318"/>
      <c r="J104" s="1985"/>
      <c r="K104" s="1985"/>
      <c r="L104" s="1985"/>
      <c r="M104" s="1986"/>
      <c r="N104" s="150"/>
      <c r="O104" s="1318"/>
      <c r="P104" s="1985"/>
      <c r="Q104" s="1985"/>
      <c r="R104" s="1985"/>
      <c r="S104" s="1986"/>
      <c r="T104" s="151"/>
      <c r="U104" s="1318"/>
      <c r="V104" s="1985"/>
      <c r="W104" s="1985"/>
      <c r="X104" s="1985"/>
      <c r="Y104" s="1986"/>
      <c r="Z104" s="151"/>
      <c r="AA104" s="1318"/>
      <c r="AB104" s="1985"/>
      <c r="AC104" s="1985"/>
      <c r="AD104" s="1985"/>
      <c r="AE104" s="1986"/>
      <c r="AF104" s="151"/>
      <c r="AG104" s="1318">
        <v>74.939453908984817</v>
      </c>
      <c r="AH104" s="1985">
        <v>80.599495915986012</v>
      </c>
      <c r="AI104" s="1985">
        <v>74.002619589977229</v>
      </c>
      <c r="AJ104" s="1985">
        <v>75.62535941114615</v>
      </c>
      <c r="AK104" s="1986">
        <f>SUM(AG104:AJ104)</f>
        <v>305.16692882609419</v>
      </c>
      <c r="AL104" s="151"/>
      <c r="AM104" s="1318">
        <v>79.470839248434245</v>
      </c>
      <c r="AN104" s="1985">
        <v>80.633139403292162</v>
      </c>
      <c r="AO104" s="1985">
        <v>77.705725552050467</v>
      </c>
      <c r="AP104" s="1985">
        <v>77.263326752221133</v>
      </c>
      <c r="AQ104" s="1986">
        <f>SUM(AM104:AP104)</f>
        <v>315.07303095599798</v>
      </c>
      <c r="AR104" s="151"/>
      <c r="AS104" s="1987">
        <v>83.044277777777779</v>
      </c>
      <c r="AT104" s="1985">
        <v>88.835197368421049</v>
      </c>
      <c r="AU104" s="1985">
        <v>86.701986124876129</v>
      </c>
      <c r="AV104" s="1985">
        <v>83.281706615532073</v>
      </c>
      <c r="AW104" s="1986">
        <f>SUM(AS104:AV104)</f>
        <v>341.86316788660707</v>
      </c>
      <c r="AX104" s="151"/>
      <c r="AY104" s="1318">
        <f>RevBuild!AY17*IS!AY105</f>
        <v>70.66849999999998</v>
      </c>
      <c r="AZ104" s="1985">
        <f>RevBuild!AZ17*IS!AZ105</f>
        <v>64.521000000000001</v>
      </c>
      <c r="BA104" s="1985">
        <f>RevBuild!BA17*IS!BA105</f>
        <v>62.159999999999989</v>
      </c>
      <c r="BB104" s="1985">
        <f>RevBuild!BB17*IS!BB105</f>
        <v>61.217999999999996</v>
      </c>
      <c r="BC104" s="1986">
        <f>SUM(AY104:BB104)</f>
        <v>258.5675</v>
      </c>
      <c r="BD104" s="151"/>
      <c r="BE104" s="1318">
        <f>RevBuild!BE17*IS!BE105</f>
        <v>70.003999999999976</v>
      </c>
      <c r="BF104" s="1985">
        <f>RevBuild!BF17*IS!BF105</f>
        <v>69.199999999999989</v>
      </c>
      <c r="BG104" s="1985">
        <f>RevBuild!BG17*IS!BG105</f>
        <v>66.61</v>
      </c>
      <c r="BH104" s="1985">
        <f>RevBuild!BH17*IS!BH105</f>
        <v>70.744</v>
      </c>
      <c r="BI104" s="1986">
        <f>SUM(BE104:BH104)</f>
        <v>276.55799999999999</v>
      </c>
      <c r="BJ104" s="151"/>
      <c r="BK104" s="1318">
        <f>RevBuild!BK17*IS!BK105</f>
        <v>75.140999999999991</v>
      </c>
      <c r="BL104" s="1985">
        <f>RevBuild!BL17*IS!BL105</f>
        <v>78.056999999999988</v>
      </c>
      <c r="BM104" s="1985">
        <f>RevBuild!BM17*IS!BM105</f>
        <v>73.339999999999989</v>
      </c>
      <c r="BN104" s="1985">
        <f>RevBuild!BN17*IS!BN105</f>
        <v>77.567999999999998</v>
      </c>
      <c r="BO104" s="1986">
        <f>SUM(BK104:BN104)</f>
        <v>304.10599999999994</v>
      </c>
      <c r="BP104" s="151"/>
      <c r="BQ104" s="1318">
        <f>RevBuild!BQ17*IS!BQ105</f>
        <v>87.883200000000002</v>
      </c>
      <c r="BR104" s="1985">
        <f>RevBuild!BR17*IS!BR105</f>
        <v>87.917270999999985</v>
      </c>
      <c r="BS104" s="1985">
        <f>RevBuild!BS17*IS!BS105</f>
        <v>82.335729999999984</v>
      </c>
      <c r="BT104" s="1985">
        <f>RevBuild!BT17*IS!BT105</f>
        <v>86.955748</v>
      </c>
      <c r="BU104" s="1986">
        <f>SUM(BQ104:BT104)</f>
        <v>345.091949</v>
      </c>
      <c r="BV104" s="151"/>
      <c r="BW104" s="1318">
        <f>RevBuild!BW17*IS!BW105</f>
        <v>94.032576000000006</v>
      </c>
      <c r="BX104" s="1985">
        <f>RevBuild!BX17*IS!BX105</f>
        <v>94.008214439999989</v>
      </c>
      <c r="BY104" s="1985">
        <f>RevBuild!BY17*IS!BY105</f>
        <v>87.961263119999984</v>
      </c>
      <c r="BZ104" s="1985">
        <f>RevBuild!BZ17*IS!BZ105</f>
        <v>92.907799200000014</v>
      </c>
      <c r="CA104" s="1986">
        <f>SUM(BW104:BZ104)</f>
        <v>368.90985275999998</v>
      </c>
      <c r="CB104" s="1985"/>
      <c r="CC104" s="1318">
        <f>RevBuild!CC17*IS!CC105</f>
        <v>100.13764320000001</v>
      </c>
      <c r="CD104" s="1985">
        <f>RevBuild!CD17*IS!CD105</f>
        <v>100.04570941499998</v>
      </c>
      <c r="CE104" s="1985">
        <f>RevBuild!CE17*IS!CE105</f>
        <v>93.524933177999998</v>
      </c>
      <c r="CF104" s="1985">
        <f>RevBuild!CF17*IS!CF105</f>
        <v>98.796144851999998</v>
      </c>
      <c r="CG104" s="1986">
        <f>SUM(CC104:CF104)</f>
        <v>392.50443064499996</v>
      </c>
      <c r="CH104" s="152"/>
      <c r="CI104" s="1318">
        <f>RevBuild!CI17*IS!CI105</f>
        <v>106.62953724</v>
      </c>
      <c r="CJ104" s="1985">
        <f>RevBuild!CJ17*IS!CJ105</f>
        <v>106.46003243002497</v>
      </c>
      <c r="CK104" s="1985">
        <f>RevBuild!CK17*IS!CK105</f>
        <v>99.428371639649981</v>
      </c>
      <c r="CL104" s="1985">
        <f>RevBuild!CL17*IS!CL105</f>
        <v>105.04513598130001</v>
      </c>
      <c r="CM104" s="1986">
        <f>SUM(CI104:CL104)</f>
        <v>417.56307729097495</v>
      </c>
      <c r="CN104" s="152"/>
      <c r="CO104" s="152"/>
      <c r="CP104" s="142"/>
      <c r="CQ104"/>
      <c r="CR104"/>
      <c r="CS104"/>
      <c r="CT104"/>
      <c r="CU104"/>
      <c r="CV104"/>
      <c r="CW104" s="142"/>
    </row>
    <row r="105" spans="1:101" s="149" customFormat="1" outlineLevel="1">
      <c r="A105" s="158" t="s">
        <v>108</v>
      </c>
      <c r="B105" s="150"/>
      <c r="C105" s="159"/>
      <c r="D105" s="156"/>
      <c r="E105" s="156"/>
      <c r="F105" s="156"/>
      <c r="G105" s="160"/>
      <c r="H105" s="150"/>
      <c r="I105" s="159"/>
      <c r="J105" s="156"/>
      <c r="K105" s="156"/>
      <c r="L105" s="156"/>
      <c r="M105" s="160"/>
      <c r="N105" s="150"/>
      <c r="O105" s="159"/>
      <c r="P105" s="156"/>
      <c r="Q105" s="156"/>
      <c r="R105" s="156"/>
      <c r="S105" s="160"/>
      <c r="T105" s="151"/>
      <c r="U105" s="159"/>
      <c r="V105" s="156"/>
      <c r="W105" s="156"/>
      <c r="X105" s="156"/>
      <c r="Y105" s="160"/>
      <c r="Z105" s="151"/>
      <c r="AA105" s="159"/>
      <c r="AB105" s="156"/>
      <c r="AC105" s="156"/>
      <c r="AD105" s="156"/>
      <c r="AE105" s="160"/>
      <c r="AF105" s="151"/>
      <c r="AG105" s="159">
        <f>AG104/RevBuild!AG17</f>
        <v>0.26668844807467906</v>
      </c>
      <c r="AH105" s="156">
        <f>AH104/RevBuild!AH17</f>
        <v>0.27602567094515756</v>
      </c>
      <c r="AI105" s="156">
        <f>AI104/RevBuild!AI17</f>
        <v>0.25965831435079728</v>
      </c>
      <c r="AJ105" s="156">
        <f>AJ104/RevBuild!AJ17</f>
        <v>0.2589909568874868</v>
      </c>
      <c r="AK105" s="160">
        <f>AK104/RevBuild!AK17</f>
        <v>0.2653625468052993</v>
      </c>
      <c r="AL105" s="151"/>
      <c r="AM105" s="159">
        <f>AM104/RevBuild!AM17</f>
        <v>0.27030897703549062</v>
      </c>
      <c r="AN105" s="156">
        <f>AN104/RevBuild!AN17</f>
        <v>0.26264866255144026</v>
      </c>
      <c r="AO105" s="156">
        <f>AO104/RevBuild!AO17</f>
        <v>0.25477287066246057</v>
      </c>
      <c r="AP105" s="156">
        <f>AP104/RevBuild!AP17</f>
        <v>0.2429664363277394</v>
      </c>
      <c r="AQ105" s="160">
        <f>AQ104/RevBuild!AQ17</f>
        <v>0.25741260699019441</v>
      </c>
      <c r="AR105" s="151"/>
      <c r="AS105" s="159">
        <f>AS104/RevBuild!AS17</f>
        <v>0.26447222222222222</v>
      </c>
      <c r="AT105" s="156">
        <f>AT104/RevBuild!AT17</f>
        <v>0.27333906882591091</v>
      </c>
      <c r="AU105" s="156">
        <f>AU104/RevBuild!AU17</f>
        <v>0.25804162537165515</v>
      </c>
      <c r="AV105" s="156">
        <f>AV104/RevBuild!AV17</f>
        <v>0.25084851390220503</v>
      </c>
      <c r="AW105" s="160">
        <f>AW104/RevBuild!AW17</f>
        <v>0.26156325010451958</v>
      </c>
      <c r="AX105" s="151"/>
      <c r="AY105" s="207">
        <f>+AY71-AY88-20.7%</f>
        <v>0.21349999999999994</v>
      </c>
      <c r="AZ105" s="441">
        <f>+AZ71-AZ88-21.5%</f>
        <v>0.20099999999999998</v>
      </c>
      <c r="BA105" s="441">
        <f>+BA71-BA88-22.6%</f>
        <v>0.18499999999999997</v>
      </c>
      <c r="BB105" s="441">
        <f>+BB71-BB88-25.1%</f>
        <v>0.17899999999999999</v>
      </c>
      <c r="BC105" s="160">
        <f>BC104/RevBuild!BC17</f>
        <v>0.19441165413533834</v>
      </c>
      <c r="BD105" s="151"/>
      <c r="BE105" s="1580">
        <f>+BE71-BE88-22.1%</f>
        <v>0.20349999999999993</v>
      </c>
      <c r="BF105" s="1579">
        <f>+BF71-BF88-21.5%</f>
        <v>0.19999999999999998</v>
      </c>
      <c r="BG105" s="1579">
        <f>+BG71-BG88-22.7%</f>
        <v>0.18502777777777779</v>
      </c>
      <c r="BH105" s="1579">
        <f>+BH71-BH88-22.73%</f>
        <v>0.19119999999999998</v>
      </c>
      <c r="BI105" s="160">
        <f>BI104/RevBuild!BI17</f>
        <v>0.19475915492957746</v>
      </c>
      <c r="BJ105" s="151"/>
      <c r="BK105" s="2155">
        <f>+BK71-BK88-20.3%</f>
        <v>0.20699999999999996</v>
      </c>
      <c r="BL105" s="2209">
        <f>+BL71-BL88-21.6%</f>
        <v>0.20649999999999996</v>
      </c>
      <c r="BM105" s="2347">
        <f>+BM71-BM88-23.35%</f>
        <v>0.18999999999999997</v>
      </c>
      <c r="BN105" s="2430">
        <f>+BN71-BN88-22.9%</f>
        <v>0.192</v>
      </c>
      <c r="BO105" s="160">
        <f>BO104/RevBuild!BO17</f>
        <v>0.19863226649248852</v>
      </c>
      <c r="BP105" s="151"/>
      <c r="BQ105" s="2155">
        <f>+BQ71-BQ88-21.56%</f>
        <v>0.21540000000000001</v>
      </c>
      <c r="BR105" s="1579">
        <f>BL105-0.5%</f>
        <v>0.20149999999999996</v>
      </c>
      <c r="BS105" s="1579">
        <f t="shared" ref="BS105:BT105" si="54">BM105-0.5%</f>
        <v>0.18499999999999997</v>
      </c>
      <c r="BT105" s="1579">
        <f t="shared" si="54"/>
        <v>0.187</v>
      </c>
      <c r="BU105" s="160">
        <f>BU104/RevBuild!BU17</f>
        <v>0.19670352820604017</v>
      </c>
      <c r="BV105" s="151"/>
      <c r="BW105" s="1580">
        <f>BQ105-0.2%</f>
        <v>0.21340000000000001</v>
      </c>
      <c r="BX105" s="1579">
        <f t="shared" ref="BX105:BZ105" si="55">BR105-0.2%</f>
        <v>0.19949999999999996</v>
      </c>
      <c r="BY105" s="1579">
        <f t="shared" si="55"/>
        <v>0.18299999999999997</v>
      </c>
      <c r="BZ105" s="1579">
        <f t="shared" si="55"/>
        <v>0.185</v>
      </c>
      <c r="CA105" s="160">
        <f>CA104/RevBuild!CA17</f>
        <v>0.19470352820604017</v>
      </c>
      <c r="CB105" s="156"/>
      <c r="CC105" s="1580">
        <f>BW105-0.2%</f>
        <v>0.2114</v>
      </c>
      <c r="CD105" s="1579">
        <f>BX105-0.2%</f>
        <v>0.19749999999999995</v>
      </c>
      <c r="CE105" s="1579">
        <f>BY105-0.2%</f>
        <v>0.18099999999999997</v>
      </c>
      <c r="CF105" s="1579">
        <f>BZ105-0.2%</f>
        <v>0.183</v>
      </c>
      <c r="CG105" s="160">
        <f>CG104/RevBuild!CG17</f>
        <v>0.1927035282060402</v>
      </c>
      <c r="CH105" s="142"/>
      <c r="CI105" s="1580">
        <f>CC105-0.2%</f>
        <v>0.2094</v>
      </c>
      <c r="CJ105" s="1579">
        <f>CD105-0.2%</f>
        <v>0.19549999999999995</v>
      </c>
      <c r="CK105" s="1579">
        <f>CE105-0.2%</f>
        <v>0.17899999999999996</v>
      </c>
      <c r="CL105" s="1579">
        <f>CF105-0.2%</f>
        <v>0.18099999999999999</v>
      </c>
      <c r="CM105" s="160">
        <f>CM104/RevBuild!CM17</f>
        <v>0.19070352820604017</v>
      </c>
      <c r="CN105" s="142"/>
      <c r="CO105" s="142"/>
      <c r="CP105" s="142"/>
      <c r="CQ105"/>
      <c r="CR105"/>
      <c r="CS105"/>
      <c r="CT105"/>
      <c r="CU105"/>
      <c r="CV105"/>
      <c r="CW105" s="142"/>
    </row>
    <row r="106" spans="1:101" s="149" customFormat="1" outlineLevel="1">
      <c r="A106" s="180" t="s">
        <v>118</v>
      </c>
      <c r="B106" s="209"/>
      <c r="C106" s="210">
        <f>C92+C96</f>
        <v>119.58291938997822</v>
      </c>
      <c r="D106" s="211">
        <f>D92+D96</f>
        <v>123.34275527426165</v>
      </c>
      <c r="E106" s="211">
        <f>E92+E96</f>
        <v>129.65125529818681</v>
      </c>
      <c r="F106" s="212">
        <f>F92+F96</f>
        <v>135.47180459770107</v>
      </c>
      <c r="G106" s="213">
        <f>G92+G96</f>
        <v>508.0487345601278</v>
      </c>
      <c r="H106" s="209"/>
      <c r="I106" s="210">
        <f>I92+I96</f>
        <v>139.1031333333334</v>
      </c>
      <c r="J106" s="211">
        <f>J92+J96</f>
        <v>136.76426160337556</v>
      </c>
      <c r="K106" s="211">
        <f>K92+K96</f>
        <v>136.50770577507603</v>
      </c>
      <c r="L106" s="212">
        <f>L92+L96</f>
        <v>136.24772413793096</v>
      </c>
      <c r="M106" s="213">
        <f>M92+M96</f>
        <v>548.62282484971593</v>
      </c>
      <c r="N106" s="209"/>
      <c r="O106" s="210">
        <f>O92+O96</f>
        <v>140</v>
      </c>
      <c r="P106" s="211">
        <f>P92+P96</f>
        <v>135</v>
      </c>
      <c r="Q106" s="211">
        <f>Q92+Q96</f>
        <v>131</v>
      </c>
      <c r="R106" s="212">
        <f>R92+R96</f>
        <v>143</v>
      </c>
      <c r="S106" s="213">
        <f>S92+S96</f>
        <v>549</v>
      </c>
      <c r="T106" s="227"/>
      <c r="U106" s="210">
        <f>U92+U96</f>
        <v>151</v>
      </c>
      <c r="V106" s="211">
        <f>V92+V96</f>
        <v>162</v>
      </c>
      <c r="W106" s="211">
        <f>W92+W96</f>
        <v>192</v>
      </c>
      <c r="X106" s="212">
        <f>X92+X96</f>
        <v>216</v>
      </c>
      <c r="Y106" s="213">
        <f>Y92+Y96</f>
        <v>721</v>
      </c>
      <c r="Z106" s="227"/>
      <c r="AA106" s="210">
        <f>AA92+AA96</f>
        <v>215</v>
      </c>
      <c r="AB106" s="211">
        <f>AB92+AB96</f>
        <v>232</v>
      </c>
      <c r="AC106" s="211">
        <f>AC92+AC96</f>
        <v>222</v>
      </c>
      <c r="AD106" s="212">
        <f>AD92+AD96</f>
        <v>224</v>
      </c>
      <c r="AE106" s="213">
        <f>AE92+AE96</f>
        <v>893</v>
      </c>
      <c r="AF106" s="227"/>
      <c r="AG106" s="210">
        <f>AG72-AG89-AG147</f>
        <v>228.55199999999996</v>
      </c>
      <c r="AH106" s="211">
        <f>AH72-AH89-AH147</f>
        <v>236.55400000000003</v>
      </c>
      <c r="AI106" s="211">
        <f>AI72-AI89-AI147</f>
        <v>227.98000000000002</v>
      </c>
      <c r="AJ106" s="212">
        <f>AJ72-AJ89-AJ147</f>
        <v>246.30039999999997</v>
      </c>
      <c r="AK106" s="213">
        <f>AK72-AK89-AK147</f>
        <v>939.38640000000009</v>
      </c>
      <c r="AL106" s="215"/>
      <c r="AM106" s="210">
        <f>AM72-AM89-AM147</f>
        <v>258.95600000000002</v>
      </c>
      <c r="AN106" s="211">
        <f>AN72-AN89-AN147</f>
        <v>255.29449999999997</v>
      </c>
      <c r="AO106" s="211">
        <f>AO72-AO89-AO147</f>
        <v>242.28899999999999</v>
      </c>
      <c r="AP106" s="212">
        <f>AP72-AP89-AP147</f>
        <v>246.125</v>
      </c>
      <c r="AQ106" s="213">
        <f>AQ72-AQ89-AQ147</f>
        <v>1002.6644999999999</v>
      </c>
      <c r="AR106" s="215"/>
      <c r="AS106" s="210">
        <f>AS72-AS89-AS147</f>
        <v>266.58800000000002</v>
      </c>
      <c r="AT106" s="211">
        <f>AT72-AT89-AT147</f>
        <v>270.05899999999997</v>
      </c>
      <c r="AU106" s="211">
        <f>AU72-AU89-AU147</f>
        <v>260.36400000000003</v>
      </c>
      <c r="AV106" s="212">
        <f>AV72-AV89-AV147</f>
        <v>261.63499999999988</v>
      </c>
      <c r="AW106" s="213">
        <f>AW72-AW89-AW147</f>
        <v>1052.0734111675124</v>
      </c>
      <c r="AX106" s="215"/>
      <c r="AY106" s="210">
        <f>AY100+AY102+AY104</f>
        <v>286.00799999999998</v>
      </c>
      <c r="AZ106" s="211">
        <f t="shared" ref="AZ106:BO106" si="56">AZ100+AZ102+AZ104</f>
        <v>268.64300000000003</v>
      </c>
      <c r="BA106" s="211">
        <f t="shared" si="56"/>
        <v>265.64699999999999</v>
      </c>
      <c r="BB106" s="211">
        <f>BB100+BB102+BB104</f>
        <v>264.78199999999998</v>
      </c>
      <c r="BC106" s="213">
        <f t="shared" si="56"/>
        <v>1085.08</v>
      </c>
      <c r="BD106" s="215"/>
      <c r="BE106" s="210">
        <f>BE100+BE102+BE104</f>
        <v>278.84399999999999</v>
      </c>
      <c r="BF106" s="211">
        <f t="shared" si="56"/>
        <v>281.29499999999996</v>
      </c>
      <c r="BG106" s="211">
        <f t="shared" si="56"/>
        <v>275.24799999999999</v>
      </c>
      <c r="BH106" s="211">
        <f t="shared" si="56"/>
        <v>284.43500000000006</v>
      </c>
      <c r="BI106" s="213">
        <f t="shared" si="56"/>
        <v>1119.8220000000001</v>
      </c>
      <c r="BJ106" s="215"/>
      <c r="BK106" s="210">
        <f t="shared" si="56"/>
        <v>283.04899999999992</v>
      </c>
      <c r="BL106" s="211">
        <f t="shared" si="56"/>
        <v>293.08339999999998</v>
      </c>
      <c r="BM106" s="211">
        <f t="shared" si="56"/>
        <v>291.6309</v>
      </c>
      <c r="BN106" s="212">
        <f t="shared" si="56"/>
        <v>305.40800000000002</v>
      </c>
      <c r="BO106" s="213">
        <f t="shared" si="56"/>
        <v>1173.1713</v>
      </c>
      <c r="BP106" s="215"/>
      <c r="BQ106" s="210">
        <f>BQ100+BQ102+BQ104</f>
        <v>327.84840000000003</v>
      </c>
      <c r="BR106" s="211">
        <f>BR100+BR102+BR104</f>
        <v>326.90355997741921</v>
      </c>
      <c r="BS106" s="211">
        <f>BS100+BS102+BS104</f>
        <v>316.89895394966868</v>
      </c>
      <c r="BT106" s="212">
        <f>BT100+BT102+BT104</f>
        <v>329.56581123179944</v>
      </c>
      <c r="BU106" s="213">
        <f>BU100+BU102+BU104</f>
        <v>1301.2167251588876</v>
      </c>
      <c r="BV106" s="215"/>
      <c r="BW106" s="210">
        <f>BW100+BW102+BW104</f>
        <v>346.96015286058383</v>
      </c>
      <c r="BX106" s="211">
        <f>BX100+BX102+BX104</f>
        <v>345.78827239605607</v>
      </c>
      <c r="BY106" s="211">
        <f>BY100+BY102+BY104</f>
        <v>339.57001926795999</v>
      </c>
      <c r="BZ106" s="212">
        <f>BZ100+BZ102+BZ104</f>
        <v>352.16724556527896</v>
      </c>
      <c r="CA106" s="213">
        <f>CA100+CA102+CA104</f>
        <v>1384.485690089879</v>
      </c>
      <c r="CB106" s="1858"/>
      <c r="CC106" s="210">
        <f>CC100+CC102+CC104</f>
        <v>363.60225118169541</v>
      </c>
      <c r="CD106" s="211">
        <f>CD100+CD102+CD104</f>
        <v>361.41902928395865</v>
      </c>
      <c r="CE106" s="211">
        <f>CE100+CE102+CE104</f>
        <v>358.08781552867868</v>
      </c>
      <c r="CF106" s="212">
        <f>CF100+CF102+CF104</f>
        <v>369.93353758969283</v>
      </c>
      <c r="CG106" s="213">
        <f>CG100+CG102+CG104</f>
        <v>1453.0426335840257</v>
      </c>
      <c r="CH106" s="228"/>
      <c r="CI106" s="210">
        <f>CI100+CI102+CI104</f>
        <v>381.20510554132551</v>
      </c>
      <c r="CJ106" s="211">
        <f>CJ100+CJ102+CJ104</f>
        <v>377.9843791881209</v>
      </c>
      <c r="CK106" s="211">
        <f>CK100+CK102+CK104</f>
        <v>378.58467914988807</v>
      </c>
      <c r="CL106" s="212">
        <f>CL100+CL102+CL104</f>
        <v>389.28041599782188</v>
      </c>
      <c r="CM106" s="213">
        <f>CM100+CM102+CM104</f>
        <v>1527.0545798771564</v>
      </c>
      <c r="CN106" s="228"/>
      <c r="CO106" s="228"/>
      <c r="CP106" s="228"/>
      <c r="CQ106"/>
      <c r="CR106"/>
      <c r="CS106"/>
      <c r="CT106"/>
      <c r="CU106"/>
      <c r="CV106"/>
      <c r="CW106" s="228"/>
    </row>
    <row r="107" spans="1:101" s="149" customFormat="1" outlineLevel="1">
      <c r="A107" s="216" t="s">
        <v>116</v>
      </c>
      <c r="B107" s="188"/>
      <c r="C107" s="189">
        <f>C106/C$10</f>
        <v>0.26281960305489716</v>
      </c>
      <c r="D107" s="229">
        <f>D106/D$10</f>
        <v>0.28818400765014401</v>
      </c>
      <c r="E107" s="229">
        <f>E106/E$10</f>
        <v>0.27644190895135778</v>
      </c>
      <c r="F107" s="229">
        <f>F106/F$10</f>
        <v>0.25853397823988755</v>
      </c>
      <c r="G107" s="230">
        <f>G106/G$10</f>
        <v>0.27081489049047325</v>
      </c>
      <c r="H107" s="188"/>
      <c r="I107" s="189">
        <f>I106/I$10</f>
        <v>0.26196446955430019</v>
      </c>
      <c r="J107" s="229">
        <f>J106/J$10</f>
        <v>0.25804577661014255</v>
      </c>
      <c r="K107" s="229">
        <f>K106/K$10</f>
        <v>0.25279204773162228</v>
      </c>
      <c r="L107" s="229">
        <f>L106/L$10</f>
        <v>0.22937327295947973</v>
      </c>
      <c r="M107" s="230">
        <f>M106/M$10</f>
        <v>0.24994206143495032</v>
      </c>
      <c r="N107" s="188"/>
      <c r="O107" s="189">
        <f>O106/O$10</f>
        <v>0.26666666666666666</v>
      </c>
      <c r="P107" s="229">
        <f>P106/P$10</f>
        <v>0.27108433734939757</v>
      </c>
      <c r="Q107" s="229">
        <f>Q106/Q$10</f>
        <v>0.26411290322580644</v>
      </c>
      <c r="R107" s="229">
        <f>R106/R$10</f>
        <v>0.26286764705882354</v>
      </c>
      <c r="S107" s="230">
        <f>S106/S$10</f>
        <v>0.26611730489578284</v>
      </c>
      <c r="T107" s="193"/>
      <c r="U107" s="189">
        <f>U106/U$10</f>
        <v>0.25856164383561642</v>
      </c>
      <c r="V107" s="229">
        <f>V106/V$10</f>
        <v>0.28321678321678323</v>
      </c>
      <c r="W107" s="229">
        <f>W106/W$10</f>
        <v>0.27311522048364156</v>
      </c>
      <c r="X107" s="229">
        <f>X106/X$10</f>
        <v>0.26341463414634148</v>
      </c>
      <c r="Y107" s="230">
        <f>Y106/Y$10</f>
        <v>0.26913027248973498</v>
      </c>
      <c r="Z107" s="193"/>
      <c r="AA107" s="189">
        <f>AA106/AA$10</f>
        <v>0.28552456839309431</v>
      </c>
      <c r="AB107" s="229">
        <f>AB106/AB$10</f>
        <v>0.27455621301775146</v>
      </c>
      <c r="AC107" s="229">
        <f>AC106/AC$10</f>
        <v>0.26555023923444976</v>
      </c>
      <c r="AD107" s="229">
        <f>AD106/AD$10</f>
        <v>0.25570776255707761</v>
      </c>
      <c r="AE107" s="230">
        <f>AE106/AE$10</f>
        <v>0.26978851963746225</v>
      </c>
      <c r="AF107" s="193"/>
      <c r="AG107" s="189">
        <f>AG106/AG$10</f>
        <v>0.26668844807467906</v>
      </c>
      <c r="AH107" s="229">
        <f>AH106/AH$10</f>
        <v>0.27602567094515756</v>
      </c>
      <c r="AI107" s="229">
        <f>AI106/AI$10</f>
        <v>0.25965831435079728</v>
      </c>
      <c r="AJ107" s="229">
        <f>AJ106/AJ$10</f>
        <v>0.2589909568874868</v>
      </c>
      <c r="AK107" s="230">
        <f>AK106/AK$10</f>
        <v>0.26513869602032181</v>
      </c>
      <c r="AL107" s="193"/>
      <c r="AM107" s="189">
        <f>AM106/AM$10</f>
        <v>0.27030897703549062</v>
      </c>
      <c r="AN107" s="229">
        <f>AN106/AN$10</f>
        <v>0.26264866255144032</v>
      </c>
      <c r="AO107" s="229">
        <f>AO106/AO$10</f>
        <v>0.25477287066246057</v>
      </c>
      <c r="AP107" s="229">
        <f>AP106/AP$10</f>
        <v>0.2429664363277394</v>
      </c>
      <c r="AQ107" s="230">
        <f>AQ106/AQ$10</f>
        <v>0.25748959938366717</v>
      </c>
      <c r="AR107" s="193"/>
      <c r="AS107" s="189">
        <f>AS106/AS$10</f>
        <v>0.26447222222222222</v>
      </c>
      <c r="AT107" s="229">
        <f>AT106/AT$10</f>
        <v>0.27333906882591091</v>
      </c>
      <c r="AU107" s="229">
        <f>AU106/AU$10</f>
        <v>0.25804162537165515</v>
      </c>
      <c r="AV107" s="229">
        <f>AV106/AV$10</f>
        <v>0.25084851390220508</v>
      </c>
      <c r="AW107" s="230">
        <f>AW106/AW$10</f>
        <v>0.25989955809474119</v>
      </c>
      <c r="AX107" s="193"/>
      <c r="AY107" s="189">
        <f>AY106/AY$10</f>
        <v>0.27876023391812865</v>
      </c>
      <c r="AZ107" s="229">
        <f>AZ106/AZ$10</f>
        <v>0.27896469366562826</v>
      </c>
      <c r="BA107" s="229">
        <f>BA106/BA$10</f>
        <v>0.26197928994082842</v>
      </c>
      <c r="BB107" s="229">
        <f>BB106/BB$10</f>
        <v>0.2558280193236715</v>
      </c>
      <c r="BC107" s="230">
        <f>BC106/BC$10</f>
        <v>0.26871718672610201</v>
      </c>
      <c r="BD107" s="193"/>
      <c r="BE107" s="189">
        <f>BE106/BE$10</f>
        <v>0.27124902723735406</v>
      </c>
      <c r="BF107" s="229">
        <f>BF106/BF$10</f>
        <v>0.27605004906771341</v>
      </c>
      <c r="BG107" s="229">
        <f>BG106/BG$10</f>
        <v>0.26364750957854405</v>
      </c>
      <c r="BH107" s="229">
        <f>BH106/BH$10</f>
        <v>0.25601710171017106</v>
      </c>
      <c r="BI107" s="230">
        <f>BI106/BI$10</f>
        <v>0.26649738219895291</v>
      </c>
      <c r="BJ107" s="193"/>
      <c r="BK107" s="189">
        <f>BK106/BK$10</f>
        <v>0.2652755388940955</v>
      </c>
      <c r="BL107" s="229">
        <f>BL106/BL$10</f>
        <v>0.26595589836660616</v>
      </c>
      <c r="BM107" s="229">
        <f>BM106/BM$10</f>
        <v>0.2617871633752244</v>
      </c>
      <c r="BN107" s="229">
        <f>BN106/BN$10</f>
        <v>0.25686122792262406</v>
      </c>
      <c r="BO107" s="230">
        <f>BO106/BO$10</f>
        <v>0.26233705277280855</v>
      </c>
      <c r="BP107" s="193"/>
      <c r="BQ107" s="189">
        <f>BQ106/BQ$10</f>
        <v>0.27072535094962841</v>
      </c>
      <c r="BR107" s="229">
        <f>BR106/BR$10</f>
        <v>0.26033490690653133</v>
      </c>
      <c r="BS107" s="229">
        <f>BS106/BS$10</f>
        <v>0.25495929866868083</v>
      </c>
      <c r="BT107" s="229">
        <f>BT106/BT$10</f>
        <v>0.2499813081766272</v>
      </c>
      <c r="BU107" s="230">
        <f>BU106/BU$10</f>
        <v>0.25879383514719856</v>
      </c>
      <c r="BV107" s="193"/>
      <c r="BW107" s="189">
        <f>BW106/BW$10</f>
        <v>0.26842329332672304</v>
      </c>
      <c r="BX107" s="229">
        <f>BX106/BX$10</f>
        <v>0.25794602179331039</v>
      </c>
      <c r="BY107" s="229">
        <f>BY106/BY$10</f>
        <v>0.25274469818658774</v>
      </c>
      <c r="BZ107" s="229">
        <f>BZ106/BZ$10</f>
        <v>0.24771615656519952</v>
      </c>
      <c r="CA107" s="230">
        <f>CA106/CA$10</f>
        <v>0.25646616933031169</v>
      </c>
      <c r="CB107" s="2110"/>
      <c r="CC107" s="189">
        <f>CC106/CC$10</f>
        <v>0.26566926293997983</v>
      </c>
      <c r="CD107" s="229">
        <f>CD106/CD$10</f>
        <v>0.25391125120302821</v>
      </c>
      <c r="CE107" s="229">
        <f>CE106/CE$10</f>
        <v>0.24909255456398827</v>
      </c>
      <c r="CF107" s="229">
        <f>CF106/CF$10</f>
        <v>0.24401510513586669</v>
      </c>
      <c r="CG107" s="230">
        <f>CG106/CG$10</f>
        <v>0.25289522713777135</v>
      </c>
      <c r="CH107" s="231"/>
      <c r="CI107" s="189">
        <f>CI106/CI$10</f>
        <v>0.26255548824687275</v>
      </c>
      <c r="CJ107" s="229">
        <f>CJ106/CJ$10</f>
        <v>0.24954752335616576</v>
      </c>
      <c r="CK107" s="229">
        <f>CK106/CK$10</f>
        <v>0.24527549215020497</v>
      </c>
      <c r="CL107" s="229">
        <f>CL106/CL$10</f>
        <v>0.24009807894414656</v>
      </c>
      <c r="CM107" s="230">
        <f>CM106/CM$10</f>
        <v>0.24905361485030231</v>
      </c>
      <c r="CN107" s="231"/>
      <c r="CO107" s="231"/>
      <c r="CP107" s="231"/>
      <c r="CQ107"/>
      <c r="CR107"/>
      <c r="CS107"/>
      <c r="CT107"/>
      <c r="CU107"/>
      <c r="CV107"/>
      <c r="CW107" s="231"/>
    </row>
    <row r="108" spans="1:101" s="149" customFormat="1">
      <c r="A108" s="2288" t="s">
        <v>119</v>
      </c>
      <c r="B108" s="2289"/>
      <c r="C108" s="2290">
        <f>C19/C10</f>
        <v>0.16483516483516483</v>
      </c>
      <c r="D108" s="2291">
        <f>D19/D10</f>
        <v>0.12616822429906541</v>
      </c>
      <c r="E108" s="2291">
        <f>E19/E10</f>
        <v>0.16417910447761194</v>
      </c>
      <c r="F108" s="2291">
        <f>F19/F10</f>
        <v>0.19274809160305342</v>
      </c>
      <c r="G108" s="2292">
        <f>G19/G10</f>
        <v>0.1636460554371002</v>
      </c>
      <c r="H108" s="2289"/>
      <c r="I108" s="2290">
        <f>I19/I10</f>
        <v>0.16384180790960451</v>
      </c>
      <c r="J108" s="2291">
        <f>J19/J10</f>
        <v>0.16037735849056603</v>
      </c>
      <c r="K108" s="2291">
        <f>K19/K10</f>
        <v>0.18888888888888888</v>
      </c>
      <c r="L108" s="2291">
        <f>L19/L10</f>
        <v>0.22895622895622897</v>
      </c>
      <c r="M108" s="2292">
        <f>M19/M10</f>
        <v>0.18678815489749431</v>
      </c>
      <c r="N108" s="2289"/>
      <c r="O108" s="2290">
        <f>O19/O10</f>
        <v>0.19354857142857143</v>
      </c>
      <c r="P108" s="2291">
        <f>P19/P10</f>
        <v>0.17786144578313262</v>
      </c>
      <c r="Q108" s="2291">
        <f>Q19/Q10</f>
        <v>0.18345362903225818</v>
      </c>
      <c r="R108" s="2291">
        <f>R19/R10</f>
        <v>0.19941544117647064</v>
      </c>
      <c r="S108" s="2292">
        <f>S19/S10</f>
        <v>0.18888172564226854</v>
      </c>
      <c r="T108" s="2293"/>
      <c r="U108" s="2290">
        <f>U19/U10</f>
        <v>0.21002739726027397</v>
      </c>
      <c r="V108" s="2291">
        <f>V19/V10</f>
        <v>0.18024650349650351</v>
      </c>
      <c r="W108" s="2291">
        <f>W19/W10</f>
        <v>0.18037268847795165</v>
      </c>
      <c r="X108" s="2291">
        <f>X19/X10</f>
        <v>0.18433780487804882</v>
      </c>
      <c r="Y108" s="2292">
        <f>Y19/Y10</f>
        <v>0.1880238895110117</v>
      </c>
      <c r="Z108" s="2293"/>
      <c r="AA108" s="2290">
        <f>AA19/AA10</f>
        <v>0.15118061088977416</v>
      </c>
      <c r="AB108" s="2291">
        <f>AB19/AB10</f>
        <v>0.15823313609467454</v>
      </c>
      <c r="AC108" s="2291">
        <f>AC19/AC10</f>
        <v>0.16430023923444978</v>
      </c>
      <c r="AD108" s="2291">
        <f>AD19/AD10</f>
        <v>0.18676141552511424</v>
      </c>
      <c r="AE108" s="2292">
        <f>AE19/AE10</f>
        <v>0.1657111782477341</v>
      </c>
      <c r="AF108" s="2293"/>
      <c r="AG108" s="2290">
        <f>AG19/AG10</f>
        <v>0.17969661610268378</v>
      </c>
      <c r="AH108" s="2291">
        <f>AH19/AH10</f>
        <v>0.15402567094515754</v>
      </c>
      <c r="AI108" s="2291">
        <f>AI19/AI10</f>
        <v>0.17425968109339407</v>
      </c>
      <c r="AJ108" s="2291">
        <f>AJ19/AJ10</f>
        <v>0.20399579390115669</v>
      </c>
      <c r="AK108" s="2292">
        <f>AK19/AK10</f>
        <v>0.17866215071972905</v>
      </c>
      <c r="AL108" s="2293"/>
      <c r="AM108" s="2290">
        <f>AM19/AM10</f>
        <v>0.17014613778705648</v>
      </c>
      <c r="AN108" s="2291">
        <f>AN19/AN10</f>
        <v>0.1831275720164609</v>
      </c>
      <c r="AO108" s="2291">
        <f>AO19/AO10</f>
        <v>0.18296529968454259</v>
      </c>
      <c r="AP108" s="2291">
        <f>AP19/AP10</f>
        <v>0.21421520236920039</v>
      </c>
      <c r="AQ108" s="2292">
        <f>AQ19/AQ10</f>
        <v>0.18798151001540836</v>
      </c>
      <c r="AR108" s="2293"/>
      <c r="AS108" s="2290">
        <f>AS19/AS10</f>
        <v>0.19146825396825398</v>
      </c>
      <c r="AT108" s="2291">
        <f>AT19/AT10</f>
        <v>0.1689686234817814</v>
      </c>
      <c r="AU108" s="2291">
        <f>AU19/AU10</f>
        <v>0.18899702675916746</v>
      </c>
      <c r="AV108" s="2291">
        <f>AV19/AV10</f>
        <v>0.20357718120805382</v>
      </c>
      <c r="AW108" s="2292">
        <f>AW19/AW10</f>
        <v>0.18848073122529649</v>
      </c>
      <c r="AX108" s="2293"/>
      <c r="AY108" s="2290">
        <f>AY19/AY10</f>
        <v>0.17199707602339187</v>
      </c>
      <c r="AZ108" s="2291">
        <f>AZ19/AZ10</f>
        <v>0.17559605399792322</v>
      </c>
      <c r="BA108" s="2291">
        <f>BA19/BA10</f>
        <v>0.1967938856015779</v>
      </c>
      <c r="BB108" s="2291">
        <f>BB19/BB10</f>
        <v>0.21547632850241549</v>
      </c>
      <c r="BC108" s="2292">
        <f>BC19/BC10</f>
        <v>0.19022659732540864</v>
      </c>
      <c r="BD108" s="2293"/>
      <c r="BE108" s="2290">
        <f>BE19/BE10</f>
        <v>0.19974124513618682</v>
      </c>
      <c r="BF108" s="2291">
        <f>BF19/BF10</f>
        <v>0.19150147203140344</v>
      </c>
      <c r="BG108" s="2291">
        <f>BG19/BG10</f>
        <v>0.2028965517241379</v>
      </c>
      <c r="BH108" s="2291">
        <f>BH19/BH10</f>
        <v>0.22240801080108005</v>
      </c>
      <c r="BI108" s="2292">
        <f>BI19/BI10</f>
        <v>0.2045200618752975</v>
      </c>
      <c r="BJ108" s="2293"/>
      <c r="BK108" s="2290">
        <f>BK19/BK10</f>
        <v>0.2092136832239925</v>
      </c>
      <c r="BL108" s="2291">
        <f>BL19/BL10</f>
        <v>0.2188439201451905</v>
      </c>
      <c r="BM108" s="2291">
        <f>BM19/BM10</f>
        <v>0.21204317773788151</v>
      </c>
      <c r="BN108" s="2291">
        <f>BN19/BN10</f>
        <v>0.23012699747687129</v>
      </c>
      <c r="BO108" s="2292">
        <f>BO19/BO10</f>
        <v>0.21785199016100176</v>
      </c>
      <c r="BP108" s="2293"/>
      <c r="BQ108" s="2290">
        <f>BQ19/BQ10</f>
        <v>0.22190966143682903</v>
      </c>
      <c r="BR108" s="2291">
        <f>BR19/BR10</f>
        <v>0.23586204468738142</v>
      </c>
      <c r="BS108" s="2291">
        <f>BS19/BS10</f>
        <v>0.22945871557646302</v>
      </c>
      <c r="BT108" s="2291">
        <f>BT19/BT10</f>
        <v>0.24712983556316773</v>
      </c>
      <c r="BU108" s="2292">
        <f>BU19/BU10</f>
        <v>0.2338731324615119</v>
      </c>
      <c r="BV108" s="2293"/>
      <c r="BW108" s="2290">
        <f>BW19/BW10</f>
        <v>0.22930743297511491</v>
      </c>
      <c r="BX108" s="2291">
        <f>BX19/BX10</f>
        <v>0.24336268361041383</v>
      </c>
      <c r="BY108" s="2291">
        <f>BY19/BY10</f>
        <v>0.23653209454636595</v>
      </c>
      <c r="BZ108" s="2291">
        <f>BZ19/BZ10</f>
        <v>0.2543866867091823</v>
      </c>
      <c r="CA108" s="2292">
        <f>CA19/CA10</f>
        <v>0.24120045902250084</v>
      </c>
      <c r="CB108" s="2291"/>
      <c r="CC108" s="2290">
        <f>CC19/CC10</f>
        <v>0.23509942706457795</v>
      </c>
      <c r="CD108" s="2291">
        <f>CD19/CD10</f>
        <v>0.25091330901775688</v>
      </c>
      <c r="CE108" s="2291">
        <f>CE19/CE10</f>
        <v>0.24313903044764076</v>
      </c>
      <c r="CF108" s="2291">
        <f>CF19/CF10</f>
        <v>0.26121205643653755</v>
      </c>
      <c r="CG108" s="2292">
        <f>CG19/CG10</f>
        <v>0.24791865157033185</v>
      </c>
      <c r="CH108" s="174"/>
      <c r="CI108" s="2290">
        <f>CI19/CI10</f>
        <v>0.24052901524278977</v>
      </c>
      <c r="CJ108" s="2291">
        <f>CJ19/CJ10</f>
        <v>0.25814409846008157</v>
      </c>
      <c r="CK108" s="2291">
        <f>CK19/CK10</f>
        <v>0.24920140932230303</v>
      </c>
      <c r="CL108" s="2291">
        <f>CL19/CL10</f>
        <v>0.26758479704144944</v>
      </c>
      <c r="CM108" s="2292">
        <f>CM19/CM10</f>
        <v>0.25421810830402913</v>
      </c>
      <c r="CN108" s="174"/>
      <c r="CO108" s="174"/>
      <c r="CQ108"/>
      <c r="CR108"/>
      <c r="CS108"/>
      <c r="CT108"/>
      <c r="CU108"/>
      <c r="CV108"/>
    </row>
    <row r="109" spans="1:101" s="149" customFormat="1">
      <c r="A109" s="143" t="s">
        <v>120</v>
      </c>
      <c r="B109" s="150"/>
      <c r="C109" s="233">
        <f t="shared" ref="C109:AW109" si="57">+C108</f>
        <v>0.16483516483516483</v>
      </c>
      <c r="D109" s="234">
        <f t="shared" si="57"/>
        <v>0.12616822429906541</v>
      </c>
      <c r="E109" s="234">
        <f t="shared" si="57"/>
        <v>0.16417910447761194</v>
      </c>
      <c r="F109" s="234">
        <f t="shared" si="57"/>
        <v>0.19274809160305342</v>
      </c>
      <c r="G109" s="222">
        <f t="shared" si="57"/>
        <v>0.1636460554371002</v>
      </c>
      <c r="H109" s="150">
        <f t="shared" si="57"/>
        <v>0</v>
      </c>
      <c r="I109" s="233">
        <f t="shared" si="57"/>
        <v>0.16384180790960451</v>
      </c>
      <c r="J109" s="234">
        <f t="shared" si="57"/>
        <v>0.16037735849056603</v>
      </c>
      <c r="K109" s="234">
        <f t="shared" si="57"/>
        <v>0.18888888888888888</v>
      </c>
      <c r="L109" s="234">
        <f t="shared" si="57"/>
        <v>0.22895622895622897</v>
      </c>
      <c r="M109" s="222">
        <f t="shared" si="57"/>
        <v>0.18678815489749431</v>
      </c>
      <c r="N109" s="150">
        <f t="shared" si="57"/>
        <v>0</v>
      </c>
      <c r="O109" s="233">
        <f t="shared" si="57"/>
        <v>0.19354857142857143</v>
      </c>
      <c r="P109" s="234">
        <f t="shared" si="57"/>
        <v>0.17786144578313262</v>
      </c>
      <c r="Q109" s="234">
        <f t="shared" si="57"/>
        <v>0.18345362903225818</v>
      </c>
      <c r="R109" s="234">
        <f t="shared" si="57"/>
        <v>0.19941544117647064</v>
      </c>
      <c r="S109" s="222">
        <f t="shared" si="57"/>
        <v>0.18888172564226854</v>
      </c>
      <c r="T109" s="175">
        <f t="shared" si="57"/>
        <v>0</v>
      </c>
      <c r="U109" s="233">
        <f t="shared" si="57"/>
        <v>0.21002739726027397</v>
      </c>
      <c r="V109" s="234">
        <f t="shared" si="57"/>
        <v>0.18024650349650351</v>
      </c>
      <c r="W109" s="234">
        <f t="shared" si="57"/>
        <v>0.18037268847795165</v>
      </c>
      <c r="X109" s="234">
        <f t="shared" si="57"/>
        <v>0.18433780487804882</v>
      </c>
      <c r="Y109" s="222">
        <f t="shared" si="57"/>
        <v>0.1880238895110117</v>
      </c>
      <c r="Z109" s="175">
        <f t="shared" si="57"/>
        <v>0</v>
      </c>
      <c r="AA109" s="233">
        <f t="shared" si="57"/>
        <v>0.15118061088977416</v>
      </c>
      <c r="AB109" s="234">
        <f t="shared" si="57"/>
        <v>0.15823313609467454</v>
      </c>
      <c r="AC109" s="234">
        <f t="shared" si="57"/>
        <v>0.16430023923444978</v>
      </c>
      <c r="AD109" s="234">
        <f t="shared" si="57"/>
        <v>0.18676141552511424</v>
      </c>
      <c r="AE109" s="222">
        <f t="shared" si="57"/>
        <v>0.1657111782477341</v>
      </c>
      <c r="AF109" s="175"/>
      <c r="AG109" s="233">
        <f t="shared" si="57"/>
        <v>0.17969661610268378</v>
      </c>
      <c r="AH109" s="234">
        <f t="shared" si="57"/>
        <v>0.15402567094515754</v>
      </c>
      <c r="AI109" s="234">
        <f t="shared" si="57"/>
        <v>0.17425968109339407</v>
      </c>
      <c r="AJ109" s="234">
        <f t="shared" si="57"/>
        <v>0.20399579390115669</v>
      </c>
      <c r="AK109" s="222">
        <f t="shared" si="57"/>
        <v>0.17866215071972905</v>
      </c>
      <c r="AL109" s="175"/>
      <c r="AM109" s="233">
        <f t="shared" si="57"/>
        <v>0.17014613778705648</v>
      </c>
      <c r="AN109" s="234">
        <f t="shared" si="57"/>
        <v>0.1831275720164609</v>
      </c>
      <c r="AO109" s="234">
        <f t="shared" si="57"/>
        <v>0.18296529968454259</v>
      </c>
      <c r="AP109" s="234">
        <f t="shared" si="57"/>
        <v>0.21421520236920039</v>
      </c>
      <c r="AQ109" s="222">
        <f t="shared" si="57"/>
        <v>0.18798151001540836</v>
      </c>
      <c r="AR109" s="175"/>
      <c r="AS109" s="233">
        <f t="shared" si="57"/>
        <v>0.19146825396825398</v>
      </c>
      <c r="AT109" s="234">
        <f t="shared" si="57"/>
        <v>0.1689686234817814</v>
      </c>
      <c r="AU109" s="234">
        <f t="shared" si="57"/>
        <v>0.18899702675916746</v>
      </c>
      <c r="AV109" s="234">
        <f t="shared" si="57"/>
        <v>0.20357718120805382</v>
      </c>
      <c r="AW109" s="222">
        <f t="shared" si="57"/>
        <v>0.18848073122529649</v>
      </c>
      <c r="AX109" s="175"/>
      <c r="AY109" s="233">
        <f>(AY19+10.5)/AY10</f>
        <v>0.18223099415204683</v>
      </c>
      <c r="AZ109" s="234">
        <f>(AZ19+7)/AZ10</f>
        <v>0.18286500519210805</v>
      </c>
      <c r="BA109" s="234">
        <f>(BA19+2)/BA10</f>
        <v>0.19876627218934909</v>
      </c>
      <c r="BB109" s="234">
        <f>(BB19+2)/BB10</f>
        <v>0.21740869565217394</v>
      </c>
      <c r="BC109" s="222">
        <f>(BC19+10.5+AZ23+BA23+BB23)/BC10</f>
        <v>0.19505572065378904</v>
      </c>
      <c r="BD109" s="175"/>
      <c r="BE109" s="233">
        <f>(BE19+10.5)/BE10</f>
        <v>0.20995525291828798</v>
      </c>
      <c r="BF109" s="234">
        <f>(BF19+BF23)/BF10</f>
        <v>0.19248282630029451</v>
      </c>
      <c r="BG109" s="234">
        <f>(BG19+BG23)/BG10</f>
        <v>0.20481226053639842</v>
      </c>
      <c r="BH109" s="234">
        <f>(BH19+BH23)/BH10</f>
        <v>0.22330810081008096</v>
      </c>
      <c r="BI109" s="222">
        <f>(BI19+BI23)/BI10</f>
        <v>0.205947953355545</v>
      </c>
      <c r="BJ109" s="175"/>
      <c r="BK109" s="233">
        <f>(BK19+BK23)/BK10</f>
        <v>0.21389971883786316</v>
      </c>
      <c r="BL109" s="234">
        <f>(BL19+BL23)/BL10</f>
        <v>0.22338112522686021</v>
      </c>
      <c r="BM109" s="234">
        <f>(BM19+BM23)/BM10</f>
        <v>0.2165315080789946</v>
      </c>
      <c r="BN109" s="234">
        <f>(BN19+BN23)/BN10</f>
        <v>0.23517325483599663</v>
      </c>
      <c r="BO109" s="222">
        <f>(BO19+BO23)/BO10</f>
        <v>0.22254787567084078</v>
      </c>
      <c r="BP109" s="175"/>
      <c r="BQ109" s="233">
        <f>(BQ19+BQ23)/BQ10</f>
        <v>0.2260384805945499</v>
      </c>
      <c r="BR109" s="234">
        <f>(BR19+BR23)/BR10</f>
        <v>0.23864932597069263</v>
      </c>
      <c r="BS109" s="234">
        <f>(BS19+BS23)/BS10</f>
        <v>0.23227462119627809</v>
      </c>
      <c r="BT109" s="234">
        <f>(BT19+BT23)/BT10</f>
        <v>0.24978464546395204</v>
      </c>
      <c r="BU109" s="222">
        <f>(BU19+BU23)/BU10</f>
        <v>0.23695586600406743</v>
      </c>
      <c r="BV109" s="175"/>
      <c r="BW109" s="233">
        <f>(BW19+BW23)/BW10</f>
        <v>0.23008107597450159</v>
      </c>
      <c r="BX109" s="234">
        <f>(BX19+BX23)/BX10</f>
        <v>0.24410864882203287</v>
      </c>
      <c r="BY109" s="234">
        <f>(BY19+BY23)/BY10</f>
        <v>0.23727640259432453</v>
      </c>
      <c r="BZ109" s="234">
        <f>(BZ19+BZ23)/BZ10</f>
        <v>0.25509009158196533</v>
      </c>
      <c r="CA109" s="222">
        <f>(CA19+CA23)/CA10</f>
        <v>0.24194143069498858</v>
      </c>
      <c r="CB109" s="234"/>
      <c r="CC109" s="233">
        <f>(CC19+CC23)/CC10</f>
        <v>0.23583008608023742</v>
      </c>
      <c r="CD109" s="234">
        <f>(CD19+CD23)/CD10</f>
        <v>0.25161584881403176</v>
      </c>
      <c r="CE109" s="234">
        <f>(CE19+CE23)/CE10</f>
        <v>0.24383464907458632</v>
      </c>
      <c r="CF109" s="234">
        <f>(CF19+CF23)/CF10</f>
        <v>0.26187167520677868</v>
      </c>
      <c r="CG109" s="222">
        <f>(CG19+CG23)/CG10</f>
        <v>0.24861483273196505</v>
      </c>
      <c r="CH109" s="142"/>
      <c r="CI109" s="233">
        <f>(CI19+CI23)/CI10</f>
        <v>0.24121776648045756</v>
      </c>
      <c r="CJ109" s="234">
        <f>(CJ19+CJ23)/CJ10</f>
        <v>0.25880430437624186</v>
      </c>
      <c r="CK109" s="234">
        <f>(CK19+CK23)/CK10</f>
        <v>0.24984928417212782</v>
      </c>
      <c r="CL109" s="234">
        <f>(CL19+CL23)/CL10</f>
        <v>0.26820157114329762</v>
      </c>
      <c r="CM109" s="222">
        <f>(CM19+CM23)/CM10</f>
        <v>0.25487048476295132</v>
      </c>
      <c r="CN109" s="142"/>
      <c r="CO109" s="142"/>
      <c r="CP109" s="142"/>
      <c r="CQ109"/>
      <c r="CR109"/>
      <c r="CS109"/>
      <c r="CT109"/>
      <c r="CU109"/>
      <c r="CV109"/>
      <c r="CW109" s="142"/>
    </row>
    <row r="110" spans="1:101" s="149" customFormat="1">
      <c r="A110" s="143" t="s">
        <v>121</v>
      </c>
      <c r="B110" s="150"/>
      <c r="C110" s="233"/>
      <c r="D110" s="234"/>
      <c r="E110" s="234"/>
      <c r="F110" s="234"/>
      <c r="G110" s="222"/>
      <c r="H110" s="150"/>
      <c r="I110" s="233"/>
      <c r="J110" s="234"/>
      <c r="K110" s="234"/>
      <c r="L110" s="234"/>
      <c r="M110" s="222"/>
      <c r="N110" s="150"/>
      <c r="O110" s="233"/>
      <c r="P110" s="234"/>
      <c r="Q110" s="234"/>
      <c r="R110" s="234"/>
      <c r="S110" s="222"/>
      <c r="T110" s="175"/>
      <c r="U110" s="233"/>
      <c r="V110" s="234"/>
      <c r="W110" s="234"/>
      <c r="X110" s="234"/>
      <c r="Y110" s="222"/>
      <c r="Z110" s="175"/>
      <c r="AA110" s="233"/>
      <c r="AB110" s="234"/>
      <c r="AC110" s="234"/>
      <c r="AD110" s="234"/>
      <c r="AE110" s="222"/>
      <c r="AF110" s="175"/>
      <c r="AG110" s="233"/>
      <c r="AH110" s="234"/>
      <c r="AI110" s="234"/>
      <c r="AJ110" s="234"/>
      <c r="AK110" s="222">
        <f>+AK109</f>
        <v>0.17866215071972905</v>
      </c>
      <c r="AL110" s="175"/>
      <c r="AM110" s="233">
        <f>+AM109</f>
        <v>0.17014613778705648</v>
      </c>
      <c r="AN110" s="234">
        <f>+AN109</f>
        <v>0.1831275720164609</v>
      </c>
      <c r="AO110" s="234">
        <f>+AO109</f>
        <v>0.18296529968454259</v>
      </c>
      <c r="AP110" s="234">
        <f>+AP109</f>
        <v>0.21421520236920039</v>
      </c>
      <c r="AQ110" s="222">
        <f>+AQ109</f>
        <v>0.18798151001540836</v>
      </c>
      <c r="AR110" s="175"/>
      <c r="AS110" s="233">
        <f>+AS238</f>
        <v>0.19634613567649281</v>
      </c>
      <c r="AT110" s="234">
        <f>+AT238</f>
        <v>0.17341387121650281</v>
      </c>
      <c r="AU110" s="234">
        <f>+AU238</f>
        <v>0.20059644154986075</v>
      </c>
      <c r="AV110" s="234">
        <f>+AV238</f>
        <v>0.21952659453042975</v>
      </c>
      <c r="AW110" s="235">
        <f>AS110*(AS10/AW10)+AT110*(AT10/AW10)+AU110*(AU10/AW10)+AV110*(AV10/AW10)</f>
        <v>0.19778109119141729</v>
      </c>
      <c r="AX110" s="175"/>
      <c r="AY110" s="233">
        <f>+AY238</f>
        <v>0.20318615984405464</v>
      </c>
      <c r="AZ110" s="234">
        <f>+AZ238</f>
        <v>0.19740290758047771</v>
      </c>
      <c r="BA110" s="234">
        <f>+BA238</f>
        <v>0.21602465483234712</v>
      </c>
      <c r="BB110" s="234">
        <f>+BB238</f>
        <v>0.22417198067632854</v>
      </c>
      <c r="BC110" s="235">
        <f>AY110*(AY10/BC10)+AZ110*(AZ10/BC10)+BA110*(BA10/BC10)+BB110*(BB10/BC10)</f>
        <v>0.21040985636453693</v>
      </c>
      <c r="BD110" s="175"/>
      <c r="BE110" s="233">
        <f>+BE238</f>
        <v>0.21588910505836581</v>
      </c>
      <c r="BF110" s="234">
        <f>+BF238</f>
        <v>0.20131501472031413</v>
      </c>
      <c r="BG110" s="234">
        <f>+BG238</f>
        <v>0.20672796934865897</v>
      </c>
      <c r="BH110" s="234">
        <f>+BH109</f>
        <v>0.22330810081008096</v>
      </c>
      <c r="BI110" s="222">
        <f>+BI109</f>
        <v>0.205947953355545</v>
      </c>
      <c r="BJ110" s="175"/>
      <c r="BK110" s="233">
        <f>+BK109</f>
        <v>0.21389971883786316</v>
      </c>
      <c r="BL110" s="234">
        <f>+BL109</f>
        <v>0.22338112522686021</v>
      </c>
      <c r="BM110" s="234">
        <f>+BM109</f>
        <v>0.2165315080789946</v>
      </c>
      <c r="BN110" s="234">
        <f>+BN109</f>
        <v>0.23517325483599663</v>
      </c>
      <c r="BO110" s="222">
        <f>+BO109</f>
        <v>0.22254787567084078</v>
      </c>
      <c r="BP110" s="175"/>
      <c r="BQ110" s="233">
        <f>+BQ109</f>
        <v>0.2260384805945499</v>
      </c>
      <c r="BR110" s="234">
        <f>+BR109</f>
        <v>0.23864932597069263</v>
      </c>
      <c r="BS110" s="234">
        <f>+BS109</f>
        <v>0.23227462119627809</v>
      </c>
      <c r="BT110" s="234">
        <f>+BT109</f>
        <v>0.24978464546395204</v>
      </c>
      <c r="BU110" s="222">
        <f>+BU109</f>
        <v>0.23695586600406743</v>
      </c>
      <c r="BV110" s="175"/>
      <c r="BW110" s="233">
        <f>+BW109</f>
        <v>0.23008107597450159</v>
      </c>
      <c r="BX110" s="234">
        <f>+BX109</f>
        <v>0.24410864882203287</v>
      </c>
      <c r="BY110" s="234">
        <f>+BY109</f>
        <v>0.23727640259432453</v>
      </c>
      <c r="BZ110" s="234">
        <f>+BZ109</f>
        <v>0.25509009158196533</v>
      </c>
      <c r="CA110" s="222">
        <f>+CA109</f>
        <v>0.24194143069498858</v>
      </c>
      <c r="CB110" s="234"/>
      <c r="CC110" s="233">
        <f>+CC109</f>
        <v>0.23583008608023742</v>
      </c>
      <c r="CD110" s="234">
        <f>+CD109</f>
        <v>0.25161584881403176</v>
      </c>
      <c r="CE110" s="234">
        <f>+CE109</f>
        <v>0.24383464907458632</v>
      </c>
      <c r="CF110" s="234">
        <f>+CF109</f>
        <v>0.26187167520677868</v>
      </c>
      <c r="CG110" s="222">
        <f>+CG109</f>
        <v>0.24861483273196505</v>
      </c>
      <c r="CH110" s="142"/>
      <c r="CI110" s="233">
        <f>+CI109</f>
        <v>0.24121776648045756</v>
      </c>
      <c r="CJ110" s="234">
        <f>+CJ109</f>
        <v>0.25880430437624186</v>
      </c>
      <c r="CK110" s="234">
        <f>+CK109</f>
        <v>0.24984928417212782</v>
      </c>
      <c r="CL110" s="234">
        <f>+CL109</f>
        <v>0.26820157114329762</v>
      </c>
      <c r="CM110" s="222">
        <f>+CM109</f>
        <v>0.25487048476295132</v>
      </c>
      <c r="CN110" s="142"/>
      <c r="CO110" s="142"/>
      <c r="CP110" s="142"/>
      <c r="CQ110"/>
      <c r="CR110"/>
      <c r="CS110"/>
      <c r="CT110"/>
      <c r="CU110"/>
      <c r="CV110"/>
      <c r="CW110" s="142"/>
    </row>
    <row r="111" spans="1:101" s="149" customFormat="1">
      <c r="A111" s="2289" t="s">
        <v>576</v>
      </c>
      <c r="B111" s="2350"/>
      <c r="C111" s="2351"/>
      <c r="D111" s="2352"/>
      <c r="E111" s="2352"/>
      <c r="F111" s="2352"/>
      <c r="G111" s="2353"/>
      <c r="H111" s="2350"/>
      <c r="I111" s="2351"/>
      <c r="J111" s="2352"/>
      <c r="K111" s="2352"/>
      <c r="L111" s="2352"/>
      <c r="M111" s="2353"/>
      <c r="N111" s="2350"/>
      <c r="O111" s="2351"/>
      <c r="P111" s="2352"/>
      <c r="Q111" s="2352"/>
      <c r="R111" s="2352"/>
      <c r="S111" s="2353"/>
      <c r="T111" s="2354"/>
      <c r="U111" s="2351"/>
      <c r="V111" s="2352"/>
      <c r="W111" s="2352"/>
      <c r="X111" s="2352"/>
      <c r="Y111" s="2353"/>
      <c r="Z111" s="2354"/>
      <c r="AA111" s="2351"/>
      <c r="AB111" s="2352"/>
      <c r="AC111" s="2352"/>
      <c r="AD111" s="2352"/>
      <c r="AE111" s="2353"/>
      <c r="AF111" s="2354"/>
      <c r="AG111" s="2351"/>
      <c r="AH111" s="2352"/>
      <c r="AI111" s="2352"/>
      <c r="AJ111" s="2352"/>
      <c r="AK111" s="2353"/>
      <c r="AL111" s="2354"/>
      <c r="AM111" s="2351"/>
      <c r="AN111" s="2352"/>
      <c r="AO111" s="2352"/>
      <c r="AP111" s="2352"/>
      <c r="AQ111" s="2353"/>
      <c r="AR111" s="2354"/>
      <c r="AS111" s="2351">
        <f>AS242</f>
        <v>0.57240827478532319</v>
      </c>
      <c r="AT111" s="2352">
        <f t="shared" ref="AT111:AW111" si="58">AT242</f>
        <v>-0.30304978354978246</v>
      </c>
      <c r="AU111" s="2352">
        <f t="shared" si="58"/>
        <v>0.5917043650793633</v>
      </c>
      <c r="AV111" s="2352">
        <f t="shared" si="58"/>
        <v>0.30682661782662296</v>
      </c>
      <c r="AW111" s="2355">
        <f t="shared" si="58"/>
        <v>0.40363445378151253</v>
      </c>
      <c r="AX111" s="2354"/>
      <c r="AY111" s="2351">
        <f>AY242</f>
        <v>0.22503636892639001</v>
      </c>
      <c r="AZ111" s="2352">
        <f t="shared" ref="AZ111:BC111" si="59">AZ242</f>
        <v>0.36212666145426115</v>
      </c>
      <c r="BA111" s="2352">
        <f t="shared" si="59"/>
        <v>0.39852403710992351</v>
      </c>
      <c r="BB111" s="2352">
        <f t="shared" si="59"/>
        <v>0.30537631072780208</v>
      </c>
      <c r="BC111" s="2355">
        <f t="shared" si="59"/>
        <v>0.32021902117879297</v>
      </c>
      <c r="BD111" s="2354"/>
      <c r="BE111" s="2351">
        <f>BE242</f>
        <v>0.69525790222195005</v>
      </c>
      <c r="BF111" s="2352">
        <f t="shared" ref="BF111:BI111" si="60">BF242</f>
        <v>0.91953857308743181</v>
      </c>
      <c r="BG111" s="2352">
        <f t="shared" si="60"/>
        <v>0.52499999999999925</v>
      </c>
      <c r="BH111" s="2352">
        <f t="shared" si="60"/>
        <v>0.48370378189275615</v>
      </c>
      <c r="BI111" s="2355">
        <f t="shared" si="60"/>
        <v>0.64061864511413202</v>
      </c>
      <c r="BJ111" s="2354"/>
      <c r="BK111" s="2351">
        <f>BK242</f>
        <v>0.48580731176980663</v>
      </c>
      <c r="BL111" s="2352">
        <f t="shared" ref="BL111:BO111" si="61">BL242</f>
        <v>0.56717534749778731</v>
      </c>
      <c r="BM111" s="2352">
        <f t="shared" si="61"/>
        <v>0.31072013302635054</v>
      </c>
      <c r="BN111" s="2352">
        <f t="shared" si="61"/>
        <v>0.29549769748494603</v>
      </c>
      <c r="BO111" s="2355">
        <f t="shared" si="61"/>
        <v>0.41041047682599052</v>
      </c>
      <c r="BP111" s="2354"/>
      <c r="BQ111" s="2351">
        <f>BQ242</f>
        <v>0.23042266996848218</v>
      </c>
      <c r="BR111" s="2352">
        <f t="shared" ref="BR111:BU111" si="62">BR242</f>
        <v>0.44168611659649998</v>
      </c>
      <c r="BS111" s="2352">
        <f t="shared" si="62"/>
        <v>0.47188591530508844</v>
      </c>
      <c r="BT111" s="2352">
        <f t="shared" si="62"/>
        <v>0.51287059511642707</v>
      </c>
      <c r="BU111" s="2355">
        <f t="shared" si="62"/>
        <v>0.424106042177822</v>
      </c>
      <c r="BV111" s="2354"/>
      <c r="BW111" s="2351">
        <f>BW242</f>
        <v>0.33911447029106739</v>
      </c>
      <c r="BX111" s="2352">
        <f t="shared" ref="BX111:CA111" si="63">BX242</f>
        <v>0.35437695332857744</v>
      </c>
      <c r="BY111" s="2352">
        <f t="shared" si="63"/>
        <v>0.32393392460286291</v>
      </c>
      <c r="BZ111" s="2352">
        <f t="shared" si="63"/>
        <v>0.34700684327031844</v>
      </c>
      <c r="CA111" s="2355">
        <f t="shared" si="63"/>
        <v>0.3398738798011291</v>
      </c>
      <c r="CB111" s="2352"/>
      <c r="CC111" s="2351">
        <f>CC242</f>
        <v>0.33355406837861989</v>
      </c>
      <c r="CD111" s="2352">
        <f t="shared" ref="CD111:CG111" si="64">CD242</f>
        <v>0.37306792270157374</v>
      </c>
      <c r="CE111" s="2352">
        <f t="shared" si="64"/>
        <v>0.33753135601529899</v>
      </c>
      <c r="CF111" s="2352">
        <f t="shared" si="64"/>
        <v>0.36403331077609402</v>
      </c>
      <c r="CG111" s="2355">
        <f t="shared" si="64"/>
        <v>0.35212284859217763</v>
      </c>
      <c r="CH111" s="142"/>
      <c r="CI111" s="2351">
        <f>CI242</f>
        <v>0.32976389614042395</v>
      </c>
      <c r="CJ111" s="2352">
        <f t="shared" ref="CJ111:CM111" si="65">CJ242</f>
        <v>0.37090980657389011</v>
      </c>
      <c r="CK111" s="2352">
        <f t="shared" si="65"/>
        <v>0.33146684871286802</v>
      </c>
      <c r="CL111" s="2352">
        <f t="shared" si="65"/>
        <v>0.35932413148692582</v>
      </c>
      <c r="CM111" s="2355">
        <f t="shared" si="65"/>
        <v>0.34779564581549821</v>
      </c>
      <c r="CN111" s="142"/>
      <c r="CO111" s="142"/>
      <c r="CP111" s="142"/>
      <c r="CQ111"/>
      <c r="CR111"/>
      <c r="CS111"/>
      <c r="CT111"/>
      <c r="CU111"/>
      <c r="CV111"/>
      <c r="CW111" s="142"/>
    </row>
    <row r="112" spans="1:101" s="149" customFormat="1">
      <c r="A112" s="143" t="s">
        <v>73</v>
      </c>
      <c r="B112" s="150"/>
      <c r="C112" s="233">
        <f>C16/C10</f>
        <v>0.21758241758241759</v>
      </c>
      <c r="D112" s="234">
        <f>D16/D10</f>
        <v>0.1822429906542056</v>
      </c>
      <c r="E112" s="234">
        <f>E16/E10</f>
        <v>0.21535181236673773</v>
      </c>
      <c r="F112" s="234">
        <f>F16/F10</f>
        <v>0.23854961832061072</v>
      </c>
      <c r="G112" s="222">
        <f>G16/G10</f>
        <v>0.24348495617152333</v>
      </c>
      <c r="H112" s="150"/>
      <c r="I112" s="233">
        <f>I16/I10</f>
        <v>0.19774011299435029</v>
      </c>
      <c r="J112" s="234">
        <f>J16/J10</f>
        <v>0.19433962264150945</v>
      </c>
      <c r="K112" s="234">
        <f>K16/K10</f>
        <v>0.22222222222222221</v>
      </c>
      <c r="L112" s="234">
        <f>L16/L10</f>
        <v>0.25925925925925924</v>
      </c>
      <c r="M112" s="222">
        <f>M16/M10</f>
        <v>0.24241964059731713</v>
      </c>
      <c r="N112" s="150"/>
      <c r="O112" s="233">
        <f>O16/O10</f>
        <v>0.23592952380952381</v>
      </c>
      <c r="P112" s="234">
        <f>P16/P10</f>
        <v>0.21651606425702821</v>
      </c>
      <c r="Q112" s="234">
        <f>Q16/Q10</f>
        <v>0.22024798387096783</v>
      </c>
      <c r="R112" s="234">
        <f>R16/R10</f>
        <v>0.22928676470588241</v>
      </c>
      <c r="S112" s="222">
        <f>S16/S10</f>
        <v>0.24995782840523509</v>
      </c>
      <c r="T112" s="175"/>
      <c r="U112" s="233">
        <f>U16/U10</f>
        <v>0.26310958904109588</v>
      </c>
      <c r="V112" s="234">
        <f>V16/V10</f>
        <v>0.21346328671328671</v>
      </c>
      <c r="W112" s="234">
        <f>W16/W10</f>
        <v>0.20739971550497868</v>
      </c>
      <c r="X112" s="234">
        <f>X16/X10</f>
        <v>0.20994756097560979</v>
      </c>
      <c r="Y112" s="222">
        <f>Y16/Y10</f>
        <v>0.22161851437103411</v>
      </c>
      <c r="Z112" s="175"/>
      <c r="AA112" s="233">
        <f>AA16/AA10</f>
        <v>0.20098140770252315</v>
      </c>
      <c r="AB112" s="234">
        <f>AB16/AB10</f>
        <v>0.18959408284023668</v>
      </c>
      <c r="AC112" s="234">
        <f>AC16/AC10</f>
        <v>0.19121411483253592</v>
      </c>
      <c r="AD112" s="234">
        <f>AD16/AD10</f>
        <v>0.21358789954337906</v>
      </c>
      <c r="AE112" s="222">
        <f>AE16/AE10</f>
        <v>0.19894380664652564</v>
      </c>
      <c r="AF112" s="175"/>
      <c r="AG112" s="233">
        <f>AG16/AG10</f>
        <v>0.21907817969661611</v>
      </c>
      <c r="AH112" s="234">
        <f>AH16/AH10</f>
        <v>0.18057176196032673</v>
      </c>
      <c r="AI112" s="234">
        <f>AI16/AI10</f>
        <v>0.21953302961275625</v>
      </c>
      <c r="AJ112" s="234">
        <f>AJ16/AJ10</f>
        <v>0.23422712933753942</v>
      </c>
      <c r="AK112" s="222">
        <f>AK16/AK10</f>
        <v>0.2139429861699125</v>
      </c>
      <c r="AL112" s="175"/>
      <c r="AM112" s="233">
        <f>AM16/AM10</f>
        <v>0.21346555323590827</v>
      </c>
      <c r="AN112" s="234">
        <f>AN16/AN10</f>
        <v>0.21656378600823045</v>
      </c>
      <c r="AO112" s="234">
        <f>AO16/AO10</f>
        <v>0.21819137749737122</v>
      </c>
      <c r="AP112" s="234">
        <f>AP16/AP10</f>
        <v>0.25222112537018754</v>
      </c>
      <c r="AQ112" s="222">
        <f>AQ16/AQ10</f>
        <v>0.22547508988186959</v>
      </c>
      <c r="AR112" s="175"/>
      <c r="AS112" s="233">
        <f>AS16/AS10</f>
        <v>0.27380952380952384</v>
      </c>
      <c r="AT112" s="234">
        <f>AT16/AT10</f>
        <v>0.22918605870445347</v>
      </c>
      <c r="AU112" s="234">
        <f>AU16/AU10</f>
        <v>0.23206563726461843</v>
      </c>
      <c r="AV112" s="234">
        <f>AV16/AV10</f>
        <v>0.23913057594362064</v>
      </c>
      <c r="AW112" s="222">
        <f>AW16/AW10</f>
        <v>0.24357787665741018</v>
      </c>
      <c r="AX112" s="175"/>
      <c r="AY112" s="233">
        <f>AY16/AY10</f>
        <v>0.21780604288499031</v>
      </c>
      <c r="AZ112" s="234">
        <f>AZ16/AZ10</f>
        <v>0.21297923156801665</v>
      </c>
      <c r="BA112" s="234">
        <f>BA16/BA10</f>
        <v>0.23032445759368833</v>
      </c>
      <c r="BB112" s="234">
        <f>BB16/BB10</f>
        <v>0.24929275362318842</v>
      </c>
      <c r="BC112" s="222">
        <f>BC16/BC10</f>
        <v>0.22786899455175835</v>
      </c>
      <c r="BD112" s="175"/>
      <c r="BE112" s="233">
        <f>BE16/BE10</f>
        <v>0.24546108949416348</v>
      </c>
      <c r="BF112" s="234">
        <f>BF16/BF10</f>
        <v>0.23153287536800798</v>
      </c>
      <c r="BG112" s="234">
        <f>BG16/BG10</f>
        <v>0.23546360153256701</v>
      </c>
      <c r="BH112" s="234">
        <f>BH16/BH10</f>
        <v>0.25391116111611156</v>
      </c>
      <c r="BI112" s="222">
        <f>BI16/BI10</f>
        <v>0.24183372203712519</v>
      </c>
      <c r="BJ112" s="175"/>
      <c r="BK112" s="233">
        <f>BK16/BK10</f>
        <v>0.25045079662605435</v>
      </c>
      <c r="BL112" s="234">
        <f>BL16/BL10</f>
        <v>0.25332667876588016</v>
      </c>
      <c r="BM112" s="234">
        <f>BM16/BM10</f>
        <v>0.24525682226211848</v>
      </c>
      <c r="BN112" s="234">
        <f>BN16/BN10</f>
        <v>0.26040454163162319</v>
      </c>
      <c r="BO112" s="222">
        <f>BO16/BO10</f>
        <v>0.25251209749552772</v>
      </c>
      <c r="BP112" s="175"/>
      <c r="BQ112" s="233">
        <f>BQ16/BQ10</f>
        <v>0.26897819983484716</v>
      </c>
      <c r="BR112" s="234">
        <f>BR16/BR10</f>
        <v>0.26857411401707071</v>
      </c>
      <c r="BS112" s="234">
        <f>BS16/BS10</f>
        <v>0.2622668348428161</v>
      </c>
      <c r="BT112" s="234">
        <f>BT16/BT10</f>
        <v>0.27967288802972023</v>
      </c>
      <c r="BU112" s="222">
        <f>BU16/BU10</f>
        <v>0.27002239856003296</v>
      </c>
      <c r="BV112" s="175"/>
      <c r="BW112" s="233">
        <f>BW16/BW10</f>
        <v>0.27841272976005244</v>
      </c>
      <c r="BX112" s="234">
        <f>BX16/BX10</f>
        <v>0.27846224335625758</v>
      </c>
      <c r="BY112" s="234">
        <f>BY16/BY10</f>
        <v>0.27173411312817047</v>
      </c>
      <c r="BZ112" s="234">
        <f>BZ16/BZ10</f>
        <v>0.28932088640854459</v>
      </c>
      <c r="CA112" s="222">
        <f>CA16/CA10</f>
        <v>0.27963553775540945</v>
      </c>
      <c r="CB112" s="234"/>
      <c r="CC112" s="233">
        <f>CC16/CC10</f>
        <v>0.2840141709164804</v>
      </c>
      <c r="CD112" s="234">
        <f>CD16/CD10</f>
        <v>0.28589960938249048</v>
      </c>
      <c r="CE112" s="234">
        <f>CE16/CE10</f>
        <v>0.27824194499092614</v>
      </c>
      <c r="CF112" s="234">
        <f>CF16/CF10</f>
        <v>0.29604387558998946</v>
      </c>
      <c r="CG112" s="222">
        <f>CG16/CG10</f>
        <v>0.28621116737437796</v>
      </c>
      <c r="CH112" s="142"/>
      <c r="CI112" s="233">
        <f>CI16/CI10</f>
        <v>0.28926512908634788</v>
      </c>
      <c r="CJ112" s="234">
        <f>CJ16/CJ10</f>
        <v>0.29302193698318035</v>
      </c>
      <c r="CK112" s="234">
        <f>CK16/CK10</f>
        <v>0.2842133881824685</v>
      </c>
      <c r="CL112" s="234">
        <f>CL16/CL10</f>
        <v>0.3023210250858277</v>
      </c>
      <c r="CM112" s="222">
        <f>CM16/CM10</f>
        <v>0.29237386450516317</v>
      </c>
      <c r="CN112" s="142"/>
      <c r="CO112" s="142"/>
      <c r="CP112" s="142"/>
      <c r="CQ112"/>
      <c r="CR112"/>
      <c r="CS112"/>
      <c r="CT112"/>
      <c r="CU112"/>
      <c r="CV112"/>
      <c r="CW112" s="142"/>
    </row>
    <row r="113" spans="1:119" s="149" customFormat="1" ht="11.25" customHeight="1">
      <c r="A113" s="143" t="s">
        <v>122</v>
      </c>
      <c r="B113" s="16"/>
      <c r="C113" s="233">
        <f>C18/C15</f>
        <v>3.4210526315789476E-2</v>
      </c>
      <c r="D113" s="234">
        <f>D18/D15</f>
        <v>3.4759358288770054E-2</v>
      </c>
      <c r="E113" s="234">
        <f>E18/E15</f>
        <v>3.3163265306122451E-2</v>
      </c>
      <c r="F113" s="234">
        <f>F18/F15</f>
        <v>3.0732860520094562E-2</v>
      </c>
      <c r="G113" s="222">
        <f>G18/G15</f>
        <v>3.3142128744423197E-2</v>
      </c>
      <c r="H113" s="16"/>
      <c r="I113" s="233">
        <f>I18/I15</f>
        <v>1.7454954954954954E-2</v>
      </c>
      <c r="J113" s="234">
        <f>J18/J15</f>
        <v>1.7415730337078651E-2</v>
      </c>
      <c r="K113" s="234">
        <f>K18/K15</f>
        <v>1.7694063926940638E-2</v>
      </c>
      <c r="L113" s="234">
        <f>L18/L15</f>
        <v>1.6921397379912665E-2</v>
      </c>
      <c r="M113" s="222">
        <f>M18/M15</f>
        <v>1.7366946778711485E-2</v>
      </c>
      <c r="N113" s="16"/>
      <c r="O113" s="233">
        <f>O18/O15</f>
        <v>2.8342863621225969E-2</v>
      </c>
      <c r="P113" s="234">
        <f>P18/P15</f>
        <v>2.1982047994138124E-2</v>
      </c>
      <c r="Q113" s="234">
        <f>Q18/Q15</f>
        <v>1.9752745014283705E-2</v>
      </c>
      <c r="R113" s="234">
        <f>R18/R15</f>
        <v>1.3776698092845761E-2</v>
      </c>
      <c r="S113" s="222">
        <f>S18/S15</f>
        <v>2.0916288828849178E-2</v>
      </c>
      <c r="T113" s="236"/>
      <c r="U113" s="233">
        <f>U18/U15</f>
        <v>3.5765069015745304E-2</v>
      </c>
      <c r="V113" s="234">
        <f>V18/V15</f>
        <v>9.5969494496682649E-3</v>
      </c>
      <c r="W113" s="234">
        <f>W18/W15</f>
        <v>7.8098153759645125E-3</v>
      </c>
      <c r="X113" s="234">
        <f>X18/X15</f>
        <v>9.718274692267095E-3</v>
      </c>
      <c r="Y113" s="222">
        <f>Y18/Y15</f>
        <v>1.4710722829754646E-2</v>
      </c>
      <c r="Z113" s="236"/>
      <c r="AA113" s="233">
        <f>AA18/AA15</f>
        <v>2.9726469543667398E-2</v>
      </c>
      <c r="AB113" s="234">
        <f>AB18/AB15</f>
        <v>9.8412327971735981E-3</v>
      </c>
      <c r="AC113" s="234">
        <f>AC18/AC15</f>
        <v>7.1567104895905644E-3</v>
      </c>
      <c r="AD113" s="234">
        <f>AD18/AD15</f>
        <v>7.0185584723124897E-3</v>
      </c>
      <c r="AE113" s="222">
        <f>AE18/AE15</f>
        <v>1.3036412147618536E-2</v>
      </c>
      <c r="AF113" s="236"/>
      <c r="AG113" s="233">
        <f>AG18/AG15</f>
        <v>2.5248933143669987E-2</v>
      </c>
      <c r="AH113" s="234">
        <f>AH18/AH15</f>
        <v>9.3103448275862061E-3</v>
      </c>
      <c r="AI113" s="234">
        <f>AI18/AI15</f>
        <v>9.3103448275862061E-3</v>
      </c>
      <c r="AJ113" s="234">
        <f>AJ18/AJ15</f>
        <v>7.5957727873183622E-3</v>
      </c>
      <c r="AK113" s="222">
        <f>AK18/AK15</f>
        <v>1.2714776632302405E-2</v>
      </c>
      <c r="AL113" s="236"/>
      <c r="AM113" s="233">
        <f>AM18/AM15</f>
        <v>2.0125786163522015E-2</v>
      </c>
      <c r="AN113" s="234">
        <f>AH113+0.2%</f>
        <v>1.1310344827586206E-2</v>
      </c>
      <c r="AO113" s="234">
        <f>AI113+0.2%</f>
        <v>1.1310344827586206E-2</v>
      </c>
      <c r="AP113" s="234">
        <f>AJ113+0.2%</f>
        <v>9.5957727873183622E-3</v>
      </c>
      <c r="AQ113" s="222">
        <f>AQ18/AQ15</f>
        <v>1.4547754585705249E-2</v>
      </c>
      <c r="AR113" s="236"/>
      <c r="AS113" s="233">
        <f>AM113+0.2%</f>
        <v>2.2125786163522017E-2</v>
      </c>
      <c r="AT113" s="1581">
        <v>1.4E-2</v>
      </c>
      <c r="AU113" s="234">
        <f>AT113</f>
        <v>1.4E-2</v>
      </c>
      <c r="AV113" s="234">
        <f>AU113</f>
        <v>1.4E-2</v>
      </c>
      <c r="AW113" s="222">
        <f>AW18/AW15</f>
        <v>2.1485471974380756E-2</v>
      </c>
      <c r="AX113" s="236"/>
      <c r="AY113" s="233">
        <f>AY18/AY15</f>
        <v>2.5896641794119345E-2</v>
      </c>
      <c r="AZ113" s="234">
        <f>AZ18/AZ15</f>
        <v>1.3855631873495563E-2</v>
      </c>
      <c r="BA113" s="234">
        <f>BA18/BA15</f>
        <v>1.2278209493266015E-2</v>
      </c>
      <c r="BB113" s="234">
        <f>BB18/BB15</f>
        <v>1.2315543940629226E-2</v>
      </c>
      <c r="BC113" s="222">
        <f>BC18/BC15</f>
        <v>1.6208620233557045E-2</v>
      </c>
      <c r="BD113" s="236"/>
      <c r="BE113" s="233">
        <f t="shared" ref="BE113:BN113" si="66">BE18/BE15</f>
        <v>2.9173443414459821E-2</v>
      </c>
      <c r="BF113" s="234">
        <f t="shared" si="66"/>
        <v>1.3958682300390844E-2</v>
      </c>
      <c r="BG113" s="234">
        <f t="shared" si="66"/>
        <v>1.3218357655111418E-2</v>
      </c>
      <c r="BH113" s="234">
        <f t="shared" si="66"/>
        <v>1.2732885930589334E-2</v>
      </c>
      <c r="BI113" s="222">
        <f t="shared" si="66"/>
        <v>1.7202143464859324E-2</v>
      </c>
      <c r="BJ113" s="236"/>
      <c r="BK113" s="233">
        <f t="shared" si="66"/>
        <v>2.3703169943432384E-2</v>
      </c>
      <c r="BL113" s="234">
        <f t="shared" si="66"/>
        <v>1.7424962303998214E-2</v>
      </c>
      <c r="BM113" s="234">
        <f t="shared" si="66"/>
        <v>1.4810023287052769E-2</v>
      </c>
      <c r="BN113" s="234">
        <f t="shared" si="66"/>
        <v>1.3109324116021889E-2</v>
      </c>
      <c r="BO113" s="222">
        <f>BO18/BO15</f>
        <v>1.7153806662704326E-2</v>
      </c>
      <c r="BP113" s="236"/>
      <c r="BQ113" s="233">
        <f t="shared" ref="BQ113" si="67">BQ18/BQ15</f>
        <v>3.2899365933704169E-2</v>
      </c>
      <c r="BR113" s="2486">
        <v>1.4999999999999999E-2</v>
      </c>
      <c r="BS113" s="234">
        <f>BR113</f>
        <v>1.4999999999999999E-2</v>
      </c>
      <c r="BT113" s="234">
        <f>BS113</f>
        <v>1.4999999999999999E-2</v>
      </c>
      <c r="BU113" s="222">
        <f>BU18/BU15</f>
        <v>1.9378399741287671E-2</v>
      </c>
      <c r="BV113" s="236"/>
      <c r="BW113" s="233">
        <f>BQ113</f>
        <v>3.2899365933704169E-2</v>
      </c>
      <c r="BX113" s="234">
        <f>BR113</f>
        <v>1.4999999999999999E-2</v>
      </c>
      <c r="BY113" s="234">
        <f>BX113</f>
        <v>1.4999999999999999E-2</v>
      </c>
      <c r="BZ113" s="234">
        <f>BY113</f>
        <v>1.4999999999999999E-2</v>
      </c>
      <c r="CA113" s="222">
        <f>CA18/CA15</f>
        <v>1.9353041139153867E-2</v>
      </c>
      <c r="CB113" s="234"/>
      <c r="CC113" s="233">
        <f>BW113</f>
        <v>3.2899365933704169E-2</v>
      </c>
      <c r="CD113" s="234">
        <f>BX113</f>
        <v>1.4999999999999999E-2</v>
      </c>
      <c r="CE113" s="234">
        <f>CD113</f>
        <v>1.4999999999999999E-2</v>
      </c>
      <c r="CF113" s="234">
        <f>CE113</f>
        <v>1.4999999999999999E-2</v>
      </c>
      <c r="CG113" s="222">
        <f>CG18/CG15</f>
        <v>1.9336360134991473E-2</v>
      </c>
      <c r="CH113" s="237"/>
      <c r="CI113" s="233">
        <f>CC113</f>
        <v>3.2899365933704169E-2</v>
      </c>
      <c r="CJ113" s="234">
        <f>CD113</f>
        <v>1.4999999999999999E-2</v>
      </c>
      <c r="CK113" s="234">
        <f>CJ113</f>
        <v>1.4999999999999999E-2</v>
      </c>
      <c r="CL113" s="234">
        <f>CK113</f>
        <v>1.4999999999999999E-2</v>
      </c>
      <c r="CM113" s="222">
        <f>CM18/CM15</f>
        <v>1.9316312666662006E-2</v>
      </c>
      <c r="CN113" s="237"/>
      <c r="CO113" s="237"/>
      <c r="CP113" s="237"/>
      <c r="CQ113"/>
      <c r="CR113"/>
      <c r="CS113"/>
      <c r="CT113"/>
      <c r="CU113"/>
      <c r="CV113"/>
      <c r="CW113" s="237"/>
    </row>
    <row r="114" spans="1:119" s="149" customFormat="1" outlineLevel="1">
      <c r="A114" s="143" t="s">
        <v>123</v>
      </c>
      <c r="B114" s="16"/>
      <c r="C114" s="233">
        <f>BS!C143</f>
        <v>6.133333333333333E-2</v>
      </c>
      <c r="D114" s="234">
        <f>BS!D143</f>
        <v>5.8666666666666666E-2</v>
      </c>
      <c r="E114" s="234">
        <f>BS!E143</f>
        <v>6.133333333333333E-2</v>
      </c>
      <c r="F114" s="234">
        <f>BS!F143</f>
        <v>4.408241494968855E-2</v>
      </c>
      <c r="G114" s="222">
        <f>BS!G143</f>
        <v>4.3603258265452804E-2</v>
      </c>
      <c r="H114" s="16"/>
      <c r="I114" s="233">
        <f>BS!I143</f>
        <v>5.6444026340545628E-2</v>
      </c>
      <c r="J114" s="234">
        <f>BS!J143</f>
        <v>4.8862679022746422E-2</v>
      </c>
      <c r="K114" s="234">
        <f>BS!K143</f>
        <v>5.3563714902807778E-2</v>
      </c>
      <c r="L114" s="234">
        <f>BS!L143</f>
        <v>6.2117647058823527E-2</v>
      </c>
      <c r="M114" s="222">
        <f>BS!M143</f>
        <v>5.7882352941176468E-2</v>
      </c>
      <c r="N114" s="16"/>
      <c r="O114" s="233">
        <f>BS!O143</f>
        <v>4.1742286751361164E-2</v>
      </c>
      <c r="P114" s="234">
        <f>BS!P143</f>
        <v>4.2711234911792018E-2</v>
      </c>
      <c r="Q114" s="234">
        <f>BS!Q143</f>
        <v>3.9015327450069671E-2</v>
      </c>
      <c r="R114" s="234">
        <f>BS!R143</f>
        <v>2.891566265060241E-2</v>
      </c>
      <c r="S114" s="222">
        <f>BS!S143</f>
        <v>3.0292598967297763E-2</v>
      </c>
      <c r="T114" s="236"/>
      <c r="U114" s="233">
        <f>BS!U143</f>
        <v>3.1604259704568878E-2</v>
      </c>
      <c r="V114" s="234">
        <f>BS!V143</f>
        <v>3.04077401520387E-2</v>
      </c>
      <c r="W114" s="234">
        <f>BS!W143</f>
        <v>2.6101141924959218E-2</v>
      </c>
      <c r="X114" s="234">
        <f>BS!X143</f>
        <v>2.9260363045245191E-2</v>
      </c>
      <c r="Y114" s="222">
        <f>BS!Y143</f>
        <v>2.6009211595773504E-2</v>
      </c>
      <c r="Z114" s="236"/>
      <c r="AA114" s="233">
        <f>BS!AA143</f>
        <v>4.3010752688172046E-2</v>
      </c>
      <c r="AB114" s="234">
        <f>BS!AB143</f>
        <v>3.7313432835820892E-2</v>
      </c>
      <c r="AC114" s="234">
        <f>BS!AC143</f>
        <v>3.6900369003690037E-2</v>
      </c>
      <c r="AD114" s="234">
        <f>BS!AD143</f>
        <v>4.2105263157894736E-2</v>
      </c>
      <c r="AE114" s="222">
        <f>BS!AE143</f>
        <v>3.9833256137100509E-2</v>
      </c>
      <c r="AF114" s="236"/>
      <c r="AG114" s="233">
        <f>BS!AG143</f>
        <v>5.3186611646033929E-2</v>
      </c>
      <c r="AH114" s="234">
        <f>BS!AH143</f>
        <v>4.5934772622875514E-2</v>
      </c>
      <c r="AI114" s="234">
        <f>BS!AI143</f>
        <v>3.7940379403794036E-2</v>
      </c>
      <c r="AJ114" s="234">
        <f>BS!AJ143</f>
        <v>4.4030482641828961E-2</v>
      </c>
      <c r="AK114" s="222">
        <f>BS!AK143</f>
        <v>4.2760372565622352E-2</v>
      </c>
      <c r="AL114" s="236"/>
      <c r="AM114" s="233">
        <f>BS!AM143</f>
        <v>4.2354934349851756E-2</v>
      </c>
      <c r="AN114" s="234">
        <f>BS!AN143</f>
        <v>4.2444821731748725E-2</v>
      </c>
      <c r="AO114" s="234">
        <f>BS!AO143</f>
        <v>3.9985190670122177E-2</v>
      </c>
      <c r="AP114" s="234">
        <f>BS!AP143</f>
        <v>4.4460911448684699E-2</v>
      </c>
      <c r="AQ114" s="222">
        <f>BS!AQ143</f>
        <v>3.9644312708410526E-2</v>
      </c>
      <c r="AR114" s="236"/>
      <c r="AS114" s="233">
        <f>BS!AS143</f>
        <v>4.3042671614100185E-2</v>
      </c>
      <c r="AT114" s="234">
        <f>BS!AT143</f>
        <v>4.4559970293353138E-2</v>
      </c>
      <c r="AU114" s="234">
        <f>BS!AU143</f>
        <v>5.0541516245487361E-2</v>
      </c>
      <c r="AV114" s="234">
        <f>BS!AV143</f>
        <v>4.5494313210848646E-2</v>
      </c>
      <c r="AW114" s="222">
        <f>BS!AW143</f>
        <v>4.9431321084864394E-2</v>
      </c>
      <c r="AX114" s="236"/>
      <c r="AY114" s="233">
        <f>BS!AY143</f>
        <v>3.8600723763570564E-2</v>
      </c>
      <c r="AZ114" s="234">
        <f>BS!AZ143</f>
        <v>4.1062801932367152E-2</v>
      </c>
      <c r="BA114" s="234">
        <f>BS!BA143</f>
        <v>4.1087613293051363E-2</v>
      </c>
      <c r="BB114" s="234">
        <f>BS!BB143</f>
        <v>3.8670694864048338E-2</v>
      </c>
      <c r="BC114" s="222">
        <f>BS!BC143</f>
        <v>3.9879154078549847E-2</v>
      </c>
      <c r="BD114" s="236"/>
      <c r="BE114" s="233">
        <f>BS!BE143</f>
        <v>4.15464512406232E-2</v>
      </c>
      <c r="BF114" s="234">
        <f>BS!CP143</f>
        <v>0</v>
      </c>
      <c r="BG114" s="234">
        <f>BS!CQ143</f>
        <v>0</v>
      </c>
      <c r="BH114" s="234">
        <f>BS!CR143</f>
        <v>0</v>
      </c>
      <c r="BI114" s="222">
        <f>BS!CS143</f>
        <v>0</v>
      </c>
      <c r="BJ114" s="236"/>
      <c r="BK114" s="233">
        <f>BS!CU143</f>
        <v>0</v>
      </c>
      <c r="BL114" s="234">
        <f>BS!CV143</f>
        <v>0</v>
      </c>
      <c r="BM114" s="234">
        <f>BS!CW143</f>
        <v>0</v>
      </c>
      <c r="BN114" s="234">
        <f>BS!CX143</f>
        <v>0</v>
      </c>
      <c r="BO114" s="222">
        <f>BS!CY143</f>
        <v>0</v>
      </c>
      <c r="BP114" s="236"/>
      <c r="BQ114" s="233">
        <f>BS!DA143</f>
        <v>0</v>
      </c>
      <c r="BR114" s="234">
        <f>BS!DB143</f>
        <v>0</v>
      </c>
      <c r="BS114" s="234">
        <f>BS!DC143</f>
        <v>0</v>
      </c>
      <c r="BT114" s="234">
        <f>BS!DD143</f>
        <v>0</v>
      </c>
      <c r="BU114" s="222">
        <f>BS!DE143</f>
        <v>0</v>
      </c>
      <c r="BV114" s="236"/>
      <c r="BW114" s="233">
        <f>BS!DG143</f>
        <v>0</v>
      </c>
      <c r="BX114" s="234">
        <f>BS!DH143</f>
        <v>0</v>
      </c>
      <c r="BY114" s="234">
        <f>BS!DI143</f>
        <v>0</v>
      </c>
      <c r="BZ114" s="234">
        <f>BS!DJ143</f>
        <v>0</v>
      </c>
      <c r="CA114" s="222">
        <f>BS!DK143</f>
        <v>0</v>
      </c>
      <c r="CB114" s="234"/>
      <c r="CC114" s="233">
        <f>BS!DM143</f>
        <v>0</v>
      </c>
      <c r="CD114" s="234">
        <f>BS!DN143</f>
        <v>0</v>
      </c>
      <c r="CE114" s="234">
        <f>BS!DO143</f>
        <v>0</v>
      </c>
      <c r="CF114" s="234">
        <f>BS!DP143</f>
        <v>0</v>
      </c>
      <c r="CG114" s="222">
        <f>BS!DQ143</f>
        <v>0</v>
      </c>
      <c r="CH114" s="237"/>
      <c r="CI114" s="233">
        <f>BS!DS143</f>
        <v>0</v>
      </c>
      <c r="CJ114" s="234">
        <f>BS!DT143</f>
        <v>0</v>
      </c>
      <c r="CK114" s="234">
        <f>BS!DU143</f>
        <v>0</v>
      </c>
      <c r="CL114" s="234">
        <f>BS!DV143</f>
        <v>0</v>
      </c>
      <c r="CM114" s="222">
        <f>BS!DW143</f>
        <v>0</v>
      </c>
      <c r="CN114" s="237"/>
      <c r="CO114" s="237"/>
      <c r="CP114" s="237"/>
      <c r="CQ114"/>
      <c r="CR114"/>
      <c r="CS114"/>
      <c r="CT114"/>
      <c r="CU114"/>
      <c r="CV114"/>
      <c r="CW114" s="237"/>
    </row>
    <row r="115" spans="1:119" s="149" customFormat="1" outlineLevel="1">
      <c r="A115" s="143" t="s">
        <v>124</v>
      </c>
      <c r="B115" s="16"/>
      <c r="C115" s="233">
        <f>BS!C138</f>
        <v>8.8417329796640146E-2</v>
      </c>
      <c r="D115" s="234">
        <f>BS!D138</f>
        <v>7.7807250221043331E-2</v>
      </c>
      <c r="E115" s="234">
        <f>BS!E138</f>
        <v>7.4270557029177717E-2</v>
      </c>
      <c r="F115" s="234">
        <f>BS!F138</f>
        <v>6.3660477453580902E-2</v>
      </c>
      <c r="G115" s="222">
        <f>BS!G138</f>
        <v>7.6038903625110524E-2</v>
      </c>
      <c r="H115" s="16"/>
      <c r="I115" s="233">
        <f>BS!I138</f>
        <v>6.2726176115802168E-2</v>
      </c>
      <c r="J115" s="234">
        <f>BS!J138</f>
        <v>3.3436532507739938E-2</v>
      </c>
      <c r="K115" s="234">
        <f>BS!K138</f>
        <v>2.8087314913753627E-2</v>
      </c>
      <c r="L115" s="234">
        <f>BS!L138</f>
        <v>4.1131105398457581E-2</v>
      </c>
      <c r="M115" s="222">
        <f>BS!M138</f>
        <v>6.943164362519201E-2</v>
      </c>
      <c r="N115" s="16"/>
      <c r="O115" s="233">
        <f>BS!O138</f>
        <v>3.9871840512637952E-2</v>
      </c>
      <c r="P115" s="234">
        <f>BS!P138</f>
        <v>1.7191977077363897E-2</v>
      </c>
      <c r="Q115" s="234">
        <f>BS!Q138</f>
        <v>1.3740982480247337E-2</v>
      </c>
      <c r="R115" s="234">
        <f>BS!R138</f>
        <v>8.0160320641282558E-3</v>
      </c>
      <c r="S115" s="222">
        <f>BS!S138</f>
        <v>1.4788373278939317E-2</v>
      </c>
      <c r="T115" s="236"/>
      <c r="U115" s="233">
        <f>BS!U138</f>
        <v>3.6702859764489982E-3</v>
      </c>
      <c r="V115" s="234">
        <f>BS!V138</f>
        <v>2.9073288915808602E-3</v>
      </c>
      <c r="W115" s="234">
        <f>BS!W138</f>
        <v>2.9714002723783585E-3</v>
      </c>
      <c r="X115" s="234">
        <f>BS!X138</f>
        <v>1.0908640138837238E-2</v>
      </c>
      <c r="Y115" s="222">
        <f>BS!Y138</f>
        <v>5.9772863120143458E-3</v>
      </c>
      <c r="Z115" s="236"/>
      <c r="AA115" s="233">
        <f>BS!AA138</f>
        <v>4.6688065363291505E-3</v>
      </c>
      <c r="AB115" s="234">
        <f>BS!AB138</f>
        <v>4.2628774422735346E-3</v>
      </c>
      <c r="AC115" s="234">
        <f>BS!AC138</f>
        <v>3.9499670836076368E-3</v>
      </c>
      <c r="AD115" s="234">
        <f>BS!AD138</f>
        <v>4.8280024140012071E-3</v>
      </c>
      <c r="AE115" s="222">
        <f>BS!AE138</f>
        <v>3.6241263266891016E-3</v>
      </c>
      <c r="AF115" s="236"/>
      <c r="AG115" s="233">
        <f>BS!AG138</f>
        <v>1.1128112393935178E-3</v>
      </c>
      <c r="AH115" s="234">
        <f>BS!AH138</f>
        <v>2.1169621593014024E-3</v>
      </c>
      <c r="AI115" s="234">
        <f>BS!AI138</f>
        <v>2.7496133356246779E-3</v>
      </c>
      <c r="AJ115" s="234">
        <f>BS!AJ138</f>
        <v>3.7435657463734209E-3</v>
      </c>
      <c r="AK115" s="222">
        <f>BS!AK138</f>
        <v>2.3817625042531474E-3</v>
      </c>
      <c r="AL115" s="236"/>
      <c r="AM115" s="233">
        <f>BS!AM138</f>
        <v>3.3326390335346803E-3</v>
      </c>
      <c r="AN115" s="234">
        <f>BS!AN138</f>
        <v>1.6099818877037633E-3</v>
      </c>
      <c r="AO115" s="234">
        <f>BS!AO138</f>
        <v>3.2996494122499486E-3</v>
      </c>
      <c r="AP115" s="234">
        <f>BS!AP138</f>
        <v>3.1968031968031968E-3</v>
      </c>
      <c r="AQ115" s="222">
        <f>BS!AQ138</f>
        <v>2.7855153203342618E-3</v>
      </c>
      <c r="AR115" s="236"/>
      <c r="AS115" s="233">
        <f>BS!AS138</f>
        <v>2.9536643898836995E-3</v>
      </c>
      <c r="AT115" s="234">
        <f>BS!AT138</f>
        <v>2.8109627547434997E-3</v>
      </c>
      <c r="AU115" s="234">
        <f>BS!AU138</f>
        <v>4.4935405354802468E-3</v>
      </c>
      <c r="AV115" s="234">
        <f>BS!AV138</f>
        <v>3.4714688652636148E-3</v>
      </c>
      <c r="AW115" s="222">
        <f>BS!AW138</f>
        <v>3.678724708767627E-3</v>
      </c>
      <c r="AX115" s="236"/>
      <c r="AY115" s="233">
        <f>BS!AY138</f>
        <v>3.6900369003690036E-3</v>
      </c>
      <c r="AZ115" s="234">
        <f>BS!AZ138</f>
        <v>3.7079953650057938E-3</v>
      </c>
      <c r="BA115" s="234">
        <f>BS!BA138</f>
        <v>3.7453183520599251E-3</v>
      </c>
      <c r="BB115" s="234">
        <f>BS!BB138</f>
        <v>1.8518518518518519E-3</v>
      </c>
      <c r="BC115" s="222">
        <f>BS!BC138</f>
        <v>3.136903428187318E-3</v>
      </c>
      <c r="BD115" s="236"/>
      <c r="BE115" s="233">
        <f>BS!BE138</f>
        <v>3.8314176245210726E-3</v>
      </c>
      <c r="BF115" s="234">
        <f>BS!CP138</f>
        <v>0</v>
      </c>
      <c r="BG115" s="234">
        <f>BS!CQ138</f>
        <v>0</v>
      </c>
      <c r="BH115" s="234">
        <f>BS!CR138</f>
        <v>0</v>
      </c>
      <c r="BI115" s="222">
        <f>BS!CS138</f>
        <v>0</v>
      </c>
      <c r="BJ115" s="236"/>
      <c r="BK115" s="233">
        <f>BS!CU138</f>
        <v>0</v>
      </c>
      <c r="BL115" s="234">
        <f>BS!CV138</f>
        <v>0</v>
      </c>
      <c r="BM115" s="234">
        <f>BS!CW138</f>
        <v>0</v>
      </c>
      <c r="BN115" s="234">
        <f>BS!CX138</f>
        <v>0</v>
      </c>
      <c r="BO115" s="222">
        <f>BS!CY138</f>
        <v>0</v>
      </c>
      <c r="BP115" s="236"/>
      <c r="BQ115" s="233">
        <f>BS!DA138</f>
        <v>0</v>
      </c>
      <c r="BR115" s="234">
        <f>BS!DB138</f>
        <v>0</v>
      </c>
      <c r="BS115" s="234">
        <f>BS!DC138</f>
        <v>0</v>
      </c>
      <c r="BT115" s="234">
        <f>BS!DD138</f>
        <v>0</v>
      </c>
      <c r="BU115" s="222">
        <f>BS!DE138</f>
        <v>0</v>
      </c>
      <c r="BV115" s="236"/>
      <c r="BW115" s="233">
        <f>BS!DG138</f>
        <v>0</v>
      </c>
      <c r="BX115" s="234">
        <f>BS!DH138</f>
        <v>0</v>
      </c>
      <c r="BY115" s="234">
        <f>BS!DI138</f>
        <v>0</v>
      </c>
      <c r="BZ115" s="234">
        <f>BS!DJ138</f>
        <v>0</v>
      </c>
      <c r="CA115" s="222">
        <f>BS!DK138</f>
        <v>0</v>
      </c>
      <c r="CB115" s="234"/>
      <c r="CC115" s="233">
        <f>BS!DM138</f>
        <v>0</v>
      </c>
      <c r="CD115" s="234">
        <f>BS!DN138</f>
        <v>0</v>
      </c>
      <c r="CE115" s="234">
        <f>BS!DO138</f>
        <v>0</v>
      </c>
      <c r="CF115" s="234">
        <f>BS!DP138</f>
        <v>0</v>
      </c>
      <c r="CG115" s="222">
        <f>BS!DQ138</f>
        <v>0</v>
      </c>
      <c r="CH115" s="237"/>
      <c r="CI115" s="233">
        <f>BS!DS138</f>
        <v>0</v>
      </c>
      <c r="CJ115" s="234">
        <f>BS!DT138</f>
        <v>0</v>
      </c>
      <c r="CK115" s="234">
        <f>BS!DU138</f>
        <v>0</v>
      </c>
      <c r="CL115" s="234">
        <f>BS!DV138</f>
        <v>0</v>
      </c>
      <c r="CM115" s="222">
        <f>BS!DW138</f>
        <v>0</v>
      </c>
      <c r="CN115" s="237"/>
      <c r="CO115" s="237"/>
      <c r="CP115" s="237"/>
      <c r="CQ115"/>
      <c r="CR115"/>
      <c r="CS115"/>
      <c r="CT115"/>
      <c r="CU115"/>
      <c r="CV115"/>
      <c r="CW115" s="237"/>
    </row>
    <row r="116" spans="1:119" s="149" customFormat="1">
      <c r="A116" s="143" t="s">
        <v>125</v>
      </c>
      <c r="B116" s="16"/>
      <c r="C116" s="1582">
        <v>0.2</v>
      </c>
      <c r="D116" s="1581">
        <v>0.2</v>
      </c>
      <c r="E116" s="1581">
        <v>0.2</v>
      </c>
      <c r="F116" s="1581">
        <v>0.2</v>
      </c>
      <c r="G116" s="222">
        <f>IF(G25/G24&gt;0, G25/G24,0)</f>
        <v>0.2</v>
      </c>
      <c r="H116" s="16"/>
      <c r="I116" s="1582">
        <v>0.2</v>
      </c>
      <c r="J116" s="1581">
        <v>0.2</v>
      </c>
      <c r="K116" s="1581">
        <v>0.2</v>
      </c>
      <c r="L116" s="1581">
        <v>0.2</v>
      </c>
      <c r="M116" s="222">
        <f>IF(M25/M24&gt;0, M25/M24,0)</f>
        <v>0.19999999999999998</v>
      </c>
      <c r="N116" s="16"/>
      <c r="O116" s="1582">
        <v>0.2</v>
      </c>
      <c r="P116" s="1581">
        <v>0.2</v>
      </c>
      <c r="Q116" s="1581">
        <v>0.2</v>
      </c>
      <c r="R116" s="1581">
        <v>0.2</v>
      </c>
      <c r="S116" s="222">
        <f>IF(S25/S24&gt;0, S25/S24,0)</f>
        <v>0.20000000000000007</v>
      </c>
      <c r="T116" s="236"/>
      <c r="U116" s="1582">
        <v>0.2</v>
      </c>
      <c r="V116" s="1581">
        <v>0.2</v>
      </c>
      <c r="W116" s="1581">
        <v>0.2</v>
      </c>
      <c r="X116" s="1581">
        <v>0.2</v>
      </c>
      <c r="Y116" s="222">
        <f>IF(Y25/Y24&gt;0, Y25/Y24,0)</f>
        <v>0.19999999999999987</v>
      </c>
      <c r="Z116" s="236"/>
      <c r="AA116" s="1582">
        <v>0.2</v>
      </c>
      <c r="AB116" s="1581">
        <v>0.2</v>
      </c>
      <c r="AC116" s="1581">
        <v>0.2</v>
      </c>
      <c r="AD116" s="1581">
        <v>0.2</v>
      </c>
      <c r="AE116" s="222">
        <f>IF(AE25/AE24&gt;0, AE25/AE24,0)</f>
        <v>0.20000000000000004</v>
      </c>
      <c r="AF116" s="234"/>
      <c r="AG116" s="1582">
        <v>0.2</v>
      </c>
      <c r="AH116" s="1581">
        <v>0.2</v>
      </c>
      <c r="AI116" s="1581">
        <v>0.2</v>
      </c>
      <c r="AJ116" s="1581">
        <v>0.2</v>
      </c>
      <c r="AK116" s="222">
        <f>IF(AK25/AK24&gt;0, AK25/AK24,0)</f>
        <v>0.2</v>
      </c>
      <c r="AL116" s="234"/>
      <c r="AM116" s="1582">
        <v>0.2</v>
      </c>
      <c r="AN116" s="1581">
        <v>0.2</v>
      </c>
      <c r="AO116" s="1581">
        <v>0.2</v>
      </c>
      <c r="AP116" s="1581">
        <v>0.2</v>
      </c>
      <c r="AQ116" s="222">
        <f>IF(AQ25/AQ24&gt;0, AQ25/AQ24,0)</f>
        <v>0.19999999999999998</v>
      </c>
      <c r="AR116" s="236"/>
      <c r="AS116" s="1582">
        <v>0.16</v>
      </c>
      <c r="AT116" s="1581">
        <v>0.16</v>
      </c>
      <c r="AU116" s="1581">
        <v>0.16</v>
      </c>
      <c r="AV116" s="1581">
        <v>0.16</v>
      </c>
      <c r="AW116" s="222">
        <f>AW25/AW24</f>
        <v>0.16</v>
      </c>
      <c r="AX116" s="236"/>
      <c r="AY116" s="238">
        <f>+AY25/AY24</f>
        <v>0.20060870412508808</v>
      </c>
      <c r="AZ116" s="234">
        <f>+AZ25/AZ24</f>
        <v>0.19863562157431139</v>
      </c>
      <c r="BA116" s="234">
        <f>+BA25/BA24</f>
        <v>0.2004887590829536</v>
      </c>
      <c r="BB116" s="234">
        <f>+BB25/BB24</f>
        <v>0.19998285861211892</v>
      </c>
      <c r="BC116" s="222">
        <f>BC25/BC24</f>
        <v>0.19996302053729786</v>
      </c>
      <c r="BD116" s="236"/>
      <c r="BE116" s="238">
        <f>+BE25/BE24</f>
        <v>0.19860557977149898</v>
      </c>
      <c r="BF116" s="234">
        <f>+BF25/BF24</f>
        <v>0.19874130506790316</v>
      </c>
      <c r="BG116" s="234">
        <f>+BG25/BG24</f>
        <v>0.2001761550164145</v>
      </c>
      <c r="BH116" s="234">
        <f>+BH25/BH24</f>
        <v>0.16803442379057226</v>
      </c>
      <c r="BI116" s="222">
        <f>BI25/BI24</f>
        <v>0.19020546292466631</v>
      </c>
      <c r="BJ116" s="236"/>
      <c r="BK116" s="238">
        <f>+BK25/BK24</f>
        <v>0.18847387987617267</v>
      </c>
      <c r="BL116" s="234">
        <f>+BL25/BL24</f>
        <v>0.19033940977479391</v>
      </c>
      <c r="BM116" s="234">
        <f>+BM25/BM24</f>
        <v>0.16212703661135214</v>
      </c>
      <c r="BN116" s="234">
        <f>+BN25/BN24</f>
        <v>0.18003083027968542</v>
      </c>
      <c r="BO116" s="222">
        <f>BO25/BO24</f>
        <v>0.18012562110032029</v>
      </c>
      <c r="BP116" s="236"/>
      <c r="BQ116" s="238">
        <f>+BQ25/BQ24</f>
        <v>0.18269525745948548</v>
      </c>
      <c r="BR116" s="234">
        <f>BQ116</f>
        <v>0.18269525745948548</v>
      </c>
      <c r="BS116" s="234">
        <f>BR116</f>
        <v>0.18269525745948548</v>
      </c>
      <c r="BT116" s="234">
        <f>BS116</f>
        <v>0.18269525745948548</v>
      </c>
      <c r="BU116" s="222">
        <f>BU25/BU24</f>
        <v>0.18269525745948545</v>
      </c>
      <c r="BV116" s="236"/>
      <c r="BW116" s="1582">
        <v>0.18</v>
      </c>
      <c r="BX116" s="234">
        <f>BW116</f>
        <v>0.18</v>
      </c>
      <c r="BY116" s="234">
        <f>BX116</f>
        <v>0.18</v>
      </c>
      <c r="BZ116" s="234">
        <f>BY116</f>
        <v>0.18</v>
      </c>
      <c r="CA116" s="222">
        <f>CA25/CA24</f>
        <v>0.18</v>
      </c>
      <c r="CB116" s="234"/>
      <c r="CC116" s="1582">
        <v>0.18</v>
      </c>
      <c r="CD116" s="234">
        <f>CC116</f>
        <v>0.18</v>
      </c>
      <c r="CE116" s="234">
        <f>CD116</f>
        <v>0.18</v>
      </c>
      <c r="CF116" s="234">
        <f>CE116</f>
        <v>0.18</v>
      </c>
      <c r="CG116" s="222">
        <f>CG25/CG24</f>
        <v>0.18</v>
      </c>
      <c r="CH116" s="237"/>
      <c r="CI116" s="1582">
        <v>0.18</v>
      </c>
      <c r="CJ116" s="234">
        <f>CI116</f>
        <v>0.18</v>
      </c>
      <c r="CK116" s="234">
        <f>CJ116</f>
        <v>0.18</v>
      </c>
      <c r="CL116" s="234">
        <f>CK116</f>
        <v>0.18</v>
      </c>
      <c r="CM116" s="222">
        <f>CM25/CM24</f>
        <v>0.18</v>
      </c>
      <c r="CN116" s="237"/>
      <c r="CO116" s="237"/>
      <c r="CP116" s="237"/>
      <c r="CQ116"/>
      <c r="CR116"/>
      <c r="CS116"/>
      <c r="CT116"/>
      <c r="CU116"/>
      <c r="CV116"/>
      <c r="CW116" s="237"/>
    </row>
    <row r="117" spans="1:119" s="149" customFormat="1">
      <c r="A117" s="143" t="s">
        <v>560</v>
      </c>
      <c r="B117" s="4"/>
      <c r="C117" s="238">
        <f>C30/C10</f>
        <v>0.16189255189255189</v>
      </c>
      <c r="D117" s="219">
        <f>D30/D10</f>
        <v>0.13472222222222222</v>
      </c>
      <c r="E117" s="219">
        <f>E30/E10</f>
        <v>0.14853115375503434</v>
      </c>
      <c r="F117" s="219">
        <f>F30/F10</f>
        <v>0.15431509754028835</v>
      </c>
      <c r="G117" s="146">
        <f>G30/G10</f>
        <v>0.15023691068467188</v>
      </c>
      <c r="H117" s="4"/>
      <c r="I117" s="238">
        <f>I30/I10</f>
        <v>0.13231062983887845</v>
      </c>
      <c r="J117" s="219">
        <f>J30/J10</f>
        <v>0.11293763102725367</v>
      </c>
      <c r="K117" s="219">
        <f>K30/K10</f>
        <v>0.14343878600823046</v>
      </c>
      <c r="L117" s="219">
        <f>L30/L10</f>
        <v>0.17888374485596709</v>
      </c>
      <c r="M117" s="146">
        <f>M30/M10</f>
        <v>0.14297393065046823</v>
      </c>
      <c r="N117" s="4"/>
      <c r="O117" s="238">
        <f>O30/O10</f>
        <v>0.1314102857142857</v>
      </c>
      <c r="P117" s="219">
        <f>P30/P10</f>
        <v>0.10895582329317276</v>
      </c>
      <c r="Q117" s="219">
        <f>Q30/Q10</f>
        <v>0.10714596774193558</v>
      </c>
      <c r="R117" s="219">
        <f>R30/R10</f>
        <v>0.13168308823529415</v>
      </c>
      <c r="S117" s="146">
        <f>S30/S10</f>
        <v>0.12022801745031507</v>
      </c>
      <c r="T117" s="155"/>
      <c r="U117" s="238">
        <f>U30/U10</f>
        <v>0.14156643835616439</v>
      </c>
      <c r="V117" s="219">
        <f>V30/V10</f>
        <v>0.12313076923076924</v>
      </c>
      <c r="W117" s="219">
        <f>W30/W10</f>
        <v>9.5862873399715526E-2</v>
      </c>
      <c r="X117" s="219">
        <f>X30/X10</f>
        <v>9.7470243902439066E-2</v>
      </c>
      <c r="Y117" s="146">
        <f>Y30/Y10</f>
        <v>0.11213990294886161</v>
      </c>
      <c r="Z117" s="155"/>
      <c r="AA117" s="238">
        <f>AA30/AA10</f>
        <v>6.6761221779548408E-2</v>
      </c>
      <c r="AB117" s="219">
        <f>AB30/AB10</f>
        <v>8.445633136094674E-2</v>
      </c>
      <c r="AC117" s="219">
        <f>AC30/AC10</f>
        <v>9.1547846889952184E-2</v>
      </c>
      <c r="AD117" s="219">
        <f>AD30/AD10</f>
        <v>0.10865570776255715</v>
      </c>
      <c r="AE117" s="146">
        <f>AE30/AE10</f>
        <v>8.8626344410876107E-2</v>
      </c>
      <c r="AF117" s="155"/>
      <c r="AG117" s="238">
        <f>AG30/AG10</f>
        <v>0.11105600933488914</v>
      </c>
      <c r="AH117" s="219">
        <f>AH30/AH10</f>
        <v>9.2502917152858813E-2</v>
      </c>
      <c r="AI117" s="219">
        <f>AI30/AI10</f>
        <v>2.8445330296127572E-2</v>
      </c>
      <c r="AJ117" s="219">
        <f>AJ30/AJ10</f>
        <v>5.2760252365930578E-2</v>
      </c>
      <c r="AK117" s="146">
        <f>AK30/AK10</f>
        <v>7.0448772226926318E-2</v>
      </c>
      <c r="AL117" s="155"/>
      <c r="AM117" s="238">
        <f>AM30/AM10</f>
        <v>7.5352296450939549E-2</v>
      </c>
      <c r="AN117" s="219">
        <f>AN30/AN10</f>
        <v>5.5079732510288061E-2</v>
      </c>
      <c r="AO117" s="219">
        <f>AO30/AO10</f>
        <v>8.5528391167192436E-2</v>
      </c>
      <c r="AP117" s="219">
        <f>AP30/AP10</f>
        <v>0.10931638696939781</v>
      </c>
      <c r="AQ117" s="146">
        <f>AQ30/AQ10</f>
        <v>8.1612737544940958E-2</v>
      </c>
      <c r="AR117" s="155"/>
      <c r="AS117" s="238">
        <f>AS30/AS10</f>
        <v>0.1928968253968254</v>
      </c>
      <c r="AT117" s="219">
        <f>AT30/AT10</f>
        <v>4.0719068825910962E-2</v>
      </c>
      <c r="AU117" s="219">
        <f>AU30/AU10</f>
        <v>6.3772368681863228E-2</v>
      </c>
      <c r="AV117" s="219">
        <f>AV30/AV10</f>
        <v>-2.5198427612655689E-2</v>
      </c>
      <c r="AW117" s="146">
        <f>AW30/AW10</f>
        <v>6.7375197628458547E-2</v>
      </c>
      <c r="AX117" s="155"/>
      <c r="AY117" s="238">
        <f>AY30/AY10</f>
        <v>7.0632553606237866E-2</v>
      </c>
      <c r="AZ117" s="219">
        <f>AZ30/AZ10</f>
        <v>0.18286500519210805</v>
      </c>
      <c r="BA117" s="219">
        <f>BA30/BA10</f>
        <v>0.10409171597633134</v>
      </c>
      <c r="BB117" s="219">
        <f>BB30/BB10</f>
        <v>0.13528309178743964</v>
      </c>
      <c r="BC117" s="146">
        <f>BC30/BC10</f>
        <v>0.12237122337790989</v>
      </c>
      <c r="BD117" s="155"/>
      <c r="BE117" s="238">
        <f>BE30/BE10</f>
        <v>0.11997470817120628</v>
      </c>
      <c r="BF117" s="219">
        <f>BF30/BF10</f>
        <v>8.9440628066732183E-2</v>
      </c>
      <c r="BG117" s="219">
        <f>BG30/BG10</f>
        <v>0.11860536398467429</v>
      </c>
      <c r="BH117" s="219">
        <f>BH30/BH10</f>
        <v>0.11169693969396935</v>
      </c>
      <c r="BI117" s="146">
        <f>BI30/BI10</f>
        <v>0.11004124226558783</v>
      </c>
      <c r="BJ117" s="155"/>
      <c r="BK117" s="238">
        <f>BK30/BK10</f>
        <v>0.15954170571696344</v>
      </c>
      <c r="BL117" s="219">
        <f>BL30/BL10</f>
        <v>0.14897096188747727</v>
      </c>
      <c r="BM117" s="219">
        <f>BM30/BM10</f>
        <v>0.15728554757630159</v>
      </c>
      <c r="BN117" s="219">
        <f>BN30/BN10</f>
        <v>0.14938687973086626</v>
      </c>
      <c r="BO117" s="146">
        <f>BO30/BO10</f>
        <v>0.15367488819320213</v>
      </c>
      <c r="BP117" s="155"/>
      <c r="BQ117" s="238">
        <f>BQ30/BQ10</f>
        <v>-0.26529099917423621</v>
      </c>
      <c r="BR117" s="219">
        <f>BR30/BR10</f>
        <v>0.1722443881355723</v>
      </c>
      <c r="BS117" s="219">
        <f>BS30/BS10</f>
        <v>0.16763042476564111</v>
      </c>
      <c r="BT117" s="219">
        <f>BT30/BT10</f>
        <v>0.18042825566290349</v>
      </c>
      <c r="BU117" s="146">
        <f>BU30/BU10</f>
        <v>6.786881152883481E-2</v>
      </c>
      <c r="BV117" s="155"/>
      <c r="BW117" s="238">
        <f>BW30/BW10</f>
        <v>0.17431773621975069</v>
      </c>
      <c r="BX117" s="219">
        <f>BX30/BX10</f>
        <v>0.18280041115823453</v>
      </c>
      <c r="BY117" s="219">
        <f>BY30/BY10</f>
        <v>0.1779639295731909</v>
      </c>
      <c r="BZ117" s="219">
        <f>BZ30/BZ10</f>
        <v>0.19120283003835875</v>
      </c>
      <c r="CA117" s="146">
        <f>CA30/CA10</f>
        <v>0.18177839070648372</v>
      </c>
      <c r="CB117" s="219"/>
      <c r="CC117" s="238">
        <f>CC30/CC10</f>
        <v>0.18609757142818734</v>
      </c>
      <c r="CD117" s="219">
        <f>CD30/CD10</f>
        <v>0.24143036866153855</v>
      </c>
      <c r="CE117" s="219">
        <f>CE30/CE10</f>
        <v>0.23811327605563892</v>
      </c>
      <c r="CF117" s="219">
        <f>CF30/CF10</f>
        <v>0.25198283421595025</v>
      </c>
      <c r="CG117" s="146">
        <f>CG30/CG10</f>
        <v>0.23020432350807041</v>
      </c>
      <c r="CI117" s="238">
        <f>CI30/CI10</f>
        <v>0.24834317827554461</v>
      </c>
      <c r="CJ117" s="219">
        <f>CJ30/CJ10</f>
        <v>0.20380605172480667</v>
      </c>
      <c r="CK117" s="219">
        <f>CK30/CK10</f>
        <v>0.19723120132805391</v>
      </c>
      <c r="CL117" s="219">
        <f>CL30/CL10</f>
        <v>0.21083576049177463</v>
      </c>
      <c r="CM117" s="146">
        <f>CM30/CM10</f>
        <v>0.21455604090702413</v>
      </c>
      <c r="CQ117"/>
      <c r="CR117"/>
      <c r="CS117"/>
      <c r="CT117"/>
      <c r="CU117"/>
      <c r="CV117"/>
    </row>
    <row r="118" spans="1:119" s="149" customFormat="1">
      <c r="A118" s="143" t="s">
        <v>559</v>
      </c>
      <c r="B118" s="4"/>
      <c r="C118" s="238">
        <f>C26/C10</f>
        <v>0.18109890109890112</v>
      </c>
      <c r="D118" s="219">
        <f>D26/D10</f>
        <v>0.15514018691588785</v>
      </c>
      <c r="E118" s="219">
        <f>E26/E10</f>
        <v>0.16716417910447762</v>
      </c>
      <c r="F118" s="219">
        <f>F26/F10</f>
        <v>0.17099236641221374</v>
      </c>
      <c r="G118" s="146">
        <f>G26/G10</f>
        <v>0.16886993603411515</v>
      </c>
      <c r="H118" s="4"/>
      <c r="I118" s="238">
        <f>I26/I10</f>
        <v>0.14764595103578154</v>
      </c>
      <c r="J118" s="219">
        <f>J26/J10</f>
        <v>0.12830188679245283</v>
      </c>
      <c r="K118" s="219">
        <f>K26/K10</f>
        <v>0.1585185185185185</v>
      </c>
      <c r="L118" s="219">
        <f>L26/L10</f>
        <v>0.19259259259259259</v>
      </c>
      <c r="M118" s="146">
        <f>M26/M10</f>
        <v>0.1578132118451025</v>
      </c>
      <c r="N118" s="4"/>
      <c r="O118" s="238">
        <f>O26/O10</f>
        <v>0.14874361904761904</v>
      </c>
      <c r="P118" s="219">
        <f>P26/P10</f>
        <v>0.12461847389558241</v>
      </c>
      <c r="Q118" s="219">
        <f>Q26/Q10</f>
        <v>0.12418225806451622</v>
      </c>
      <c r="R118" s="219">
        <f>R26/R10</f>
        <v>0.14482647058823533</v>
      </c>
      <c r="S118" s="146">
        <f>S26/S10</f>
        <v>0.13598177411536597</v>
      </c>
      <c r="T118" s="155"/>
      <c r="U118" s="238">
        <f>U26/U10</f>
        <v>0.1515835616438356</v>
      </c>
      <c r="V118" s="219">
        <f>V26/V10</f>
        <v>0.12881258741258741</v>
      </c>
      <c r="W118" s="219">
        <f>W26/W10</f>
        <v>0.12267652916073972</v>
      </c>
      <c r="X118" s="219">
        <f>X26/X10</f>
        <v>0.12600682926829274</v>
      </c>
      <c r="Y118" s="146">
        <f>Y26/Y10</f>
        <v>0.13130750279955219</v>
      </c>
      <c r="Z118" s="155"/>
      <c r="AA118" s="238">
        <f>AA26/AA10</f>
        <v>0.10819548472775559</v>
      </c>
      <c r="AB118" s="219">
        <f>AB26/AB10</f>
        <v>0.11522556213017751</v>
      </c>
      <c r="AC118" s="219">
        <f>AC26/AC10</f>
        <v>0.1218708133971292</v>
      </c>
      <c r="AD118" s="219">
        <f>AD26/AD10</f>
        <v>0.13388401826484025</v>
      </c>
      <c r="AE118" s="146">
        <f>AE26/AE10</f>
        <v>0.12024265861027186</v>
      </c>
      <c r="AF118" s="155"/>
      <c r="AG118" s="238">
        <f>AG26/AG10</f>
        <v>0.12508751458576431</v>
      </c>
      <c r="AH118" s="219">
        <f>AH26/AH10</f>
        <v>0.11108518086347725</v>
      </c>
      <c r="AI118" s="219">
        <f>AI26/AI10</f>
        <v>0.12209567198177677</v>
      </c>
      <c r="AJ118" s="219">
        <f>AJ26/AJ10</f>
        <v>0.14468980021030495</v>
      </c>
      <c r="AK118" s="146">
        <f>AK26/AK10</f>
        <v>0.12622071690657635</v>
      </c>
      <c r="AL118" s="155"/>
      <c r="AM118" s="238">
        <f>AM26/AM10</f>
        <v>0.11691022964509404</v>
      </c>
      <c r="AN118" s="219">
        <f>AN26/AN10</f>
        <v>0.13415637860082305</v>
      </c>
      <c r="AO118" s="219">
        <f>AO26/AO10</f>
        <v>0.12534174553101998</v>
      </c>
      <c r="AP118" s="219">
        <f>AP26/AP10</f>
        <v>0.14925962487660413</v>
      </c>
      <c r="AQ118" s="146">
        <f>AQ26/AQ10</f>
        <v>0.13168977914740629</v>
      </c>
      <c r="AR118" s="155"/>
      <c r="AS118" s="238">
        <f>AS26/AS10</f>
        <v>0.13833333333333334</v>
      </c>
      <c r="AT118" s="219">
        <f>AT26/AT10</f>
        <v>0.12067858299595145</v>
      </c>
      <c r="AU118" s="219">
        <f>AU26/AU10</f>
        <v>0.13711230921704656</v>
      </c>
      <c r="AV118" s="219">
        <f>AV26/AV10</f>
        <v>0.15409208053691287</v>
      </c>
      <c r="AW118" s="146">
        <f>AW26/AW10</f>
        <v>0.13778033596837949</v>
      </c>
      <c r="AX118" s="155"/>
      <c r="AY118" s="238">
        <f>AY26/AY10</f>
        <v>0.13593469785575055</v>
      </c>
      <c r="AZ118" s="219">
        <f>AZ26/AZ10</f>
        <v>0.13405919003115269</v>
      </c>
      <c r="BA118" s="219">
        <f>BA26/BA10</f>
        <v>0.14551183431952661</v>
      </c>
      <c r="BB118" s="219">
        <f>BB26/BB10</f>
        <v>0.16233623188405799</v>
      </c>
      <c r="BC118" s="146">
        <f>BC26/BC10</f>
        <v>0.14465948489351166</v>
      </c>
      <c r="BD118" s="155"/>
      <c r="BE118" s="238">
        <f>BE26/BE10</f>
        <v>0.1491575875486382</v>
      </c>
      <c r="BF118" s="219">
        <f>BF26/BF10</f>
        <v>0.14243375858684995</v>
      </c>
      <c r="BG118" s="219">
        <f>BG26/BG10</f>
        <v>0.15308812260536395</v>
      </c>
      <c r="BH118" s="219">
        <f>BH26/BH10</f>
        <v>0.17380315031503146</v>
      </c>
      <c r="BI118" s="146">
        <f>BI26/BI10</f>
        <v>0.15501982389338412</v>
      </c>
      <c r="BJ118" s="155"/>
      <c r="BK118" s="238">
        <f>BK26/BK10</f>
        <v>0.16141611996251171</v>
      </c>
      <c r="BL118" s="219">
        <f>BL26/BL10</f>
        <v>0.16984210526315785</v>
      </c>
      <c r="BM118" s="219">
        <f>BM26/BM10</f>
        <v>0.17164820466786354</v>
      </c>
      <c r="BN118" s="219">
        <f>BN26/BN10</f>
        <v>0.18386963835155593</v>
      </c>
      <c r="BO118" s="146">
        <f>BO26/BO10</f>
        <v>0.17201120304114487</v>
      </c>
      <c r="BP118" s="155"/>
      <c r="BQ118" s="238">
        <f>BQ26/BQ10</f>
        <v>0.17731841453344338</v>
      </c>
      <c r="BR118" s="219">
        <f>BR26/BR10</f>
        <v>0.19025151328738787</v>
      </c>
      <c r="BS118" s="219">
        <f>BS26/BS10</f>
        <v>0.18510396442841823</v>
      </c>
      <c r="BT118" s="219">
        <f>BT26/BT10</f>
        <v>0.19984786558600937</v>
      </c>
      <c r="BU118" s="146">
        <f>BU26/BU10</f>
        <v>0.18838027227510748</v>
      </c>
      <c r="BV118" s="155"/>
      <c r="BW118" s="238">
        <f>BW26/BW10</f>
        <v>0.18458951438840754</v>
      </c>
      <c r="BX118" s="219">
        <f>BX26/BX10</f>
        <v>0.1962789025985717</v>
      </c>
      <c r="BY118" s="219">
        <f>BY26/BY10</f>
        <v>0.19088818857326892</v>
      </c>
      <c r="BZ118" s="219">
        <f>BZ26/BZ10</f>
        <v>0.20594215672393817</v>
      </c>
      <c r="CA118" s="146">
        <f>CA26/CA10</f>
        <v>0.19468316527381216</v>
      </c>
      <c r="CB118" s="219"/>
      <c r="CC118" s="238">
        <f>CC26/CC10</f>
        <v>0.19426771467248155</v>
      </c>
      <c r="CD118" s="219">
        <f>CD26/CD10</f>
        <v>0.25261605512306468</v>
      </c>
      <c r="CE118" s="219">
        <f>CE26/CE10</f>
        <v>0.24874568883700088</v>
      </c>
      <c r="CF118" s="219">
        <f>CF26/CF10</f>
        <v>0.2643310946432626</v>
      </c>
      <c r="CG118" s="146">
        <f>CG26/CG10</f>
        <v>0.24084002149200825</v>
      </c>
      <c r="CI118" s="238">
        <f>CI26/CI10</f>
        <v>0.25642154348603713</v>
      </c>
      <c r="CJ118" s="219">
        <f>CJ26/CJ10</f>
        <v>0.21471360459397967</v>
      </c>
      <c r="CK118" s="219">
        <f>CK26/CK10</f>
        <v>0.20758479045103076</v>
      </c>
      <c r="CL118" s="219">
        <f>CL26/CL10</f>
        <v>0.22280870162396479</v>
      </c>
      <c r="CM118" s="146">
        <f>CM26/CM10</f>
        <v>0.22493591942712984</v>
      </c>
      <c r="CQ118"/>
      <c r="CR118"/>
      <c r="CS118"/>
      <c r="CT118"/>
      <c r="CU118"/>
      <c r="CV118"/>
    </row>
    <row r="119" spans="1:119" s="149" customFormat="1">
      <c r="A119" s="143" t="s">
        <v>558</v>
      </c>
      <c r="B119" s="150"/>
      <c r="C119" s="233">
        <f>C28/C10</f>
        <v>0.18109890109890112</v>
      </c>
      <c r="D119" s="234">
        <f>D28/D10</f>
        <v>0.15514018691588785</v>
      </c>
      <c r="E119" s="234">
        <f>E28/E10</f>
        <v>0.16716417910447762</v>
      </c>
      <c r="F119" s="234">
        <f>F28/F10</f>
        <v>0.17099236641221374</v>
      </c>
      <c r="G119" s="222">
        <f>G28/G10</f>
        <v>0.16886993603411515</v>
      </c>
      <c r="H119" s="150"/>
      <c r="I119" s="233">
        <f>I28/I10</f>
        <v>0.14764595103578154</v>
      </c>
      <c r="J119" s="234">
        <f>J28/J10</f>
        <v>0.12830188679245283</v>
      </c>
      <c r="K119" s="234">
        <f>K28/K10</f>
        <v>0.1585185185185185</v>
      </c>
      <c r="L119" s="234">
        <f>L28/L10</f>
        <v>0.19259259259259259</v>
      </c>
      <c r="M119" s="222">
        <f>M28/M10</f>
        <v>0.1578132118451025</v>
      </c>
      <c r="N119" s="150"/>
      <c r="O119" s="233">
        <f>O28/O10</f>
        <v>0.14874361904761904</v>
      </c>
      <c r="P119" s="234">
        <f>P28/P10</f>
        <v>0.12461847389558241</v>
      </c>
      <c r="Q119" s="234">
        <f>Q28/Q10</f>
        <v>0.12418225806451622</v>
      </c>
      <c r="R119" s="234">
        <f>R28/R10</f>
        <v>0.14482647058823533</v>
      </c>
      <c r="S119" s="222">
        <f>S28/S10</f>
        <v>0.13598177411536597</v>
      </c>
      <c r="T119" s="175"/>
      <c r="U119" s="233">
        <f>U28/U10</f>
        <v>0.1515835616438356</v>
      </c>
      <c r="V119" s="234">
        <f>V28/V10</f>
        <v>0.12881258741258741</v>
      </c>
      <c r="W119" s="234">
        <f>W28/W10</f>
        <v>0.12267652916073972</v>
      </c>
      <c r="X119" s="234">
        <f>X28/X10</f>
        <v>0.12600682926829274</v>
      </c>
      <c r="Y119" s="222">
        <f>Y28/Y10</f>
        <v>0.13130750279955219</v>
      </c>
      <c r="Z119" s="175"/>
      <c r="AA119" s="233">
        <f>AA28/AA10</f>
        <v>0.10819548472775559</v>
      </c>
      <c r="AB119" s="234">
        <f>AB28/AB10</f>
        <v>0.11522556213017751</v>
      </c>
      <c r="AC119" s="234">
        <f>AC28/AC10</f>
        <v>0.1218708133971292</v>
      </c>
      <c r="AD119" s="234">
        <f>AD28/AD10</f>
        <v>0.13388401826484025</v>
      </c>
      <c r="AE119" s="222">
        <f>AE28/AE10</f>
        <v>0.12024265861027186</v>
      </c>
      <c r="AF119" s="175"/>
      <c r="AG119" s="233">
        <f>AG28/AG10</f>
        <v>0.12508751458576431</v>
      </c>
      <c r="AH119" s="234">
        <f>AH28/AH10</f>
        <v>0.11108518086347725</v>
      </c>
      <c r="AI119" s="234">
        <f>AI28/AI10</f>
        <v>0.12209567198177677</v>
      </c>
      <c r="AJ119" s="234">
        <f>AJ28/AJ10</f>
        <v>0.14468980021030495</v>
      </c>
      <c r="AK119" s="222">
        <f>AK28/AK10</f>
        <v>0.12622071690657635</v>
      </c>
      <c r="AL119" s="175"/>
      <c r="AM119" s="233">
        <f>AM28/AM10</f>
        <v>0.11691022964509404</v>
      </c>
      <c r="AN119" s="234">
        <f>AN28/AN10</f>
        <v>0.13415637860082305</v>
      </c>
      <c r="AO119" s="234">
        <f>AO28/AO10</f>
        <v>0.12534174553101998</v>
      </c>
      <c r="AP119" s="234">
        <f>AP28/AP10</f>
        <v>0.14925962487660413</v>
      </c>
      <c r="AQ119" s="222">
        <f>AQ28/AQ10</f>
        <v>0.13168977914740629</v>
      </c>
      <c r="AR119" s="175"/>
      <c r="AS119" s="233">
        <f>AS28/AS10</f>
        <v>0.21174603174603174</v>
      </c>
      <c r="AT119" s="234">
        <f>AT28/AT10</f>
        <v>0.12067858299595145</v>
      </c>
      <c r="AU119" s="234">
        <f>AU28/AU10</f>
        <v>0.13711230921704656</v>
      </c>
      <c r="AV119" s="234">
        <f>AV28/AV10</f>
        <v>0.15409208053691287</v>
      </c>
      <c r="AW119" s="222">
        <f>AW28/AW10</f>
        <v>0.15606096837944669</v>
      </c>
      <c r="AX119" s="175"/>
      <c r="AY119" s="233">
        <f>AY28/AY10</f>
        <v>0.10669493177387919</v>
      </c>
      <c r="AZ119" s="234">
        <f>AZ28/AZ10</f>
        <v>0.22544029075804781</v>
      </c>
      <c r="BA119" s="234">
        <f>BA28/BA10</f>
        <v>0.14551183431952661</v>
      </c>
      <c r="BB119" s="234">
        <f>BB28/BB10</f>
        <v>0.16233623188405799</v>
      </c>
      <c r="BC119" s="222">
        <f>BC28/BC10</f>
        <v>0.15902303120356615</v>
      </c>
      <c r="BD119" s="175"/>
      <c r="BE119" s="233">
        <f>BE28/BE10</f>
        <v>0.1491575875486382</v>
      </c>
      <c r="BF119" s="234">
        <f>BF28/BF10</f>
        <v>0.14243375858684995</v>
      </c>
      <c r="BG119" s="234">
        <f>BG28/BG10</f>
        <v>0.15308812260536395</v>
      </c>
      <c r="BH119" s="234">
        <f>BH28/BH10</f>
        <v>0.17380315031503146</v>
      </c>
      <c r="BI119" s="222">
        <f>BI28/BI10</f>
        <v>0.15501982389338412</v>
      </c>
      <c r="BJ119" s="175"/>
      <c r="BK119" s="233">
        <f>BK28/BK10</f>
        <v>0.16141611996251171</v>
      </c>
      <c r="BL119" s="234">
        <f>BL28/BL10</f>
        <v>0.16984210526315785</v>
      </c>
      <c r="BM119" s="234">
        <f>BM28/BM10</f>
        <v>0.17164820466786354</v>
      </c>
      <c r="BN119" s="234">
        <f>BN28/BN10</f>
        <v>0.18386963835155593</v>
      </c>
      <c r="BO119" s="222">
        <f>BO28/BO10</f>
        <v>0.17201120304114487</v>
      </c>
      <c r="BP119" s="175"/>
      <c r="BQ119" s="233">
        <f>BQ28/BQ10</f>
        <v>0.17731841453344338</v>
      </c>
      <c r="BR119" s="234">
        <f>BR28/BR10</f>
        <v>0.19025151328738787</v>
      </c>
      <c r="BS119" s="234">
        <f>BS28/BS10</f>
        <v>0.18510396442841823</v>
      </c>
      <c r="BT119" s="234">
        <f>BT28/BT10</f>
        <v>0.19984786558600937</v>
      </c>
      <c r="BU119" s="222">
        <f>BU28/BU10</f>
        <v>0.18838027227510748</v>
      </c>
      <c r="BV119" s="175"/>
      <c r="BW119" s="233">
        <f>BW28/BW10</f>
        <v>0.18458951438840754</v>
      </c>
      <c r="BX119" s="234">
        <f>BX28/BX10</f>
        <v>0.1962789025985717</v>
      </c>
      <c r="BY119" s="234">
        <f>BY28/BY10</f>
        <v>0.19088818857326892</v>
      </c>
      <c r="BZ119" s="234">
        <f>BZ28/BZ10</f>
        <v>0.20594215672393817</v>
      </c>
      <c r="CA119" s="222">
        <f>CA28/CA10</f>
        <v>0.19468316527381216</v>
      </c>
      <c r="CB119" s="234"/>
      <c r="CC119" s="233">
        <f>CC28/CC10</f>
        <v>0.19426771467248155</v>
      </c>
      <c r="CD119" s="234">
        <f>CD28/CD10</f>
        <v>0.25261605512306468</v>
      </c>
      <c r="CE119" s="234">
        <f>CE28/CE10</f>
        <v>0.24874568883700088</v>
      </c>
      <c r="CF119" s="234">
        <f>CF28/CF10</f>
        <v>0.2643310946432626</v>
      </c>
      <c r="CG119" s="222">
        <f>CG28/CG10</f>
        <v>0.24084002149200825</v>
      </c>
      <c r="CH119" s="153"/>
      <c r="CI119" s="233">
        <f>CI28/CI10</f>
        <v>0.25642154348603713</v>
      </c>
      <c r="CJ119" s="234">
        <f>CJ28/CJ10</f>
        <v>0.21471360459397967</v>
      </c>
      <c r="CK119" s="234">
        <f>CK28/CK10</f>
        <v>0.20758479045103076</v>
      </c>
      <c r="CL119" s="234">
        <f>CL28/CL10</f>
        <v>0.22280870162396479</v>
      </c>
      <c r="CM119" s="222">
        <f>CM28/CM10</f>
        <v>0.22493591942712984</v>
      </c>
      <c r="CN119" s="153"/>
      <c r="CO119" s="153"/>
      <c r="CP119" s="153"/>
      <c r="CQ119"/>
      <c r="CR119"/>
      <c r="CS119"/>
      <c r="CT119"/>
      <c r="CU119"/>
      <c r="CV119"/>
      <c r="CW119" s="142"/>
    </row>
    <row r="120" spans="1:119" s="149" customFormat="1">
      <c r="A120" s="239" t="s">
        <v>557</v>
      </c>
      <c r="B120" s="240"/>
      <c r="C120" s="241"/>
      <c r="D120" s="242"/>
      <c r="E120" s="242"/>
      <c r="F120" s="242"/>
      <c r="G120" s="243"/>
      <c r="H120" s="240"/>
      <c r="I120" s="241">
        <f>I33/C33-1</f>
        <v>4.1122350429522836E-2</v>
      </c>
      <c r="J120" s="242">
        <f>J33/D33-1</f>
        <v>0.14311299251058296</v>
      </c>
      <c r="K120" s="242">
        <f>K33/E33-1</f>
        <v>0.19456330919464548</v>
      </c>
      <c r="L120" s="242">
        <f>L33/F33-1</f>
        <v>0.39723719676549885</v>
      </c>
      <c r="M120" s="243">
        <f>M33/G33-1</f>
        <v>0.19658852677720584</v>
      </c>
      <c r="N120" s="240"/>
      <c r="O120" s="241">
        <f>O33/I33-1</f>
        <v>8.0941732374768094E-2</v>
      </c>
      <c r="P120" s="242">
        <f>P33/J33-1</f>
        <v>-1.8373803009575362E-2</v>
      </c>
      <c r="Q120" s="242">
        <f>Q33/K33-1</f>
        <v>-0.22412580251930048</v>
      </c>
      <c r="R120" s="242">
        <f>R33/L33-1</f>
        <v>-0.26155418569869426</v>
      </c>
      <c r="S120" s="243">
        <f>S33/M33-1</f>
        <v>-0.13163990308240658</v>
      </c>
      <c r="T120" s="242"/>
      <c r="U120" s="241">
        <f>U33/O33-1</f>
        <v>0.12721486747417909</v>
      </c>
      <c r="V120" s="242">
        <f>V33/P33-1</f>
        <v>0.15371288219346635</v>
      </c>
      <c r="W120" s="242">
        <f>W33/Q33-1</f>
        <v>0.3723093037973928</v>
      </c>
      <c r="X120" s="242">
        <f>X33/R33-1</f>
        <v>0.28547158903313785</v>
      </c>
      <c r="Y120" s="243">
        <f>Y33/S33-1</f>
        <v>0.22909009294809124</v>
      </c>
      <c r="Z120" s="242"/>
      <c r="AA120" s="241">
        <f>AA33/U33-1</f>
        <v>-8.2271819174154714E-2</v>
      </c>
      <c r="AB120" s="242">
        <f>AB33/V33-1</f>
        <v>0.31772905158773157</v>
      </c>
      <c r="AC120" s="242">
        <f>AC33/W33-1</f>
        <v>0.16483290223382352</v>
      </c>
      <c r="AD120" s="242">
        <f>AD33/X33-1</f>
        <v>0.1415435843922106</v>
      </c>
      <c r="AE120" s="243">
        <f>AE33/Y33-1</f>
        <v>0.12663379431429522</v>
      </c>
      <c r="AF120" s="242"/>
      <c r="AG120" s="241">
        <f>AG33/AA33-1</f>
        <v>0.32701661892345313</v>
      </c>
      <c r="AH120" s="242">
        <f>AH33/AB33-1</f>
        <v>-1.947991329923171E-2</v>
      </c>
      <c r="AI120" s="242">
        <f>AI33/AC33-1</f>
        <v>6.4099670980594992E-2</v>
      </c>
      <c r="AJ120" s="242">
        <f>AJ33/AD33-1</f>
        <v>0.16658933139641152</v>
      </c>
      <c r="AK120" s="243">
        <f>AK33/AE33-1</f>
        <v>0.12838359914221575</v>
      </c>
      <c r="AL120" s="242"/>
      <c r="AM120" s="241">
        <f>AM33/AG33-1</f>
        <v>4.4776119402985648E-2</v>
      </c>
      <c r="AN120" s="242">
        <f>AN33/AH33-1</f>
        <v>0.38937179456309767</v>
      </c>
      <c r="AO120" s="242">
        <f>AO33/AI33-1</f>
        <v>0.14435838301205361</v>
      </c>
      <c r="AP120" s="242">
        <f>AP33/AJ33-1</f>
        <v>0.15443313953488369</v>
      </c>
      <c r="AQ120" s="243">
        <f>AQ33/AK33-1</f>
        <v>0.17328044385678387</v>
      </c>
      <c r="AR120" s="242"/>
      <c r="AS120" s="241">
        <f>AS33/AM33-1</f>
        <v>0.29656804733727715</v>
      </c>
      <c r="AT120" s="242">
        <f>AT33/AN33-1</f>
        <v>-5.3097896451912208E-2</v>
      </c>
      <c r="AU120" s="242">
        <f>AU33/AO33-1</f>
        <v>0.17779247647035445</v>
      </c>
      <c r="AV120" s="242">
        <f>AV33/AP33-1</f>
        <v>5.6660355029586773E-2</v>
      </c>
      <c r="AW120" s="243">
        <f>AW33/AQ33-1</f>
        <v>0.1109728969469661</v>
      </c>
      <c r="AX120" s="242"/>
      <c r="AY120" s="241">
        <f>AY33/AS33-1</f>
        <v>2.0797475616785022E-4</v>
      </c>
      <c r="AZ120" s="242">
        <f>AZ33/AT33-1</f>
        <v>8.2768796290611846E-2</v>
      </c>
      <c r="BA120" s="242">
        <f>BA33/AU33-1</f>
        <v>7.2867481094855524E-2</v>
      </c>
      <c r="BB120" s="242">
        <f>BB33/AV33-1</f>
        <v>5.5412987926157564E-2</v>
      </c>
      <c r="BC120" s="243">
        <f>BC33/AW33-1</f>
        <v>5.5932206596578604E-2</v>
      </c>
      <c r="BD120" s="242"/>
      <c r="BE120" s="241">
        <f>BE33/AY33-1</f>
        <v>0.11928167826213842</v>
      </c>
      <c r="BF120" s="242">
        <f>BF33/AZ33-1</f>
        <v>0.15510189854297884</v>
      </c>
      <c r="BG120" s="242">
        <f>BG33/BA33-1</f>
        <v>0.10961203628261385</v>
      </c>
      <c r="BH120" s="242">
        <f>BH33/BB33-1</f>
        <v>0.17307964172828139</v>
      </c>
      <c r="BI120" s="243">
        <f>BI33/BC33-1</f>
        <v>0.1354786360514415</v>
      </c>
      <c r="BJ120" s="242"/>
      <c r="BK120" s="241">
        <f>BK33/BE33-1</f>
        <v>0.1439139114972634</v>
      </c>
      <c r="BL120" s="242">
        <f>BL33/BF33-1</f>
        <v>0.30145849630595278</v>
      </c>
      <c r="BM120" s="242">
        <f>BM33/BG33-1</f>
        <v>0.20375666300415141</v>
      </c>
      <c r="BN120" s="242">
        <f>BN33/BH33-1</f>
        <v>0.13913820340958272</v>
      </c>
      <c r="BO120" s="243">
        <f>BO33/BI33-1</f>
        <v>0.19268762867941414</v>
      </c>
      <c r="BP120" s="242"/>
      <c r="BQ120" s="241">
        <f>BQ33/BK33-1</f>
        <v>0.25835082205547466</v>
      </c>
      <c r="BR120" s="242">
        <f>BR33/BL33-1</f>
        <v>0.27475993671839993</v>
      </c>
      <c r="BS120" s="242">
        <f>BS33/BM33-1</f>
        <v>0.21117259820325041</v>
      </c>
      <c r="BT120" s="242">
        <f>BT33/BN33-1</f>
        <v>0.21889879125455702</v>
      </c>
      <c r="BU120" s="243">
        <f>BU33/BO33-1</f>
        <v>0.23931451857309116</v>
      </c>
      <c r="BV120" s="242"/>
      <c r="BW120" s="241">
        <f>BW33/BQ33-1</f>
        <v>0.11852430531611557</v>
      </c>
      <c r="BX120" s="242">
        <f>BX33/BR33-1</f>
        <v>0.122006522634861</v>
      </c>
      <c r="BY120" s="242">
        <f>BY33/BS33-1</f>
        <v>0.13510275535031768</v>
      </c>
      <c r="BZ120" s="242">
        <f>BZ33/BT33-1</f>
        <v>0.13109969658033083</v>
      </c>
      <c r="CA120" s="243">
        <f>CA33/BU33-1</f>
        <v>0.1266233779401531</v>
      </c>
      <c r="CB120" s="234"/>
      <c r="CC120" s="241">
        <f>CC33/BW33-1</f>
        <v>0.13396910079381241</v>
      </c>
      <c r="CD120" s="242">
        <f>CD33/BX33-1</f>
        <v>0.39028729334067558</v>
      </c>
      <c r="CE120" s="242">
        <f>CE33/BY33-1</f>
        <v>0.41813182802435445</v>
      </c>
      <c r="CF120" s="242">
        <f>CF33/BZ33-1</f>
        <v>0.39175934057062078</v>
      </c>
      <c r="CG120" s="243">
        <f>CG33/CA33-1</f>
        <v>0.33935242049120218</v>
      </c>
      <c r="CH120" s="153"/>
      <c r="CI120" s="241">
        <f>CI33/CC33-1</f>
        <v>0.42346370007976408</v>
      </c>
      <c r="CJ120" s="242">
        <f>CJ33/CD33-1</f>
        <v>-8.0772796266041502E-2</v>
      </c>
      <c r="CK120" s="242">
        <f>CK33/CE33-1</f>
        <v>-8.9570024598317755E-2</v>
      </c>
      <c r="CL120" s="242">
        <f>CL33/CF33-1</f>
        <v>-8.4259922332974746E-2</v>
      </c>
      <c r="CM120" s="243">
        <f>CM33/CG33-1</f>
        <v>1.282610702400877E-2</v>
      </c>
      <c r="CN120" s="153"/>
      <c r="CO120" s="153"/>
      <c r="CP120" s="153"/>
      <c r="CQ120"/>
      <c r="CR120"/>
      <c r="CS120"/>
      <c r="CT120"/>
      <c r="CU120"/>
      <c r="CV120"/>
      <c r="CW120" s="142"/>
    </row>
    <row r="121" spans="1:119" s="149" customFormat="1">
      <c r="A121" s="244"/>
      <c r="B121" s="181"/>
      <c r="C121" s="245"/>
      <c r="D121" s="245"/>
      <c r="E121" s="245"/>
      <c r="F121" s="245"/>
      <c r="G121" s="245"/>
      <c r="H121" s="181"/>
      <c r="I121" s="245"/>
      <c r="J121" s="245"/>
      <c r="K121" s="245"/>
      <c r="L121" s="245"/>
      <c r="M121" s="245"/>
      <c r="N121" s="181"/>
      <c r="O121" s="245"/>
      <c r="P121" s="245"/>
      <c r="Q121" s="245"/>
      <c r="R121" s="245"/>
      <c r="S121" s="245"/>
      <c r="T121" s="245"/>
      <c r="U121" s="245"/>
      <c r="V121" s="245"/>
      <c r="W121" s="245"/>
      <c r="X121" s="245"/>
      <c r="Y121" s="245"/>
      <c r="Z121" s="245"/>
      <c r="AA121" s="245"/>
      <c r="AB121" s="245"/>
      <c r="AC121" s="245"/>
      <c r="AD121" s="245"/>
      <c r="AE121" s="245"/>
      <c r="AF121" s="245"/>
      <c r="AG121" s="245"/>
      <c r="AH121" s="245"/>
      <c r="AI121" s="245"/>
      <c r="AJ121" s="245"/>
      <c r="AK121" s="245"/>
      <c r="AL121" s="245"/>
      <c r="AM121" s="245"/>
      <c r="AN121" s="245"/>
      <c r="AO121" s="245"/>
      <c r="AP121" s="245"/>
      <c r="AQ121" s="245"/>
      <c r="AR121" s="245"/>
      <c r="AS121" s="245"/>
      <c r="AT121" s="245"/>
      <c r="AU121" s="245"/>
      <c r="AV121" s="245"/>
      <c r="AW121" s="245"/>
      <c r="AX121" s="245"/>
      <c r="AY121" s="245"/>
      <c r="AZ121" s="245"/>
      <c r="BA121" s="245"/>
      <c r="BB121" s="245"/>
      <c r="BC121" s="245"/>
      <c r="BD121" s="245"/>
      <c r="BE121" s="245"/>
      <c r="BF121" s="245"/>
      <c r="BG121" s="245"/>
      <c r="BH121" s="245"/>
      <c r="BI121" s="245"/>
      <c r="BJ121" s="245"/>
      <c r="BK121" s="245"/>
      <c r="BL121" s="245"/>
      <c r="BM121" s="245"/>
      <c r="BN121" s="245"/>
      <c r="BO121" s="245"/>
      <c r="BP121" s="245"/>
      <c r="BQ121" s="245"/>
      <c r="BR121" s="245"/>
      <c r="BS121" s="245"/>
      <c r="BT121" s="245"/>
      <c r="BU121" s="245"/>
      <c r="BV121" s="245"/>
      <c r="BW121" s="245"/>
      <c r="BX121" s="245"/>
      <c r="BY121" s="245"/>
      <c r="BZ121" s="245"/>
      <c r="CA121" s="245"/>
      <c r="CB121" s="234"/>
      <c r="CC121" s="245"/>
      <c r="CD121" s="245"/>
      <c r="CE121" s="245"/>
      <c r="CF121" s="245"/>
      <c r="CG121" s="245"/>
      <c r="CH121" s="153"/>
      <c r="CI121" s="245"/>
      <c r="CJ121" s="245"/>
      <c r="CK121" s="245"/>
      <c r="CL121" s="245"/>
      <c r="CM121" s="245"/>
      <c r="CN121" s="153"/>
      <c r="CO121" s="153"/>
      <c r="CP121" s="153"/>
      <c r="CQ121"/>
      <c r="CR121"/>
      <c r="CS121"/>
      <c r="CT121"/>
      <c r="CU121"/>
      <c r="CV121"/>
      <c r="CW121" s="142"/>
    </row>
    <row r="122" spans="1:119" s="149" customFormat="1">
      <c r="A122" s="246" t="s">
        <v>128</v>
      </c>
      <c r="B122" s="17"/>
      <c r="C122" s="247"/>
      <c r="D122" s="247"/>
      <c r="E122" s="247"/>
      <c r="F122" s="247"/>
      <c r="G122" s="247"/>
      <c r="H122" s="17"/>
      <c r="I122" s="247"/>
      <c r="J122" s="247"/>
      <c r="K122" s="247"/>
      <c r="L122" s="247"/>
      <c r="M122" s="247"/>
      <c r="N122" s="17"/>
      <c r="O122" s="247"/>
      <c r="P122" s="247"/>
      <c r="Q122" s="247"/>
      <c r="R122" s="247"/>
      <c r="S122" s="247"/>
      <c r="T122" s="129"/>
      <c r="U122" s="247"/>
      <c r="V122" s="247"/>
      <c r="W122" s="247"/>
      <c r="X122" s="247"/>
      <c r="Y122" s="247"/>
      <c r="Z122" s="129"/>
      <c r="AA122" s="247"/>
      <c r="AB122" s="247"/>
      <c r="AC122" s="247"/>
      <c r="AD122" s="247"/>
      <c r="AE122" s="247"/>
      <c r="AF122" s="129"/>
      <c r="AG122" s="247"/>
      <c r="AH122" s="247"/>
      <c r="AI122" s="247"/>
      <c r="AJ122" s="247"/>
      <c r="AK122" s="247"/>
      <c r="AL122" s="129"/>
      <c r="AM122" s="247"/>
      <c r="AN122" s="247"/>
      <c r="AO122" s="247"/>
      <c r="AP122" s="247"/>
      <c r="AQ122" s="247"/>
      <c r="AR122" s="129"/>
      <c r="AS122" s="247"/>
      <c r="AT122" s="247"/>
      <c r="AU122" s="247"/>
      <c r="AV122" s="247"/>
      <c r="AW122" s="247"/>
      <c r="AX122" s="129"/>
      <c r="AY122" s="247"/>
      <c r="AZ122" s="247"/>
      <c r="BA122" s="247"/>
      <c r="BB122" s="247"/>
      <c r="BC122" s="1317"/>
      <c r="BE122" s="247"/>
      <c r="BF122" s="247"/>
      <c r="BG122" s="247"/>
      <c r="BH122" s="247"/>
      <c r="BI122" s="1317"/>
      <c r="BJ122" s="129"/>
      <c r="BK122" s="247"/>
      <c r="BL122" s="247"/>
      <c r="BM122" s="247"/>
      <c r="BN122" s="247"/>
      <c r="BO122" s="247"/>
      <c r="BP122" s="129"/>
      <c r="BQ122" s="247"/>
      <c r="BR122" s="247"/>
      <c r="BS122" s="247"/>
      <c r="BT122" s="247"/>
      <c r="BU122" s="247"/>
      <c r="BV122" s="129"/>
      <c r="BW122" s="247"/>
      <c r="BX122" s="247"/>
      <c r="BY122" s="247"/>
      <c r="BZ122" s="247"/>
      <c r="CA122" s="247"/>
      <c r="CB122" s="267"/>
      <c r="CC122" s="247"/>
      <c r="CD122" s="247"/>
      <c r="CE122" s="247"/>
      <c r="CF122" s="247"/>
      <c r="CG122" s="247"/>
      <c r="CH122" s="154"/>
      <c r="CI122" s="247"/>
      <c r="CJ122" s="247"/>
      <c r="CK122" s="247"/>
      <c r="CL122" s="247"/>
      <c r="CM122" s="247"/>
      <c r="CN122" s="154"/>
      <c r="CO122" s="154"/>
      <c r="CP122" s="154"/>
      <c r="CQ122"/>
      <c r="CR122"/>
      <c r="CS122"/>
      <c r="CT122"/>
      <c r="CU122"/>
      <c r="CV122"/>
      <c r="CW122" s="154"/>
      <c r="CX122" s="154"/>
      <c r="CY122" s="154"/>
      <c r="CZ122" s="154"/>
      <c r="DA122" s="154"/>
      <c r="DB122" s="154"/>
      <c r="DC122" s="154"/>
      <c r="DD122" s="154"/>
      <c r="DE122" s="154"/>
      <c r="DF122" s="154"/>
      <c r="DG122" s="154"/>
      <c r="DH122" s="154"/>
      <c r="DI122" s="154"/>
      <c r="DJ122" s="154"/>
      <c r="DK122" s="154"/>
      <c r="DL122" s="154"/>
      <c r="DM122" s="154"/>
      <c r="DN122" s="154"/>
      <c r="DO122" s="154"/>
    </row>
    <row r="123" spans="1:119" s="149" customFormat="1">
      <c r="A123" s="249" t="s">
        <v>129</v>
      </c>
      <c r="B123" s="250"/>
      <c r="C123" s="1318">
        <f>C18</f>
        <v>13</v>
      </c>
      <c r="D123" s="1319">
        <f>D18</f>
        <v>13</v>
      </c>
      <c r="E123" s="1319">
        <f>E18</f>
        <v>13</v>
      </c>
      <c r="F123" s="1319">
        <f>F18</f>
        <v>13</v>
      </c>
      <c r="G123" s="251">
        <f>SUM(C123:F123)</f>
        <v>52</v>
      </c>
      <c r="H123" s="250"/>
      <c r="I123" s="1318">
        <f>I18</f>
        <v>7.75</v>
      </c>
      <c r="J123" s="1319">
        <f>J18</f>
        <v>7.75</v>
      </c>
      <c r="K123" s="1319">
        <f>K18</f>
        <v>7.75</v>
      </c>
      <c r="L123" s="1319">
        <f>L18</f>
        <v>7.75</v>
      </c>
      <c r="M123" s="251">
        <f>SUM(I123:L123)</f>
        <v>31</v>
      </c>
      <c r="N123" s="250"/>
      <c r="O123" s="1318">
        <f>O18</f>
        <v>12</v>
      </c>
      <c r="P123" s="1319">
        <f>P18</f>
        <v>9</v>
      </c>
      <c r="Q123" s="1319">
        <f>Q18</f>
        <v>8</v>
      </c>
      <c r="R123" s="1319">
        <f>R18</f>
        <v>6</v>
      </c>
      <c r="S123" s="251">
        <f>SUM(O123:R123)</f>
        <v>35</v>
      </c>
      <c r="T123" s="155"/>
      <c r="U123" s="1318">
        <f>U18</f>
        <v>16.5</v>
      </c>
      <c r="V123" s="1319">
        <f>V18</f>
        <v>4.5</v>
      </c>
      <c r="W123" s="1319">
        <f>W18</f>
        <v>4.5</v>
      </c>
      <c r="X123" s="1319">
        <f>X18</f>
        <v>6.5</v>
      </c>
      <c r="Y123" s="251">
        <f>SUM(U123:X123)</f>
        <v>32</v>
      </c>
      <c r="Z123" s="155"/>
      <c r="AA123" s="1318">
        <f>AA18</f>
        <v>19</v>
      </c>
      <c r="AB123" s="1319">
        <f>AB18</f>
        <v>7</v>
      </c>
      <c r="AC123" s="1319">
        <f>AC18</f>
        <v>5</v>
      </c>
      <c r="AD123" s="1319">
        <f>AD18</f>
        <v>5</v>
      </c>
      <c r="AE123" s="251">
        <f>SUM(AA123:AD123)</f>
        <v>36</v>
      </c>
      <c r="AF123" s="155"/>
      <c r="AG123" s="1318">
        <f>AG18</f>
        <v>17.75</v>
      </c>
      <c r="AH123" s="1319">
        <f>AH18</f>
        <v>6.75</v>
      </c>
      <c r="AI123" s="1319">
        <f>AI18</f>
        <v>6.75</v>
      </c>
      <c r="AJ123" s="1319">
        <f>AJ18</f>
        <v>5.75</v>
      </c>
      <c r="AK123" s="251">
        <f>SUM(AG123:AJ123)</f>
        <v>37</v>
      </c>
      <c r="AL123" s="155"/>
      <c r="AM123" s="1318">
        <f>AM18</f>
        <v>16</v>
      </c>
      <c r="AN123" s="1319">
        <f>AN18</f>
        <v>10.333333333333332</v>
      </c>
      <c r="AO123" s="1319">
        <f>AO18</f>
        <v>9.3333333333333321</v>
      </c>
      <c r="AP123" s="1319">
        <f>AP18</f>
        <v>10.333333333333332</v>
      </c>
      <c r="AQ123" s="251">
        <f>SUM(AM123:AP123)</f>
        <v>46</v>
      </c>
      <c r="AR123" s="155"/>
      <c r="AS123" s="1318">
        <f>AS18</f>
        <v>36</v>
      </c>
      <c r="AT123" s="1319">
        <f>AT18</f>
        <v>11.494826</v>
      </c>
      <c r="AU123" s="177">
        <f>AU124*AU15</f>
        <v>11.456228000000001</v>
      </c>
      <c r="AV123" s="177">
        <f>AV124*AV15</f>
        <v>11.629365999999999</v>
      </c>
      <c r="AW123" s="251">
        <f>SUM(AS123:AV123)</f>
        <v>70.580420000000004</v>
      </c>
      <c r="AX123" s="155"/>
      <c r="AY123" s="1318">
        <f>AY18</f>
        <v>22</v>
      </c>
      <c r="AZ123" s="1319">
        <f>AZ18</f>
        <v>11</v>
      </c>
      <c r="BA123" s="1319">
        <f>BA18</f>
        <v>10</v>
      </c>
      <c r="BB123" s="1319">
        <f>BB18</f>
        <v>10</v>
      </c>
      <c r="BC123" s="251">
        <f>SUM(AY123:BB123)</f>
        <v>53</v>
      </c>
      <c r="BD123" s="155"/>
      <c r="BE123" s="1318">
        <f>BE18</f>
        <v>24</v>
      </c>
      <c r="BF123" s="1319">
        <f>BF18</f>
        <v>11.5</v>
      </c>
      <c r="BG123" s="1319">
        <f>BG18</f>
        <v>11</v>
      </c>
      <c r="BH123" s="177">
        <f>BG123</f>
        <v>11</v>
      </c>
      <c r="BI123" s="251">
        <f>SUM(BE123:BH123)</f>
        <v>57.5</v>
      </c>
      <c r="BJ123" s="155"/>
      <c r="BK123" s="1318">
        <f>BK18</f>
        <v>20</v>
      </c>
      <c r="BL123" s="177">
        <f>BL18</f>
        <v>15</v>
      </c>
      <c r="BM123" s="177">
        <f>BM18</f>
        <v>13</v>
      </c>
      <c r="BN123" s="177">
        <f>BN18</f>
        <v>12</v>
      </c>
      <c r="BO123" s="251">
        <f>SUM(BK123:BN123)</f>
        <v>60</v>
      </c>
      <c r="BP123" s="155"/>
      <c r="BQ123" s="1318">
        <f>BQ18</f>
        <v>31</v>
      </c>
      <c r="BR123" s="177">
        <f>BR124*BR15</f>
        <v>14.392965250444526</v>
      </c>
      <c r="BS123" s="177">
        <f>BS124*BS15</f>
        <v>14.366041655505727</v>
      </c>
      <c r="BT123" s="177">
        <f>BT124*BT15</f>
        <v>14.888329149765704</v>
      </c>
      <c r="BU123" s="251">
        <f>SUM(BQ123:BT123)</f>
        <v>74.647336055715954</v>
      </c>
      <c r="BV123" s="155"/>
      <c r="BW123" s="1318">
        <f>BW124*BW15</f>
        <v>32.773898044755022</v>
      </c>
      <c r="BX123" s="177">
        <f>BX124*BX15</f>
        <v>15.214596564376734</v>
      </c>
      <c r="BY123" s="177">
        <f>BY124*BY15</f>
        <v>15.386127576094715</v>
      </c>
      <c r="BZ123" s="177">
        <f>BZ124*BZ15</f>
        <v>15.900088458460123</v>
      </c>
      <c r="CA123" s="251">
        <f>SUM(BW123:BZ123)</f>
        <v>79.274710643686589</v>
      </c>
      <c r="CB123" s="177"/>
      <c r="CC123" s="1318">
        <f>CC124*CC15</f>
        <v>34.441159710032451</v>
      </c>
      <c r="CD123" s="177">
        <f>CD124*CD15</f>
        <v>15.993827572917699</v>
      </c>
      <c r="CE123" s="177">
        <f>CE124*CE15</f>
        <v>16.320601696846399</v>
      </c>
      <c r="CF123" s="177">
        <f>CF124*CF15</f>
        <v>16.800339307204297</v>
      </c>
      <c r="CG123" s="251">
        <f>SUM(CC123:CF123)</f>
        <v>83.555928287000839</v>
      </c>
      <c r="CH123" s="1308"/>
      <c r="CI123" s="1318">
        <f>CI124*CI15</f>
        <v>36.277414075021142</v>
      </c>
      <c r="CJ123" s="177">
        <f>CJ124*CJ15</f>
        <v>16.855102704649713</v>
      </c>
      <c r="CK123" s="177">
        <f>CK124*CK15</f>
        <v>17.382954228290998</v>
      </c>
      <c r="CL123" s="177">
        <f>CL124*CL15</f>
        <v>17.812401674223263</v>
      </c>
      <c r="CM123" s="251">
        <f>SUM(CI123:CL123)</f>
        <v>88.327872682185117</v>
      </c>
      <c r="CN123" s="1308"/>
      <c r="CO123" s="1308"/>
      <c r="CP123" s="1308"/>
      <c r="CQ123"/>
      <c r="CR123"/>
      <c r="CS123"/>
      <c r="CT123"/>
      <c r="CU123"/>
      <c r="CV123"/>
      <c r="CW123" s="1308"/>
    </row>
    <row r="124" spans="1:119" s="149" customFormat="1">
      <c r="A124" s="252" t="s">
        <v>130</v>
      </c>
      <c r="B124" s="150"/>
      <c r="C124" s="159">
        <f>C123/C15</f>
        <v>3.4210526315789476E-2</v>
      </c>
      <c r="D124" s="1320">
        <f>D123/D15</f>
        <v>3.4759358288770054E-2</v>
      </c>
      <c r="E124" s="1320">
        <f>E123/E15</f>
        <v>3.3163265306122451E-2</v>
      </c>
      <c r="F124" s="156">
        <f>F123/F15</f>
        <v>3.0732860520094562E-2</v>
      </c>
      <c r="G124" s="160">
        <f>G123/G15</f>
        <v>3.3142128744423197E-2</v>
      </c>
      <c r="H124" s="150"/>
      <c r="I124" s="159">
        <f>I123/I15</f>
        <v>1.7454954954954954E-2</v>
      </c>
      <c r="J124" s="1320">
        <f>J123/J15</f>
        <v>1.7415730337078651E-2</v>
      </c>
      <c r="K124" s="1320">
        <f>K123/K15</f>
        <v>1.7694063926940638E-2</v>
      </c>
      <c r="L124" s="156">
        <f>L123/L15</f>
        <v>1.6921397379912665E-2</v>
      </c>
      <c r="M124" s="160">
        <f>M123/M15</f>
        <v>1.7366946778711485E-2</v>
      </c>
      <c r="N124" s="150"/>
      <c r="O124" s="159">
        <f>O123/O15</f>
        <v>2.8342863621225969E-2</v>
      </c>
      <c r="P124" s="1320">
        <f>P123/P15</f>
        <v>2.1982047994138124E-2</v>
      </c>
      <c r="Q124" s="1320">
        <f>Q123/Q15</f>
        <v>1.9752745014283705E-2</v>
      </c>
      <c r="R124" s="156">
        <f>R123/R15</f>
        <v>1.3776698092845761E-2</v>
      </c>
      <c r="S124" s="160">
        <f>S123/S15</f>
        <v>2.0916288828849178E-2</v>
      </c>
      <c r="T124" s="179"/>
      <c r="U124" s="159">
        <f>U123/U15</f>
        <v>3.5765069015745304E-2</v>
      </c>
      <c r="V124" s="1320">
        <f>V123/V15</f>
        <v>9.5969494496682649E-3</v>
      </c>
      <c r="W124" s="1320">
        <f>W123/W15</f>
        <v>7.8098153759645125E-3</v>
      </c>
      <c r="X124" s="156">
        <f>X123/X15</f>
        <v>9.718274692267095E-3</v>
      </c>
      <c r="Y124" s="160">
        <f>Y123/Y15</f>
        <v>1.4710722829754646E-2</v>
      </c>
      <c r="Z124" s="179"/>
      <c r="AA124" s="159">
        <f>AA123/AA15</f>
        <v>2.9726469543667398E-2</v>
      </c>
      <c r="AB124" s="1320">
        <f>AB123/AB15</f>
        <v>9.8412327971735981E-3</v>
      </c>
      <c r="AC124" s="1320">
        <f>AC123/AC15</f>
        <v>7.1567104895905644E-3</v>
      </c>
      <c r="AD124" s="156">
        <f>AD123/AD15</f>
        <v>7.0185584723124897E-3</v>
      </c>
      <c r="AE124" s="160">
        <f>AE123/AE15</f>
        <v>1.3036412147618536E-2</v>
      </c>
      <c r="AF124" s="179"/>
      <c r="AG124" s="159">
        <f>AG123/AG15</f>
        <v>2.5248933143669987E-2</v>
      </c>
      <c r="AH124" s="1320">
        <f>AH123/AH15</f>
        <v>9.3103448275862061E-3</v>
      </c>
      <c r="AI124" s="1320">
        <f>AI123/AI15</f>
        <v>9.3103448275862061E-3</v>
      </c>
      <c r="AJ124" s="156">
        <f>AJ123/AJ15</f>
        <v>7.5957727873183622E-3</v>
      </c>
      <c r="AK124" s="160">
        <f>AK123/AK15</f>
        <v>1.2714776632302405E-2</v>
      </c>
      <c r="AL124" s="179"/>
      <c r="AM124" s="159">
        <f>AM123/AM15</f>
        <v>2.0125786163522015E-2</v>
      </c>
      <c r="AN124" s="1320">
        <f>AN123/AN15</f>
        <v>1.3014273719563391E-2</v>
      </c>
      <c r="AO124" s="1320">
        <f>AO123/AO15</f>
        <v>1.201201201201201E-2</v>
      </c>
      <c r="AP124" s="156">
        <f>AP123/AP15</f>
        <v>1.2981574539363482E-2</v>
      </c>
      <c r="AQ124" s="160">
        <f>AQ123/AQ15</f>
        <v>1.4547754585705249E-2</v>
      </c>
      <c r="AR124" s="179"/>
      <c r="AS124" s="159">
        <f>AS123/AS15</f>
        <v>4.4171779141104296E-2</v>
      </c>
      <c r="AT124" s="1320">
        <f>AT123/AT15</f>
        <v>1.4E-2</v>
      </c>
      <c r="AU124" s="1578">
        <f>AU113</f>
        <v>1.4E-2</v>
      </c>
      <c r="AV124" s="1578">
        <f>AV113</f>
        <v>1.4E-2</v>
      </c>
      <c r="AW124" s="160">
        <f>AW123/AW15</f>
        <v>2.1485471974380756E-2</v>
      </c>
      <c r="AX124" s="179"/>
      <c r="AY124" s="159">
        <f>AY123/AY15</f>
        <v>2.5896641794119345E-2</v>
      </c>
      <c r="AZ124" s="156">
        <f>AZ123/AZ15</f>
        <v>1.3855631873495563E-2</v>
      </c>
      <c r="BA124" s="156">
        <f>BA123/BA15</f>
        <v>1.2278209493266015E-2</v>
      </c>
      <c r="BB124" s="156">
        <f>BB123/BB15</f>
        <v>1.2315543940629226E-2</v>
      </c>
      <c r="BC124" s="160">
        <f>BC123/BC15</f>
        <v>1.6208620233557045E-2</v>
      </c>
      <c r="BD124" s="179"/>
      <c r="BE124" s="159">
        <f>BE123/BE15</f>
        <v>2.9173443414459821E-2</v>
      </c>
      <c r="BF124" s="156">
        <f>BF123/BF15</f>
        <v>1.3958682300390844E-2</v>
      </c>
      <c r="BG124" s="156">
        <f>BG123/BG15</f>
        <v>1.3218357655111418E-2</v>
      </c>
      <c r="BH124" s="156">
        <f>BH123/BH15</f>
        <v>1.2732885930589334E-2</v>
      </c>
      <c r="BI124" s="160">
        <f>BI123/BI15</f>
        <v>1.7202143464859324E-2</v>
      </c>
      <c r="BJ124" s="179"/>
      <c r="BK124" s="159">
        <f>BK123/BK15</f>
        <v>2.3703169943432384E-2</v>
      </c>
      <c r="BL124" s="156">
        <f>BL123/BL15</f>
        <v>1.7424962303998214E-2</v>
      </c>
      <c r="BM124" s="156">
        <f>BM123/BM15</f>
        <v>1.4810023287052769E-2</v>
      </c>
      <c r="BN124" s="156">
        <f>BN123/BN15</f>
        <v>1.3109324116021889E-2</v>
      </c>
      <c r="BO124" s="160">
        <f>BO123/BO15</f>
        <v>1.7153806662704326E-2</v>
      </c>
      <c r="BP124" s="179"/>
      <c r="BQ124" s="159">
        <f>BQ123/BQ15</f>
        <v>3.2899365933704169E-2</v>
      </c>
      <c r="BR124" s="1578">
        <f>BR113</f>
        <v>1.4999999999999999E-2</v>
      </c>
      <c r="BS124" s="1578">
        <f>BS113</f>
        <v>1.4999999999999999E-2</v>
      </c>
      <c r="BT124" s="1578">
        <f>BT113</f>
        <v>1.4999999999999999E-2</v>
      </c>
      <c r="BU124" s="160">
        <f>BU123/BU15</f>
        <v>1.9378399741287671E-2</v>
      </c>
      <c r="BV124" s="179"/>
      <c r="BW124" s="1577">
        <f>BW113</f>
        <v>3.2899365933704169E-2</v>
      </c>
      <c r="BX124" s="1578">
        <f>BX113</f>
        <v>1.4999999999999999E-2</v>
      </c>
      <c r="BY124" s="1578">
        <f>BY113</f>
        <v>1.4999999999999999E-2</v>
      </c>
      <c r="BZ124" s="1578">
        <f>BZ113</f>
        <v>1.4999999999999999E-2</v>
      </c>
      <c r="CA124" s="160">
        <f>CA123/CA15</f>
        <v>1.9353041139153867E-2</v>
      </c>
      <c r="CB124" s="156"/>
      <c r="CC124" s="1577">
        <f>CC113</f>
        <v>3.2899365933704169E-2</v>
      </c>
      <c r="CD124" s="1578">
        <f>CD113</f>
        <v>1.4999999999999999E-2</v>
      </c>
      <c r="CE124" s="1578">
        <f>CE113</f>
        <v>1.4999999999999999E-2</v>
      </c>
      <c r="CF124" s="1578">
        <f>CF113</f>
        <v>1.4999999999999999E-2</v>
      </c>
      <c r="CG124" s="160">
        <f>CG123/CG15</f>
        <v>1.9336360134991473E-2</v>
      </c>
      <c r="CH124" s="142"/>
      <c r="CI124" s="1577">
        <f>CI113</f>
        <v>3.2899365933704169E-2</v>
      </c>
      <c r="CJ124" s="1578">
        <f>CJ113</f>
        <v>1.4999999999999999E-2</v>
      </c>
      <c r="CK124" s="1578">
        <f>CK113</f>
        <v>1.4999999999999999E-2</v>
      </c>
      <c r="CL124" s="1578">
        <f>CL113</f>
        <v>1.4999999999999999E-2</v>
      </c>
      <c r="CM124" s="160">
        <f>CM123/CM15</f>
        <v>1.9316312666662006E-2</v>
      </c>
      <c r="CN124" s="142"/>
      <c r="CO124" s="142"/>
      <c r="CP124" s="142"/>
      <c r="CQ124"/>
      <c r="CR124"/>
      <c r="CS124"/>
      <c r="CT124"/>
      <c r="CU124"/>
      <c r="CV124"/>
      <c r="CW124" s="142"/>
    </row>
    <row r="125" spans="1:119" s="149" customFormat="1">
      <c r="A125" s="253" t="s">
        <v>127</v>
      </c>
      <c r="B125" s="250"/>
      <c r="C125" s="76">
        <f>C28</f>
        <v>82.4</v>
      </c>
      <c r="D125" s="77">
        <f>D28</f>
        <v>66.400000000000006</v>
      </c>
      <c r="E125" s="254">
        <f>E28</f>
        <v>78.400000000000006</v>
      </c>
      <c r="F125" s="77">
        <f>F28</f>
        <v>89.6</v>
      </c>
      <c r="G125" s="78">
        <f>G28</f>
        <v>316.8</v>
      </c>
      <c r="H125" s="250"/>
      <c r="I125" s="76">
        <f>I28</f>
        <v>78.400000000000006</v>
      </c>
      <c r="J125" s="77">
        <f>J28</f>
        <v>68</v>
      </c>
      <c r="K125" s="254">
        <f>K28</f>
        <v>85.6</v>
      </c>
      <c r="L125" s="77">
        <f>L28</f>
        <v>114.4</v>
      </c>
      <c r="M125" s="78">
        <f>M28</f>
        <v>346.4</v>
      </c>
      <c r="N125" s="250"/>
      <c r="O125" s="76">
        <f>O28</f>
        <v>78.090400000000002</v>
      </c>
      <c r="P125" s="77">
        <f>P28</f>
        <v>62.060000000000038</v>
      </c>
      <c r="Q125" s="254">
        <f>Q28</f>
        <v>61.594400000000043</v>
      </c>
      <c r="R125" s="77">
        <f>R28</f>
        <v>78.785600000000017</v>
      </c>
      <c r="S125" s="78">
        <f>S28</f>
        <v>280.53039999999999</v>
      </c>
      <c r="T125" s="155"/>
      <c r="U125" s="76">
        <f>U28</f>
        <v>88.524799999999999</v>
      </c>
      <c r="V125" s="77">
        <f>V28</f>
        <v>73.680800000000005</v>
      </c>
      <c r="W125" s="254">
        <f>W28</f>
        <v>86.24160000000002</v>
      </c>
      <c r="X125" s="77">
        <f>X28</f>
        <v>103.32560000000004</v>
      </c>
      <c r="Y125" s="78">
        <f>Y28</f>
        <v>351.7728000000003</v>
      </c>
      <c r="Z125" s="155"/>
      <c r="AA125" s="76">
        <f>AA28</f>
        <v>81.471199999999953</v>
      </c>
      <c r="AB125" s="77">
        <f>AB28</f>
        <v>97.365600000000001</v>
      </c>
      <c r="AC125" s="254">
        <f>AC28</f>
        <v>101.88400000000001</v>
      </c>
      <c r="AD125" s="77">
        <f>AD28</f>
        <v>117.28240000000005</v>
      </c>
      <c r="AE125" s="78">
        <f>AE28</f>
        <v>398.00319999999988</v>
      </c>
      <c r="AF125" s="155"/>
      <c r="AG125" s="76">
        <f>AG28</f>
        <v>107.2</v>
      </c>
      <c r="AH125" s="77">
        <f>AH28</f>
        <v>95.2</v>
      </c>
      <c r="AI125" s="254">
        <f>AI28</f>
        <v>107.2</v>
      </c>
      <c r="AJ125" s="77">
        <f>AJ28</f>
        <v>137.6</v>
      </c>
      <c r="AK125" s="78">
        <f>AK28</f>
        <v>447.2</v>
      </c>
      <c r="AL125" s="155"/>
      <c r="AM125" s="76">
        <f>AM28</f>
        <v>112.00000000000009</v>
      </c>
      <c r="AN125" s="77">
        <f>AN28</f>
        <v>130.4</v>
      </c>
      <c r="AO125" s="254">
        <f>AO28</f>
        <v>119.2</v>
      </c>
      <c r="AP125" s="77">
        <f>AP28</f>
        <v>151.19999999999999</v>
      </c>
      <c r="AQ125" s="78">
        <f>AQ28</f>
        <v>512.80000000000007</v>
      </c>
      <c r="AR125" s="155"/>
      <c r="AS125" s="76">
        <f>AS28</f>
        <v>213.44</v>
      </c>
      <c r="AT125" s="77">
        <f>AT28</f>
        <v>119.23044000000003</v>
      </c>
      <c r="AU125" s="77">
        <f>AU28</f>
        <v>138.34631999999999</v>
      </c>
      <c r="AV125" s="77">
        <f>AV28</f>
        <v>160.71804000000012</v>
      </c>
      <c r="AW125" s="78">
        <f>AW28</f>
        <v>631.73480000000018</v>
      </c>
      <c r="AX125" s="155"/>
      <c r="AY125" s="76">
        <f>AY28</f>
        <v>109.46900000000005</v>
      </c>
      <c r="AZ125" s="77">
        <f>AZ28</f>
        <v>217.09900000000005</v>
      </c>
      <c r="BA125" s="77">
        <f>BA28</f>
        <v>147.54899999999998</v>
      </c>
      <c r="BB125" s="77">
        <f>BB28</f>
        <v>168.01800000000003</v>
      </c>
      <c r="BC125" s="78">
        <f>BC28</f>
        <v>642.1350000000001</v>
      </c>
      <c r="BD125" s="155"/>
      <c r="BE125" s="76">
        <f>BE28</f>
        <v>153.33400000000006</v>
      </c>
      <c r="BF125" s="77">
        <f>BF28</f>
        <v>145.1400000000001</v>
      </c>
      <c r="BG125" s="77">
        <f>BG28</f>
        <v>159.82399999999996</v>
      </c>
      <c r="BH125" s="77">
        <f>BH28</f>
        <v>193.09529999999995</v>
      </c>
      <c r="BI125" s="78">
        <f>BI28</f>
        <v>651.39330000000007</v>
      </c>
      <c r="BJ125" s="155"/>
      <c r="BK125" s="76">
        <f>BK28</f>
        <v>172.23099999999999</v>
      </c>
      <c r="BL125" s="77">
        <f>BL28</f>
        <v>187.16599999999994</v>
      </c>
      <c r="BM125" s="77">
        <f>BM28</f>
        <v>191.21609999999998</v>
      </c>
      <c r="BN125" s="77">
        <f>BN28</f>
        <v>218.62099999999998</v>
      </c>
      <c r="BO125" s="78">
        <f>BO28</f>
        <v>769.2340999999999</v>
      </c>
      <c r="BP125" s="155"/>
      <c r="BQ125" s="76">
        <f>BQ28</f>
        <v>214.73259999999993</v>
      </c>
      <c r="BR125" s="77">
        <f>BR28</f>
        <v>238.8995687277081</v>
      </c>
      <c r="BS125" s="77">
        <f>BS28</f>
        <v>230.07300775301397</v>
      </c>
      <c r="BT125" s="77">
        <f>BT28</f>
        <v>263.47179485219954</v>
      </c>
      <c r="BU125" s="78">
        <f>BU28</f>
        <v>947.17697133292165</v>
      </c>
      <c r="BV125" s="155"/>
      <c r="BW125" s="76">
        <f>BW28</f>
        <v>238.59779579824846</v>
      </c>
      <c r="BX125" s="77">
        <f>BX28</f>
        <v>263.12071868950238</v>
      </c>
      <c r="BY125" s="77">
        <f>BY28</f>
        <v>256.46395883642981</v>
      </c>
      <c r="BZ125" s="77">
        <f>BZ28</f>
        <v>292.77897366437321</v>
      </c>
      <c r="CA125" s="78">
        <f>CA28</f>
        <v>1050.9614469885537</v>
      </c>
      <c r="CB125" s="77"/>
      <c r="CC125" s="76">
        <f>CC28</f>
        <v>265.88013082565652</v>
      </c>
      <c r="CD125" s="77">
        <f>CD28</f>
        <v>359.57543823498025</v>
      </c>
      <c r="CE125" s="77">
        <f>CE28</f>
        <v>357.58917199966555</v>
      </c>
      <c r="CF125" s="77">
        <f>CF28</f>
        <v>400.73313036048216</v>
      </c>
      <c r="CG125" s="78">
        <f>CG28</f>
        <v>1383.7778714207843</v>
      </c>
      <c r="CH125" s="1308"/>
      <c r="CI125" s="76">
        <f>CI28</f>
        <v>372.29921263635458</v>
      </c>
      <c r="CJ125" s="77">
        <f>CJ28</f>
        <v>325.22217589739836</v>
      </c>
      <c r="CK125" s="77">
        <f>CK28</f>
        <v>320.40878034880569</v>
      </c>
      <c r="CL125" s="77">
        <f>CL28</f>
        <v>361.24847161433786</v>
      </c>
      <c r="CM125" s="78">
        <f>CM28</f>
        <v>1379.1786404968966</v>
      </c>
      <c r="CN125" s="1308"/>
      <c r="CO125" s="1308"/>
      <c r="CP125" s="1308"/>
      <c r="CQ125"/>
      <c r="CR125"/>
      <c r="CS125"/>
      <c r="CT125"/>
      <c r="CU125"/>
      <c r="CV125"/>
      <c r="CW125" s="1308"/>
    </row>
    <row r="126" spans="1:119" s="149" customFormat="1">
      <c r="A126" s="60" t="s">
        <v>131</v>
      </c>
      <c r="B126" s="99"/>
      <c r="C126" s="100">
        <f>SUM(C127:C133)</f>
        <v>13.444444444444446</v>
      </c>
      <c r="D126" s="101">
        <f>SUM(D127:D133)</f>
        <v>13.444444444444446</v>
      </c>
      <c r="E126" s="1321">
        <f>SUM(E127:E133)</f>
        <v>13.444444444444446</v>
      </c>
      <c r="F126" s="101">
        <f>SUM(F127:F133)</f>
        <v>13.444444444444446</v>
      </c>
      <c r="G126" s="102">
        <f t="shared" ref="G126:G135" si="68">SUM(C126:F126)</f>
        <v>53.777777777777786</v>
      </c>
      <c r="H126" s="99"/>
      <c r="I126" s="100">
        <f>SUM(I127:I133)</f>
        <v>12.527777777777779</v>
      </c>
      <c r="J126" s="101">
        <f>SUM(J127:J133)</f>
        <v>12.527777777777779</v>
      </c>
      <c r="K126" s="1321">
        <f>SUM(K127:K133)</f>
        <v>12.527777777777779</v>
      </c>
      <c r="L126" s="101">
        <f>SUM(L127:L133)</f>
        <v>12.527777777777779</v>
      </c>
      <c r="M126" s="102">
        <f t="shared" ref="M126:M135" si="69">SUM(I126:L126)</f>
        <v>50.111111111111114</v>
      </c>
      <c r="N126" s="99"/>
      <c r="O126" s="100">
        <f>SUM(O127:O133)</f>
        <v>14</v>
      </c>
      <c r="P126" s="101">
        <f>SUM(P127:P133)</f>
        <v>12</v>
      </c>
      <c r="Q126" s="1321">
        <f>SUM(Q127:Q133)</f>
        <v>13</v>
      </c>
      <c r="R126" s="101">
        <f>SUM(R127:R133)</f>
        <v>11</v>
      </c>
      <c r="S126" s="102">
        <f>SUM(O126:R126)</f>
        <v>50</v>
      </c>
      <c r="T126" s="103"/>
      <c r="U126" s="100">
        <f>SUM(U127:U133)</f>
        <v>9</v>
      </c>
      <c r="V126" s="101">
        <f>SUM(V127:V133)</f>
        <v>5</v>
      </c>
      <c r="W126" s="1321">
        <f>SUM(W127:W133)</f>
        <v>29</v>
      </c>
      <c r="X126" s="101">
        <f>SUM(X127:X133)</f>
        <v>36</v>
      </c>
      <c r="Y126" s="102">
        <f>SUM(U126:X126)</f>
        <v>79</v>
      </c>
      <c r="Z126" s="103"/>
      <c r="AA126" s="100">
        <f>SUM(AA127:AA133)</f>
        <v>48</v>
      </c>
      <c r="AB126" s="101">
        <f>SUM(AB127:AB133)</f>
        <v>40</v>
      </c>
      <c r="AC126" s="1321">
        <f>SUM(AC127:AC133)</f>
        <v>39</v>
      </c>
      <c r="AD126" s="101">
        <f>SUM(AD127:AD133)</f>
        <v>34</v>
      </c>
      <c r="AE126" s="102">
        <f>SUM(AA126:AD126)</f>
        <v>161</v>
      </c>
      <c r="AF126" s="103"/>
      <c r="AG126" s="100">
        <f>SUM(AG127:AG133)</f>
        <v>18.5</v>
      </c>
      <c r="AH126" s="101">
        <f>SUM(AH127:AH133)</f>
        <v>24.5</v>
      </c>
      <c r="AI126" s="1321">
        <f>SUM(AI127:AI133)</f>
        <v>126.5</v>
      </c>
      <c r="AJ126" s="101">
        <f>SUM(AJ127:AJ133)</f>
        <v>134.5</v>
      </c>
      <c r="AK126" s="102">
        <f>SUM(AG126:AJ126)</f>
        <v>304</v>
      </c>
      <c r="AL126" s="103"/>
      <c r="AM126" s="100">
        <f>SUM(AM127:AM133)</f>
        <v>61.25</v>
      </c>
      <c r="AN126" s="101">
        <f>SUM(AN127:AN133)</f>
        <v>118.25</v>
      </c>
      <c r="AO126" s="1321">
        <f>SUM(AO127:AO133)</f>
        <v>58.25</v>
      </c>
      <c r="AP126" s="101">
        <f>SUM(AP127:AP133)</f>
        <v>62.25</v>
      </c>
      <c r="AQ126" s="102">
        <f>SUM(AM126:AP126)</f>
        <v>300</v>
      </c>
      <c r="AR126" s="103"/>
      <c r="AS126" s="100">
        <f>SUM(AS127:AS133)</f>
        <v>69</v>
      </c>
      <c r="AT126" s="101">
        <f>SUM(AT127:AT133)</f>
        <v>73</v>
      </c>
      <c r="AU126" s="101">
        <f>SUM(AU127:AU133)</f>
        <v>79</v>
      </c>
      <c r="AV126" s="101">
        <f>SUM(AV127:AV133)</f>
        <v>214</v>
      </c>
      <c r="AW126" s="102">
        <f>SUM(AS126:AV126)</f>
        <v>435</v>
      </c>
      <c r="AX126" s="103"/>
      <c r="AY126" s="100">
        <f>SUM(AY127:AY133)</f>
        <v>61</v>
      </c>
      <c r="AZ126" s="101">
        <f>SUM(AZ127:AZ133)</f>
        <v>65</v>
      </c>
      <c r="BA126" s="101">
        <f>SUM(BA127:BA133)</f>
        <v>56</v>
      </c>
      <c r="BB126" s="101">
        <f>SUM(BB127:BB133)</f>
        <v>67</v>
      </c>
      <c r="BC126" s="102">
        <f>SUM(AY126:BB126)</f>
        <v>249</v>
      </c>
      <c r="BD126" s="103"/>
      <c r="BE126" s="100">
        <f>SUM(BE127:BE133)</f>
        <v>49</v>
      </c>
      <c r="BF126" s="101">
        <f>SUM(BF127:BF133)</f>
        <v>64</v>
      </c>
      <c r="BG126" s="101">
        <f>SUM(BG127:BG133)</f>
        <v>66</v>
      </c>
      <c r="BH126" s="101">
        <f>SUM(BH127:BH133)</f>
        <v>81</v>
      </c>
      <c r="BI126" s="102">
        <f>SUM(BE126:BH126)</f>
        <v>260</v>
      </c>
      <c r="BJ126" s="103"/>
      <c r="BK126" s="100">
        <f>SUM(BK127:BK133)</f>
        <v>17</v>
      </c>
      <c r="BL126" s="101">
        <f>SUM(BL127:BL133)</f>
        <v>40</v>
      </c>
      <c r="BM126" s="101">
        <f>SUM(BM127:BM133)</f>
        <v>35</v>
      </c>
      <c r="BN126" s="101">
        <f>SUM(BN127:BN133)</f>
        <v>40</v>
      </c>
      <c r="BO126" s="102">
        <f>SUM(BK126:BN126)</f>
        <v>132</v>
      </c>
      <c r="BP126" s="103"/>
      <c r="BQ126" s="100">
        <f>SUM(BQ127:BQ133)</f>
        <v>564</v>
      </c>
      <c r="BR126" s="101">
        <f>SUM(BR127:BR133)</f>
        <v>30.974818389063721</v>
      </c>
      <c r="BS126" s="101">
        <f>SUM(BS127:BS133)</f>
        <v>29.751439241782158</v>
      </c>
      <c r="BT126" s="101">
        <f>SUM(BT127:BT133)</f>
        <v>35.071331767259437</v>
      </c>
      <c r="BU126" s="102">
        <f>SUM(BQ126:BT126)</f>
        <v>659.79758939810517</v>
      </c>
      <c r="BV126" s="103"/>
      <c r="BW126" s="100">
        <f>SUM(BW127:BW133)</f>
        <v>18.18788382925333</v>
      </c>
      <c r="BX126" s="101">
        <f>SUM(BX127:BX133)</f>
        <v>24.75140477998653</v>
      </c>
      <c r="BY126" s="101">
        <f>SUM(BY127:BY133)</f>
        <v>23.7864744741469</v>
      </c>
      <c r="BZ126" s="101">
        <f>SUM(BZ127:BZ133)</f>
        <v>28.704462045465753</v>
      </c>
      <c r="CA126" s="102">
        <f>SUM(BW126:BZ126)</f>
        <v>95.430225128852527</v>
      </c>
      <c r="CB126" s="101"/>
      <c r="CC126" s="100">
        <f>SUM(CC127:CC133)</f>
        <v>15.317647229572678</v>
      </c>
      <c r="CD126" s="101">
        <f>SUM(CD127:CD133)</f>
        <v>21.810662182727388</v>
      </c>
      <c r="CE126" s="101">
        <f>SUM(CE127:CE133)</f>
        <v>20.938123925057823</v>
      </c>
      <c r="CF126" s="101">
        <f>SUM(CF127:CF133)</f>
        <v>25.644244836619588</v>
      </c>
      <c r="CG126" s="102">
        <f>SUM(CC126:CF126)</f>
        <v>83.710678173977485</v>
      </c>
      <c r="CH126" s="86"/>
      <c r="CI126" s="100">
        <f>SUM(CI127:CI133)</f>
        <v>16.067127153883799</v>
      </c>
      <c r="CJ126" s="101">
        <f>SUM(CJ127:CJ133)</f>
        <v>22.632110497196948</v>
      </c>
      <c r="CK126" s="101">
        <f>SUM(CK127:CK133)</f>
        <v>21.891571809638485</v>
      </c>
      <c r="CL126" s="101">
        <f>SUM(CL127:CL133)</f>
        <v>26.592052378709006</v>
      </c>
      <c r="CM126" s="102">
        <f>SUM(CI126:CL126)</f>
        <v>87.182861839428242</v>
      </c>
      <c r="CN126" s="86"/>
      <c r="CO126" s="86"/>
      <c r="CP126" s="86"/>
      <c r="CQ126"/>
      <c r="CR126"/>
      <c r="CS126"/>
      <c r="CT126"/>
      <c r="CU126"/>
      <c r="CV126"/>
      <c r="CW126" s="86"/>
    </row>
    <row r="127" spans="1:119" s="149" customFormat="1" outlineLevel="1">
      <c r="A127" s="255" t="s">
        <v>132</v>
      </c>
      <c r="B127" s="61" t="s">
        <v>113</v>
      </c>
      <c r="C127" s="1583">
        <v>0</v>
      </c>
      <c r="D127" s="1584">
        <v>0</v>
      </c>
      <c r="E127" s="1584">
        <v>0</v>
      </c>
      <c r="F127" s="1584">
        <v>0</v>
      </c>
      <c r="G127" s="62">
        <f t="shared" si="68"/>
        <v>0</v>
      </c>
      <c r="H127" s="61"/>
      <c r="I127" s="1583">
        <v>0</v>
      </c>
      <c r="J127" s="1584">
        <v>0</v>
      </c>
      <c r="K127" s="1584">
        <v>0</v>
      </c>
      <c r="L127" s="1584">
        <v>0</v>
      </c>
      <c r="M127" s="62">
        <f t="shared" si="69"/>
        <v>0</v>
      </c>
      <c r="N127" s="61"/>
      <c r="O127" s="1583">
        <v>0</v>
      </c>
      <c r="P127" s="1584">
        <v>0</v>
      </c>
      <c r="Q127" s="1584">
        <v>0</v>
      </c>
      <c r="R127" s="1584">
        <v>0</v>
      </c>
      <c r="S127" s="62">
        <f>SUM(O127:R127)</f>
        <v>0</v>
      </c>
      <c r="T127" s="63"/>
      <c r="U127" s="1583">
        <v>0</v>
      </c>
      <c r="V127" s="1584">
        <v>0</v>
      </c>
      <c r="W127" s="1584">
        <v>0</v>
      </c>
      <c r="X127" s="1584">
        <v>0</v>
      </c>
      <c r="Y127" s="62">
        <f>SUM(U127:X127)</f>
        <v>0</v>
      </c>
      <c r="Z127" s="63"/>
      <c r="AA127" s="1583">
        <v>-1.75</v>
      </c>
      <c r="AB127" s="1584">
        <v>-5.75</v>
      </c>
      <c r="AC127" s="1584">
        <v>-1.75</v>
      </c>
      <c r="AD127" s="1585">
        <v>-3.75</v>
      </c>
      <c r="AE127" s="257">
        <f>SUM(AA127:AD127)</f>
        <v>-13</v>
      </c>
      <c r="AF127" s="63"/>
      <c r="AG127" s="1583">
        <v>0</v>
      </c>
      <c r="AH127" s="1584">
        <v>0</v>
      </c>
      <c r="AI127" s="1584">
        <v>0</v>
      </c>
      <c r="AJ127" s="1585">
        <v>0</v>
      </c>
      <c r="AK127" s="257">
        <f>SUM(AG127:AJ127)</f>
        <v>0</v>
      </c>
      <c r="AL127" s="63"/>
      <c r="AM127" s="1583">
        <v>10</v>
      </c>
      <c r="AN127" s="1584">
        <v>55</v>
      </c>
      <c r="AO127" s="1584">
        <v>1</v>
      </c>
      <c r="AP127" s="1585">
        <v>-3</v>
      </c>
      <c r="AQ127" s="257">
        <f>SUM(AM127:AP127)</f>
        <v>63</v>
      </c>
      <c r="AR127" s="63"/>
      <c r="AS127" s="1583">
        <v>-2</v>
      </c>
      <c r="AT127" s="1584">
        <v>0</v>
      </c>
      <c r="AU127" s="1584">
        <v>0</v>
      </c>
      <c r="AV127" s="1584">
        <v>0</v>
      </c>
      <c r="AW127" s="257">
        <f>SUM(AS127:AV127)</f>
        <v>-2</v>
      </c>
      <c r="AX127" s="63"/>
      <c r="AY127" s="1583">
        <v>0</v>
      </c>
      <c r="AZ127" s="1584">
        <v>0</v>
      </c>
      <c r="BA127" s="1584">
        <v>0</v>
      </c>
      <c r="BB127" s="1584">
        <v>0</v>
      </c>
      <c r="BC127" s="257">
        <f>SUM(AY127:BB127)</f>
        <v>0</v>
      </c>
      <c r="BD127" s="63"/>
      <c r="BE127" s="1583">
        <v>0</v>
      </c>
      <c r="BF127" s="1584">
        <v>0</v>
      </c>
      <c r="BG127" s="1584">
        <v>0</v>
      </c>
      <c r="BH127" s="1584">
        <v>0</v>
      </c>
      <c r="BI127" s="257">
        <f>SUM(BE127:BH127)</f>
        <v>0</v>
      </c>
      <c r="BJ127" s="63"/>
      <c r="BK127" s="2144">
        <v>0</v>
      </c>
      <c r="BL127" s="1584">
        <v>0</v>
      </c>
      <c r="BM127" s="2346">
        <v>0</v>
      </c>
      <c r="BN127" s="1584">
        <v>0</v>
      </c>
      <c r="BO127" s="257">
        <f>SUM(BK127:BN127)</f>
        <v>0</v>
      </c>
      <c r="BP127" s="63"/>
      <c r="BQ127" s="2144">
        <v>0</v>
      </c>
      <c r="BR127" s="258">
        <f>BQ127</f>
        <v>0</v>
      </c>
      <c r="BS127" s="258">
        <f>BR127</f>
        <v>0</v>
      </c>
      <c r="BT127" s="259">
        <f>BS127</f>
        <v>0</v>
      </c>
      <c r="BU127" s="257">
        <f>SUM(BQ127:BT127)</f>
        <v>0</v>
      </c>
      <c r="BV127" s="63"/>
      <c r="BW127" s="369">
        <f>BT127</f>
        <v>0</v>
      </c>
      <c r="BX127" s="258">
        <f>BW127</f>
        <v>0</v>
      </c>
      <c r="BY127" s="258">
        <f>BX127</f>
        <v>0</v>
      </c>
      <c r="BZ127" s="259">
        <f>BY127</f>
        <v>0</v>
      </c>
      <c r="CA127" s="257">
        <f>SUM(BW127:BZ127)</f>
        <v>0</v>
      </c>
      <c r="CB127" s="258"/>
      <c r="CC127" s="369">
        <f>BZ127</f>
        <v>0</v>
      </c>
      <c r="CD127" s="258">
        <f>CC127</f>
        <v>0</v>
      </c>
      <c r="CE127" s="258">
        <f>CD127</f>
        <v>0</v>
      </c>
      <c r="CF127" s="259">
        <f>CE127</f>
        <v>0</v>
      </c>
      <c r="CG127" s="257">
        <f>SUM(CC127:CF127)</f>
        <v>0</v>
      </c>
      <c r="CH127" s="86"/>
      <c r="CI127" s="369">
        <f>CF127</f>
        <v>0</v>
      </c>
      <c r="CJ127" s="258">
        <f>CI127</f>
        <v>0</v>
      </c>
      <c r="CK127" s="258">
        <f>CJ127</f>
        <v>0</v>
      </c>
      <c r="CL127" s="259">
        <f>CK127</f>
        <v>0</v>
      </c>
      <c r="CM127" s="257">
        <f>SUM(CI127:CL127)</f>
        <v>0</v>
      </c>
      <c r="CN127" s="86"/>
      <c r="CO127" s="86"/>
      <c r="CP127" s="86"/>
      <c r="CQ127"/>
      <c r="CR127"/>
      <c r="CS127"/>
      <c r="CT127"/>
      <c r="CU127"/>
      <c r="CV127"/>
      <c r="CW127" s="86"/>
    </row>
    <row r="128" spans="1:119" s="149" customFormat="1" outlineLevel="1">
      <c r="A128" s="255" t="s">
        <v>133</v>
      </c>
      <c r="B128" s="61"/>
      <c r="C128" s="1583">
        <v>0</v>
      </c>
      <c r="D128" s="1584">
        <v>0</v>
      </c>
      <c r="E128" s="1584">
        <v>0</v>
      </c>
      <c r="F128" s="1584">
        <v>0</v>
      </c>
      <c r="G128" s="62">
        <f t="shared" si="68"/>
        <v>0</v>
      </c>
      <c r="H128" s="61"/>
      <c r="I128" s="1583">
        <v>0</v>
      </c>
      <c r="J128" s="1584">
        <v>0</v>
      </c>
      <c r="K128" s="1584">
        <v>0</v>
      </c>
      <c r="L128" s="1584">
        <v>0</v>
      </c>
      <c r="M128" s="62">
        <f t="shared" si="69"/>
        <v>0</v>
      </c>
      <c r="N128" s="61"/>
      <c r="O128" s="1583">
        <v>0</v>
      </c>
      <c r="P128" s="1584">
        <v>0</v>
      </c>
      <c r="Q128" s="1584">
        <v>0</v>
      </c>
      <c r="R128" s="1584">
        <v>0</v>
      </c>
      <c r="S128" s="62">
        <f>SUM(O128:R128)</f>
        <v>0</v>
      </c>
      <c r="T128" s="63"/>
      <c r="U128" s="1583">
        <v>0</v>
      </c>
      <c r="V128" s="1584">
        <v>0</v>
      </c>
      <c r="W128" s="1584">
        <v>0</v>
      </c>
      <c r="X128" s="1584">
        <v>0</v>
      </c>
      <c r="Y128" s="62">
        <f>SUM(U128:X128)</f>
        <v>0</v>
      </c>
      <c r="Z128" s="63"/>
      <c r="AA128" s="1583">
        <v>-0.25</v>
      </c>
      <c r="AB128" s="1584">
        <v>4.75</v>
      </c>
      <c r="AC128" s="1584">
        <v>3.75</v>
      </c>
      <c r="AD128" s="1585">
        <v>-0.25</v>
      </c>
      <c r="AE128" s="257">
        <f>SUM(AA128:AD128)</f>
        <v>8</v>
      </c>
      <c r="AF128" s="63"/>
      <c r="AG128" s="1583">
        <v>0</v>
      </c>
      <c r="AH128" s="1584">
        <v>0</v>
      </c>
      <c r="AI128" s="1584">
        <v>15</v>
      </c>
      <c r="AJ128" s="1585">
        <v>1</v>
      </c>
      <c r="AK128" s="257">
        <f>SUM(AG128:AJ128)</f>
        <v>16</v>
      </c>
      <c r="AL128" s="63"/>
      <c r="AM128" s="1583">
        <v>0</v>
      </c>
      <c r="AN128" s="1584">
        <v>0</v>
      </c>
      <c r="AO128" s="1584">
        <v>0</v>
      </c>
      <c r="AP128" s="1585">
        <v>-1</v>
      </c>
      <c r="AQ128" s="257">
        <f>SUM(AM128:AP128)</f>
        <v>-1</v>
      </c>
      <c r="AR128" s="63"/>
      <c r="AS128" s="1583">
        <v>0</v>
      </c>
      <c r="AT128" s="1584">
        <v>0</v>
      </c>
      <c r="AU128" s="1584">
        <v>0</v>
      </c>
      <c r="AV128" s="1584">
        <v>4</v>
      </c>
      <c r="AW128" s="257">
        <f>SUM(AS128:AV128)</f>
        <v>4</v>
      </c>
      <c r="AX128" s="63"/>
      <c r="AY128" s="1583">
        <v>0</v>
      </c>
      <c r="AZ128" s="1584">
        <v>0</v>
      </c>
      <c r="BA128" s="1584">
        <v>0</v>
      </c>
      <c r="BB128" s="1584">
        <v>3</v>
      </c>
      <c r="BC128" s="257">
        <f>SUM(AY128:BB128)</f>
        <v>3</v>
      </c>
      <c r="BD128" s="63"/>
      <c r="BE128" s="1583">
        <v>0</v>
      </c>
      <c r="BF128" s="1584">
        <v>0</v>
      </c>
      <c r="BG128" s="1584">
        <v>4</v>
      </c>
      <c r="BH128" s="1584">
        <v>0</v>
      </c>
      <c r="BI128" s="257">
        <f>SUM(BE128:BH128)</f>
        <v>4</v>
      </c>
      <c r="BJ128" s="63"/>
      <c r="BK128" s="1583">
        <v>0</v>
      </c>
      <c r="BL128" s="1584">
        <v>0</v>
      </c>
      <c r="BM128" s="2346">
        <v>0</v>
      </c>
      <c r="BN128" s="1584">
        <v>0</v>
      </c>
      <c r="BO128" s="257">
        <f>SUM(BK128:BN128)</f>
        <v>0</v>
      </c>
      <c r="BP128" s="63"/>
      <c r="BQ128" s="2144">
        <v>0</v>
      </c>
      <c r="BR128" s="1584">
        <v>0</v>
      </c>
      <c r="BS128" s="1584">
        <v>0</v>
      </c>
      <c r="BT128" s="1585">
        <v>0</v>
      </c>
      <c r="BU128" s="257">
        <f>SUM(BQ128:BT128)</f>
        <v>0</v>
      </c>
      <c r="BV128" s="63"/>
      <c r="BW128" s="1583">
        <v>0</v>
      </c>
      <c r="BX128" s="1584">
        <v>0</v>
      </c>
      <c r="BY128" s="1584">
        <v>0</v>
      </c>
      <c r="BZ128" s="1585">
        <v>0</v>
      </c>
      <c r="CA128" s="257">
        <f>SUM(BW128:BZ128)</f>
        <v>0</v>
      </c>
      <c r="CB128" s="258"/>
      <c r="CC128" s="1583">
        <v>0</v>
      </c>
      <c r="CD128" s="1584">
        <v>0</v>
      </c>
      <c r="CE128" s="1584">
        <v>0</v>
      </c>
      <c r="CF128" s="1585">
        <v>0</v>
      </c>
      <c r="CG128" s="257">
        <f>SUM(CC128:CF128)</f>
        <v>0</v>
      </c>
      <c r="CH128" s="86"/>
      <c r="CI128" s="1583">
        <v>0</v>
      </c>
      <c r="CJ128" s="1584">
        <v>0</v>
      </c>
      <c r="CK128" s="1584">
        <v>0</v>
      </c>
      <c r="CL128" s="1585">
        <v>0</v>
      </c>
      <c r="CM128" s="257">
        <f>SUM(CI128:CL128)</f>
        <v>0</v>
      </c>
      <c r="CN128" s="86"/>
      <c r="CO128" s="86"/>
      <c r="CP128" s="86"/>
      <c r="CQ128"/>
      <c r="CR128"/>
      <c r="CS128"/>
      <c r="CT128"/>
      <c r="CU128"/>
      <c r="CV128"/>
      <c r="CW128" s="86"/>
    </row>
    <row r="129" spans="1:119" s="149" customFormat="1" outlineLevel="1">
      <c r="A129" s="255" t="s">
        <v>134</v>
      </c>
      <c r="B129" s="61"/>
      <c r="C129" s="1583">
        <v>13.444444444444446</v>
      </c>
      <c r="D129" s="1584">
        <v>13.444444444444446</v>
      </c>
      <c r="E129" s="1584">
        <v>13.444444444444446</v>
      </c>
      <c r="F129" s="1584">
        <v>13.444444444444446</v>
      </c>
      <c r="G129" s="257">
        <f t="shared" si="68"/>
        <v>53.777777777777786</v>
      </c>
      <c r="H129" s="61"/>
      <c r="I129" s="1583">
        <v>12.527777777777779</v>
      </c>
      <c r="J129" s="1584">
        <v>12.527777777777779</v>
      </c>
      <c r="K129" s="1584">
        <v>12.527777777777779</v>
      </c>
      <c r="L129" s="1584">
        <v>12.527777777777779</v>
      </c>
      <c r="M129" s="257">
        <f t="shared" si="69"/>
        <v>50.111111111111114</v>
      </c>
      <c r="N129" s="61"/>
      <c r="O129" s="1583">
        <v>14</v>
      </c>
      <c r="P129" s="1584">
        <v>12</v>
      </c>
      <c r="Q129" s="1584">
        <v>13</v>
      </c>
      <c r="R129" s="1584">
        <v>11</v>
      </c>
      <c r="S129" s="257">
        <f t="shared" ref="S129:S135" si="70">SUM(O129:R129)</f>
        <v>50</v>
      </c>
      <c r="T129" s="63"/>
      <c r="U129" s="1583">
        <v>9</v>
      </c>
      <c r="V129" s="1584">
        <v>5</v>
      </c>
      <c r="W129" s="1584">
        <v>29</v>
      </c>
      <c r="X129" s="1584">
        <v>36</v>
      </c>
      <c r="Y129" s="257">
        <f t="shared" ref="Y129:Y135" si="71">SUM(U129:X129)</f>
        <v>79</v>
      </c>
      <c r="Z129" s="63"/>
      <c r="AA129" s="1583">
        <v>25.75</v>
      </c>
      <c r="AB129" s="1584">
        <v>25.75</v>
      </c>
      <c r="AC129" s="1584">
        <v>26.75</v>
      </c>
      <c r="AD129" s="1584">
        <v>25.75</v>
      </c>
      <c r="AE129" s="257">
        <f>SUM(AA129:AD129)</f>
        <v>104</v>
      </c>
      <c r="AF129" s="63"/>
      <c r="AG129" s="1583">
        <v>25.25</v>
      </c>
      <c r="AH129" s="1584">
        <v>24.25</v>
      </c>
      <c r="AI129" s="1584">
        <v>30.25</v>
      </c>
      <c r="AJ129" s="1584">
        <v>50.25</v>
      </c>
      <c r="AK129" s="257">
        <f>SUM(AG129:AJ129)</f>
        <v>130</v>
      </c>
      <c r="AL129" s="63"/>
      <c r="AM129" s="1583">
        <v>49.5</v>
      </c>
      <c r="AN129" s="1584">
        <v>48.5</v>
      </c>
      <c r="AO129" s="1584">
        <v>45.5</v>
      </c>
      <c r="AP129" s="1584">
        <v>45.5</v>
      </c>
      <c r="AQ129" s="257">
        <f>SUM(AM129:AP129)</f>
        <v>189</v>
      </c>
      <c r="AR129" s="63"/>
      <c r="AS129" s="1583">
        <v>49</v>
      </c>
      <c r="AT129" s="1584">
        <v>49</v>
      </c>
      <c r="AU129" s="1584">
        <v>46</v>
      </c>
      <c r="AV129" s="1584">
        <v>45</v>
      </c>
      <c r="AW129" s="257">
        <f>SUM(AS129:AV129)</f>
        <v>189</v>
      </c>
      <c r="AX129" s="63"/>
      <c r="AY129" s="1583">
        <v>43</v>
      </c>
      <c r="AZ129" s="1584">
        <v>38</v>
      </c>
      <c r="BA129" s="1584">
        <v>38</v>
      </c>
      <c r="BB129" s="1584">
        <v>37</v>
      </c>
      <c r="BC129" s="257">
        <f>SUM(AY129:BB129)</f>
        <v>156</v>
      </c>
      <c r="BD129" s="63"/>
      <c r="BE129" s="1583">
        <v>43</v>
      </c>
      <c r="BF129" s="1584">
        <v>40</v>
      </c>
      <c r="BG129" s="1584">
        <v>37</v>
      </c>
      <c r="BH129" s="1584">
        <v>32</v>
      </c>
      <c r="BI129" s="257">
        <f>SUM(BE129:BH129)</f>
        <v>152</v>
      </c>
      <c r="BJ129" s="63"/>
      <c r="BK129" s="2144">
        <v>31</v>
      </c>
      <c r="BL129" s="1584">
        <v>31</v>
      </c>
      <c r="BM129" s="2346">
        <v>27</v>
      </c>
      <c r="BN129" s="1584">
        <v>28</v>
      </c>
      <c r="BO129" s="257">
        <f>SUM(BK129:BN129)</f>
        <v>117</v>
      </c>
      <c r="BP129" s="63"/>
      <c r="BQ129" s="2144">
        <v>25</v>
      </c>
      <c r="BR129" s="258">
        <f>-BS!BR116</f>
        <v>21.974818389063721</v>
      </c>
      <c r="BS129" s="258">
        <f>-BS!BS116</f>
        <v>21.751439241782158</v>
      </c>
      <c r="BT129" s="259">
        <f>-BS!BT116</f>
        <v>23.071331767259437</v>
      </c>
      <c r="BU129" s="257">
        <f>SUM(BQ129:BT129)</f>
        <v>91.797589398105316</v>
      </c>
      <c r="BV129" s="63"/>
      <c r="BW129" s="369">
        <f>-BS!BW116</f>
        <v>15.187883829253328</v>
      </c>
      <c r="BX129" s="258">
        <f>-BS!BX116</f>
        <v>15.751404779986531</v>
      </c>
      <c r="BY129" s="258">
        <f>-BS!BY116</f>
        <v>15.786474474146901</v>
      </c>
      <c r="BZ129" s="259">
        <f>-BS!BZ116</f>
        <v>16.704462045465753</v>
      </c>
      <c r="CA129" s="257">
        <f>SUM(BW129:BZ129)</f>
        <v>63.430225128852513</v>
      </c>
      <c r="CB129" s="258"/>
      <c r="CC129" s="369">
        <f>-BS!CC116</f>
        <v>12.31764722957268</v>
      </c>
      <c r="CD129" s="258">
        <f>-BS!CD116</f>
        <v>12.810662182727388</v>
      </c>
      <c r="CE129" s="258">
        <f>-BS!CE116</f>
        <v>12.938123925057823</v>
      </c>
      <c r="CF129" s="259">
        <f>-BS!CF116</f>
        <v>13.644244836619588</v>
      </c>
      <c r="CG129" s="257">
        <f>SUM(CC129:CF129)</f>
        <v>51.710678173977485</v>
      </c>
      <c r="CH129" s="86"/>
      <c r="CI129" s="369">
        <f>-BS!CI116</f>
        <v>13.067127153883799</v>
      </c>
      <c r="CJ129" s="258">
        <f>-BS!CJ116</f>
        <v>13.632110497196948</v>
      </c>
      <c r="CK129" s="258">
        <f>-BS!CK116</f>
        <v>13.891571809638483</v>
      </c>
      <c r="CL129" s="259">
        <f>-BS!CL116</f>
        <v>14.592052378709006</v>
      </c>
      <c r="CM129" s="257">
        <f>SUM(CI129:CL129)</f>
        <v>55.182861839428234</v>
      </c>
      <c r="CN129" s="86"/>
      <c r="CO129" s="86"/>
      <c r="CP129" s="86"/>
      <c r="CQ129"/>
      <c r="CR129"/>
      <c r="CS129"/>
      <c r="CT129"/>
      <c r="CU129"/>
      <c r="CV129"/>
      <c r="CW129" s="86"/>
    </row>
    <row r="130" spans="1:119" s="149" customFormat="1" outlineLevel="1">
      <c r="A130" s="255" t="s">
        <v>135</v>
      </c>
      <c r="B130" s="61"/>
      <c r="C130" s="1583">
        <v>0</v>
      </c>
      <c r="D130" s="1584">
        <v>0</v>
      </c>
      <c r="E130" s="1584">
        <v>0</v>
      </c>
      <c r="F130" s="1584">
        <v>0</v>
      </c>
      <c r="G130" s="62">
        <f t="shared" si="68"/>
        <v>0</v>
      </c>
      <c r="H130" s="61"/>
      <c r="I130" s="1583">
        <v>0</v>
      </c>
      <c r="J130" s="1584">
        <v>0</v>
      </c>
      <c r="K130" s="1584">
        <v>0</v>
      </c>
      <c r="L130" s="1584">
        <v>0</v>
      </c>
      <c r="M130" s="62">
        <f t="shared" si="69"/>
        <v>0</v>
      </c>
      <c r="N130" s="61"/>
      <c r="O130" s="1583">
        <v>0</v>
      </c>
      <c r="P130" s="1584">
        <v>0</v>
      </c>
      <c r="Q130" s="1584">
        <v>0</v>
      </c>
      <c r="R130" s="1584">
        <v>0</v>
      </c>
      <c r="S130" s="62">
        <f>SUM(O130:R130)</f>
        <v>0</v>
      </c>
      <c r="T130" s="63"/>
      <c r="U130" s="1583">
        <v>0</v>
      </c>
      <c r="V130" s="1584">
        <v>0</v>
      </c>
      <c r="W130" s="1584">
        <v>0</v>
      </c>
      <c r="X130" s="1584">
        <v>0</v>
      </c>
      <c r="Y130" s="62">
        <f t="shared" si="71"/>
        <v>0</v>
      </c>
      <c r="Z130" s="63"/>
      <c r="AA130" s="1583">
        <v>-0.25</v>
      </c>
      <c r="AB130" s="1584">
        <v>-0.25</v>
      </c>
      <c r="AC130" s="1584">
        <v>-0.25</v>
      </c>
      <c r="AD130" s="1585">
        <v>-0.25</v>
      </c>
      <c r="AE130" s="257">
        <f t="shared" ref="AE130:AE135" si="72">SUM(AA130:AD130)</f>
        <v>-1</v>
      </c>
      <c r="AF130" s="63"/>
      <c r="AG130" s="1583">
        <v>0</v>
      </c>
      <c r="AH130" s="1584">
        <v>6</v>
      </c>
      <c r="AI130" s="1584">
        <v>41</v>
      </c>
      <c r="AJ130" s="1585">
        <v>34</v>
      </c>
      <c r="AK130" s="257">
        <f t="shared" ref="AK130:AK135" si="73">SUM(AG130:AJ130)</f>
        <v>81</v>
      </c>
      <c r="AL130" s="63"/>
      <c r="AM130" s="1583">
        <v>0</v>
      </c>
      <c r="AN130" s="1584">
        <v>6</v>
      </c>
      <c r="AO130" s="1584">
        <v>6</v>
      </c>
      <c r="AP130" s="1585">
        <v>7</v>
      </c>
      <c r="AQ130" s="257">
        <f t="shared" ref="AQ130:AQ135" si="74">SUM(AM130:AP130)</f>
        <v>19</v>
      </c>
      <c r="AR130" s="63"/>
      <c r="AS130" s="1583">
        <v>0</v>
      </c>
      <c r="AT130" s="1584">
        <v>2</v>
      </c>
      <c r="AU130" s="1584">
        <v>2</v>
      </c>
      <c r="AV130" s="1584">
        <v>1</v>
      </c>
      <c r="AW130" s="257">
        <f t="shared" ref="AW130:AW135" si="75">SUM(AS130:AV130)</f>
        <v>5</v>
      </c>
      <c r="AX130" s="63"/>
      <c r="AY130" s="1583">
        <v>1</v>
      </c>
      <c r="AZ130" s="1584">
        <v>1</v>
      </c>
      <c r="BA130" s="1584">
        <v>0</v>
      </c>
      <c r="BB130" s="1584">
        <v>0</v>
      </c>
      <c r="BC130" s="257">
        <f t="shared" ref="BC130:BC135" si="76">SUM(AY130:BB130)</f>
        <v>2</v>
      </c>
      <c r="BD130" s="63"/>
      <c r="BE130" s="1583">
        <v>0</v>
      </c>
      <c r="BF130" s="1584">
        <v>0</v>
      </c>
      <c r="BG130" s="1584">
        <v>0</v>
      </c>
      <c r="BH130" s="1584">
        <v>0</v>
      </c>
      <c r="BI130" s="257">
        <f t="shared" ref="BI130:BI135" si="77">SUM(BE130:BH130)</f>
        <v>0</v>
      </c>
      <c r="BJ130" s="63"/>
      <c r="BK130" s="2144">
        <v>0</v>
      </c>
      <c r="BL130" s="1584">
        <v>0</v>
      </c>
      <c r="BM130" s="2346">
        <v>0</v>
      </c>
      <c r="BN130" s="1584">
        <v>0</v>
      </c>
      <c r="BO130" s="257">
        <f t="shared" ref="BO130:BO135" si="78">SUM(BK130:BN130)</f>
        <v>0</v>
      </c>
      <c r="BP130" s="63"/>
      <c r="BQ130" s="2144">
        <v>0</v>
      </c>
      <c r="BR130" s="1592">
        <f>BQ130</f>
        <v>0</v>
      </c>
      <c r="BS130" s="1592">
        <f>BR130</f>
        <v>0</v>
      </c>
      <c r="BT130" s="1593">
        <f>BS130</f>
        <v>0</v>
      </c>
      <c r="BU130" s="257">
        <f t="shared" ref="BU130:BU135" si="79">SUM(BQ130:BT130)</f>
        <v>0</v>
      </c>
      <c r="BV130" s="63"/>
      <c r="BW130" s="1597">
        <f>BT130</f>
        <v>0</v>
      </c>
      <c r="BX130" s="1592">
        <f>BW130</f>
        <v>0</v>
      </c>
      <c r="BY130" s="1592">
        <f>BX130</f>
        <v>0</v>
      </c>
      <c r="BZ130" s="1593">
        <f>BY130</f>
        <v>0</v>
      </c>
      <c r="CA130" s="257">
        <f t="shared" ref="CA130:CA135" si="80">SUM(BW130:BZ130)</f>
        <v>0</v>
      </c>
      <c r="CB130" s="258"/>
      <c r="CC130" s="1597">
        <f>BZ130</f>
        <v>0</v>
      </c>
      <c r="CD130" s="1592">
        <f>CC130</f>
        <v>0</v>
      </c>
      <c r="CE130" s="1592">
        <f>CD130</f>
        <v>0</v>
      </c>
      <c r="CF130" s="1593">
        <f>CE130</f>
        <v>0</v>
      </c>
      <c r="CG130" s="257">
        <f t="shared" ref="CG130:CG135" si="81">SUM(CC130:CF130)</f>
        <v>0</v>
      </c>
      <c r="CH130" s="86"/>
      <c r="CI130" s="1597">
        <f>CF130</f>
        <v>0</v>
      </c>
      <c r="CJ130" s="1592">
        <f>CI130</f>
        <v>0</v>
      </c>
      <c r="CK130" s="1592">
        <f>CJ130</f>
        <v>0</v>
      </c>
      <c r="CL130" s="1593">
        <f>CK130</f>
        <v>0</v>
      </c>
      <c r="CM130" s="257">
        <f t="shared" ref="CM130:CM135" si="82">SUM(CI130:CL130)</f>
        <v>0</v>
      </c>
      <c r="CN130" s="86"/>
      <c r="CO130" s="86"/>
      <c r="CP130" s="86"/>
      <c r="CQ130"/>
      <c r="CR130"/>
      <c r="CS130"/>
      <c r="CT130"/>
      <c r="CU130"/>
      <c r="CV130"/>
      <c r="CW130" s="86"/>
    </row>
    <row r="131" spans="1:119" s="149" customFormat="1" outlineLevel="1">
      <c r="A131" s="255" t="s">
        <v>136</v>
      </c>
      <c r="B131" s="61"/>
      <c r="C131" s="1583">
        <v>0</v>
      </c>
      <c r="D131" s="1584">
        <v>0</v>
      </c>
      <c r="E131" s="1584">
        <v>0</v>
      </c>
      <c r="F131" s="1584">
        <v>0</v>
      </c>
      <c r="G131" s="62">
        <f t="shared" si="68"/>
        <v>0</v>
      </c>
      <c r="H131" s="61"/>
      <c r="I131" s="1583">
        <v>0</v>
      </c>
      <c r="J131" s="1584">
        <v>0</v>
      </c>
      <c r="K131" s="1584">
        <v>0</v>
      </c>
      <c r="L131" s="1584">
        <v>0</v>
      </c>
      <c r="M131" s="62">
        <f t="shared" si="69"/>
        <v>0</v>
      </c>
      <c r="N131" s="61"/>
      <c r="O131" s="1583">
        <v>0</v>
      </c>
      <c r="P131" s="1584">
        <v>0</v>
      </c>
      <c r="Q131" s="1584">
        <v>0</v>
      </c>
      <c r="R131" s="1584">
        <v>0</v>
      </c>
      <c r="S131" s="62">
        <f>SUM(O131:R131)</f>
        <v>0</v>
      </c>
      <c r="T131" s="63"/>
      <c r="U131" s="1583">
        <v>0</v>
      </c>
      <c r="V131" s="1584">
        <v>0</v>
      </c>
      <c r="W131" s="1584">
        <v>0</v>
      </c>
      <c r="X131" s="1584">
        <v>0</v>
      </c>
      <c r="Y131" s="62">
        <f t="shared" si="71"/>
        <v>0</v>
      </c>
      <c r="Z131" s="63"/>
      <c r="AA131" s="1583">
        <v>-2</v>
      </c>
      <c r="AB131" s="1584">
        <v>-2</v>
      </c>
      <c r="AC131" s="1584">
        <v>-2</v>
      </c>
      <c r="AD131" s="1585">
        <v>-2</v>
      </c>
      <c r="AE131" s="257">
        <f t="shared" si="72"/>
        <v>-8</v>
      </c>
      <c r="AF131" s="63"/>
      <c r="AG131" s="1583">
        <v>-0.75</v>
      </c>
      <c r="AH131" s="1584">
        <v>5.25</v>
      </c>
      <c r="AI131" s="1584">
        <v>40.25</v>
      </c>
      <c r="AJ131" s="1585">
        <v>33.25</v>
      </c>
      <c r="AK131" s="257">
        <f t="shared" si="73"/>
        <v>78</v>
      </c>
      <c r="AL131" s="63"/>
      <c r="AM131" s="1583">
        <v>0</v>
      </c>
      <c r="AN131" s="1584">
        <v>6</v>
      </c>
      <c r="AO131" s="1584">
        <v>6</v>
      </c>
      <c r="AP131" s="1585">
        <v>7</v>
      </c>
      <c r="AQ131" s="257">
        <f t="shared" si="74"/>
        <v>19</v>
      </c>
      <c r="AR131" s="63"/>
      <c r="AS131" s="1583">
        <v>6</v>
      </c>
      <c r="AT131" s="1584">
        <v>2</v>
      </c>
      <c r="AU131" s="1584">
        <v>4</v>
      </c>
      <c r="AV131" s="1584">
        <f>1+7+68</f>
        <v>76</v>
      </c>
      <c r="AW131" s="257">
        <f t="shared" si="75"/>
        <v>88</v>
      </c>
      <c r="AX131" s="63"/>
      <c r="AY131" s="1583">
        <v>1</v>
      </c>
      <c r="AZ131" s="1584">
        <v>10</v>
      </c>
      <c r="BA131" s="1584">
        <v>0</v>
      </c>
      <c r="BB131" s="1584">
        <v>1</v>
      </c>
      <c r="BC131" s="257">
        <f t="shared" si="76"/>
        <v>12</v>
      </c>
      <c r="BD131" s="63"/>
      <c r="BE131" s="1583">
        <v>4</v>
      </c>
      <c r="BF131" s="1584">
        <f>10+12+1</f>
        <v>23</v>
      </c>
      <c r="BG131" s="1584">
        <f>11+11+1</f>
        <v>23</v>
      </c>
      <c r="BH131" s="1584">
        <f>6+13+4</f>
        <v>23</v>
      </c>
      <c r="BI131" s="257">
        <f t="shared" si="77"/>
        <v>73</v>
      </c>
      <c r="BJ131" s="63"/>
      <c r="BK131" s="1583">
        <f>0+2+16</f>
        <v>18</v>
      </c>
      <c r="BL131" s="1584">
        <v>7</v>
      </c>
      <c r="BM131" s="2346">
        <v>0</v>
      </c>
      <c r="BN131" s="1584">
        <v>0</v>
      </c>
      <c r="BO131" s="257">
        <f t="shared" si="78"/>
        <v>25</v>
      </c>
      <c r="BP131" s="63"/>
      <c r="BQ131" s="2144">
        <f>5+3</f>
        <v>8</v>
      </c>
      <c r="BR131" s="1584">
        <f t="shared" ref="BR131:BT133" si="83">+BL131</f>
        <v>7</v>
      </c>
      <c r="BS131" s="1584">
        <f t="shared" si="83"/>
        <v>0</v>
      </c>
      <c r="BT131" s="1585">
        <f t="shared" si="83"/>
        <v>0</v>
      </c>
      <c r="BU131" s="257">
        <f t="shared" si="79"/>
        <v>15</v>
      </c>
      <c r="BV131" s="63"/>
      <c r="BW131" s="1583">
        <f t="shared" ref="BW131:BZ133" si="84">+BQ131</f>
        <v>8</v>
      </c>
      <c r="BX131" s="1584">
        <f t="shared" si="84"/>
        <v>7</v>
      </c>
      <c r="BY131" s="1584">
        <f t="shared" si="84"/>
        <v>0</v>
      </c>
      <c r="BZ131" s="1585">
        <f t="shared" si="84"/>
        <v>0</v>
      </c>
      <c r="CA131" s="257">
        <f t="shared" si="80"/>
        <v>15</v>
      </c>
      <c r="CB131" s="258"/>
      <c r="CC131" s="1583">
        <f t="shared" ref="CC131:CF133" si="85">+BW131</f>
        <v>8</v>
      </c>
      <c r="CD131" s="1584">
        <f t="shared" si="85"/>
        <v>7</v>
      </c>
      <c r="CE131" s="1584">
        <f t="shared" si="85"/>
        <v>0</v>
      </c>
      <c r="CF131" s="1585">
        <f t="shared" si="85"/>
        <v>0</v>
      </c>
      <c r="CG131" s="257">
        <f t="shared" si="81"/>
        <v>15</v>
      </c>
      <c r="CH131" s="86"/>
      <c r="CI131" s="1583">
        <f t="shared" ref="CI131:CI133" si="86">+CC131</f>
        <v>8</v>
      </c>
      <c r="CJ131" s="1584">
        <f t="shared" ref="CJ131:CJ133" si="87">+CD131</f>
        <v>7</v>
      </c>
      <c r="CK131" s="1584">
        <f t="shared" ref="CK131:CK133" si="88">+CE131</f>
        <v>0</v>
      </c>
      <c r="CL131" s="1585">
        <f t="shared" ref="CL131:CL133" si="89">+CF131</f>
        <v>0</v>
      </c>
      <c r="CM131" s="257">
        <f t="shared" si="82"/>
        <v>15</v>
      </c>
      <c r="CN131" s="86"/>
      <c r="CO131" s="86"/>
      <c r="CP131" s="86"/>
      <c r="CQ131"/>
      <c r="CR131"/>
      <c r="CS131"/>
      <c r="CT131"/>
      <c r="CU131"/>
      <c r="CV131"/>
      <c r="CW131" s="86"/>
    </row>
    <row r="132" spans="1:119" s="149" customFormat="1" outlineLevel="1">
      <c r="A132" s="255" t="s">
        <v>137</v>
      </c>
      <c r="B132" s="61"/>
      <c r="C132" s="1583">
        <v>0</v>
      </c>
      <c r="D132" s="1584">
        <v>0</v>
      </c>
      <c r="E132" s="1584">
        <v>0</v>
      </c>
      <c r="F132" s="1584">
        <v>0</v>
      </c>
      <c r="G132" s="62">
        <f t="shared" si="68"/>
        <v>0</v>
      </c>
      <c r="H132" s="61"/>
      <c r="I132" s="1583">
        <v>0</v>
      </c>
      <c r="J132" s="1584">
        <v>0</v>
      </c>
      <c r="K132" s="1584">
        <v>0</v>
      </c>
      <c r="L132" s="1584">
        <v>0</v>
      </c>
      <c r="M132" s="62">
        <f t="shared" si="69"/>
        <v>0</v>
      </c>
      <c r="N132" s="61"/>
      <c r="O132" s="1583">
        <v>0</v>
      </c>
      <c r="P132" s="1584">
        <v>0</v>
      </c>
      <c r="Q132" s="1584">
        <v>0</v>
      </c>
      <c r="R132" s="1584">
        <v>0</v>
      </c>
      <c r="S132" s="62">
        <f>SUM(O132:R132)</f>
        <v>0</v>
      </c>
      <c r="T132" s="63"/>
      <c r="U132" s="1583">
        <v>0</v>
      </c>
      <c r="V132" s="1584">
        <v>0</v>
      </c>
      <c r="W132" s="1584">
        <v>0</v>
      </c>
      <c r="X132" s="1584">
        <v>0</v>
      </c>
      <c r="Y132" s="62">
        <f t="shared" si="71"/>
        <v>0</v>
      </c>
      <c r="Z132" s="63"/>
      <c r="AA132" s="1583">
        <v>-1</v>
      </c>
      <c r="AB132" s="1584">
        <v>-1</v>
      </c>
      <c r="AC132" s="1584">
        <v>-1</v>
      </c>
      <c r="AD132" s="1585">
        <v>-1</v>
      </c>
      <c r="AE132" s="257">
        <f t="shared" si="72"/>
        <v>-4</v>
      </c>
      <c r="AF132" s="63"/>
      <c r="AG132" s="1583">
        <v>-0.25</v>
      </c>
      <c r="AH132" s="1584">
        <v>-0.25</v>
      </c>
      <c r="AI132" s="1584">
        <v>-0.25</v>
      </c>
      <c r="AJ132" s="1585">
        <v>-0.25</v>
      </c>
      <c r="AK132" s="257">
        <f t="shared" si="73"/>
        <v>-1</v>
      </c>
      <c r="AL132" s="63"/>
      <c r="AM132" s="1583">
        <v>-1.5</v>
      </c>
      <c r="AN132" s="1584">
        <v>-1.5</v>
      </c>
      <c r="AO132" s="1584">
        <v>-1.5</v>
      </c>
      <c r="AP132" s="1585">
        <v>-1.5</v>
      </c>
      <c r="AQ132" s="257">
        <f t="shared" si="74"/>
        <v>-6</v>
      </c>
      <c r="AR132" s="63"/>
      <c r="AS132" s="1583">
        <v>0</v>
      </c>
      <c r="AT132" s="1584">
        <v>0</v>
      </c>
      <c r="AU132" s="1584">
        <f>AT132</f>
        <v>0</v>
      </c>
      <c r="AV132" s="1584">
        <v>0</v>
      </c>
      <c r="AW132" s="257">
        <f t="shared" si="75"/>
        <v>0</v>
      </c>
      <c r="AX132" s="63"/>
      <c r="AY132" s="1583">
        <v>0</v>
      </c>
      <c r="AZ132" s="1584">
        <v>0</v>
      </c>
      <c r="BA132" s="1584">
        <v>0</v>
      </c>
      <c r="BB132" s="1584">
        <v>0</v>
      </c>
      <c r="BC132" s="257">
        <f t="shared" si="76"/>
        <v>0</v>
      </c>
      <c r="BD132" s="63"/>
      <c r="BE132" s="1583">
        <v>-16</v>
      </c>
      <c r="BF132" s="1584">
        <v>0</v>
      </c>
      <c r="BG132" s="1584">
        <v>0</v>
      </c>
      <c r="BH132" s="1584">
        <v>0</v>
      </c>
      <c r="BI132" s="257">
        <f t="shared" si="77"/>
        <v>-16</v>
      </c>
      <c r="BJ132" s="63"/>
      <c r="BK132" s="1583">
        <v>-32</v>
      </c>
      <c r="BL132" s="1584">
        <v>0</v>
      </c>
      <c r="BM132" s="2346">
        <v>0</v>
      </c>
      <c r="BN132" s="1584">
        <v>0</v>
      </c>
      <c r="BO132" s="257">
        <f>SUM(BK132:BN132)</f>
        <v>-32</v>
      </c>
      <c r="BP132" s="63"/>
      <c r="BQ132" s="2144">
        <v>-5</v>
      </c>
      <c r="BR132" s="1584">
        <f t="shared" si="83"/>
        <v>0</v>
      </c>
      <c r="BS132" s="1584">
        <f t="shared" si="83"/>
        <v>0</v>
      </c>
      <c r="BT132" s="1585">
        <f t="shared" si="83"/>
        <v>0</v>
      </c>
      <c r="BU132" s="257">
        <f>SUM(BQ132:BT132)</f>
        <v>-5</v>
      </c>
      <c r="BV132" s="63"/>
      <c r="BW132" s="1583">
        <f t="shared" si="84"/>
        <v>-5</v>
      </c>
      <c r="BX132" s="1584">
        <f t="shared" si="84"/>
        <v>0</v>
      </c>
      <c r="BY132" s="1584">
        <f t="shared" si="84"/>
        <v>0</v>
      </c>
      <c r="BZ132" s="1585">
        <f t="shared" si="84"/>
        <v>0</v>
      </c>
      <c r="CA132" s="257">
        <f>SUM(BW132:BZ132)</f>
        <v>-5</v>
      </c>
      <c r="CB132" s="258"/>
      <c r="CC132" s="1583">
        <f t="shared" si="85"/>
        <v>-5</v>
      </c>
      <c r="CD132" s="1584">
        <f t="shared" si="85"/>
        <v>0</v>
      </c>
      <c r="CE132" s="1584">
        <f t="shared" si="85"/>
        <v>0</v>
      </c>
      <c r="CF132" s="1585">
        <f t="shared" si="85"/>
        <v>0</v>
      </c>
      <c r="CG132" s="257">
        <f t="shared" si="81"/>
        <v>-5</v>
      </c>
      <c r="CH132" s="86"/>
      <c r="CI132" s="1583">
        <f t="shared" si="86"/>
        <v>-5</v>
      </c>
      <c r="CJ132" s="1584">
        <f t="shared" si="87"/>
        <v>0</v>
      </c>
      <c r="CK132" s="1584">
        <f t="shared" si="88"/>
        <v>0</v>
      </c>
      <c r="CL132" s="1585">
        <f t="shared" si="89"/>
        <v>0</v>
      </c>
      <c r="CM132" s="257">
        <f t="shared" si="82"/>
        <v>-5</v>
      </c>
      <c r="CN132" s="86"/>
      <c r="CO132" s="86"/>
      <c r="CP132" s="86"/>
      <c r="CQ132"/>
      <c r="CR132"/>
      <c r="CS132"/>
      <c r="CT132"/>
      <c r="CU132"/>
      <c r="CV132"/>
      <c r="CW132" s="86"/>
    </row>
    <row r="133" spans="1:119" s="149" customFormat="1" outlineLevel="1">
      <c r="A133" s="255" t="s">
        <v>138</v>
      </c>
      <c r="B133" s="61"/>
      <c r="C133" s="1583">
        <v>0</v>
      </c>
      <c r="D133" s="1584">
        <v>0</v>
      </c>
      <c r="E133" s="1584">
        <v>0</v>
      </c>
      <c r="F133" s="1584">
        <v>0</v>
      </c>
      <c r="G133" s="62">
        <f t="shared" si="68"/>
        <v>0</v>
      </c>
      <c r="H133" s="61"/>
      <c r="I133" s="1583">
        <v>0</v>
      </c>
      <c r="J133" s="1584">
        <v>0</v>
      </c>
      <c r="K133" s="1584">
        <v>0</v>
      </c>
      <c r="L133" s="1584">
        <v>0</v>
      </c>
      <c r="M133" s="62">
        <f t="shared" si="69"/>
        <v>0</v>
      </c>
      <c r="N133" s="61"/>
      <c r="O133" s="1583">
        <v>0</v>
      </c>
      <c r="P133" s="1584">
        <v>0</v>
      </c>
      <c r="Q133" s="1584">
        <v>0</v>
      </c>
      <c r="R133" s="1584">
        <v>0</v>
      </c>
      <c r="S133" s="62">
        <f>SUM(O133:R133)</f>
        <v>0</v>
      </c>
      <c r="T133" s="63"/>
      <c r="U133" s="1583">
        <v>0</v>
      </c>
      <c r="V133" s="1584">
        <v>0</v>
      </c>
      <c r="W133" s="1584">
        <v>0</v>
      </c>
      <c r="X133" s="1584">
        <v>0</v>
      </c>
      <c r="Y133" s="62">
        <f t="shared" si="71"/>
        <v>0</v>
      </c>
      <c r="Z133" s="63"/>
      <c r="AA133" s="1583">
        <v>27.5</v>
      </c>
      <c r="AB133" s="1584">
        <v>18.5</v>
      </c>
      <c r="AC133" s="1584">
        <v>13.5</v>
      </c>
      <c r="AD133" s="1585">
        <v>15.5</v>
      </c>
      <c r="AE133" s="257">
        <f t="shared" si="72"/>
        <v>75</v>
      </c>
      <c r="AF133" s="63"/>
      <c r="AG133" s="1583">
        <v>-5.75</v>
      </c>
      <c r="AH133" s="1584">
        <v>-10.75</v>
      </c>
      <c r="AI133" s="1584">
        <v>0.25</v>
      </c>
      <c r="AJ133" s="1585">
        <v>16.25</v>
      </c>
      <c r="AK133" s="257">
        <f t="shared" si="73"/>
        <v>0</v>
      </c>
      <c r="AL133" s="63"/>
      <c r="AM133" s="1583">
        <v>3.25</v>
      </c>
      <c r="AN133" s="1584">
        <v>4.25</v>
      </c>
      <c r="AO133" s="1584">
        <v>1.25</v>
      </c>
      <c r="AP133" s="1585">
        <v>8.25</v>
      </c>
      <c r="AQ133" s="257">
        <f t="shared" si="74"/>
        <v>17</v>
      </c>
      <c r="AR133" s="63"/>
      <c r="AS133" s="1583">
        <f>1+10+2+3</f>
        <v>16</v>
      </c>
      <c r="AT133" s="1584">
        <f>8+10+2</f>
        <v>20</v>
      </c>
      <c r="AU133" s="1584">
        <f>7-13+21+12</f>
        <v>27</v>
      </c>
      <c r="AV133" s="1584">
        <f>11-3+68+12</f>
        <v>88</v>
      </c>
      <c r="AW133" s="257">
        <f t="shared" si="75"/>
        <v>151</v>
      </c>
      <c r="AX133" s="63"/>
      <c r="AY133" s="1583">
        <f>1+3+12</f>
        <v>16</v>
      </c>
      <c r="AZ133" s="1584">
        <f>17+1-2</f>
        <v>16</v>
      </c>
      <c r="BA133" s="1584">
        <f>12+4+2</f>
        <v>18</v>
      </c>
      <c r="BB133" s="1584">
        <f>4+7+15</f>
        <v>26</v>
      </c>
      <c r="BC133" s="257">
        <f t="shared" si="76"/>
        <v>76</v>
      </c>
      <c r="BD133" s="63"/>
      <c r="BE133" s="1583">
        <f>11+5+2</f>
        <v>18</v>
      </c>
      <c r="BF133" s="1584">
        <v>1</v>
      </c>
      <c r="BG133" s="1584">
        <v>2</v>
      </c>
      <c r="BH133" s="1584">
        <f>1+25</f>
        <v>26</v>
      </c>
      <c r="BI133" s="257">
        <f t="shared" si="77"/>
        <v>47</v>
      </c>
      <c r="BJ133" s="63"/>
      <c r="BK133" s="1583">
        <v>0</v>
      </c>
      <c r="BL133" s="1584">
        <v>2</v>
      </c>
      <c r="BM133" s="2346">
        <f>3+4+1</f>
        <v>8</v>
      </c>
      <c r="BN133" s="1584">
        <v>12</v>
      </c>
      <c r="BO133" s="257">
        <f>SUM(BK133:BN133)</f>
        <v>22</v>
      </c>
      <c r="BP133" s="63"/>
      <c r="BQ133" s="2144">
        <f>2+1+533</f>
        <v>536</v>
      </c>
      <c r="BR133" s="1584">
        <f t="shared" si="83"/>
        <v>2</v>
      </c>
      <c r="BS133" s="1584">
        <f t="shared" si="83"/>
        <v>8</v>
      </c>
      <c r="BT133" s="1585">
        <f t="shared" si="83"/>
        <v>12</v>
      </c>
      <c r="BU133" s="257">
        <f>SUM(BQ133:BT133)</f>
        <v>558</v>
      </c>
      <c r="BV133" s="63"/>
      <c r="BW133" s="1583">
        <v>0</v>
      </c>
      <c r="BX133" s="1584">
        <f t="shared" si="84"/>
        <v>2</v>
      </c>
      <c r="BY133" s="1584">
        <f t="shared" si="84"/>
        <v>8</v>
      </c>
      <c r="BZ133" s="1585">
        <f t="shared" si="84"/>
        <v>12</v>
      </c>
      <c r="CA133" s="257">
        <f>SUM(BW133:BZ133)</f>
        <v>22</v>
      </c>
      <c r="CB133" s="258"/>
      <c r="CC133" s="1583">
        <f t="shared" si="85"/>
        <v>0</v>
      </c>
      <c r="CD133" s="1584">
        <f t="shared" si="85"/>
        <v>2</v>
      </c>
      <c r="CE133" s="1584">
        <f t="shared" si="85"/>
        <v>8</v>
      </c>
      <c r="CF133" s="1585">
        <f t="shared" si="85"/>
        <v>12</v>
      </c>
      <c r="CG133" s="257">
        <f t="shared" si="81"/>
        <v>22</v>
      </c>
      <c r="CH133" s="86"/>
      <c r="CI133" s="1583">
        <f t="shared" si="86"/>
        <v>0</v>
      </c>
      <c r="CJ133" s="1584">
        <f t="shared" si="87"/>
        <v>2</v>
      </c>
      <c r="CK133" s="1584">
        <f t="shared" si="88"/>
        <v>8</v>
      </c>
      <c r="CL133" s="1585">
        <f t="shared" si="89"/>
        <v>12</v>
      </c>
      <c r="CM133" s="257">
        <f t="shared" si="82"/>
        <v>22</v>
      </c>
      <c r="CN133" s="86"/>
      <c r="CO133" s="86"/>
      <c r="CP133" s="86"/>
      <c r="CQ133"/>
      <c r="CR133"/>
      <c r="CS133"/>
      <c r="CT133"/>
      <c r="CU133"/>
      <c r="CV133"/>
      <c r="CW133" s="86"/>
    </row>
    <row r="134" spans="1:119" s="149" customFormat="1">
      <c r="A134" s="80" t="s">
        <v>139</v>
      </c>
      <c r="B134" s="61"/>
      <c r="C134" s="369">
        <f>C126*-0.35</f>
        <v>-4.7055555555555557</v>
      </c>
      <c r="D134" s="258">
        <f>D126*-0.35</f>
        <v>-4.7055555555555557</v>
      </c>
      <c r="E134" s="258">
        <f>E126*-0.35</f>
        <v>-4.7055555555555557</v>
      </c>
      <c r="F134" s="259">
        <f>F126*-0.35</f>
        <v>-4.7055555555555557</v>
      </c>
      <c r="G134" s="257">
        <f t="shared" si="68"/>
        <v>-18.822222222222223</v>
      </c>
      <c r="H134" s="61"/>
      <c r="I134" s="369">
        <f>I126*-0.35</f>
        <v>-4.384722222222222</v>
      </c>
      <c r="J134" s="258">
        <f>J126*-0.35</f>
        <v>-4.384722222222222</v>
      </c>
      <c r="K134" s="258">
        <f>K126*-0.35</f>
        <v>-4.384722222222222</v>
      </c>
      <c r="L134" s="259">
        <f>L126*-0.35</f>
        <v>-4.384722222222222</v>
      </c>
      <c r="M134" s="257">
        <f t="shared" si="69"/>
        <v>-17.538888888888888</v>
      </c>
      <c r="N134" s="61"/>
      <c r="O134" s="369">
        <f>O126*-0.35</f>
        <v>-4.8999999999999995</v>
      </c>
      <c r="P134" s="258">
        <f>P126*-0.35</f>
        <v>-4.1999999999999993</v>
      </c>
      <c r="Q134" s="258">
        <f>Q126*-0.35</f>
        <v>-4.55</v>
      </c>
      <c r="R134" s="259">
        <f>R126*-0.35</f>
        <v>-3.8499999999999996</v>
      </c>
      <c r="S134" s="257">
        <f t="shared" si="70"/>
        <v>-17.5</v>
      </c>
      <c r="T134" s="63"/>
      <c r="U134" s="369">
        <f>U126*-0.35</f>
        <v>-3.15</v>
      </c>
      <c r="V134" s="258">
        <f>V126*-0.35</f>
        <v>-1.75</v>
      </c>
      <c r="W134" s="258">
        <f>W126*-0.35</f>
        <v>-10.149999999999999</v>
      </c>
      <c r="X134" s="259">
        <f>X126*-0.35</f>
        <v>-12.6</v>
      </c>
      <c r="Y134" s="257">
        <f t="shared" si="71"/>
        <v>-27.65</v>
      </c>
      <c r="Z134" s="63"/>
      <c r="AA134" s="369">
        <f>AA126*-0.35</f>
        <v>-16.799999999999997</v>
      </c>
      <c r="AB134" s="258">
        <f>AB126*-0.35</f>
        <v>-14</v>
      </c>
      <c r="AC134" s="258">
        <f>AC126*-0.35</f>
        <v>-13.649999999999999</v>
      </c>
      <c r="AD134" s="259">
        <f>AD126*-0.35</f>
        <v>-11.899999999999999</v>
      </c>
      <c r="AE134" s="257">
        <f t="shared" si="72"/>
        <v>-56.349999999999994</v>
      </c>
      <c r="AF134" s="63"/>
      <c r="AG134" s="369">
        <f>AG126*-0.35</f>
        <v>-6.4749999999999996</v>
      </c>
      <c r="AH134" s="258">
        <f>AH126*-0.35</f>
        <v>-8.5749999999999993</v>
      </c>
      <c r="AI134" s="258">
        <f>AI126*-0.35</f>
        <v>-44.274999999999999</v>
      </c>
      <c r="AJ134" s="259">
        <f>AJ126*-0.35</f>
        <v>-47.074999999999996</v>
      </c>
      <c r="AK134" s="257">
        <f t="shared" si="73"/>
        <v>-106.39999999999999</v>
      </c>
      <c r="AL134" s="63"/>
      <c r="AM134" s="369">
        <f>AM126*-0.35</f>
        <v>-21.4375</v>
      </c>
      <c r="AN134" s="258">
        <f>AN126*-0.35</f>
        <v>-41.387499999999996</v>
      </c>
      <c r="AO134" s="258">
        <f>AO126*-0.35</f>
        <v>-20.387499999999999</v>
      </c>
      <c r="AP134" s="259">
        <f>AP126*-0.35</f>
        <v>-21.787499999999998</v>
      </c>
      <c r="AQ134" s="257">
        <f t="shared" si="74"/>
        <v>-104.99999999999999</v>
      </c>
      <c r="AR134" s="63"/>
      <c r="AS134" s="1583">
        <v>-50</v>
      </c>
      <c r="AT134" s="1584">
        <v>6</v>
      </c>
      <c r="AU134" s="1584">
        <v>-5</v>
      </c>
      <c r="AV134" s="1584">
        <v>-27</v>
      </c>
      <c r="AW134" s="257">
        <f t="shared" si="75"/>
        <v>-76</v>
      </c>
      <c r="AX134" s="63"/>
      <c r="AY134" s="1583">
        <v>-24</v>
      </c>
      <c r="AZ134" s="1584">
        <v>-24</v>
      </c>
      <c r="BA134" s="1584">
        <v>-14</v>
      </c>
      <c r="BB134" s="1584">
        <v>-39</v>
      </c>
      <c r="BC134" s="257">
        <f t="shared" si="76"/>
        <v>-101</v>
      </c>
      <c r="BD134" s="63"/>
      <c r="BE134" s="1583">
        <v>-19</v>
      </c>
      <c r="BF134" s="1584">
        <v>-10</v>
      </c>
      <c r="BG134" s="1584">
        <v>-30</v>
      </c>
      <c r="BH134" s="1584">
        <v>-12</v>
      </c>
      <c r="BI134" s="257">
        <f t="shared" si="77"/>
        <v>-71</v>
      </c>
      <c r="BJ134" s="63"/>
      <c r="BK134" s="2147">
        <v>-15</v>
      </c>
      <c r="BL134" s="1584">
        <v>-17</v>
      </c>
      <c r="BM134" s="2346">
        <v>-19</v>
      </c>
      <c r="BN134" s="1584">
        <v>1</v>
      </c>
      <c r="BO134" s="257">
        <f t="shared" si="78"/>
        <v>-50</v>
      </c>
      <c r="BP134" s="63"/>
      <c r="BQ134" s="2144">
        <v>-28</v>
      </c>
      <c r="BR134" s="258">
        <f t="shared" ref="BR134:BZ134" si="90">BR126*-0.27</f>
        <v>-8.3632009650472057</v>
      </c>
      <c r="BS134" s="258">
        <f t="shared" si="90"/>
        <v>-8.0328885952811824</v>
      </c>
      <c r="BT134" s="259">
        <f t="shared" si="90"/>
        <v>-9.4692595771600487</v>
      </c>
      <c r="BU134" s="257">
        <f t="shared" si="79"/>
        <v>-53.865349137488437</v>
      </c>
      <c r="BV134" s="63"/>
      <c r="BW134" s="369">
        <f>BW126*-0.27</f>
        <v>-4.9107286338983993</v>
      </c>
      <c r="BX134" s="258">
        <f t="shared" si="90"/>
        <v>-6.6828792905963637</v>
      </c>
      <c r="BY134" s="258">
        <f t="shared" si="90"/>
        <v>-6.4223481080196629</v>
      </c>
      <c r="BZ134" s="259">
        <f t="shared" si="90"/>
        <v>-7.7502047522757538</v>
      </c>
      <c r="CA134" s="257">
        <f t="shared" si="80"/>
        <v>-25.766160784790177</v>
      </c>
      <c r="CB134" s="258"/>
      <c r="CC134" s="369">
        <f>CC126*-0.27</f>
        <v>-4.135764751984623</v>
      </c>
      <c r="CD134" s="258">
        <f>CD126*-0.27</f>
        <v>-5.8888787893363954</v>
      </c>
      <c r="CE134" s="258">
        <f>CE126*-0.27</f>
        <v>-5.6532934597656128</v>
      </c>
      <c r="CF134" s="259">
        <f>CF126*-0.27</f>
        <v>-6.9239461058872891</v>
      </c>
      <c r="CG134" s="257">
        <f t="shared" si="81"/>
        <v>-22.601883106973922</v>
      </c>
      <c r="CH134" s="86"/>
      <c r="CI134" s="369">
        <f>CI126*-0.27</f>
        <v>-4.3381243315486264</v>
      </c>
      <c r="CJ134" s="258">
        <f>CJ126*-0.27</f>
        <v>-6.1106698342431764</v>
      </c>
      <c r="CK134" s="258">
        <f>CK126*-0.27</f>
        <v>-5.9107243886023912</v>
      </c>
      <c r="CL134" s="259">
        <f>CL126*-0.27</f>
        <v>-7.1798541422514317</v>
      </c>
      <c r="CM134" s="257">
        <f t="shared" si="82"/>
        <v>-23.539372696645625</v>
      </c>
      <c r="CN134" s="86"/>
      <c r="CO134" s="86"/>
      <c r="CP134" s="86"/>
      <c r="CQ134"/>
      <c r="CR134"/>
      <c r="CS134"/>
      <c r="CT134"/>
      <c r="CU134"/>
      <c r="CV134"/>
      <c r="CW134" s="86"/>
    </row>
    <row r="135" spans="1:119" s="149" customFormat="1">
      <c r="A135" s="80" t="s">
        <v>84</v>
      </c>
      <c r="B135" s="61"/>
      <c r="C135" s="1583">
        <v>0</v>
      </c>
      <c r="D135" s="1584">
        <v>0</v>
      </c>
      <c r="E135" s="1584">
        <v>0</v>
      </c>
      <c r="F135" s="1584">
        <v>0</v>
      </c>
      <c r="G135" s="62">
        <f t="shared" si="68"/>
        <v>0</v>
      </c>
      <c r="H135" s="61"/>
      <c r="I135" s="1583">
        <v>0</v>
      </c>
      <c r="J135" s="1584">
        <v>0</v>
      </c>
      <c r="K135" s="1584">
        <v>0</v>
      </c>
      <c r="L135" s="1584">
        <v>0</v>
      </c>
      <c r="M135" s="62">
        <f t="shared" si="69"/>
        <v>0</v>
      </c>
      <c r="N135" s="61"/>
      <c r="O135" s="1583">
        <v>0</v>
      </c>
      <c r="P135" s="1584">
        <v>0</v>
      </c>
      <c r="Q135" s="1584">
        <v>0</v>
      </c>
      <c r="R135" s="1584">
        <v>0</v>
      </c>
      <c r="S135" s="62">
        <f t="shared" si="70"/>
        <v>0</v>
      </c>
      <c r="T135" s="63"/>
      <c r="U135" s="1583">
        <v>0</v>
      </c>
      <c r="V135" s="1584">
        <v>0</v>
      </c>
      <c r="W135" s="1584">
        <v>0</v>
      </c>
      <c r="X135" s="1584">
        <v>0</v>
      </c>
      <c r="Y135" s="62">
        <f t="shared" si="71"/>
        <v>0</v>
      </c>
      <c r="Z135" s="63"/>
      <c r="AA135" s="1583">
        <v>0</v>
      </c>
      <c r="AB135" s="1584">
        <v>0</v>
      </c>
      <c r="AC135" s="1584">
        <v>0</v>
      </c>
      <c r="AD135" s="1584">
        <v>0</v>
      </c>
      <c r="AE135" s="62">
        <f t="shared" si="72"/>
        <v>0</v>
      </c>
      <c r="AF135" s="63"/>
      <c r="AG135" s="1583">
        <v>0</v>
      </c>
      <c r="AH135" s="1584">
        <v>0</v>
      </c>
      <c r="AI135" s="1584">
        <v>0</v>
      </c>
      <c r="AJ135" s="1584">
        <v>0</v>
      </c>
      <c r="AK135" s="62">
        <f t="shared" si="73"/>
        <v>0</v>
      </c>
      <c r="AL135" s="63"/>
      <c r="AM135" s="1583">
        <v>0</v>
      </c>
      <c r="AN135" s="1584">
        <v>0</v>
      </c>
      <c r="AO135" s="1584">
        <v>0</v>
      </c>
      <c r="AP135" s="1584">
        <v>0</v>
      </c>
      <c r="AQ135" s="62">
        <f t="shared" si="74"/>
        <v>0</v>
      </c>
      <c r="AR135" s="63"/>
      <c r="AS135" s="1583">
        <v>0</v>
      </c>
      <c r="AT135" s="1584">
        <v>0</v>
      </c>
      <c r="AU135" s="1584">
        <v>0</v>
      </c>
      <c r="AV135" s="1584">
        <v>0</v>
      </c>
      <c r="AW135" s="62">
        <f t="shared" si="75"/>
        <v>0</v>
      </c>
      <c r="AX135" s="63"/>
      <c r="AY135" s="369">
        <f>AY27/AY35</f>
        <v>-8.8757396449704137E-2</v>
      </c>
      <c r="AZ135" s="258">
        <f>AZ27/AZ35</f>
        <v>0.26112759643916916</v>
      </c>
      <c r="BA135" s="258">
        <f>BA27/BA35</f>
        <v>0</v>
      </c>
      <c r="BB135" s="258">
        <f>BB27/BB35</f>
        <v>0</v>
      </c>
      <c r="BC135" s="62">
        <f t="shared" si="76"/>
        <v>0.17237019998946501</v>
      </c>
      <c r="BD135" s="63"/>
      <c r="BE135" s="369">
        <f>BE27/BE35</f>
        <v>0</v>
      </c>
      <c r="BF135" s="1584">
        <v>0</v>
      </c>
      <c r="BG135" s="1584">
        <v>0</v>
      </c>
      <c r="BH135" s="1584">
        <v>0</v>
      </c>
      <c r="BI135" s="62">
        <f t="shared" si="77"/>
        <v>0</v>
      </c>
      <c r="BJ135" s="63"/>
      <c r="BK135" s="1583">
        <v>0</v>
      </c>
      <c r="BL135" s="1584">
        <v>0</v>
      </c>
      <c r="BM135" s="2346">
        <v>0</v>
      </c>
      <c r="BN135" s="1584">
        <v>0</v>
      </c>
      <c r="BO135" s="62">
        <f t="shared" si="78"/>
        <v>0</v>
      </c>
      <c r="BP135" s="63"/>
      <c r="BQ135" s="2144">
        <v>0</v>
      </c>
      <c r="BR135" s="1584">
        <v>0</v>
      </c>
      <c r="BS135" s="1584">
        <v>0</v>
      </c>
      <c r="BT135" s="1584">
        <v>0</v>
      </c>
      <c r="BU135" s="62">
        <f t="shared" si="79"/>
        <v>0</v>
      </c>
      <c r="BV135" s="63"/>
      <c r="BW135" s="1583">
        <v>0</v>
      </c>
      <c r="BX135" s="1584">
        <v>0</v>
      </c>
      <c r="BY135" s="1584">
        <v>0</v>
      </c>
      <c r="BZ135" s="1584">
        <v>0</v>
      </c>
      <c r="CA135" s="62">
        <f t="shared" si="80"/>
        <v>0</v>
      </c>
      <c r="CB135" s="66"/>
      <c r="CC135" s="1583">
        <v>0</v>
      </c>
      <c r="CD135" s="1584">
        <v>0</v>
      </c>
      <c r="CE135" s="1584">
        <v>0</v>
      </c>
      <c r="CF135" s="1584">
        <v>0</v>
      </c>
      <c r="CG135" s="62">
        <f t="shared" si="81"/>
        <v>0</v>
      </c>
      <c r="CH135" s="86"/>
      <c r="CI135" s="1583">
        <v>0</v>
      </c>
      <c r="CJ135" s="1584">
        <v>0</v>
      </c>
      <c r="CK135" s="1584">
        <v>0</v>
      </c>
      <c r="CL135" s="1584">
        <v>0</v>
      </c>
      <c r="CM135" s="62">
        <f t="shared" si="82"/>
        <v>0</v>
      </c>
      <c r="CN135" s="86"/>
      <c r="CO135" s="86"/>
      <c r="CP135" s="86"/>
      <c r="CQ135"/>
      <c r="CR135"/>
      <c r="CS135"/>
      <c r="CT135"/>
      <c r="CU135"/>
      <c r="CV135"/>
      <c r="CW135" s="86"/>
    </row>
    <row r="136" spans="1:119" s="149" customFormat="1">
      <c r="A136" s="81" t="s">
        <v>126</v>
      </c>
      <c r="B136" s="261"/>
      <c r="C136" s="262">
        <f>C125-C126-C134</f>
        <v>73.661111111111126</v>
      </c>
      <c r="D136" s="77">
        <f>D125-D126-D134</f>
        <v>57.661111111111119</v>
      </c>
      <c r="E136" s="254">
        <f>E125-E126-E134</f>
        <v>69.661111111111126</v>
      </c>
      <c r="F136" s="263">
        <f>F125-F126-F134</f>
        <v>80.861111111111114</v>
      </c>
      <c r="G136" s="264">
        <f>G125-G126-G134-G135</f>
        <v>281.84444444444443</v>
      </c>
      <c r="H136" s="261"/>
      <c r="I136" s="262">
        <f>I125-I126-I134</f>
        <v>70.256944444444457</v>
      </c>
      <c r="J136" s="77">
        <f>J125-J126-J134</f>
        <v>59.856944444444444</v>
      </c>
      <c r="K136" s="254">
        <f>K125-K126-K134</f>
        <v>77.456944444444446</v>
      </c>
      <c r="L136" s="263">
        <f>L125-L126-L134</f>
        <v>106.25694444444446</v>
      </c>
      <c r="M136" s="264">
        <f>M125-M126-M134-M135</f>
        <v>313.82777777777778</v>
      </c>
      <c r="N136" s="261"/>
      <c r="O136" s="262">
        <f>O125-O126-O134</f>
        <v>68.990400000000008</v>
      </c>
      <c r="P136" s="77">
        <f>P125-P126-P134</f>
        <v>54.260000000000034</v>
      </c>
      <c r="Q136" s="254">
        <f>Q125-Q126-Q134</f>
        <v>53.14440000000004</v>
      </c>
      <c r="R136" s="263">
        <f>R125-R126-R134</f>
        <v>71.635600000000011</v>
      </c>
      <c r="S136" s="264">
        <f>S125-S126-S134-S135</f>
        <v>248.03039999999999</v>
      </c>
      <c r="T136" s="72"/>
      <c r="U136" s="262">
        <f>U125-U126-U134-U135</f>
        <v>82.674800000000005</v>
      </c>
      <c r="V136" s="77">
        <f>V125-V126-V134-V135</f>
        <v>70.430800000000005</v>
      </c>
      <c r="W136" s="254">
        <f>W125-W126-W134-W135</f>
        <v>67.391600000000011</v>
      </c>
      <c r="X136" s="263">
        <f>X125-X126-X134-X135</f>
        <v>79.925600000000031</v>
      </c>
      <c r="Y136" s="264">
        <f>Y125-Y126-Y134-Y135</f>
        <v>300.42280000000028</v>
      </c>
      <c r="Z136" s="72"/>
      <c r="AA136" s="262">
        <f>AA125-AA126-AA134-AA135</f>
        <v>50.271199999999951</v>
      </c>
      <c r="AB136" s="77">
        <f>AB125-AB126-AB134-AB135</f>
        <v>71.365600000000001</v>
      </c>
      <c r="AC136" s="254">
        <f>AC125-AC126-AC134-AC135</f>
        <v>76.53400000000002</v>
      </c>
      <c r="AD136" s="263">
        <f>AD125-AD126-AD134-AD135</f>
        <v>95.182400000000058</v>
      </c>
      <c r="AE136" s="264">
        <f>AE125-AE126-AE134-AE135</f>
        <v>293.3531999999999</v>
      </c>
      <c r="AF136" s="72"/>
      <c r="AG136" s="1586">
        <v>230</v>
      </c>
      <c r="AH136" s="77">
        <f>AH125-AH126-AH134-AH135</f>
        <v>79.275000000000006</v>
      </c>
      <c r="AI136" s="254">
        <f>AI125-AI126-AI134-AI135</f>
        <v>24.975000000000001</v>
      </c>
      <c r="AJ136" s="263">
        <f>AJ125-AJ126-AJ134-AJ135</f>
        <v>50.17499999999999</v>
      </c>
      <c r="AK136" s="264">
        <f>AK125-AK126-AK134-AK135</f>
        <v>249.59999999999997</v>
      </c>
      <c r="AL136" s="72"/>
      <c r="AM136" s="262">
        <f>AM125-AM126-AM134-AM135</f>
        <v>72.187500000000085</v>
      </c>
      <c r="AN136" s="77">
        <f>AN125-AN126-AN134-AN135</f>
        <v>53.537500000000001</v>
      </c>
      <c r="AO136" s="254">
        <f>AO125-AO126-AO134-AO135</f>
        <v>81.337500000000006</v>
      </c>
      <c r="AP136" s="263">
        <f>AP125-AP126-AP134-AP135</f>
        <v>110.73749999999998</v>
      </c>
      <c r="AQ136" s="264">
        <f>AQ125-AQ126-AQ134-AQ135</f>
        <v>317.80000000000007</v>
      </c>
      <c r="AR136" s="72"/>
      <c r="AS136" s="262">
        <f>AS125-AS126-AS134-AS135</f>
        <v>194.44</v>
      </c>
      <c r="AT136" s="77">
        <f>AT125-AT126-AT134-AT135</f>
        <v>40.23044000000003</v>
      </c>
      <c r="AU136" s="77">
        <f>AU125-AU126-AU134-AU135</f>
        <v>64.346319999999992</v>
      </c>
      <c r="AV136" s="263">
        <f>AV125-AV126-AV134-AV135</f>
        <v>-26.281959999999884</v>
      </c>
      <c r="AW136" s="264">
        <f>AW125-AW126-AW134-AW135</f>
        <v>272.73480000000018</v>
      </c>
      <c r="AX136" s="72"/>
      <c r="AY136" s="262">
        <f>AY125-AY126-AY134-AY135</f>
        <v>72.557757396449759</v>
      </c>
      <c r="AZ136" s="77">
        <f>AZ125-AZ126-AZ134-AZ135</f>
        <v>175.83787240356088</v>
      </c>
      <c r="BA136" s="77">
        <f>BA125-BA126-BA134-BA135</f>
        <v>105.54899999999998</v>
      </c>
      <c r="BB136" s="77">
        <f>BB125-BB126-BB134-BB135</f>
        <v>140.01800000000003</v>
      </c>
      <c r="BC136" s="264">
        <f>BC125-BC126-BC134-BC135</f>
        <v>493.96262980001063</v>
      </c>
      <c r="BD136" s="72"/>
      <c r="BE136" s="262">
        <f>BE125-BE126-BE134-BE135</f>
        <v>123.33400000000006</v>
      </c>
      <c r="BF136" s="77">
        <f>BF125-BF126-BF134-BF135</f>
        <v>91.1400000000001</v>
      </c>
      <c r="BG136" s="77">
        <f>BG125-BG126-BG134-BG135</f>
        <v>123.82399999999996</v>
      </c>
      <c r="BH136" s="263">
        <f>BH125-BH126-BH134-BH135</f>
        <v>124.09529999999995</v>
      </c>
      <c r="BI136" s="264">
        <f>BI125-BI126-BI134-BI135</f>
        <v>462.39330000000007</v>
      </c>
      <c r="BJ136" s="72"/>
      <c r="BK136" s="262">
        <f>BK125-BK126-BK134-BK135</f>
        <v>170.23099999999999</v>
      </c>
      <c r="BL136" s="77">
        <f>BL125-BL126-BL134-BL135</f>
        <v>164.16599999999994</v>
      </c>
      <c r="BM136" s="77">
        <f>BM125-BM126-BM134-BM135</f>
        <v>175.21609999999998</v>
      </c>
      <c r="BN136" s="263">
        <f>BN125-BN126-BN134-BN135</f>
        <v>177.62099999999998</v>
      </c>
      <c r="BO136" s="264">
        <f>BO125-BO126-BO134-BO135</f>
        <v>687.2340999999999</v>
      </c>
      <c r="BP136" s="72"/>
      <c r="BQ136" s="262">
        <f>BQ125-BQ126-BQ134-BQ135</f>
        <v>-321.26740000000007</v>
      </c>
      <c r="BR136" s="77">
        <f>BR125-BR126-BR134-BR135</f>
        <v>216.28795130369159</v>
      </c>
      <c r="BS136" s="77">
        <f>BS125-BS126-BS134-BS135</f>
        <v>208.354457106513</v>
      </c>
      <c r="BT136" s="263">
        <f>BT125-BT126-BT134-BT135</f>
        <v>237.86972266210014</v>
      </c>
      <c r="BU136" s="264">
        <f>BU125-BU126-BU134-BU135</f>
        <v>341.24473107230494</v>
      </c>
      <c r="BV136" s="72"/>
      <c r="BW136" s="262">
        <f>BW125-BW126-BW134-BW135</f>
        <v>225.32064060289352</v>
      </c>
      <c r="BX136" s="77">
        <f>BX125-BX126-BX134-BX135</f>
        <v>245.05219320011221</v>
      </c>
      <c r="BY136" s="77">
        <f>BY125-BY126-BY134-BY135</f>
        <v>239.09983247030257</v>
      </c>
      <c r="BZ136" s="263">
        <f>BZ125-BZ126-BZ134-BZ135</f>
        <v>271.82471637118323</v>
      </c>
      <c r="CA136" s="264">
        <f>CA125-CA126-CA134-CA135</f>
        <v>981.29738264449134</v>
      </c>
      <c r="CB136" s="1858"/>
      <c r="CC136" s="262">
        <f>CC125-CC126-CC134-CC135</f>
        <v>254.69824834806846</v>
      </c>
      <c r="CD136" s="77">
        <f>CD125-CD126-CD134-CD135</f>
        <v>343.65365484158923</v>
      </c>
      <c r="CE136" s="77">
        <f>CE125-CE126-CE134-CE135</f>
        <v>342.30434153437335</v>
      </c>
      <c r="CF136" s="263">
        <f>CF125-CF126-CF134-CF135</f>
        <v>382.01283162974988</v>
      </c>
      <c r="CG136" s="264">
        <f>CG125-CG126-CG134-CG135</f>
        <v>1322.6690763537808</v>
      </c>
      <c r="CH136" s="83"/>
      <c r="CI136" s="262">
        <f>CI125-CI126-CI134-CI135</f>
        <v>360.57020981401939</v>
      </c>
      <c r="CJ136" s="77">
        <f>CJ125-CJ126-CJ134-CJ135</f>
        <v>308.70073523444461</v>
      </c>
      <c r="CK136" s="77">
        <f>CK125-CK126-CK134-CK135</f>
        <v>304.42793292776958</v>
      </c>
      <c r="CL136" s="263">
        <f>CL125-CL126-CL134-CL135</f>
        <v>341.83627337788027</v>
      </c>
      <c r="CM136" s="264">
        <f>CM125-CM126-CM134-CM135</f>
        <v>1315.5351513541141</v>
      </c>
      <c r="CN136" s="83"/>
      <c r="CO136" s="83"/>
      <c r="CP136" s="83"/>
      <c r="CQ136"/>
      <c r="CR136"/>
      <c r="CS136"/>
      <c r="CT136"/>
      <c r="CU136"/>
      <c r="CV136"/>
      <c r="CW136" s="83"/>
    </row>
    <row r="137" spans="1:119" s="149" customFormat="1">
      <c r="A137" s="265" t="s">
        <v>140</v>
      </c>
      <c r="B137" s="17"/>
      <c r="C137" s="1322"/>
      <c r="D137" s="247"/>
      <c r="E137" s="247"/>
      <c r="F137" s="247"/>
      <c r="G137" s="266"/>
      <c r="H137" s="17"/>
      <c r="I137" s="1322"/>
      <c r="J137" s="247"/>
      <c r="K137" s="247"/>
      <c r="L137" s="247"/>
      <c r="M137" s="266"/>
      <c r="N137" s="17"/>
      <c r="O137" s="1322"/>
      <c r="P137" s="247"/>
      <c r="Q137" s="247"/>
      <c r="R137" s="247"/>
      <c r="S137" s="266"/>
      <c r="T137" s="129"/>
      <c r="U137" s="1322"/>
      <c r="V137" s="247"/>
      <c r="W137" s="247"/>
      <c r="X137" s="247"/>
      <c r="Y137" s="266"/>
      <c r="Z137" s="129"/>
      <c r="AA137" s="1322"/>
      <c r="AB137" s="247"/>
      <c r="AC137" s="247"/>
      <c r="AD137" s="247"/>
      <c r="AE137" s="266"/>
      <c r="AF137" s="129"/>
      <c r="AG137" s="1322"/>
      <c r="AH137" s="247"/>
      <c r="AI137" s="247"/>
      <c r="AJ137" s="247"/>
      <c r="AK137" s="266"/>
      <c r="AL137" s="129"/>
      <c r="AM137" s="1322"/>
      <c r="AN137" s="247"/>
      <c r="AO137" s="247"/>
      <c r="AP137" s="247"/>
      <c r="AQ137" s="266"/>
      <c r="AR137" s="129"/>
      <c r="AS137" s="1322"/>
      <c r="AT137" s="247"/>
      <c r="AU137" s="247"/>
      <c r="AV137" s="247"/>
      <c r="AW137" s="266"/>
      <c r="AX137" s="129"/>
      <c r="AY137" s="1322"/>
      <c r="AZ137" s="247"/>
      <c r="BA137" s="247"/>
      <c r="BB137" s="247"/>
      <c r="BC137" s="266"/>
      <c r="BD137" s="129"/>
      <c r="BE137" s="1322"/>
      <c r="BF137" s="247"/>
      <c r="BG137" s="247"/>
      <c r="BH137" s="247"/>
      <c r="BI137" s="266"/>
      <c r="BJ137" s="129"/>
      <c r="BK137" s="1322"/>
      <c r="BL137" s="247"/>
      <c r="BM137" s="247"/>
      <c r="BN137" s="247"/>
      <c r="BO137" s="266"/>
      <c r="BP137" s="129"/>
      <c r="BQ137" s="1322"/>
      <c r="BR137" s="247"/>
      <c r="BS137" s="247"/>
      <c r="BT137" s="247"/>
      <c r="BU137" s="266"/>
      <c r="BV137" s="129"/>
      <c r="BW137" s="1322"/>
      <c r="BX137" s="247"/>
      <c r="BY137" s="247"/>
      <c r="BZ137" s="247"/>
      <c r="CA137" s="266"/>
      <c r="CB137" s="267"/>
      <c r="CC137" s="1322"/>
      <c r="CD137" s="247"/>
      <c r="CE137" s="247"/>
      <c r="CF137" s="247"/>
      <c r="CG137" s="266"/>
      <c r="CI137" s="1322"/>
      <c r="CJ137" s="247"/>
      <c r="CK137" s="247"/>
      <c r="CL137" s="247"/>
      <c r="CM137" s="266"/>
      <c r="CQ137"/>
      <c r="CR137"/>
      <c r="CS137"/>
      <c r="CT137"/>
      <c r="CU137"/>
      <c r="CV137"/>
    </row>
    <row r="138" spans="1:119" s="149" customFormat="1">
      <c r="A138" s="2086"/>
      <c r="B138" s="2087"/>
      <c r="C138" s="2088"/>
      <c r="D138" s="2088"/>
      <c r="E138" s="2088"/>
      <c r="F138" s="2088"/>
      <c r="G138" s="2088"/>
      <c r="H138" s="2087"/>
      <c r="I138" s="2088"/>
      <c r="J138" s="2088"/>
      <c r="K138" s="2088"/>
      <c r="L138" s="2088"/>
      <c r="M138" s="2088"/>
      <c r="N138" s="2087"/>
      <c r="O138" s="2088"/>
      <c r="P138" s="2088"/>
      <c r="Q138" s="2088"/>
      <c r="R138" s="2088"/>
      <c r="S138" s="2088"/>
      <c r="T138" s="2089"/>
      <c r="U138" s="2088"/>
      <c r="V138" s="2088"/>
      <c r="W138" s="2088"/>
      <c r="X138" s="2088"/>
      <c r="Y138" s="2088"/>
      <c r="Z138" s="2089"/>
      <c r="AA138" s="2088"/>
      <c r="AB138" s="2088"/>
      <c r="AC138" s="2088"/>
      <c r="AD138" s="2088"/>
      <c r="AE138" s="2088"/>
      <c r="AF138" s="2089"/>
      <c r="AG138" s="2088"/>
      <c r="AH138" s="2088"/>
      <c r="AI138" s="2088"/>
      <c r="AJ138" s="2088"/>
      <c r="AK138" s="2088"/>
      <c r="AL138" s="2089"/>
      <c r="AM138" s="2088"/>
      <c r="AN138" s="2088"/>
      <c r="AO138" s="2088"/>
      <c r="AP138" s="2088"/>
      <c r="AQ138" s="2088"/>
      <c r="AR138" s="2089"/>
      <c r="AS138" s="2088"/>
      <c r="AT138" s="1315"/>
      <c r="AU138" s="1315"/>
      <c r="AV138" s="1315"/>
      <c r="AW138" s="2090"/>
      <c r="AX138" s="2089"/>
      <c r="AY138" s="2088"/>
      <c r="AZ138" s="1315"/>
      <c r="BA138" s="1315"/>
      <c r="BB138" s="1315"/>
      <c r="BC138" s="2088"/>
      <c r="BD138" s="2089"/>
      <c r="BE138" s="2088"/>
      <c r="BF138" s="1315"/>
      <c r="BG138" s="1315"/>
      <c r="BH138" s="1315"/>
      <c r="BI138" s="2088"/>
      <c r="BJ138" s="2089"/>
      <c r="BK138" s="2088"/>
      <c r="BL138" s="1315"/>
      <c r="BM138" s="1315"/>
      <c r="BN138" s="1315"/>
      <c r="BO138" s="2088"/>
      <c r="BP138" s="2089"/>
      <c r="BQ138" s="2088"/>
      <c r="BR138" s="1315"/>
      <c r="BS138" s="1315"/>
      <c r="BT138" s="1315"/>
      <c r="BU138" s="2088"/>
      <c r="BV138" s="2089"/>
      <c r="BW138" s="2088"/>
      <c r="BX138" s="1315"/>
      <c r="BY138" s="1315"/>
      <c r="BZ138" s="1315"/>
      <c r="CA138" s="2088"/>
      <c r="CB138" s="2088"/>
      <c r="CC138" s="2088"/>
      <c r="CD138" s="1315"/>
      <c r="CE138" s="1315"/>
      <c r="CF138" s="1315"/>
      <c r="CG138" s="2088"/>
      <c r="CI138" s="2088"/>
      <c r="CJ138" s="1315"/>
      <c r="CK138" s="1315"/>
      <c r="CL138" s="1315"/>
      <c r="CM138" s="2088"/>
      <c r="CQ138"/>
      <c r="CR138"/>
      <c r="CS138"/>
      <c r="CT138"/>
      <c r="CU138"/>
      <c r="CV138"/>
    </row>
    <row r="139" spans="1:119" s="149" customFormat="1">
      <c r="A139" s="132" t="s">
        <v>141</v>
      </c>
      <c r="B139" s="133"/>
      <c r="C139" s="268">
        <v>39113</v>
      </c>
      <c r="D139" s="269">
        <v>39202</v>
      </c>
      <c r="E139" s="269">
        <v>39293</v>
      </c>
      <c r="F139" s="270">
        <v>39384</v>
      </c>
      <c r="G139" s="271" t="s">
        <v>59</v>
      </c>
      <c r="H139" s="133">
        <v>0</v>
      </c>
      <c r="I139" s="268">
        <v>39478</v>
      </c>
      <c r="J139" s="269">
        <v>39567</v>
      </c>
      <c r="K139" s="269">
        <v>39658</v>
      </c>
      <c r="L139" s="270">
        <v>39749</v>
      </c>
      <c r="M139" s="271" t="s">
        <v>60</v>
      </c>
      <c r="N139" s="133"/>
      <c r="O139" s="268">
        <f>O8</f>
        <v>39843</v>
      </c>
      <c r="P139" s="269">
        <f>P8</f>
        <v>39932</v>
      </c>
      <c r="Q139" s="269">
        <f>Q8</f>
        <v>40023</v>
      </c>
      <c r="R139" s="270">
        <f>R8</f>
        <v>40114</v>
      </c>
      <c r="S139" s="271" t="str">
        <f>S8</f>
        <v>2009A</v>
      </c>
      <c r="T139" s="134"/>
      <c r="U139" s="268">
        <f>U8</f>
        <v>40208</v>
      </c>
      <c r="V139" s="269">
        <f>V8</f>
        <v>40297</v>
      </c>
      <c r="W139" s="269">
        <f>W8</f>
        <v>40388</v>
      </c>
      <c r="X139" s="270">
        <f>X8</f>
        <v>40479</v>
      </c>
      <c r="Y139" s="271" t="str">
        <f>Y8</f>
        <v>2010A</v>
      </c>
      <c r="Z139" s="134"/>
      <c r="AA139" s="268">
        <f>AA8</f>
        <v>40573</v>
      </c>
      <c r="AB139" s="269">
        <f>AB8</f>
        <v>40662</v>
      </c>
      <c r="AC139" s="269">
        <f>AC8</f>
        <v>40753</v>
      </c>
      <c r="AD139" s="270">
        <f>AD8</f>
        <v>40844</v>
      </c>
      <c r="AE139" s="271" t="str">
        <f>AE8</f>
        <v>2011A</v>
      </c>
      <c r="AF139" s="272"/>
      <c r="AG139" s="268">
        <f>AG8</f>
        <v>40938</v>
      </c>
      <c r="AH139" s="269">
        <f>AH8</f>
        <v>41027</v>
      </c>
      <c r="AI139" s="269">
        <f>AI8</f>
        <v>41118</v>
      </c>
      <c r="AJ139" s="270">
        <f>AJ8</f>
        <v>41209</v>
      </c>
      <c r="AK139" s="271" t="str">
        <f>AK8</f>
        <v>2012A</v>
      </c>
      <c r="AL139" s="272"/>
      <c r="AM139" s="268">
        <f>AM8</f>
        <v>41303</v>
      </c>
      <c r="AN139" s="269">
        <f>AN8</f>
        <v>41392</v>
      </c>
      <c r="AO139" s="269">
        <f>AO8</f>
        <v>41483</v>
      </c>
      <c r="AP139" s="270">
        <f>AP8</f>
        <v>41574</v>
      </c>
      <c r="AQ139" s="271" t="str">
        <f>AQ8</f>
        <v>2013A</v>
      </c>
      <c r="AR139" s="272"/>
      <c r="AS139" s="268">
        <f>AS8</f>
        <v>41668</v>
      </c>
      <c r="AT139" s="269">
        <f>AT8</f>
        <v>41757</v>
      </c>
      <c r="AU139" s="269">
        <f>AU8</f>
        <v>41846</v>
      </c>
      <c r="AV139" s="270">
        <f>AV8</f>
        <v>41937</v>
      </c>
      <c r="AW139" s="271" t="str">
        <f>AW8</f>
        <v>2014A</v>
      </c>
      <c r="AX139" s="272"/>
      <c r="AY139" s="268">
        <f>AY8</f>
        <v>42033</v>
      </c>
      <c r="AZ139" s="269">
        <f>AZ8</f>
        <v>42122</v>
      </c>
      <c r="BA139" s="269">
        <f>BA8</f>
        <v>42213</v>
      </c>
      <c r="BB139" s="269">
        <f>BB8</f>
        <v>42304</v>
      </c>
      <c r="BC139" s="271" t="str">
        <f>BC8</f>
        <v>2015A</v>
      </c>
      <c r="BD139" s="272"/>
      <c r="BE139" s="268">
        <f>BE8</f>
        <v>42398</v>
      </c>
      <c r="BF139" s="269">
        <f>BF8</f>
        <v>42487</v>
      </c>
      <c r="BG139" s="269">
        <f>BG8</f>
        <v>42578</v>
      </c>
      <c r="BH139" s="269">
        <f>BH8</f>
        <v>42669</v>
      </c>
      <c r="BI139" s="271" t="str">
        <f>BI8</f>
        <v>2016A</v>
      </c>
      <c r="BJ139" s="272"/>
      <c r="BK139" s="268">
        <f>BK8</f>
        <v>42763</v>
      </c>
      <c r="BL139" s="269">
        <f>BL8</f>
        <v>42852</v>
      </c>
      <c r="BM139" s="269">
        <f>BM8</f>
        <v>42943</v>
      </c>
      <c r="BN139" s="269">
        <f>BN8</f>
        <v>43034</v>
      </c>
      <c r="BO139" s="271" t="str">
        <f>BO8</f>
        <v>2017A</v>
      </c>
      <c r="BP139" s="272"/>
      <c r="BQ139" s="268">
        <f>BQ8</f>
        <v>43128</v>
      </c>
      <c r="BR139" s="269">
        <f>BR8</f>
        <v>43217</v>
      </c>
      <c r="BS139" s="269">
        <f>BS8</f>
        <v>43308</v>
      </c>
      <c r="BT139" s="269">
        <f>BT8</f>
        <v>43399</v>
      </c>
      <c r="BU139" s="271" t="str">
        <f>BU8</f>
        <v>2018E</v>
      </c>
      <c r="BV139" s="272"/>
      <c r="BW139" s="268">
        <f>BW8</f>
        <v>43493</v>
      </c>
      <c r="BX139" s="269">
        <f>BX8</f>
        <v>43582</v>
      </c>
      <c r="BY139" s="269">
        <f>BY8</f>
        <v>43673</v>
      </c>
      <c r="BZ139" s="269">
        <f>BZ8</f>
        <v>43764</v>
      </c>
      <c r="CA139" s="271" t="str">
        <f>CA8</f>
        <v>2019E</v>
      </c>
      <c r="CB139" s="2111"/>
      <c r="CC139" s="268">
        <f>CC8</f>
        <v>43858</v>
      </c>
      <c r="CD139" s="269">
        <f>CD8</f>
        <v>43947</v>
      </c>
      <c r="CE139" s="269">
        <f>CE8</f>
        <v>44038</v>
      </c>
      <c r="CF139" s="269">
        <f>CF8</f>
        <v>44129</v>
      </c>
      <c r="CG139" s="271" t="str">
        <f>CG8</f>
        <v>2020E</v>
      </c>
      <c r="CH139" s="273"/>
      <c r="CI139" s="268">
        <f>CI8</f>
        <v>44223</v>
      </c>
      <c r="CJ139" s="269">
        <f>CJ8</f>
        <v>44312</v>
      </c>
      <c r="CK139" s="269">
        <f>CK8</f>
        <v>44403</v>
      </c>
      <c r="CL139" s="269">
        <f>CL8</f>
        <v>44494</v>
      </c>
      <c r="CM139" s="271" t="str">
        <f>CM8</f>
        <v>2021E</v>
      </c>
      <c r="CN139" s="273"/>
      <c r="CO139" s="273"/>
      <c r="CP139" s="273"/>
      <c r="CQ139"/>
      <c r="CR139"/>
      <c r="CS139"/>
      <c r="CT139"/>
      <c r="CU139"/>
      <c r="CV139"/>
    </row>
    <row r="140" spans="1:119" s="149" customFormat="1" ht="12.75" hidden="1" customHeight="1" outlineLevel="2">
      <c r="A140" s="2294" t="s">
        <v>97</v>
      </c>
      <c r="B140" s="2295"/>
      <c r="C140" s="2296">
        <v>30</v>
      </c>
      <c r="D140" s="2297">
        <v>26</v>
      </c>
      <c r="E140" s="2297">
        <v>25</v>
      </c>
      <c r="F140" s="2298">
        <v>42</v>
      </c>
      <c r="G140" s="2299">
        <f>SUM(C140:F140)</f>
        <v>123</v>
      </c>
      <c r="H140" s="2300"/>
      <c r="I140" s="2296">
        <v>33</v>
      </c>
      <c r="J140" s="2297">
        <v>30</v>
      </c>
      <c r="K140" s="2297">
        <v>39</v>
      </c>
      <c r="L140" s="2298">
        <v>64</v>
      </c>
      <c r="M140" s="2299">
        <f>SUM(I140:L140)</f>
        <v>166</v>
      </c>
      <c r="N140" s="2295"/>
      <c r="O140" s="2296">
        <v>43</v>
      </c>
      <c r="P140" s="2297">
        <v>36</v>
      </c>
      <c r="Q140" s="2297">
        <v>35</v>
      </c>
      <c r="R140" s="2298">
        <v>46</v>
      </c>
      <c r="S140" s="2299">
        <f>SUM(O140:R140)</f>
        <v>160</v>
      </c>
      <c r="T140" s="2301"/>
      <c r="U140" s="2296">
        <v>52</v>
      </c>
      <c r="V140" s="2297">
        <v>41</v>
      </c>
      <c r="W140" s="2297">
        <v>52</v>
      </c>
      <c r="X140" s="2298">
        <v>58</v>
      </c>
      <c r="Y140" s="2299">
        <f>SUM(U140:X140)</f>
        <v>203</v>
      </c>
      <c r="Z140" s="2301"/>
      <c r="AA140" s="2296">
        <v>42</v>
      </c>
      <c r="AB140" s="2297">
        <v>52</v>
      </c>
      <c r="AC140" s="2297">
        <v>51</v>
      </c>
      <c r="AD140" s="2298">
        <v>57</v>
      </c>
      <c r="AE140" s="2299">
        <f>SUM(AA140:AD140)</f>
        <v>202</v>
      </c>
      <c r="AF140" s="2301"/>
      <c r="AG140" s="2296">
        <v>58</v>
      </c>
      <c r="AH140" s="2297">
        <v>44</v>
      </c>
      <c r="AI140" s="2297">
        <v>57</v>
      </c>
      <c r="AJ140" s="2298">
        <v>71</v>
      </c>
      <c r="AK140" s="2299">
        <f>SUM(AG140:AJ140)</f>
        <v>230</v>
      </c>
      <c r="AL140" s="2301"/>
      <c r="AM140" s="2296"/>
      <c r="AN140" s="2297">
        <v>61</v>
      </c>
      <c r="AO140" s="2297">
        <v>67</v>
      </c>
      <c r="AP140" s="2298"/>
      <c r="AQ140" s="2299">
        <f t="shared" ref="AQ140:AQ146" si="91">SUM(AM140:AP140)</f>
        <v>128</v>
      </c>
      <c r="AR140" s="2301"/>
      <c r="AS140" s="2302"/>
      <c r="AT140" s="2303"/>
      <c r="AU140" s="2303"/>
      <c r="AV140" s="2304"/>
      <c r="AW140" s="2299"/>
      <c r="AX140" s="2301"/>
      <c r="AY140" s="2305"/>
      <c r="AZ140" s="2306"/>
      <c r="BA140" s="2306"/>
      <c r="BB140" s="2307"/>
      <c r="BC140" s="2308"/>
      <c r="BD140" s="2301"/>
      <c r="BE140" s="2305"/>
      <c r="BF140" s="2306"/>
      <c r="BG140" s="2306"/>
      <c r="BH140" s="2307"/>
      <c r="BI140" s="2308"/>
      <c r="BJ140" s="2301"/>
      <c r="BK140" s="2305"/>
      <c r="BL140" s="2306"/>
      <c r="BM140" s="2306"/>
      <c r="BN140" s="2307"/>
      <c r="BO140" s="2308"/>
      <c r="BP140" s="2301"/>
      <c r="BQ140" s="2305"/>
      <c r="BR140" s="2306"/>
      <c r="BS140" s="2306"/>
      <c r="BT140" s="2307"/>
      <c r="BU140" s="2308"/>
      <c r="BV140" s="2301"/>
      <c r="BW140" s="2305"/>
      <c r="BX140" s="2306"/>
      <c r="BY140" s="2306"/>
      <c r="BZ140" s="2307"/>
      <c r="CA140" s="2308"/>
      <c r="CB140" s="2238"/>
      <c r="CC140" s="2305"/>
      <c r="CD140" s="2306"/>
      <c r="CE140" s="2306"/>
      <c r="CF140" s="2307"/>
      <c r="CG140" s="2308"/>
      <c r="CH140" s="236"/>
      <c r="CI140" s="2305"/>
      <c r="CJ140" s="2306"/>
      <c r="CK140" s="2306"/>
      <c r="CL140" s="2307"/>
      <c r="CM140" s="2308"/>
      <c r="CN140" s="236"/>
      <c r="CO140" s="236"/>
      <c r="CP140" s="277"/>
      <c r="CQ140"/>
      <c r="CR140"/>
      <c r="CS140"/>
      <c r="CT140"/>
      <c r="CU140"/>
      <c r="CV140"/>
      <c r="CW140" s="278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</row>
    <row r="141" spans="1:119" s="149" customFormat="1" ht="12.75" hidden="1" customHeight="1" outlineLevel="2">
      <c r="A141" s="2294" t="s">
        <v>99</v>
      </c>
      <c r="B141" s="2295"/>
      <c r="C141" s="2309"/>
      <c r="D141" s="2310"/>
      <c r="E141" s="2310"/>
      <c r="F141" s="2310"/>
      <c r="G141" s="2311"/>
      <c r="H141" s="2295"/>
      <c r="I141" s="2309"/>
      <c r="J141" s="2310"/>
      <c r="K141" s="2310"/>
      <c r="L141" s="2310"/>
      <c r="M141" s="2311"/>
      <c r="N141" s="2295"/>
      <c r="O141" s="2309">
        <v>1</v>
      </c>
      <c r="P141" s="2310">
        <v>8</v>
      </c>
      <c r="Q141" s="2310">
        <v>4</v>
      </c>
      <c r="R141" s="2310">
        <v>1</v>
      </c>
      <c r="S141" s="2312">
        <f>SUM(O141:R141)</f>
        <v>14</v>
      </c>
      <c r="T141" s="2301"/>
      <c r="U141" s="2309">
        <v>3</v>
      </c>
      <c r="V141" s="2310">
        <v>7</v>
      </c>
      <c r="W141" s="2310">
        <v>4</v>
      </c>
      <c r="X141" s="2310">
        <v>4</v>
      </c>
      <c r="Y141" s="2313">
        <f>SUM(U141:X141)</f>
        <v>18</v>
      </c>
      <c r="Z141" s="2301"/>
      <c r="AA141" s="2309">
        <v>6</v>
      </c>
      <c r="AB141" s="2310">
        <v>9</v>
      </c>
      <c r="AC141" s="2310">
        <v>9</v>
      </c>
      <c r="AD141" s="2310">
        <v>11</v>
      </c>
      <c r="AE141" s="2314">
        <f>SUM(AA141:AD141)</f>
        <v>35</v>
      </c>
      <c r="AF141" s="2301"/>
      <c r="AG141" s="2309">
        <v>8</v>
      </c>
      <c r="AH141" s="2310">
        <v>15</v>
      </c>
      <c r="AI141" s="2310">
        <v>16</v>
      </c>
      <c r="AJ141" s="2310">
        <v>26</v>
      </c>
      <c r="AK141" s="2314">
        <f>SUM(AG141:AJ141)</f>
        <v>65</v>
      </c>
      <c r="AL141" s="2301"/>
      <c r="AM141" s="2309"/>
      <c r="AN141" s="2310">
        <v>28</v>
      </c>
      <c r="AO141" s="2310">
        <v>24</v>
      </c>
      <c r="AP141" s="2310"/>
      <c r="AQ141" s="2314">
        <f t="shared" si="91"/>
        <v>52</v>
      </c>
      <c r="AR141" s="2301"/>
      <c r="AS141" s="2315"/>
      <c r="AT141" s="2316"/>
      <c r="AU141" s="2316"/>
      <c r="AV141" s="2316"/>
      <c r="AW141" s="2314"/>
      <c r="AX141" s="2301"/>
      <c r="AY141" s="2317"/>
      <c r="AZ141" s="2238"/>
      <c r="BA141" s="2238"/>
      <c r="BB141" s="2308"/>
      <c r="BC141" s="2308"/>
      <c r="BD141" s="2301"/>
      <c r="BE141" s="2317"/>
      <c r="BF141" s="2238"/>
      <c r="BG141" s="2238"/>
      <c r="BH141" s="2308"/>
      <c r="BI141" s="2308"/>
      <c r="BJ141" s="2301"/>
      <c r="BK141" s="2317"/>
      <c r="BL141" s="2238"/>
      <c r="BM141" s="2238"/>
      <c r="BN141" s="2308"/>
      <c r="BO141" s="2308"/>
      <c r="BP141" s="2301"/>
      <c r="BQ141" s="2317"/>
      <c r="BR141" s="2238"/>
      <c r="BS141" s="2238"/>
      <c r="BT141" s="2308"/>
      <c r="BU141" s="2308"/>
      <c r="BV141" s="2301"/>
      <c r="BW141" s="2317"/>
      <c r="BX141" s="2238"/>
      <c r="BY141" s="2238"/>
      <c r="BZ141" s="2308"/>
      <c r="CA141" s="2308"/>
      <c r="CB141" s="2238"/>
      <c r="CC141" s="2317"/>
      <c r="CD141" s="2238"/>
      <c r="CE141" s="2238"/>
      <c r="CF141" s="2308"/>
      <c r="CG141" s="2308"/>
      <c r="CH141" s="276"/>
      <c r="CI141" s="2317"/>
      <c r="CJ141" s="2238"/>
      <c r="CK141" s="2238"/>
      <c r="CL141" s="2308"/>
      <c r="CM141" s="2308"/>
      <c r="CN141" s="276"/>
      <c r="CO141" s="276"/>
      <c r="CP141" s="276"/>
      <c r="CQ141"/>
      <c r="CR141"/>
      <c r="CS141"/>
      <c r="CT141"/>
      <c r="CU141"/>
      <c r="CV141"/>
      <c r="CW141" s="278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</row>
    <row r="142" spans="1:119" s="149" customFormat="1" ht="12.75" hidden="1" customHeight="1" outlineLevel="2">
      <c r="A142" s="2294" t="s">
        <v>101</v>
      </c>
      <c r="B142" s="2295"/>
      <c r="C142" s="2309">
        <v>45</v>
      </c>
      <c r="D142" s="2310">
        <v>28</v>
      </c>
      <c r="E142" s="2310">
        <v>52</v>
      </c>
      <c r="F142" s="2310">
        <v>59</v>
      </c>
      <c r="G142" s="2313">
        <f>SUM(C142:F142)</f>
        <v>184</v>
      </c>
      <c r="H142" s="2295"/>
      <c r="I142" s="2309">
        <v>54</v>
      </c>
      <c r="J142" s="2310">
        <v>55</v>
      </c>
      <c r="K142" s="2310">
        <v>63</v>
      </c>
      <c r="L142" s="2310">
        <v>72</v>
      </c>
      <c r="M142" s="2313">
        <f>SUM(I142:L142)</f>
        <v>244</v>
      </c>
      <c r="N142" s="2295"/>
      <c r="O142" s="2309">
        <v>57</v>
      </c>
      <c r="P142" s="2310">
        <v>45</v>
      </c>
      <c r="Q142" s="2310">
        <v>52</v>
      </c>
      <c r="R142" s="2310">
        <f>S142-SUM(O142:Q142)</f>
        <v>62</v>
      </c>
      <c r="S142" s="2313">
        <v>216</v>
      </c>
      <c r="T142" s="2301"/>
      <c r="U142" s="2309">
        <f>124-V142</f>
        <v>67</v>
      </c>
      <c r="V142" s="2310">
        <v>57</v>
      </c>
      <c r="W142" s="2310">
        <v>69</v>
      </c>
      <c r="X142" s="2310">
        <v>86</v>
      </c>
      <c r="Y142" s="2313">
        <f>SUM(U142:X142)</f>
        <v>279</v>
      </c>
      <c r="Z142" s="2301"/>
      <c r="AA142" s="2309">
        <f>137-AB142</f>
        <v>65</v>
      </c>
      <c r="AB142" s="2310">
        <v>72</v>
      </c>
      <c r="AC142" s="2310">
        <v>79</v>
      </c>
      <c r="AD142" s="2310">
        <v>97</v>
      </c>
      <c r="AE142" s="2313">
        <f>SUM(AA142:AD142)</f>
        <v>313</v>
      </c>
      <c r="AF142" s="2301"/>
      <c r="AG142" s="2309">
        <v>88</v>
      </c>
      <c r="AH142" s="2310">
        <v>73</v>
      </c>
      <c r="AI142" s="2310">
        <v>80</v>
      </c>
      <c r="AJ142" s="2310">
        <v>97</v>
      </c>
      <c r="AK142" s="2313">
        <f>SUM(AG142:AJ142)</f>
        <v>338</v>
      </c>
      <c r="AL142" s="2301"/>
      <c r="AM142" s="2309">
        <v>81</v>
      </c>
      <c r="AN142" s="2310">
        <v>89</v>
      </c>
      <c r="AO142" s="2310">
        <v>83</v>
      </c>
      <c r="AP142" s="2310">
        <v>102</v>
      </c>
      <c r="AQ142" s="2313">
        <f t="shared" si="91"/>
        <v>355</v>
      </c>
      <c r="AR142" s="2301"/>
      <c r="AS142" s="2309">
        <v>94</v>
      </c>
      <c r="AT142" s="2310">
        <v>90</v>
      </c>
      <c r="AU142" s="2310">
        <v>97</v>
      </c>
      <c r="AV142" s="2310">
        <v>106</v>
      </c>
      <c r="AW142" s="2313">
        <f>SUM(AS142:AV142)</f>
        <v>387</v>
      </c>
      <c r="AX142" s="2301"/>
      <c r="AY142" s="2317"/>
      <c r="AZ142" s="2238"/>
      <c r="BA142" s="2238"/>
      <c r="BB142" s="2308"/>
      <c r="BC142" s="2308"/>
      <c r="BD142" s="2301"/>
      <c r="BE142" s="2317"/>
      <c r="BF142" s="2238"/>
      <c r="BG142" s="2238"/>
      <c r="BH142" s="2308"/>
      <c r="BI142" s="2308"/>
      <c r="BJ142" s="2301"/>
      <c r="BK142" s="2317"/>
      <c r="BL142" s="2238"/>
      <c r="BM142" s="2238"/>
      <c r="BN142" s="2308"/>
      <c r="BO142" s="2308"/>
      <c r="BP142" s="2301"/>
      <c r="BQ142" s="2317"/>
      <c r="BR142" s="2238"/>
      <c r="BS142" s="2238"/>
      <c r="BT142" s="2308"/>
      <c r="BU142" s="2308"/>
      <c r="BV142" s="2301"/>
      <c r="BW142" s="2317"/>
      <c r="BX142" s="2238"/>
      <c r="BY142" s="2238"/>
      <c r="BZ142" s="2308"/>
      <c r="CA142" s="2308"/>
      <c r="CB142" s="2238"/>
      <c r="CC142" s="2317"/>
      <c r="CD142" s="2238"/>
      <c r="CE142" s="2238"/>
      <c r="CF142" s="2308"/>
      <c r="CG142" s="2308"/>
      <c r="CH142" s="276"/>
      <c r="CI142" s="2317"/>
      <c r="CJ142" s="2238"/>
      <c r="CK142" s="2238"/>
      <c r="CL142" s="2308"/>
      <c r="CM142" s="2308"/>
      <c r="CN142" s="276"/>
      <c r="CO142" s="276"/>
      <c r="CP142" s="276"/>
      <c r="CQ142"/>
      <c r="CR142"/>
      <c r="CS142"/>
      <c r="CT142"/>
      <c r="CU142"/>
      <c r="CV142"/>
      <c r="CW142" s="278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</row>
    <row r="143" spans="1:119" s="149" customFormat="1" ht="12.75" hidden="1" customHeight="1" outlineLevel="2">
      <c r="A143" s="2294" t="s">
        <v>103</v>
      </c>
      <c r="B143" s="2295"/>
      <c r="C143" s="2315"/>
      <c r="D143" s="2316"/>
      <c r="E143" s="2316"/>
      <c r="F143" s="2316"/>
      <c r="G143" s="2311"/>
      <c r="H143" s="2295"/>
      <c r="I143" s="2315"/>
      <c r="J143" s="2316"/>
      <c r="K143" s="2316"/>
      <c r="L143" s="2316"/>
      <c r="M143" s="2311"/>
      <c r="N143" s="2295"/>
      <c r="O143" s="2309">
        <f>+O141+O140</f>
        <v>44</v>
      </c>
      <c r="P143" s="2310">
        <f>+P141+P140</f>
        <v>44</v>
      </c>
      <c r="Q143" s="2310">
        <f>+Q141+Q140</f>
        <v>39</v>
      </c>
      <c r="R143" s="2310">
        <f>+R141+R140</f>
        <v>47</v>
      </c>
      <c r="S143" s="2312">
        <f>+S141+S140</f>
        <v>174</v>
      </c>
      <c r="T143" s="2318"/>
      <c r="U143" s="2309">
        <f>+U141+U140</f>
        <v>55</v>
      </c>
      <c r="V143" s="2310">
        <f>+V141+V140</f>
        <v>48</v>
      </c>
      <c r="W143" s="2310">
        <f>+W141+W140</f>
        <v>56</v>
      </c>
      <c r="X143" s="2310">
        <f>+X141+X140</f>
        <v>62</v>
      </c>
      <c r="Y143" s="2313">
        <f>+Y141+Y140</f>
        <v>221</v>
      </c>
      <c r="Z143" s="2318"/>
      <c r="AA143" s="2309">
        <f>+AA141+AA140</f>
        <v>48</v>
      </c>
      <c r="AB143" s="2310">
        <f>+AB141+AB140</f>
        <v>61</v>
      </c>
      <c r="AC143" s="2310">
        <f>+AC141+AC140</f>
        <v>60</v>
      </c>
      <c r="AD143" s="2310">
        <f>+AD141+AD140</f>
        <v>68</v>
      </c>
      <c r="AE143" s="2314">
        <f>+AE141+AE140</f>
        <v>237</v>
      </c>
      <c r="AF143" s="2318"/>
      <c r="AG143" s="2309">
        <f>+AG141+AG140</f>
        <v>66</v>
      </c>
      <c r="AH143" s="2310">
        <f>+AH141+AH140</f>
        <v>59</v>
      </c>
      <c r="AI143" s="2310">
        <f>+AI141+AI140</f>
        <v>73</v>
      </c>
      <c r="AJ143" s="2310">
        <f>+AJ141+AJ140</f>
        <v>97</v>
      </c>
      <c r="AK143" s="2314">
        <f>+AK141+AK140</f>
        <v>295</v>
      </c>
      <c r="AL143" s="2318"/>
      <c r="AM143" s="2309">
        <v>82</v>
      </c>
      <c r="AN143" s="2310">
        <f>+AN141+AN140</f>
        <v>89</v>
      </c>
      <c r="AO143" s="2310">
        <f>+AO141+AO140</f>
        <v>91</v>
      </c>
      <c r="AP143" s="2310">
        <v>115</v>
      </c>
      <c r="AQ143" s="2314">
        <f t="shared" si="91"/>
        <v>377</v>
      </c>
      <c r="AR143" s="2318"/>
      <c r="AS143" s="2309">
        <v>100</v>
      </c>
      <c r="AT143" s="2310">
        <v>76</v>
      </c>
      <c r="AU143" s="2310">
        <v>93</v>
      </c>
      <c r="AV143" s="2310">
        <v>107</v>
      </c>
      <c r="AW143" s="2314">
        <f>SUM(AS143:AV143)</f>
        <v>376</v>
      </c>
      <c r="AX143" s="2318"/>
      <c r="AY143" s="2317"/>
      <c r="AZ143" s="2238"/>
      <c r="BA143" s="2238"/>
      <c r="BB143" s="2308"/>
      <c r="BC143" s="2308"/>
      <c r="BD143" s="2318"/>
      <c r="BE143" s="2317"/>
      <c r="BF143" s="2238"/>
      <c r="BG143" s="2238"/>
      <c r="BH143" s="2308"/>
      <c r="BI143" s="2308"/>
      <c r="BJ143" s="2318"/>
      <c r="BK143" s="2317"/>
      <c r="BL143" s="2238"/>
      <c r="BM143" s="2238"/>
      <c r="BN143" s="2308"/>
      <c r="BO143" s="2308"/>
      <c r="BP143" s="2318"/>
      <c r="BQ143" s="2317"/>
      <c r="BR143" s="2238"/>
      <c r="BS143" s="2238"/>
      <c r="BT143" s="2308"/>
      <c r="BU143" s="2308"/>
      <c r="BV143" s="2318"/>
      <c r="BW143" s="2317"/>
      <c r="BX143" s="2238"/>
      <c r="BY143" s="2238"/>
      <c r="BZ143" s="2308"/>
      <c r="CA143" s="2308"/>
      <c r="CB143" s="2238"/>
      <c r="CC143" s="2317"/>
      <c r="CD143" s="2238"/>
      <c r="CE143" s="2238"/>
      <c r="CF143" s="2308"/>
      <c r="CG143" s="2308"/>
      <c r="CH143" s="279"/>
      <c r="CI143" s="2317"/>
      <c r="CJ143" s="2238"/>
      <c r="CK143" s="2238"/>
      <c r="CL143" s="2308"/>
      <c r="CM143" s="2308"/>
      <c r="CN143" s="279"/>
      <c r="CO143" s="279"/>
      <c r="CP143" s="279"/>
      <c r="CQ143"/>
      <c r="CR143"/>
      <c r="CS143"/>
      <c r="CT143"/>
      <c r="CU143"/>
      <c r="CV143"/>
      <c r="CW143" s="280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</row>
    <row r="144" spans="1:119" s="149" customFormat="1" collapsed="1">
      <c r="A144" s="281" t="s">
        <v>105</v>
      </c>
      <c r="B144" s="274"/>
      <c r="C144" s="282"/>
      <c r="D144" s="279"/>
      <c r="E144" s="279"/>
      <c r="F144" s="275"/>
      <c r="G144" s="55"/>
      <c r="H144" s="274"/>
      <c r="I144" s="282"/>
      <c r="J144" s="279"/>
      <c r="K144" s="279"/>
      <c r="L144" s="275"/>
      <c r="M144" s="55"/>
      <c r="N144" s="274"/>
      <c r="O144" s="282"/>
      <c r="P144" s="279"/>
      <c r="Q144" s="279"/>
      <c r="R144" s="275"/>
      <c r="S144" s="55"/>
      <c r="T144" s="279"/>
      <c r="U144" s="282"/>
      <c r="V144" s="279"/>
      <c r="W144" s="279"/>
      <c r="X144" s="275"/>
      <c r="Y144" s="55"/>
      <c r="Z144" s="279"/>
      <c r="AA144" s="282"/>
      <c r="AB144" s="279"/>
      <c r="AC144" s="279"/>
      <c r="AD144" s="275"/>
      <c r="AE144" s="55"/>
      <c r="AF144" s="279"/>
      <c r="AG144" s="1589">
        <v>92</v>
      </c>
      <c r="AH144" s="1590">
        <v>63</v>
      </c>
      <c r="AI144" s="1590">
        <v>75</v>
      </c>
      <c r="AJ144" s="1591">
        <v>97</v>
      </c>
      <c r="AK144" s="55">
        <f>SUM(AG144:AJ144)</f>
        <v>327</v>
      </c>
      <c r="AL144" s="279"/>
      <c r="AM144" s="1589">
        <v>83</v>
      </c>
      <c r="AN144" s="1590">
        <v>79</v>
      </c>
      <c r="AO144" s="1590">
        <v>72</v>
      </c>
      <c r="AP144" s="1591">
        <v>104</v>
      </c>
      <c r="AQ144" s="55">
        <f t="shared" si="91"/>
        <v>338</v>
      </c>
      <c r="AR144" s="279"/>
      <c r="AS144" s="1589">
        <v>105</v>
      </c>
      <c r="AT144" s="1590">
        <v>71</v>
      </c>
      <c r="AU144" s="1590">
        <v>84</v>
      </c>
      <c r="AV144" s="1591">
        <v>109</v>
      </c>
      <c r="AW144" s="55">
        <f>SUM(AS144:AV144)</f>
        <v>369</v>
      </c>
      <c r="AX144" s="279"/>
      <c r="AY144" s="1594">
        <f>RevBuild!AY12-IS!AY50-IS!AY83-IS!AY100</f>
        <v>107.21200000000002</v>
      </c>
      <c r="AZ144" s="1595">
        <f>RevBuild!AZ12-IS!AZ50-IS!AZ83-IS!AZ100</f>
        <v>74.73399999999998</v>
      </c>
      <c r="BA144" s="1595">
        <f>RevBuild!BA12-IS!BA50-IS!BA83-IS!BA100</f>
        <v>95.557000000000016</v>
      </c>
      <c r="BB144" s="1596">
        <f>RevBuild!BB12-IS!BB50-IS!BB83-IS!BB100</f>
        <v>103</v>
      </c>
      <c r="BC144" s="283">
        <f>SUM(AY144:BB144)</f>
        <v>380.50300000000004</v>
      </c>
      <c r="BD144" s="279"/>
      <c r="BE144" s="1594">
        <f>RevBuild!BE12-IS!BE50-IS!BE83-IS!BE100</f>
        <v>114.14199999999994</v>
      </c>
      <c r="BF144" s="1595">
        <f>RevBuild!BF12-IS!BF50-IS!BF83-IS!BF100</f>
        <v>94.049999999999983</v>
      </c>
      <c r="BG144" s="1595">
        <f>RevBuild!BG12-IS!BG50-IS!BG83-IS!BG100</f>
        <v>96.263999999999982</v>
      </c>
      <c r="BH144" s="1596">
        <f>RevBuild!BH12-IS!BH50-IS!BH83-IS!BH100</f>
        <v>125.10839999999993</v>
      </c>
      <c r="BI144" s="283">
        <f>SUM(BE144:BH144)</f>
        <v>429.56439999999986</v>
      </c>
      <c r="BJ144" s="279"/>
      <c r="BK144" s="1594">
        <f>RevBuild!BK12-IS!BK50-IS!BK83-IS!BK100</f>
        <v>126.09000000000003</v>
      </c>
      <c r="BL144" s="1595">
        <f>RevBuild!BL12-IS!BL50-IS!BL83-IS!BL100</f>
        <v>110.87599999999998</v>
      </c>
      <c r="BM144" s="1595">
        <f>RevBuild!BM12-IS!BM50-IS!BM83-IS!BM100</f>
        <v>112.89060000000001</v>
      </c>
      <c r="BN144" s="1596">
        <f>RevBuild!BN12-IS!BN50-IS!BN83-IS!BN100</f>
        <v>137.42499999999995</v>
      </c>
      <c r="BO144" s="283">
        <f>SUM(BK144:BN144)</f>
        <v>487.28159999999997</v>
      </c>
      <c r="BP144" s="279"/>
      <c r="BQ144" s="1594">
        <f>RevBuild!BQ12-IS!BQ50-IS!BQ83-IS!BQ100</f>
        <v>159.19679999999994</v>
      </c>
      <c r="BR144" s="1595">
        <f>RevBuild!BR12-IS!BR50-IS!BR83-IS!BR100</f>
        <v>136.82498099999998</v>
      </c>
      <c r="BS144" s="1595">
        <f>RevBuild!BS12-IS!BS50-IS!BS83-IS!BS100</f>
        <v>132.67964079999999</v>
      </c>
      <c r="BT144" s="1596">
        <f>RevBuild!BT12-IS!BT50-IS!BT83-IS!BT100</f>
        <v>158.38720000000001</v>
      </c>
      <c r="BU144" s="283">
        <f>SUM(BQ144:BT144)</f>
        <v>587.08862179999994</v>
      </c>
      <c r="BV144" s="279"/>
      <c r="BW144" s="1594">
        <f>RevBuild!BW12-IS!BW50-IS!BW83-IS!BW100</f>
        <v>173.66170799999995</v>
      </c>
      <c r="BX144" s="1595">
        <f>RevBuild!BX12-IS!BX50-IS!BX83-IS!BX100</f>
        <v>149.78451740999998</v>
      </c>
      <c r="BY144" s="1595">
        <f>RevBuild!BY12-IS!BY50-IS!BY83-IS!BY100</f>
        <v>145.23450959800002</v>
      </c>
      <c r="BZ144" s="1596">
        <f>RevBuild!BZ12-IS!BZ50-IS!BZ83-IS!BZ100</f>
        <v>172.80909700000001</v>
      </c>
      <c r="CA144" s="283">
        <f>SUM(BW144:BZ144)</f>
        <v>641.48983200799989</v>
      </c>
      <c r="CB144" s="56"/>
      <c r="CC144" s="1594">
        <f>RevBuild!CC12-IS!CC50-IS!CC83-IS!CC100</f>
        <v>183.93205223999999</v>
      </c>
      <c r="CD144" s="1595">
        <f>RevBuild!CD12-IS!CD50-IS!CD83-IS!CD100</f>
        <v>159.17059160879995</v>
      </c>
      <c r="CE144" s="1595">
        <f>RevBuild!CE12-IS!CE50-IS!CE83-IS!CE100</f>
        <v>154.32345794644002</v>
      </c>
      <c r="CF144" s="1596">
        <f>RevBuild!CF12-IS!CF50-IS!CF83-IS!CF100</f>
        <v>183.05959486</v>
      </c>
      <c r="CG144" s="283">
        <f>SUM(CC144:CF144)</f>
        <v>680.48569665523996</v>
      </c>
      <c r="CH144" s="279"/>
      <c r="CI144" s="1594">
        <f>RevBuild!CI12-IS!CI50-IS!CI83-IS!CI100</f>
        <v>195.3920446878</v>
      </c>
      <c r="CJ144" s="1595">
        <f>RevBuild!CJ12-IS!CJ50-IS!CJ83-IS!CJ100</f>
        <v>169.69052827101024</v>
      </c>
      <c r="CK144" s="1595">
        <f>RevBuild!CK12-IS!CK50-IS!CK83-IS!CK100</f>
        <v>164.50937400047229</v>
      </c>
      <c r="CL144" s="1596">
        <f>RevBuild!CL12-IS!CL50-IS!CL83-IS!CL100</f>
        <v>194.50014404209</v>
      </c>
      <c r="CM144" s="283">
        <f>SUM(CI144:CL144)</f>
        <v>724.09209100137252</v>
      </c>
      <c r="CN144" s="279"/>
      <c r="CO144" s="279"/>
      <c r="CP144" s="279"/>
      <c r="CQ144"/>
      <c r="CR144"/>
      <c r="CS144"/>
      <c r="CT144"/>
      <c r="CU144"/>
      <c r="CV144"/>
      <c r="CW144" s="280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</row>
    <row r="145" spans="1:119" s="149" customFormat="1">
      <c r="A145" s="281" t="s">
        <v>99</v>
      </c>
      <c r="B145" s="274"/>
      <c r="C145" s="282"/>
      <c r="D145" s="279"/>
      <c r="E145" s="279"/>
      <c r="F145" s="275"/>
      <c r="G145" s="55"/>
      <c r="H145" s="274"/>
      <c r="I145" s="282"/>
      <c r="J145" s="279"/>
      <c r="K145" s="279"/>
      <c r="L145" s="275"/>
      <c r="M145" s="55"/>
      <c r="N145" s="274"/>
      <c r="O145" s="282"/>
      <c r="P145" s="279"/>
      <c r="Q145" s="279"/>
      <c r="R145" s="275"/>
      <c r="S145" s="55"/>
      <c r="T145" s="279"/>
      <c r="U145" s="282"/>
      <c r="V145" s="279"/>
      <c r="W145" s="279"/>
      <c r="X145" s="275"/>
      <c r="Y145" s="55"/>
      <c r="Z145" s="279"/>
      <c r="AA145" s="282"/>
      <c r="AB145" s="279"/>
      <c r="AC145" s="279"/>
      <c r="AD145" s="275"/>
      <c r="AE145" s="55"/>
      <c r="AF145" s="279"/>
      <c r="AG145" s="1589">
        <v>5</v>
      </c>
      <c r="AH145" s="1590">
        <v>12</v>
      </c>
      <c r="AI145" s="1590">
        <v>14</v>
      </c>
      <c r="AJ145" s="1591">
        <v>27</v>
      </c>
      <c r="AK145" s="55">
        <f>SUM(AG145:AJ145)</f>
        <v>58</v>
      </c>
      <c r="AL145" s="279"/>
      <c r="AM145" s="1589">
        <v>18</v>
      </c>
      <c r="AN145" s="1590">
        <v>24</v>
      </c>
      <c r="AO145" s="1590">
        <v>23</v>
      </c>
      <c r="AP145" s="1591">
        <v>30</v>
      </c>
      <c r="AQ145" s="55">
        <f t="shared" si="91"/>
        <v>95</v>
      </c>
      <c r="AR145" s="279"/>
      <c r="AS145" s="1589">
        <v>19</v>
      </c>
      <c r="AT145" s="1590">
        <v>26</v>
      </c>
      <c r="AU145" s="1590">
        <v>22</v>
      </c>
      <c r="AV145" s="1591">
        <v>26</v>
      </c>
      <c r="AW145" s="55">
        <f>SUM(AS145:AV145)</f>
        <v>93</v>
      </c>
      <c r="AX145" s="279"/>
      <c r="AY145" s="1594">
        <f>RevBuild!AY13-IS!AY52-IS!AY85-IS!AY102</f>
        <v>0.74000000000000199</v>
      </c>
      <c r="AZ145" s="1595">
        <f>RevBuild!AZ13-IS!AZ52-IS!AZ85-IS!AZ102</f>
        <v>25.35</v>
      </c>
      <c r="BA145" s="1595">
        <f>RevBuild!BA13-IS!BA52-IS!BA85-IS!BA102</f>
        <v>28.056000000000012</v>
      </c>
      <c r="BB145" s="1596">
        <f>RevBuild!BB13-IS!BB52-IS!BB85-IS!BB102</f>
        <v>34.176000000000009</v>
      </c>
      <c r="BC145" s="283">
        <f>SUM(AY145:BB145)</f>
        <v>88.322000000000031</v>
      </c>
      <c r="BD145" s="279"/>
      <c r="BE145" s="1594">
        <f>RevBuild!BE13-IS!BE52-IS!BE85-IS!BE102</f>
        <v>15.168000000000013</v>
      </c>
      <c r="BF145" s="1595">
        <f>RevBuild!BF13-IS!BF52-IS!BF85-IS!BF102</f>
        <v>26.699999999999989</v>
      </c>
      <c r="BG145" s="1595">
        <f>RevBuild!BG13-IS!BG52-IS!BG85-IS!BG102</f>
        <v>33.840000000000003</v>
      </c>
      <c r="BH145" s="1596">
        <f>RevBuild!BH13-IS!BH52-IS!BH85-IS!BH102</f>
        <v>37.885899999999999</v>
      </c>
      <c r="BI145" s="283">
        <f>SUM(BE145:BH145)</f>
        <v>113.59389999999999</v>
      </c>
      <c r="BJ145" s="279"/>
      <c r="BK145" s="1594">
        <f>RevBuild!BK13-IS!BK52-IS!BK85-IS!BK102</f>
        <v>23.452000000000012</v>
      </c>
      <c r="BL145" s="1595">
        <f>RevBuild!BL13-IS!BL52-IS!BL85-IS!BL102</f>
        <v>48.641999999999989</v>
      </c>
      <c r="BM145" s="1595">
        <f>RevBuild!BM13-IS!BM52-IS!BM85-IS!BM102</f>
        <v>33.194500000000005</v>
      </c>
      <c r="BN145" s="1596">
        <f>RevBuild!BN13-IS!BN52-IS!BN85-IS!BN102</f>
        <v>43.680000000000014</v>
      </c>
      <c r="BO145" s="283">
        <f>SUM(BK145:BN145)</f>
        <v>148.96850000000001</v>
      </c>
      <c r="BP145" s="279"/>
      <c r="BQ145" s="1594">
        <f>RevBuild!BQ13-IS!BQ52-IS!BQ85-IS!BQ102</f>
        <v>21.570999999999984</v>
      </c>
      <c r="BR145" s="1595">
        <f>RevBuild!BR13-IS!BR52-IS!BR85-IS!BR102</f>
        <v>57.250434250196555</v>
      </c>
      <c r="BS145" s="1595">
        <f>RevBuild!BS13-IS!BS52-IS!BS85-IS!BS102</f>
        <v>40.59154707764619</v>
      </c>
      <c r="BT145" s="1596">
        <f>RevBuild!BT13-IS!BT52-IS!BT85-IS!BT102</f>
        <v>52.563350620920744</v>
      </c>
      <c r="BU145" s="283">
        <f>SUM(BQ145:BT145)</f>
        <v>171.97633194876349</v>
      </c>
      <c r="BV145" s="279"/>
      <c r="BW145" s="1594">
        <f>RevBuild!BW13-IS!BW52-IS!BW85-IS!BW102</f>
        <v>24.431052954071319</v>
      </c>
      <c r="BX145" s="1595">
        <f>RevBuild!BX13-IS!BX52-IS!BX85-IS!BX102</f>
        <v>62.654715143312686</v>
      </c>
      <c r="BY145" s="1595">
        <f>RevBuild!BY13-IS!BY52-IS!BY85-IS!BY102</f>
        <v>48.061770716272818</v>
      </c>
      <c r="BZ145" s="1596">
        <f>RevBuild!BZ13-IS!BZ52-IS!BZ85-IS!BZ102</f>
        <v>61.030350624282718</v>
      </c>
      <c r="CA145" s="283">
        <f>SUM(BW145:BZ145)</f>
        <v>196.17788943793954</v>
      </c>
      <c r="CB145" s="56"/>
      <c r="CC145" s="1594">
        <f>RevBuild!CC13-IS!CC52-IS!CC85-IS!CC102</f>
        <v>29.309561010680412</v>
      </c>
      <c r="CD145" s="1595">
        <f>RevBuild!CD13-IS!CD52-IS!CD85-IS!CD102</f>
        <v>72.607408940285382</v>
      </c>
      <c r="CE145" s="1595">
        <f>RevBuild!CE13-IS!CE52-IS!CE85-IS!CE102</f>
        <v>58.276984366891426</v>
      </c>
      <c r="CF145" s="1596">
        <f>RevBuild!CF13-IS!CF52-IS!CF85-IS!CF102</f>
        <v>72.308946466556847</v>
      </c>
      <c r="CG145" s="283">
        <f>SUM(CC145:CF145)</f>
        <v>232.50290078441407</v>
      </c>
      <c r="CH145" s="279"/>
      <c r="CI145" s="1594">
        <f>RevBuild!CI13-IS!CI52-IS!CI85-IS!CI102</f>
        <v>34.345552352865397</v>
      </c>
      <c r="CJ145" s="1595">
        <f>RevBuild!CJ13-IS!CJ52-IS!CJ85-IS!CJ102</f>
        <v>83.515867914742245</v>
      </c>
      <c r="CK145" s="1595">
        <f>RevBuild!CK13-IS!CK52-IS!CK85-IS!CK102</f>
        <v>69.853727354505622</v>
      </c>
      <c r="CL145" s="1596">
        <f>RevBuild!CL13-IS!CL52-IS!CL85-IS!CL102</f>
        <v>84.940821504417272</v>
      </c>
      <c r="CM145" s="283">
        <f>SUM(CI145:CL145)</f>
        <v>272.65596912653052</v>
      </c>
      <c r="CN145" s="279"/>
      <c r="CO145" s="279"/>
      <c r="CP145" s="279"/>
      <c r="CQ145"/>
      <c r="CR145"/>
      <c r="CS145"/>
      <c r="CT145"/>
      <c r="CU145"/>
      <c r="CV145"/>
      <c r="CW145" s="280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</row>
    <row r="146" spans="1:119" s="154" customFormat="1">
      <c r="A146" s="281" t="s">
        <v>107</v>
      </c>
      <c r="B146" s="274"/>
      <c r="C146" s="282"/>
      <c r="D146" s="279"/>
      <c r="E146" s="279"/>
      <c r="F146" s="275"/>
      <c r="G146" s="55"/>
      <c r="H146" s="274"/>
      <c r="I146" s="282"/>
      <c r="J146" s="279"/>
      <c r="K146" s="279"/>
      <c r="L146" s="275"/>
      <c r="M146" s="55"/>
      <c r="N146" s="274"/>
      <c r="O146" s="282"/>
      <c r="P146" s="279"/>
      <c r="Q146" s="279"/>
      <c r="R146" s="275"/>
      <c r="S146" s="55"/>
      <c r="T146" s="279"/>
      <c r="U146" s="282"/>
      <c r="V146" s="279"/>
      <c r="W146" s="279"/>
      <c r="X146" s="275"/>
      <c r="Y146" s="55"/>
      <c r="Z146" s="279"/>
      <c r="AA146" s="282"/>
      <c r="AB146" s="279"/>
      <c r="AC146" s="279"/>
      <c r="AD146" s="275"/>
      <c r="AE146" s="55"/>
      <c r="AF146" s="279"/>
      <c r="AG146" s="1589">
        <v>57</v>
      </c>
      <c r="AH146" s="1590">
        <v>57</v>
      </c>
      <c r="AI146" s="1590">
        <v>64</v>
      </c>
      <c r="AJ146" s="1591">
        <v>70</v>
      </c>
      <c r="AK146" s="55">
        <f>SUM(AG146:AJ146)</f>
        <v>248</v>
      </c>
      <c r="AL146" s="279"/>
      <c r="AM146" s="1589">
        <v>62</v>
      </c>
      <c r="AN146" s="1590">
        <v>75</v>
      </c>
      <c r="AO146" s="1590">
        <v>79</v>
      </c>
      <c r="AP146" s="1591">
        <v>83</v>
      </c>
      <c r="AQ146" s="55">
        <f t="shared" si="91"/>
        <v>299</v>
      </c>
      <c r="AR146" s="279"/>
      <c r="AS146" s="1589">
        <v>69</v>
      </c>
      <c r="AT146" s="1590">
        <v>70</v>
      </c>
      <c r="AU146" s="1590">
        <v>84</v>
      </c>
      <c r="AV146" s="1591">
        <v>78</v>
      </c>
      <c r="AW146" s="55">
        <f>SUM(AS146:AV146)</f>
        <v>301</v>
      </c>
      <c r="AX146" s="279"/>
      <c r="AY146" s="1594">
        <f>RevBuild!AY17-IS!AY54-IS!AY87-IS!AY104</f>
        <v>68.51700000000001</v>
      </c>
      <c r="AZ146" s="1595">
        <f>RevBuild!AZ17-IS!AZ54-IS!AZ87-IS!AZ104</f>
        <v>69.015000000000001</v>
      </c>
      <c r="BA146" s="1595">
        <f>RevBuild!BA17-IS!BA54-IS!BA87-IS!BA104</f>
        <v>75.936000000000007</v>
      </c>
      <c r="BB146" s="1596">
        <f>RevBuild!BB17-IS!BB54-IS!BB87-IS!BB104</f>
        <v>85.842000000000013</v>
      </c>
      <c r="BC146" s="283">
        <f>SUM(AY146:BB146)</f>
        <v>299.31000000000006</v>
      </c>
      <c r="BD146" s="279"/>
      <c r="BE146" s="1594">
        <f>RevBuild!BE17-IS!BE54-IS!BE87-IS!BE104</f>
        <v>76.023999999999987</v>
      </c>
      <c r="BF146" s="1595">
        <f>RevBuild!BF17-IS!BF54-IS!BF87-IS!BF104</f>
        <v>74.390000000000015</v>
      </c>
      <c r="BG146" s="1595">
        <f>RevBuild!BG17-IS!BG54-IS!BG87-IS!BG104</f>
        <v>81.719999999999985</v>
      </c>
      <c r="BH146" s="1596">
        <f>RevBuild!BH17-IS!BH54-IS!BH87-IS!BH104</f>
        <v>84.100999999999999</v>
      </c>
      <c r="BI146" s="283">
        <f>SUM(BE146:BH146)</f>
        <v>316.23499999999996</v>
      </c>
      <c r="BJ146" s="279"/>
      <c r="BK146" s="1594">
        <f>RevBuild!BK17-IS!BK54-IS!BK87-IS!BK104</f>
        <v>73.689000000000021</v>
      </c>
      <c r="BL146" s="1595">
        <f>RevBuild!BL17-IS!BL54-IS!BL87-IS!BL104</f>
        <v>81.647999999999996</v>
      </c>
      <c r="BM146" s="1595">
        <f>RevBuild!BM17-IS!BM54-IS!BM87-IS!BM104</f>
        <v>90.131000000000014</v>
      </c>
      <c r="BN146" s="1596">
        <f>RevBuild!BN17-IS!BN54-IS!BN87-IS!BN104</f>
        <v>92.516000000000005</v>
      </c>
      <c r="BO146" s="283">
        <f>SUM(BK146:BN146)</f>
        <v>337.98400000000004</v>
      </c>
      <c r="BP146" s="279"/>
      <c r="BQ146" s="1594">
        <f>RevBuild!BQ17-IS!BQ54-IS!BQ87-IS!BQ104</f>
        <v>87.964800000000011</v>
      </c>
      <c r="BR146" s="1595">
        <f>RevBuild!BR17-IS!BR54-IS!BR87-IS!BR104</f>
        <v>102.09747600000004</v>
      </c>
      <c r="BS146" s="1595">
        <f>RevBuild!BS17-IS!BS54-IS!BS87-IS!BS104</f>
        <v>111.932087</v>
      </c>
      <c r="BT146" s="1596">
        <f>RevBuild!BT17-IS!BT54-IS!BT87-IS!BT104</f>
        <v>114.85598800000002</v>
      </c>
      <c r="BU146" s="283">
        <f>SUM(BQ146:BT146)</f>
        <v>416.85035100000005</v>
      </c>
      <c r="BV146" s="279"/>
      <c r="BW146" s="1594">
        <f>RevBuild!BW17-IS!BW54-IS!BW87-IS!BW104</f>
        <v>98.306783999999993</v>
      </c>
      <c r="BX146" s="1595">
        <f>RevBuild!BX17-IS!BX54-IS!BX87-IS!BX104</f>
        <v>113.79941748000005</v>
      </c>
      <c r="BY146" s="1595">
        <f>RevBuild!BY17-IS!BY54-IS!BY87-IS!BY104</f>
        <v>124.49162376000004</v>
      </c>
      <c r="BZ146" s="1596">
        <f>RevBuild!BZ17-IS!BZ54-IS!BZ87-IS!BZ104</f>
        <v>127.81099944000003</v>
      </c>
      <c r="CA146" s="283">
        <f>SUM(BW146:BZ146)</f>
        <v>464.40882468000012</v>
      </c>
      <c r="CB146" s="56"/>
      <c r="CC146" s="1594">
        <f>RevBuild!CC17-IS!CC54-IS!CC87-IS!CC104</f>
        <v>108.5219208</v>
      </c>
      <c r="CD146" s="1595">
        <f>RevBuild!CD17-IS!CD54-IS!CD87-IS!CD104</f>
        <v>125.37373711500004</v>
      </c>
      <c r="CE146" s="1595">
        <f>RevBuild!CE17-IS!CE54-IS!CE87-IS!CE104</f>
        <v>136.92876957000007</v>
      </c>
      <c r="CF146" s="1596">
        <f>RevBuild!CF17-IS!CF54-IS!CF87-IS!CF104</f>
        <v>140.63604226200002</v>
      </c>
      <c r="CG146" s="283">
        <f>SUM(CC146:CF146)</f>
        <v>511.46046974700016</v>
      </c>
      <c r="CH146" s="279"/>
      <c r="CI146" s="1594">
        <f>RevBuild!CI17-IS!CI54-IS!CI87-IS!CI104</f>
        <v>119.48720589000003</v>
      </c>
      <c r="CJ146" s="1595">
        <f>RevBuild!CJ17-IS!CJ54-IS!CJ87-IS!CJ104</f>
        <v>137.79903430392756</v>
      </c>
      <c r="CK146" s="1595">
        <f>RevBuild!CK17-IS!CK54-IS!CK87-IS!CK104</f>
        <v>150.28126227434254</v>
      </c>
      <c r="CL146" s="1596">
        <f>RevBuild!CL17-IS!CL54-IS!CL87-IS!CL104</f>
        <v>154.404742695165</v>
      </c>
      <c r="CM146" s="283">
        <f>SUM(CI146:CL146)</f>
        <v>561.97224516343522</v>
      </c>
      <c r="CN146" s="279"/>
      <c r="CO146" s="279"/>
      <c r="CP146" s="279"/>
      <c r="CQ146"/>
      <c r="CR146"/>
      <c r="CS146"/>
      <c r="CT146"/>
      <c r="CU146"/>
      <c r="CV146"/>
      <c r="CW146" s="280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</row>
    <row r="147" spans="1:119" s="149" customFormat="1">
      <c r="A147" s="2319" t="s">
        <v>142</v>
      </c>
      <c r="B147" s="2320"/>
      <c r="C147" s="2321">
        <f>SUM(C140:C142)</f>
        <v>75</v>
      </c>
      <c r="D147" s="2322">
        <f>SUM(D140:D142)</f>
        <v>54</v>
      </c>
      <c r="E147" s="2322">
        <f>SUM(E140:E142)</f>
        <v>77</v>
      </c>
      <c r="F147" s="2323">
        <f>SUM(F140:F142)</f>
        <v>101</v>
      </c>
      <c r="G147" s="2324">
        <f>SUM(G140:G142)</f>
        <v>307</v>
      </c>
      <c r="H147" s="2320"/>
      <c r="I147" s="2321">
        <f>SUM(I140:I142)</f>
        <v>87</v>
      </c>
      <c r="J147" s="2322">
        <f>SUM(J140:J142)</f>
        <v>85</v>
      </c>
      <c r="K147" s="2322">
        <f>SUM(K140:K142)</f>
        <v>102</v>
      </c>
      <c r="L147" s="2323">
        <f>SUM(L140:L142)</f>
        <v>136</v>
      </c>
      <c r="M147" s="2324">
        <f>SUM(I147:L147)</f>
        <v>410</v>
      </c>
      <c r="N147" s="2320"/>
      <c r="O147" s="2321">
        <f>SUM(O140:O142)</f>
        <v>101</v>
      </c>
      <c r="P147" s="2322">
        <f>SUM(P140:P142)</f>
        <v>89</v>
      </c>
      <c r="Q147" s="2322">
        <f>SUM(Q140:Q142)</f>
        <v>91</v>
      </c>
      <c r="R147" s="2323">
        <f>SUM(R140:R142)</f>
        <v>109</v>
      </c>
      <c r="S147" s="2324">
        <f>SUM(O147:R147)</f>
        <v>390</v>
      </c>
      <c r="T147" s="2325"/>
      <c r="U147" s="2321">
        <f>SUM(U140:U142)</f>
        <v>122</v>
      </c>
      <c r="V147" s="2322">
        <f>SUM(V140:V142)</f>
        <v>105</v>
      </c>
      <c r="W147" s="2322">
        <f>SUM(W140:W142)</f>
        <v>125</v>
      </c>
      <c r="X147" s="2323">
        <f>SUM(X140:X142)</f>
        <v>148</v>
      </c>
      <c r="Y147" s="2324">
        <f>SUM(U147:X147)</f>
        <v>500</v>
      </c>
      <c r="Z147" s="2325"/>
      <c r="AA147" s="2321">
        <f>SUM(AA140:AA142)</f>
        <v>113</v>
      </c>
      <c r="AB147" s="2322">
        <f>SUM(AB140:AB142)</f>
        <v>133</v>
      </c>
      <c r="AC147" s="2322">
        <f>SUM(AC140:AC142)</f>
        <v>139</v>
      </c>
      <c r="AD147" s="2323">
        <f>SUM(AD140:AD142)</f>
        <v>165</v>
      </c>
      <c r="AE147" s="2324">
        <f>SUM(AA147:AD147)</f>
        <v>550</v>
      </c>
      <c r="AF147" s="2325"/>
      <c r="AG147" s="2321">
        <f>SUM(AG144:AG146)</f>
        <v>154</v>
      </c>
      <c r="AH147" s="2322">
        <f>SUM(AH144:AH146)</f>
        <v>132</v>
      </c>
      <c r="AI147" s="2322">
        <f>SUM(AI144:AI146)</f>
        <v>153</v>
      </c>
      <c r="AJ147" s="2323">
        <f>SUM(AJ144:AJ146)</f>
        <v>194</v>
      </c>
      <c r="AK147" s="2324">
        <f>SUM(AK144:AK146)</f>
        <v>633</v>
      </c>
      <c r="AL147" s="2325"/>
      <c r="AM147" s="2321">
        <f>SUM(AM144:AM146)</f>
        <v>163</v>
      </c>
      <c r="AN147" s="2322">
        <f>SUM(AN144:AN146)</f>
        <v>178</v>
      </c>
      <c r="AO147" s="2322">
        <f>SUM(AO144:AO146)</f>
        <v>174</v>
      </c>
      <c r="AP147" s="2323">
        <f>SUM(AP144:AP146)</f>
        <v>217</v>
      </c>
      <c r="AQ147" s="2324">
        <f>SUM(AQ144:AQ146)</f>
        <v>732</v>
      </c>
      <c r="AR147" s="2325"/>
      <c r="AS147" s="2321">
        <f>SUM(AS144:AS146)</f>
        <v>193</v>
      </c>
      <c r="AT147" s="2322">
        <f>SUM(AT144:AT146)</f>
        <v>167</v>
      </c>
      <c r="AU147" s="2322">
        <f>SUM(AU144:AU146)</f>
        <v>190</v>
      </c>
      <c r="AV147" s="2323">
        <f>SUM(AV144:AV146)</f>
        <v>213</v>
      </c>
      <c r="AW147" s="2324">
        <f>SUM(AW144:AW146)</f>
        <v>763</v>
      </c>
      <c r="AX147" s="2325"/>
      <c r="AY147" s="2321">
        <f>SUM(AY144:AY146)</f>
        <v>176.46900000000005</v>
      </c>
      <c r="AZ147" s="2322">
        <f>SUM(AZ144:AZ146)</f>
        <v>169.09899999999999</v>
      </c>
      <c r="BA147" s="2322">
        <f>SUM(BA144:BA146)</f>
        <v>199.54900000000004</v>
      </c>
      <c r="BB147" s="2323">
        <f>SUM(BB144:BB146)</f>
        <v>223.01800000000003</v>
      </c>
      <c r="BC147" s="2323">
        <f>SUM(BC144:BC146)</f>
        <v>768.1350000000001</v>
      </c>
      <c r="BD147" s="2325"/>
      <c r="BE147" s="2321">
        <f>SUM(BE144:BE146)</f>
        <v>205.33399999999995</v>
      </c>
      <c r="BF147" s="2322">
        <f>SUM(BF144:BF146)</f>
        <v>195.14</v>
      </c>
      <c r="BG147" s="2322">
        <f>SUM(BG144:BG146)</f>
        <v>211.82399999999996</v>
      </c>
      <c r="BH147" s="2323">
        <f>SUM(BH144:BH146)</f>
        <v>247.09529999999992</v>
      </c>
      <c r="BI147" s="2323">
        <f>SUM(BI144:BI146)</f>
        <v>859.39329999999973</v>
      </c>
      <c r="BJ147" s="2325"/>
      <c r="BK147" s="2321">
        <f>SUM(BK144:BK146)</f>
        <v>223.23100000000005</v>
      </c>
      <c r="BL147" s="2322">
        <f>SUM(BL144:BL146)</f>
        <v>241.16599999999997</v>
      </c>
      <c r="BM147" s="2322">
        <f>SUM(BM144:BM146)</f>
        <v>236.21610000000004</v>
      </c>
      <c r="BN147" s="2323">
        <f>SUM(BN144:BN146)</f>
        <v>273.62099999999998</v>
      </c>
      <c r="BO147" s="2323">
        <f>SUM(BO144:BO146)</f>
        <v>974.23410000000001</v>
      </c>
      <c r="BP147" s="2325"/>
      <c r="BQ147" s="2321">
        <f>SUM(BQ144:BQ146)</f>
        <v>268.73259999999993</v>
      </c>
      <c r="BR147" s="2322">
        <f>SUM(BR144:BR146)</f>
        <v>296.17289125019659</v>
      </c>
      <c r="BS147" s="2322">
        <f>SUM(BS144:BS146)</f>
        <v>285.20327487764621</v>
      </c>
      <c r="BT147" s="2323">
        <f>SUM(BT144:BT146)</f>
        <v>325.80653862092078</v>
      </c>
      <c r="BU147" s="2323">
        <f>SUM(BU144:BU146)</f>
        <v>1175.9153047487634</v>
      </c>
      <c r="BV147" s="2325"/>
      <c r="BW147" s="2321">
        <f>SUM(BW144:BW146)</f>
        <v>296.39954495407125</v>
      </c>
      <c r="BX147" s="2322">
        <f>SUM(BX144:BX146)</f>
        <v>326.23865003331269</v>
      </c>
      <c r="BY147" s="2322">
        <f>SUM(BY144:BY146)</f>
        <v>317.78790407427289</v>
      </c>
      <c r="BZ147" s="2323">
        <f>SUM(BZ144:BZ146)</f>
        <v>361.65044706428279</v>
      </c>
      <c r="CA147" s="2323">
        <f>SUM(CA144:CA146)</f>
        <v>1302.0765461259396</v>
      </c>
      <c r="CB147" s="2326"/>
      <c r="CC147" s="2321">
        <f>SUM(CC144:CC146)</f>
        <v>321.76353405068039</v>
      </c>
      <c r="CD147" s="2322">
        <f>SUM(CD144:CD146)</f>
        <v>357.15173766408537</v>
      </c>
      <c r="CE147" s="2322">
        <f>SUM(CE144:CE146)</f>
        <v>349.52921188333153</v>
      </c>
      <c r="CF147" s="2323">
        <f>SUM(CF144:CF146)</f>
        <v>396.0045835885569</v>
      </c>
      <c r="CG147" s="2323">
        <f>SUM(CG144:CG146)</f>
        <v>1424.4490671866542</v>
      </c>
      <c r="CH147" s="289"/>
      <c r="CI147" s="2321">
        <f>SUM(CI144:CI146)</f>
        <v>349.22480293066542</v>
      </c>
      <c r="CJ147" s="2322">
        <f>SUM(CJ144:CJ146)</f>
        <v>391.00543048968007</v>
      </c>
      <c r="CK147" s="2322">
        <f>SUM(CK144:CK146)</f>
        <v>384.64436362932042</v>
      </c>
      <c r="CL147" s="2323">
        <f>SUM(CL144:CL146)</f>
        <v>433.8457082416723</v>
      </c>
      <c r="CM147" s="2323">
        <f>SUM(CM144:CM146)</f>
        <v>1558.7203052913383</v>
      </c>
      <c r="CN147" s="289"/>
      <c r="CO147" s="289"/>
      <c r="CP147" s="289"/>
      <c r="CQ147"/>
      <c r="CR147"/>
      <c r="CS147"/>
      <c r="CT147"/>
      <c r="CU147"/>
      <c r="CV147"/>
      <c r="CW147" s="287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</row>
    <row r="148" spans="1:119" s="149" customFormat="1">
      <c r="A148" s="290"/>
      <c r="B148" s="17"/>
      <c r="C148" s="1327"/>
      <c r="D148" s="1327"/>
      <c r="E148" s="1327"/>
      <c r="F148" s="1327"/>
      <c r="G148" s="1327"/>
      <c r="H148" s="1328"/>
      <c r="I148" s="1327"/>
      <c r="J148" s="1327"/>
      <c r="K148" s="1327"/>
      <c r="L148" s="1327"/>
      <c r="M148" s="1327"/>
      <c r="N148" s="1328"/>
      <c r="O148" s="1327"/>
      <c r="P148" s="1327"/>
      <c r="Q148" s="1327"/>
      <c r="R148" s="1327"/>
      <c r="S148" s="1327"/>
      <c r="T148" s="1328"/>
      <c r="U148" s="1327"/>
      <c r="V148" s="1327"/>
      <c r="W148" s="1327"/>
      <c r="X148" s="1327"/>
      <c r="Y148" s="1327"/>
      <c r="Z148" s="1328"/>
      <c r="AA148" s="1327"/>
      <c r="AB148" s="1327"/>
      <c r="AC148" s="1327"/>
      <c r="AD148" s="1327"/>
      <c r="AE148" s="1327"/>
      <c r="AF148" s="1328"/>
      <c r="AG148" s="1327">
        <f>AG147-AG19</f>
        <v>0</v>
      </c>
      <c r="AH148" s="1327">
        <f>AH147-AH19</f>
        <v>0</v>
      </c>
      <c r="AI148" s="1327">
        <f>AI147-AI19</f>
        <v>0</v>
      </c>
      <c r="AJ148" s="1327">
        <f>AJ147-AJ19</f>
        <v>0</v>
      </c>
      <c r="AK148" s="1327">
        <f>AK147-AK19</f>
        <v>0</v>
      </c>
      <c r="AL148" s="1328"/>
      <c r="AM148" s="1327">
        <f>AM147-AM19</f>
        <v>0</v>
      </c>
      <c r="AN148" s="1327">
        <f>AN147-AN19</f>
        <v>0</v>
      </c>
      <c r="AO148" s="1327">
        <f>AO147-AO19</f>
        <v>0</v>
      </c>
      <c r="AP148" s="1327">
        <f>AP147-AP19</f>
        <v>0</v>
      </c>
      <c r="AQ148" s="1327">
        <f>AQ147-AQ19</f>
        <v>0</v>
      </c>
      <c r="AR148" s="1328"/>
      <c r="AS148" s="1327"/>
      <c r="AT148" s="1327"/>
      <c r="AU148" s="1327"/>
      <c r="AV148" s="1327"/>
      <c r="AW148" s="1327"/>
      <c r="AX148" s="129"/>
      <c r="AY148" s="130"/>
      <c r="AZ148" s="1315"/>
      <c r="BA148" s="1315"/>
      <c r="BB148" s="1315"/>
      <c r="BC148" s="1962"/>
      <c r="BD148" s="224"/>
      <c r="BE148" s="130"/>
      <c r="BF148" s="1963"/>
      <c r="BG148" s="1963"/>
      <c r="BH148" s="1963"/>
      <c r="BI148" s="1962"/>
      <c r="BJ148" s="224"/>
      <c r="BK148" s="1962"/>
      <c r="BL148" s="1963"/>
      <c r="BM148" s="1963"/>
      <c r="BN148" s="1963"/>
      <c r="BO148" s="1962"/>
      <c r="BP148" s="129"/>
      <c r="BQ148" s="130"/>
      <c r="BR148" s="1315"/>
      <c r="BS148" s="1315"/>
      <c r="BT148" s="1315"/>
      <c r="BU148" s="130"/>
      <c r="BV148" s="129"/>
      <c r="BW148" s="130"/>
      <c r="BX148" s="1315"/>
      <c r="BY148" s="1315"/>
      <c r="BZ148" s="1315"/>
      <c r="CA148" s="130"/>
      <c r="CB148" s="130"/>
      <c r="CC148" s="130"/>
      <c r="CD148" s="1315"/>
      <c r="CE148" s="1315"/>
      <c r="CF148" s="1315"/>
      <c r="CG148" s="130"/>
      <c r="CI148" s="130"/>
      <c r="CJ148" s="1315"/>
      <c r="CK148" s="1315"/>
      <c r="CL148" s="1315"/>
      <c r="CM148" s="130"/>
      <c r="CQ148"/>
      <c r="CR148"/>
      <c r="CS148"/>
      <c r="CT148"/>
      <c r="CU148"/>
      <c r="CV148"/>
    </row>
    <row r="149" spans="1:119" s="149" customFormat="1">
      <c r="A149" s="291" t="s">
        <v>143</v>
      </c>
      <c r="B149" s="232"/>
      <c r="C149" s="292"/>
      <c r="D149" s="293"/>
      <c r="E149" s="294"/>
      <c r="F149" s="293"/>
      <c r="G149" s="295"/>
      <c r="H149" s="232"/>
      <c r="I149" s="292"/>
      <c r="J149" s="293"/>
      <c r="K149" s="294"/>
      <c r="L149" s="296"/>
      <c r="M149" s="295"/>
      <c r="N149" s="232"/>
      <c r="O149" s="292"/>
      <c r="P149" s="293"/>
      <c r="Q149" s="294"/>
      <c r="R149" s="296"/>
      <c r="S149" s="295"/>
      <c r="T149" s="297"/>
      <c r="U149" s="292"/>
      <c r="V149" s="293"/>
      <c r="W149" s="294"/>
      <c r="X149" s="296"/>
      <c r="Y149" s="295"/>
      <c r="Z149" s="297"/>
      <c r="AA149" s="292"/>
      <c r="AB149" s="293"/>
      <c r="AC149" s="294"/>
      <c r="AD149" s="296"/>
      <c r="AE149" s="295"/>
      <c r="AF149" s="297"/>
      <c r="AG149" s="292"/>
      <c r="AH149" s="293"/>
      <c r="AI149" s="294"/>
      <c r="AJ149" s="296"/>
      <c r="AK149" s="295"/>
      <c r="AL149" s="297"/>
      <c r="AM149" s="292"/>
      <c r="AN149" s="293"/>
      <c r="AO149" s="294"/>
      <c r="AP149" s="296"/>
      <c r="AQ149" s="295"/>
      <c r="AR149" s="297"/>
      <c r="AS149" s="292"/>
      <c r="AT149" s="293"/>
      <c r="AU149" s="294"/>
      <c r="AV149" s="296"/>
      <c r="AW149" s="295"/>
      <c r="AX149" s="297"/>
      <c r="AY149" s="292"/>
      <c r="AZ149" s="293"/>
      <c r="BA149" s="294"/>
      <c r="BB149" s="296"/>
      <c r="BC149" s="295"/>
      <c r="BD149" s="297"/>
      <c r="BE149" s="292"/>
      <c r="BF149" s="293"/>
      <c r="BG149" s="294"/>
      <c r="BH149" s="296"/>
      <c r="BI149" s="295"/>
      <c r="BJ149" s="297"/>
      <c r="BK149" s="292"/>
      <c r="BL149" s="293"/>
      <c r="BM149" s="294"/>
      <c r="BN149" s="296"/>
      <c r="BO149" s="295"/>
      <c r="BP149" s="297"/>
      <c r="BQ149" s="292"/>
      <c r="BR149" s="293"/>
      <c r="BS149" s="294"/>
      <c r="BT149" s="296"/>
      <c r="BU149" s="295"/>
      <c r="BV149" s="297"/>
      <c r="BW149" s="292"/>
      <c r="BX149" s="293"/>
      <c r="BY149" s="294"/>
      <c r="BZ149" s="296"/>
      <c r="CA149" s="295"/>
      <c r="CB149" s="297"/>
      <c r="CC149" s="292"/>
      <c r="CD149" s="293"/>
      <c r="CE149" s="294"/>
      <c r="CF149" s="296"/>
      <c r="CG149" s="295"/>
      <c r="CH149" s="202"/>
      <c r="CI149" s="292"/>
      <c r="CJ149" s="293"/>
      <c r="CK149" s="294"/>
      <c r="CL149" s="296"/>
      <c r="CM149" s="295"/>
      <c r="CN149" s="202"/>
      <c r="CO149" s="202"/>
      <c r="CP149" s="202"/>
      <c r="CQ149"/>
      <c r="CR149"/>
      <c r="CS149"/>
      <c r="CT149"/>
      <c r="CU149"/>
      <c r="CV149"/>
    </row>
    <row r="150" spans="1:119" s="149" customFormat="1" hidden="1" outlineLevel="1">
      <c r="A150" s="281" t="s">
        <v>97</v>
      </c>
      <c r="B150" s="154"/>
      <c r="C150" s="159">
        <f>C140/RevBuild!C8</f>
        <v>0.12</v>
      </c>
      <c r="D150" s="156">
        <f>D140/RevBuild!D8</f>
        <v>0.10612244897959183</v>
      </c>
      <c r="E150" s="156">
        <f>E140/RevBuild!E8</f>
        <v>9.6899224806201556E-2</v>
      </c>
      <c r="F150" s="300">
        <f>F140/RevBuild!F8</f>
        <v>0.14334470989761092</v>
      </c>
      <c r="G150" s="160">
        <f>G140/RevBuild!G8</f>
        <v>0.11759082217973231</v>
      </c>
      <c r="H150" s="154"/>
      <c r="I150" s="159">
        <f>I140/RevBuild!I8</f>
        <v>0.10784313725490197</v>
      </c>
      <c r="J150" s="156">
        <f>J140/RevBuild!J8</f>
        <v>9.9337748344370855E-2</v>
      </c>
      <c r="K150" s="156">
        <f>K140/RevBuild!K8</f>
        <v>0.12662337662337661</v>
      </c>
      <c r="L150" s="300">
        <f>L140/RevBuild!L8</f>
        <v>0.1871345029239766</v>
      </c>
      <c r="M150" s="160">
        <f>M140/RevBuild!M8</f>
        <v>0.13195548489666137</v>
      </c>
      <c r="N150" s="154"/>
      <c r="O150" s="159">
        <f>O140/RevBuild!O8</f>
        <v>0.16862745098039217</v>
      </c>
      <c r="P150" s="156">
        <f>P140/RevBuild!P8</f>
        <v>0.15189873417721519</v>
      </c>
      <c r="Q150" s="156">
        <f>Q140/RevBuild!Q8</f>
        <v>0.14893617021276595</v>
      </c>
      <c r="R150" s="300">
        <f>R140/RevBuild!R8</f>
        <v>0.17624521072796934</v>
      </c>
      <c r="S150" s="160">
        <f>S140/RevBuild!S8</f>
        <v>0.16194331983805668</v>
      </c>
      <c r="T150" s="202"/>
      <c r="U150" s="159">
        <f>U140/RevBuild!U8</f>
        <v>0.18705035971223022</v>
      </c>
      <c r="V150" s="156">
        <f>V140/RevBuild!V8</f>
        <v>0.15355805243445692</v>
      </c>
      <c r="W150" s="156">
        <f>W140/RevBuild!W8</f>
        <v>0.16560509554140126</v>
      </c>
      <c r="X150" s="300">
        <f>X140/RevBuild!X8</f>
        <v>0.15803814713896458</v>
      </c>
      <c r="Y150" s="160">
        <f>Y140/RevBuild!Y8</f>
        <v>0.16557911908646003</v>
      </c>
      <c r="Z150" s="202"/>
      <c r="AA150" s="159">
        <f>AA140/RevBuild!AA8</f>
        <v>0.1242603550295858</v>
      </c>
      <c r="AB150" s="156">
        <f>AB140/RevBuild!AB8</f>
        <v>0.1326530612244898</v>
      </c>
      <c r="AC150" s="156">
        <f>AC140/RevBuild!AC8</f>
        <v>0.13315926892950392</v>
      </c>
      <c r="AD150" s="300">
        <f>AD140/RevBuild!AD8</f>
        <v>0.1417910447761194</v>
      </c>
      <c r="AE150" s="160">
        <f>AE140/RevBuild!AE8</f>
        <v>0.13333333333333333</v>
      </c>
      <c r="AF150" s="202"/>
      <c r="AG150" s="159">
        <f>AG140/RevBuild!AG8</f>
        <v>0.14683544303797469</v>
      </c>
      <c r="AH150" s="156">
        <f>AH140/RevBuild!AH8</f>
        <v>0.11139240506329114</v>
      </c>
      <c r="AI150" s="156">
        <f>AI140/RevBuild!AI8</f>
        <v>0.14578005115089515</v>
      </c>
      <c r="AJ150" s="300">
        <f>AJ140/RevBuild!AJ8</f>
        <v>0.17705735660847879</v>
      </c>
      <c r="AK150" s="160">
        <f>AK140/RevBuild!AK8</f>
        <v>0.14538558786346398</v>
      </c>
      <c r="AL150" s="202"/>
      <c r="AM150" s="159">
        <f>AM140/RevBuild!AM8</f>
        <v>0</v>
      </c>
      <c r="AN150" s="156">
        <f>AN140/RevBuild!AN8</f>
        <v>0.1506172839506173</v>
      </c>
      <c r="AO150" s="156">
        <f>AO140/RevBuild!AO8</f>
        <v>0.16708229426433915</v>
      </c>
      <c r="AP150" s="300">
        <f>AP140/RevBuild!AP8</f>
        <v>0</v>
      </c>
      <c r="AQ150" s="160">
        <f>AQ140/RevBuild!AQ8</f>
        <v>7.865201629853176E-2</v>
      </c>
      <c r="AR150" s="202"/>
      <c r="AS150" s="159"/>
      <c r="AT150" s="156"/>
      <c r="AU150" s="156"/>
      <c r="AV150" s="300"/>
      <c r="AW150" s="160"/>
      <c r="AX150" s="202"/>
      <c r="AY150" s="159"/>
      <c r="AZ150" s="156"/>
      <c r="BA150" s="156"/>
      <c r="BB150" s="300"/>
      <c r="BC150" s="160"/>
      <c r="BD150" s="202"/>
      <c r="BE150" s="159"/>
      <c r="BF150" s="156"/>
      <c r="BG150" s="156"/>
      <c r="BH150" s="300"/>
      <c r="BI150" s="160"/>
      <c r="BJ150" s="202"/>
      <c r="BK150" s="159"/>
      <c r="BL150" s="156"/>
      <c r="BM150" s="156"/>
      <c r="BN150" s="300"/>
      <c r="BO150" s="160"/>
      <c r="BP150" s="202"/>
      <c r="BQ150" s="159"/>
      <c r="BR150" s="156"/>
      <c r="BS150" s="156"/>
      <c r="BT150" s="300"/>
      <c r="BU150" s="160"/>
      <c r="BV150" s="202"/>
      <c r="BW150" s="159"/>
      <c r="BX150" s="156"/>
      <c r="BY150" s="156"/>
      <c r="BZ150" s="300"/>
      <c r="CA150" s="160"/>
      <c r="CB150" s="156"/>
      <c r="CC150" s="159"/>
      <c r="CD150" s="156"/>
      <c r="CE150" s="156"/>
      <c r="CF150" s="300"/>
      <c r="CG150" s="160"/>
      <c r="CH150" s="1329"/>
      <c r="CI150" s="159"/>
      <c r="CJ150" s="156"/>
      <c r="CK150" s="156"/>
      <c r="CL150" s="300"/>
      <c r="CM150" s="160"/>
      <c r="CN150" s="1329"/>
      <c r="CO150" s="1329"/>
      <c r="CP150" s="154"/>
      <c r="CQ150"/>
      <c r="CR150"/>
      <c r="CS150"/>
      <c r="CT150"/>
      <c r="CU150"/>
      <c r="CV150"/>
    </row>
    <row r="151" spans="1:119" s="149" customFormat="1" hidden="1" outlineLevel="1">
      <c r="A151" s="281" t="s">
        <v>99</v>
      </c>
      <c r="B151" s="154"/>
      <c r="C151" s="159"/>
      <c r="D151" s="156"/>
      <c r="E151" s="156"/>
      <c r="F151" s="300"/>
      <c r="G151" s="160"/>
      <c r="H151" s="154"/>
      <c r="I151" s="159"/>
      <c r="J151" s="156"/>
      <c r="K151" s="156"/>
      <c r="L151" s="300"/>
      <c r="M151" s="160"/>
      <c r="N151" s="154"/>
      <c r="O151" s="159">
        <f>O141/RevBuild!O9</f>
        <v>1.8518518518518517E-2</v>
      </c>
      <c r="P151" s="156">
        <f>P141/RevBuild!P9</f>
        <v>0.13114754098360656</v>
      </c>
      <c r="Q151" s="156">
        <f>Q141/RevBuild!Q9</f>
        <v>6.8965517241379309E-2</v>
      </c>
      <c r="R151" s="300">
        <f>R141/RevBuild!R9</f>
        <v>1.7241379310344827E-2</v>
      </c>
      <c r="S151" s="160">
        <f>S141/RevBuild!S9</f>
        <v>6.0606060606060608E-2</v>
      </c>
      <c r="T151" s="202"/>
      <c r="U151" s="159">
        <f>U141/RevBuild!U9</f>
        <v>4.8387096774193547E-2</v>
      </c>
      <c r="V151" s="156">
        <f>V141/RevBuild!V9</f>
        <v>0.1044776119402985</v>
      </c>
      <c r="W151" s="156">
        <f>W141/RevBuild!W9</f>
        <v>6.6666666666666666E-2</v>
      </c>
      <c r="X151" s="300">
        <f>X141/RevBuild!X9</f>
        <v>6.25E-2</v>
      </c>
      <c r="Y151" s="160">
        <f>Y141/RevBuild!Y9</f>
        <v>7.1146245059288543E-2</v>
      </c>
      <c r="Z151" s="202"/>
      <c r="AA151" s="159">
        <f>AA141/RevBuild!AA9</f>
        <v>9.0909090909090912E-2</v>
      </c>
      <c r="AB151" s="156">
        <f>AB141/RevBuild!AB9</f>
        <v>0.125</v>
      </c>
      <c r="AC151" s="156">
        <f>AC141/RevBuild!AC9</f>
        <v>0.12857142857142856</v>
      </c>
      <c r="AD151" s="300">
        <f>AD141/RevBuild!AD9</f>
        <v>0.15942028985507245</v>
      </c>
      <c r="AE151" s="160">
        <f>AE141/RevBuild!AE9</f>
        <v>0.1263537906137184</v>
      </c>
      <c r="AF151" s="202"/>
      <c r="AG151" s="159">
        <f>AG141/RevBuild!AG9</f>
        <v>0.12121212121212122</v>
      </c>
      <c r="AH151" s="156">
        <f>AH141/RevBuild!AH9</f>
        <v>0.20270270270270271</v>
      </c>
      <c r="AI151" s="156">
        <f>AI141/RevBuild!AI9</f>
        <v>0.15094339622641509</v>
      </c>
      <c r="AJ151" s="300">
        <f>AJ141/RevBuild!AJ9</f>
        <v>0.16666666666666666</v>
      </c>
      <c r="AK151" s="160">
        <f>AK141/RevBuild!AK9</f>
        <v>0.16169154228855723</v>
      </c>
      <c r="AL151" s="202"/>
      <c r="AM151" s="159">
        <f>AM141/RevBuild!AM9</f>
        <v>0</v>
      </c>
      <c r="AN151" s="156">
        <f>AN141/RevBuild!AN9</f>
        <v>0.16867469879518071</v>
      </c>
      <c r="AO151" s="156">
        <f>AO141/RevBuild!AO9</f>
        <v>0.14723926380368099</v>
      </c>
      <c r="AP151" s="300">
        <f>AP141/RevBuild!AP9</f>
        <v>0</v>
      </c>
      <c r="AQ151" s="160">
        <f>AQ141/RevBuild!AQ9</f>
        <v>7.7314421078176265E-2</v>
      </c>
      <c r="AR151" s="202"/>
      <c r="AS151" s="159"/>
      <c r="AT151" s="156"/>
      <c r="AU151" s="156"/>
      <c r="AV151" s="300"/>
      <c r="AW151" s="160"/>
      <c r="AX151" s="202"/>
      <c r="AY151" s="159"/>
      <c r="AZ151" s="156"/>
      <c r="BA151" s="156"/>
      <c r="BB151" s="300"/>
      <c r="BC151" s="160"/>
      <c r="BD151" s="202"/>
      <c r="BE151" s="159"/>
      <c r="BF151" s="156"/>
      <c r="BG151" s="156"/>
      <c r="BH151" s="300"/>
      <c r="BI151" s="160"/>
      <c r="BJ151" s="202"/>
      <c r="BK151" s="159"/>
      <c r="BL151" s="156"/>
      <c r="BM151" s="156"/>
      <c r="BN151" s="300"/>
      <c r="BO151" s="160"/>
      <c r="BP151" s="202"/>
      <c r="BQ151" s="159"/>
      <c r="BR151" s="156"/>
      <c r="BS151" s="156"/>
      <c r="BT151" s="300"/>
      <c r="BU151" s="160"/>
      <c r="BV151" s="202"/>
      <c r="BW151" s="159"/>
      <c r="BX151" s="156"/>
      <c r="BY151" s="156"/>
      <c r="BZ151" s="300"/>
      <c r="CA151" s="160"/>
      <c r="CB151" s="156"/>
      <c r="CC151" s="159"/>
      <c r="CD151" s="156"/>
      <c r="CE151" s="156"/>
      <c r="CF151" s="300"/>
      <c r="CG151" s="160"/>
      <c r="CH151" s="1329"/>
      <c r="CI151" s="159"/>
      <c r="CJ151" s="156"/>
      <c r="CK151" s="156"/>
      <c r="CL151" s="300"/>
      <c r="CM151" s="160"/>
      <c r="CN151" s="1329"/>
      <c r="CO151" s="1329"/>
      <c r="CP151" s="154"/>
      <c r="CQ151"/>
      <c r="CR151"/>
      <c r="CS151"/>
      <c r="CT151"/>
      <c r="CU151"/>
      <c r="CV151"/>
    </row>
    <row r="152" spans="1:119" s="149" customFormat="1" hidden="1" outlineLevel="1">
      <c r="A152" s="281" t="s">
        <v>101</v>
      </c>
      <c r="B152" s="154"/>
      <c r="C152" s="159"/>
      <c r="D152" s="156"/>
      <c r="E152" s="156"/>
      <c r="F152" s="300"/>
      <c r="G152" s="160"/>
      <c r="H152" s="154"/>
      <c r="I152" s="159"/>
      <c r="J152" s="156"/>
      <c r="K152" s="156"/>
      <c r="L152" s="300"/>
      <c r="M152" s="160"/>
      <c r="N152" s="154"/>
      <c r="O152" s="159">
        <f>O142/RevBuild!O10</f>
        <v>0.2638888888888889</v>
      </c>
      <c r="P152" s="156">
        <f>P142/RevBuild!P10</f>
        <v>0.22500000000000001</v>
      </c>
      <c r="Q152" s="156">
        <f>Q142/RevBuild!Q10</f>
        <v>0.25615763546798032</v>
      </c>
      <c r="R152" s="300">
        <f>R142/RevBuild!R10</f>
        <v>0.27555555555555555</v>
      </c>
      <c r="S152" s="160">
        <f>S142/RevBuild!S10</f>
        <v>0.25592417061611372</v>
      </c>
      <c r="T152" s="202"/>
      <c r="U152" s="159">
        <f>U142/RevBuild!U10</f>
        <v>0.27459016393442626</v>
      </c>
      <c r="V152" s="156">
        <f>V142/RevBuild!V10</f>
        <v>0.23949579831932774</v>
      </c>
      <c r="W152" s="156">
        <f>W142/RevBuild!W10</f>
        <v>0.20972644376899696</v>
      </c>
      <c r="X152" s="300">
        <f>X142/RevBuild!X10</f>
        <v>0.2210796915167095</v>
      </c>
      <c r="Y152" s="160">
        <f>Y142/RevBuild!Y10</f>
        <v>0.23250000000000001</v>
      </c>
      <c r="Z152" s="202"/>
      <c r="AA152" s="159">
        <f>AA142/RevBuild!AA10</f>
        <v>0.18624641833810887</v>
      </c>
      <c r="AB152" s="156">
        <f>AB142/RevBuild!AB10</f>
        <v>0.1889763779527559</v>
      </c>
      <c r="AC152" s="156">
        <f>AC142/RevBuild!AC10</f>
        <v>0.20626631853785901</v>
      </c>
      <c r="AD152" s="300">
        <f>AD142/RevBuild!AD10</f>
        <v>0.23950617283950618</v>
      </c>
      <c r="AE152" s="160">
        <f>AE142/RevBuild!AE10</f>
        <v>0.20619235836627142</v>
      </c>
      <c r="AF152" s="202"/>
      <c r="AG152" s="159">
        <f>AG142/RevBuild!AG10</f>
        <v>0.22222222222222221</v>
      </c>
      <c r="AH152" s="156">
        <f>AH142/RevBuild!AH10</f>
        <v>0.18814432989690721</v>
      </c>
      <c r="AI152" s="156">
        <f>AI142/RevBuild!AI10</f>
        <v>0.20997375328083989</v>
      </c>
      <c r="AJ152" s="300">
        <f>AJ142/RevBuild!AJ10</f>
        <v>0.24619289340101522</v>
      </c>
      <c r="AK152" s="160">
        <f>AK142/RevBuild!AK10</f>
        <v>0.21680564464400257</v>
      </c>
      <c r="AL152" s="202"/>
      <c r="AM152" s="159">
        <f>AM142/RevBuild!AM10</f>
        <v>0.20558375634517767</v>
      </c>
      <c r="AN152" s="156">
        <f>AN142/RevBuild!AN10</f>
        <v>0.22194513715710723</v>
      </c>
      <c r="AO152" s="156">
        <f>AO142/RevBuild!AO10</f>
        <v>0.2144702842377261</v>
      </c>
      <c r="AP152" s="300">
        <f>AP142/RevBuild!AP10</f>
        <v>0.24757281553398058</v>
      </c>
      <c r="AQ152" s="160">
        <f>AQ142/RevBuild!AQ10</f>
        <v>0.22271016311166875</v>
      </c>
      <c r="AR152" s="202"/>
      <c r="AS152" s="159">
        <f>AS142/RevBuild!AS10</f>
        <v>0.22541966426858512</v>
      </c>
      <c r="AT152" s="156">
        <f>AT142/RevBuild!AT10</f>
        <v>0.21897810218978103</v>
      </c>
      <c r="AU152" s="156">
        <f>AU142/RevBuild!AU10</f>
        <v>0.23261390887290168</v>
      </c>
      <c r="AV152" s="300">
        <f>AV142/RevBuild!AV10</f>
        <v>0.24593967517401391</v>
      </c>
      <c r="AW152" s="160">
        <f>AW142/RevBuild!AW10</f>
        <v>0.23090692124105011</v>
      </c>
      <c r="AX152" s="202"/>
      <c r="AY152" s="159"/>
      <c r="AZ152" s="156"/>
      <c r="BA152" s="156"/>
      <c r="BB152" s="300"/>
      <c r="BC152" s="160"/>
      <c r="BD152" s="202"/>
      <c r="BE152" s="159"/>
      <c r="BF152" s="156"/>
      <c r="BG152" s="156"/>
      <c r="BH152" s="300"/>
      <c r="BI152" s="160"/>
      <c r="BJ152" s="202"/>
      <c r="BK152" s="159"/>
      <c r="BL152" s="156"/>
      <c r="BM152" s="156"/>
      <c r="BN152" s="300"/>
      <c r="BO152" s="160"/>
      <c r="BP152" s="202"/>
      <c r="BQ152" s="159"/>
      <c r="BR152" s="156"/>
      <c r="BS152" s="156"/>
      <c r="BT152" s="300"/>
      <c r="BU152" s="160"/>
      <c r="BV152" s="202"/>
      <c r="BW152" s="159"/>
      <c r="BX152" s="156"/>
      <c r="BY152" s="156"/>
      <c r="BZ152" s="300"/>
      <c r="CA152" s="160"/>
      <c r="CB152" s="156"/>
      <c r="CC152" s="159"/>
      <c r="CD152" s="156"/>
      <c r="CE152" s="156"/>
      <c r="CF152" s="300"/>
      <c r="CG152" s="160"/>
      <c r="CH152" s="273"/>
      <c r="CI152" s="159"/>
      <c r="CJ152" s="156"/>
      <c r="CK152" s="156"/>
      <c r="CL152" s="300"/>
      <c r="CM152" s="160"/>
      <c r="CN152" s="273"/>
      <c r="CO152" s="273"/>
      <c r="CP152" s="273"/>
      <c r="CQ152"/>
      <c r="CR152"/>
      <c r="CS152"/>
      <c r="CT152"/>
      <c r="CU152"/>
      <c r="CV152"/>
    </row>
    <row r="153" spans="1:119" s="149" customFormat="1" hidden="1" outlineLevel="1">
      <c r="A153" s="281" t="s">
        <v>103</v>
      </c>
      <c r="B153" s="154"/>
      <c r="C153" s="159"/>
      <c r="D153" s="156"/>
      <c r="E153" s="156"/>
      <c r="F153" s="300"/>
      <c r="G153" s="160"/>
      <c r="H153" s="154"/>
      <c r="I153" s="159"/>
      <c r="J153" s="156"/>
      <c r="K153" s="156"/>
      <c r="L153" s="300"/>
      <c r="M153" s="160"/>
      <c r="N153" s="154"/>
      <c r="O153" s="159">
        <f>O143/RevBuild!O11</f>
        <v>0.14239482200647249</v>
      </c>
      <c r="P153" s="156">
        <f>P143/RevBuild!P11</f>
        <v>0.1476510067114094</v>
      </c>
      <c r="Q153" s="156">
        <f>Q143/RevBuild!Q11</f>
        <v>0.13310580204778158</v>
      </c>
      <c r="R153" s="300">
        <f>R143/RevBuild!R11</f>
        <v>0.14733542319749215</v>
      </c>
      <c r="S153" s="160">
        <f>S143/RevBuild!S11</f>
        <v>0.14273995077932733</v>
      </c>
      <c r="T153" s="202"/>
      <c r="U153" s="159">
        <f>U143/RevBuild!U11</f>
        <v>0.16176470588235295</v>
      </c>
      <c r="V153" s="156">
        <f>V143/RevBuild!V11</f>
        <v>0.1437125748502994</v>
      </c>
      <c r="W153" s="156">
        <f>W143/RevBuild!W11</f>
        <v>0.1497326203208556</v>
      </c>
      <c r="X153" s="300">
        <f>X143/RevBuild!X11</f>
        <v>0.14385150812064965</v>
      </c>
      <c r="Y153" s="160">
        <f>Y143/RevBuild!Y11</f>
        <v>0.14942528735632185</v>
      </c>
      <c r="Z153" s="202"/>
      <c r="AA153" s="159">
        <f>AA143/RevBuild!AA11</f>
        <v>0.11881188118811881</v>
      </c>
      <c r="AB153" s="156">
        <f>AB143/RevBuild!AB11</f>
        <v>0.13146551724137931</v>
      </c>
      <c r="AC153" s="156">
        <f>AC143/RevBuild!AC11</f>
        <v>0.13245033112582782</v>
      </c>
      <c r="AD153" s="300">
        <f>AD143/RevBuild!AD11</f>
        <v>0.14437367303609341</v>
      </c>
      <c r="AE153" s="160">
        <f>AE143/RevBuild!AE11</f>
        <v>0.13225446428571427</v>
      </c>
      <c r="AF153" s="202"/>
      <c r="AG153" s="159">
        <f>AG143/RevBuild!AG11</f>
        <v>0.14316702819956617</v>
      </c>
      <c r="AH153" s="156">
        <f>AH143/RevBuild!AH11</f>
        <v>0.1257995735607676</v>
      </c>
      <c r="AI153" s="156">
        <f>AI143/RevBuild!AI11</f>
        <v>0.14688128772635814</v>
      </c>
      <c r="AJ153" s="300">
        <f>AJ143/RevBuild!AJ11</f>
        <v>0.1741472172351885</v>
      </c>
      <c r="AK153" s="160">
        <f>AK143/RevBuild!AK11</f>
        <v>0.14868951612903225</v>
      </c>
      <c r="AL153" s="202"/>
      <c r="AM153" s="159">
        <f>AM143/RevBuild!AM11</f>
        <v>0.1453900709219858</v>
      </c>
      <c r="AN153" s="156">
        <f>AN143/RevBuild!AN11</f>
        <v>0.15586690017513136</v>
      </c>
      <c r="AO153" s="156">
        <f>AO143/RevBuild!AO11</f>
        <v>0.16134751773049646</v>
      </c>
      <c r="AP153" s="300">
        <f>AP143/RevBuild!AP11</f>
        <v>0.1913477537437604</v>
      </c>
      <c r="AQ153" s="160">
        <f>AQ143/RevBuild!AQ11</f>
        <v>0.16391304347826086</v>
      </c>
      <c r="AR153" s="202"/>
      <c r="AS153" s="159">
        <f>AS143/RevBuild!AS11</f>
        <v>0.16920473773265651</v>
      </c>
      <c r="AT153" s="156">
        <f>AT143/RevBuild!AT11</f>
        <v>0.1317157712305026</v>
      </c>
      <c r="AU153" s="156">
        <f>AU143/RevBuild!AU11</f>
        <v>0.1570945945945946</v>
      </c>
      <c r="AV153" s="300">
        <f>AV143/RevBuild!AV11</f>
        <v>0.17483660130718953</v>
      </c>
      <c r="AW153" s="160">
        <f>AW143/RevBuild!AW11</f>
        <v>0.15851602023608768</v>
      </c>
      <c r="AX153" s="202"/>
      <c r="AY153" s="159"/>
      <c r="AZ153" s="156"/>
      <c r="BA153" s="156"/>
      <c r="BB153" s="300"/>
      <c r="BC153" s="160"/>
      <c r="BD153" s="202"/>
      <c r="BE153" s="159"/>
      <c r="BF153" s="156"/>
      <c r="BG153" s="156"/>
      <c r="BH153" s="300"/>
      <c r="BI153" s="160"/>
      <c r="BJ153" s="202"/>
      <c r="BK153" s="159"/>
      <c r="BL153" s="156"/>
      <c r="BM153" s="156"/>
      <c r="BN153" s="300"/>
      <c r="BO153" s="160"/>
      <c r="BP153" s="202"/>
      <c r="BQ153" s="159"/>
      <c r="BR153" s="156"/>
      <c r="BS153" s="156"/>
      <c r="BT153" s="300"/>
      <c r="BU153" s="160"/>
      <c r="BV153" s="202"/>
      <c r="BW153" s="159"/>
      <c r="BX153" s="156"/>
      <c r="BY153" s="156"/>
      <c r="BZ153" s="300"/>
      <c r="CA153" s="160"/>
      <c r="CB153" s="156"/>
      <c r="CC153" s="159"/>
      <c r="CD153" s="156"/>
      <c r="CE153" s="156"/>
      <c r="CF153" s="300"/>
      <c r="CG153" s="160"/>
      <c r="CH153" s="202"/>
      <c r="CI153" s="159"/>
      <c r="CJ153" s="156"/>
      <c r="CK153" s="156"/>
      <c r="CL153" s="300"/>
      <c r="CM153" s="160"/>
      <c r="CN153" s="202"/>
      <c r="CO153" s="202"/>
      <c r="CP153" s="202"/>
      <c r="CQ153"/>
      <c r="CR153"/>
      <c r="CS153"/>
      <c r="CT153"/>
      <c r="CU153"/>
      <c r="CV153"/>
      <c r="CW153" s="154"/>
      <c r="CX153" s="154"/>
      <c r="CY153" s="154"/>
      <c r="CZ153" s="154"/>
      <c r="DA153" s="154"/>
      <c r="DB153" s="154"/>
      <c r="DC153" s="154"/>
      <c r="DD153" s="154"/>
      <c r="DE153" s="154"/>
      <c r="DF153" s="154"/>
      <c r="DG153" s="154"/>
      <c r="DH153" s="154"/>
      <c r="DI153" s="154"/>
      <c r="DJ153" s="154"/>
      <c r="DK153" s="154"/>
      <c r="DL153" s="154"/>
      <c r="DM153" s="154"/>
      <c r="DN153" s="154"/>
      <c r="DO153" s="154"/>
    </row>
    <row r="154" spans="1:119" s="149" customFormat="1" collapsed="1">
      <c r="A154" s="281" t="s">
        <v>105</v>
      </c>
      <c r="B154" s="154"/>
      <c r="C154" s="159"/>
      <c r="D154" s="156"/>
      <c r="E154" s="156"/>
      <c r="F154" s="156"/>
      <c r="G154" s="1316"/>
      <c r="H154" s="154"/>
      <c r="I154" s="159"/>
      <c r="J154" s="156"/>
      <c r="K154" s="156"/>
      <c r="L154" s="300"/>
      <c r="M154" s="1316"/>
      <c r="N154" s="154"/>
      <c r="O154" s="159"/>
      <c r="P154" s="156"/>
      <c r="Q154" s="156"/>
      <c r="R154" s="300"/>
      <c r="S154" s="1316"/>
      <c r="T154" s="202"/>
      <c r="U154" s="159"/>
      <c r="V154" s="156"/>
      <c r="W154" s="156"/>
      <c r="X154" s="300"/>
      <c r="Y154" s="1316"/>
      <c r="Z154" s="202"/>
      <c r="AA154" s="159"/>
      <c r="AB154" s="156"/>
      <c r="AC154" s="156"/>
      <c r="AD154" s="300"/>
      <c r="AE154" s="1316"/>
      <c r="AF154" s="202"/>
      <c r="AG154" s="159">
        <f>AG144/RevBuild!AG12</f>
        <v>0.17794970986460348</v>
      </c>
      <c r="AH154" s="156">
        <f>AH144/RevBuild!AH12</f>
        <v>0.12650602409638553</v>
      </c>
      <c r="AI154" s="156">
        <f>AI144/RevBuild!AI12</f>
        <v>0.15120967741935484</v>
      </c>
      <c r="AJ154" s="300">
        <f>AJ144/RevBuild!AJ12</f>
        <v>0.19169960474308301</v>
      </c>
      <c r="AK154" s="160">
        <f>AK144/RevBuild!AK12</f>
        <v>0.16212196331184928</v>
      </c>
      <c r="AL154" s="202"/>
      <c r="AM154" s="159">
        <f>AM144/RevBuild!AM12</f>
        <v>0.16242661448140899</v>
      </c>
      <c r="AN154" s="156">
        <f>AN144/RevBuild!AN12</f>
        <v>0.15551181102362205</v>
      </c>
      <c r="AO154" s="156">
        <f>AO144/RevBuild!AO12</f>
        <v>0.14723926380368099</v>
      </c>
      <c r="AP154" s="300">
        <f>AP144/RevBuild!AP12</f>
        <v>0.19734345351043645</v>
      </c>
      <c r="AQ154" s="160">
        <f>AQ144/RevBuild!AQ12</f>
        <v>0.16609336609336608</v>
      </c>
      <c r="AR154" s="202"/>
      <c r="AS154" s="159">
        <f>AS144/RevBuild!AS12</f>
        <v>0.19553072625698323</v>
      </c>
      <c r="AT154" s="156">
        <f>AT144/RevBuild!AT12</f>
        <v>0.14343434343434344</v>
      </c>
      <c r="AU154" s="156">
        <f>AU144/RevBuild!AU12</f>
        <v>0.16568047337278108</v>
      </c>
      <c r="AV154" s="300">
        <f>AV144/RevBuild!AV12</f>
        <v>0.20222634508348794</v>
      </c>
      <c r="AW154" s="160">
        <f>AW144/RevBuild!AW12</f>
        <v>0.17757459095283926</v>
      </c>
      <c r="AX154" s="202"/>
      <c r="AY154" s="159">
        <f>AY144/RevBuild!AY12</f>
        <v>0.19600000000000004</v>
      </c>
      <c r="AZ154" s="156">
        <f>AZ144/RevBuild!AZ12</f>
        <v>0.15799999999999995</v>
      </c>
      <c r="BA154" s="156">
        <f>BA144/RevBuild!BA12</f>
        <v>0.18700000000000003</v>
      </c>
      <c r="BB154" s="300">
        <f>BB144/RevBuild!BB12</f>
        <v>0.2</v>
      </c>
      <c r="BC154" s="160">
        <f>BC144/RevBuild!BC12</f>
        <v>0.18597409579667645</v>
      </c>
      <c r="BD154" s="202"/>
      <c r="BE154" s="159">
        <f>BE144/RevBuild!BE12</f>
        <v>0.21699999999999989</v>
      </c>
      <c r="BF154" s="156">
        <f>BF144/RevBuild!BF12</f>
        <v>0.18999999999999997</v>
      </c>
      <c r="BG154" s="156">
        <f>BG144/RevBuild!BG12</f>
        <v>0.19099999999999998</v>
      </c>
      <c r="BH154" s="300">
        <f>BH144/RevBuild!BH12</f>
        <v>0.22829999999999986</v>
      </c>
      <c r="BI154" s="160">
        <f>BI144/RevBuild!BI12</f>
        <v>0.20721871683550402</v>
      </c>
      <c r="BJ154" s="202"/>
      <c r="BK154" s="159">
        <f>BK144/RevBuild!BK12</f>
        <v>0.23350000000000007</v>
      </c>
      <c r="BL154" s="156">
        <f>BL144/RevBuild!BL12</f>
        <v>0.21199999999999997</v>
      </c>
      <c r="BM154" s="156">
        <f>BM144/RevBuild!BM12</f>
        <v>0.21260000000000001</v>
      </c>
      <c r="BN154" s="300">
        <f>BN144/RevBuild!BN12</f>
        <v>0.23899999999999993</v>
      </c>
      <c r="BO154" s="160">
        <f>BO144/RevBuild!BO12</f>
        <v>0.22465726141078837</v>
      </c>
      <c r="BP154" s="202"/>
      <c r="BQ154" s="159">
        <f>BQ144/RevBuild!BQ12</f>
        <v>0.25759999999999988</v>
      </c>
      <c r="BR154" s="156">
        <f>BR144/RevBuild!BR12</f>
        <v>0.22900000000000001</v>
      </c>
      <c r="BS154" s="156">
        <f>BS144/RevBuild!BS12</f>
        <v>0.2296</v>
      </c>
      <c r="BT154" s="300">
        <f>BT144/RevBuild!BT12</f>
        <v>0.25600000000000001</v>
      </c>
      <c r="BU154" s="160">
        <f>BU144/RevBuild!BU12</f>
        <v>0.24339698639587207</v>
      </c>
      <c r="BV154" s="202"/>
      <c r="BW154" s="159">
        <f>BW144/RevBuild!BW12</f>
        <v>0.26509999999999989</v>
      </c>
      <c r="BX154" s="156">
        <f>BX144/RevBuild!BX12</f>
        <v>0.23649999999999999</v>
      </c>
      <c r="BY154" s="156">
        <f>BY144/RevBuild!BY12</f>
        <v>0.23710000000000006</v>
      </c>
      <c r="BZ154" s="300">
        <f>BZ144/RevBuild!BZ12</f>
        <v>0.26349999999999996</v>
      </c>
      <c r="CA154" s="160">
        <f>CA144/RevBuild!CA12</f>
        <v>0.25089698639587205</v>
      </c>
      <c r="CB154" s="156"/>
      <c r="CC154" s="159">
        <f>CC144/RevBuild!CC12</f>
        <v>0.27259999999999995</v>
      </c>
      <c r="CD154" s="156">
        <f>CD144/RevBuild!CD12</f>
        <v>0.24399999999999997</v>
      </c>
      <c r="CE154" s="156">
        <f>CE144/RevBuild!CE12</f>
        <v>0.24460000000000004</v>
      </c>
      <c r="CF154" s="300">
        <f>CF144/RevBuild!CF12</f>
        <v>0.27099999999999996</v>
      </c>
      <c r="CG154" s="160">
        <f>CG144/RevBuild!CG12</f>
        <v>0.25839698639587205</v>
      </c>
      <c r="CH154" s="202"/>
      <c r="CI154" s="159">
        <f>CI144/RevBuild!CI12</f>
        <v>0.28114999999999996</v>
      </c>
      <c r="CJ154" s="156">
        <f>CJ144/RevBuild!CJ12</f>
        <v>0.25254999999999994</v>
      </c>
      <c r="CK154" s="156">
        <f>CK144/RevBuild!CK12</f>
        <v>0.25314999999999999</v>
      </c>
      <c r="CL154" s="300">
        <f>CL144/RevBuild!CL12</f>
        <v>0.27954999999999997</v>
      </c>
      <c r="CM154" s="160">
        <f>CM144/RevBuild!CM12</f>
        <v>0.266946986395872</v>
      </c>
      <c r="CN154" s="202"/>
      <c r="CO154" s="202"/>
      <c r="CP154" s="202"/>
      <c r="CQ154"/>
      <c r="CR154"/>
      <c r="CS154"/>
      <c r="CT154"/>
      <c r="CU154"/>
      <c r="CV154"/>
      <c r="CW154" s="154"/>
      <c r="CX154" s="154"/>
      <c r="CY154" s="154"/>
      <c r="CZ154" s="154"/>
      <c r="DA154" s="154"/>
      <c r="DB154" s="154"/>
      <c r="DC154" s="154"/>
      <c r="DD154" s="154"/>
      <c r="DE154" s="154"/>
      <c r="DF154" s="154"/>
      <c r="DG154" s="154"/>
      <c r="DH154" s="154"/>
      <c r="DI154" s="154"/>
      <c r="DJ154" s="154"/>
      <c r="DK154" s="154"/>
      <c r="DL154" s="154"/>
      <c r="DM154" s="154"/>
      <c r="DN154" s="154"/>
      <c r="DO154" s="154"/>
    </row>
    <row r="155" spans="1:119" s="149" customFormat="1">
      <c r="A155" s="281" t="s">
        <v>99</v>
      </c>
      <c r="B155" s="154"/>
      <c r="C155" s="159"/>
      <c r="D155" s="156"/>
      <c r="E155" s="156"/>
      <c r="F155" s="156"/>
      <c r="G155" s="1316"/>
      <c r="H155" s="154"/>
      <c r="I155" s="159"/>
      <c r="J155" s="156"/>
      <c r="K155" s="156"/>
      <c r="L155" s="300"/>
      <c r="M155" s="1316"/>
      <c r="N155" s="154"/>
      <c r="O155" s="159"/>
      <c r="P155" s="156"/>
      <c r="Q155" s="156"/>
      <c r="R155" s="300"/>
      <c r="S155" s="1316"/>
      <c r="T155" s="202"/>
      <c r="U155" s="159"/>
      <c r="V155" s="156"/>
      <c r="W155" s="156"/>
      <c r="X155" s="300"/>
      <c r="Y155" s="1316"/>
      <c r="Z155" s="202"/>
      <c r="AA155" s="159"/>
      <c r="AB155" s="156"/>
      <c r="AC155" s="156"/>
      <c r="AD155" s="300"/>
      <c r="AE155" s="1316"/>
      <c r="AF155" s="202"/>
      <c r="AG155" s="159">
        <f>AG145/RevBuild!AG13</f>
        <v>8.4745762711864403E-2</v>
      </c>
      <c r="AH155" s="156">
        <f>AH145/RevBuild!AH13</f>
        <v>0.17910447761194029</v>
      </c>
      <c r="AI155" s="156">
        <f>AI145/RevBuild!AI13</f>
        <v>0.14432989690721648</v>
      </c>
      <c r="AJ155" s="300">
        <f>AJ145/RevBuild!AJ13</f>
        <v>0.17647058823529413</v>
      </c>
      <c r="AK155" s="160">
        <f>AK145/RevBuild!AK13</f>
        <v>0.15425531914893617</v>
      </c>
      <c r="AL155" s="202"/>
      <c r="AM155" s="159">
        <f>AM145/RevBuild!AM13</f>
        <v>0.11764705882352941</v>
      </c>
      <c r="AN155" s="156">
        <f>AN145/RevBuild!AN13</f>
        <v>0.15286624203821655</v>
      </c>
      <c r="AO155" s="156">
        <f>AO145/RevBuild!AO13</f>
        <v>0.1464968152866242</v>
      </c>
      <c r="AP155" s="300">
        <f>AP145/RevBuild!AP13</f>
        <v>0.17857142857142858</v>
      </c>
      <c r="AQ155" s="160">
        <f>AQ145/RevBuild!AQ13</f>
        <v>0.14960629921259844</v>
      </c>
      <c r="AR155" s="202"/>
      <c r="AS155" s="159">
        <f>AS145/RevBuild!AS13</f>
        <v>0.12101910828025478</v>
      </c>
      <c r="AT155" s="156">
        <f>AT145/RevBuild!AT13</f>
        <v>0.15476190476190477</v>
      </c>
      <c r="AU155" s="156">
        <f>AU145/RevBuild!AU13</f>
        <v>0.13253012048192772</v>
      </c>
      <c r="AV155" s="300">
        <f>AV145/RevBuild!AV13</f>
        <v>0.15116279069767441</v>
      </c>
      <c r="AW155" s="160">
        <f>AW145/RevBuild!AW13</f>
        <v>0.14027149321266968</v>
      </c>
      <c r="AX155" s="202"/>
      <c r="AY155" s="159">
        <f>AY145/RevBuild!AY13</f>
        <v>5.0000000000000131E-3</v>
      </c>
      <c r="AZ155" s="156">
        <f>AZ145/RevBuild!AZ13</f>
        <v>0.15000000000000002</v>
      </c>
      <c r="BA155" s="156">
        <f>BA145/RevBuild!BA13</f>
        <v>0.16800000000000007</v>
      </c>
      <c r="BB155" s="300">
        <f>BB145/RevBuild!BB13</f>
        <v>0.19200000000000006</v>
      </c>
      <c r="BC155" s="160">
        <f>BC145/RevBuild!BC13</f>
        <v>0.13341691842900308</v>
      </c>
      <c r="BD155" s="202"/>
      <c r="BE155" s="159">
        <f>BE145/RevBuild!BE13</f>
        <v>9.6000000000000085E-2</v>
      </c>
      <c r="BF155" s="156">
        <f>BF145/RevBuild!BF13</f>
        <v>0.14999999999999994</v>
      </c>
      <c r="BG155" s="156">
        <f>BG145/RevBuild!BG13</f>
        <v>0.18800000000000003</v>
      </c>
      <c r="BH155" s="300">
        <f>BH145/RevBuild!BH13</f>
        <v>0.1963</v>
      </c>
      <c r="BI155" s="160">
        <f>BI145/RevBuild!BI13</f>
        <v>0.16021706629055005</v>
      </c>
      <c r="BJ155" s="202"/>
      <c r="BK155" s="159">
        <f>BK145/RevBuild!BK13</f>
        <v>0.14300000000000007</v>
      </c>
      <c r="BL155" s="156">
        <f>BL145/RevBuild!BL13</f>
        <v>0.24199999999999994</v>
      </c>
      <c r="BM155" s="156">
        <f>BM145/RevBuild!BM13</f>
        <v>0.16850000000000004</v>
      </c>
      <c r="BN155" s="300">
        <f>BN145/RevBuild!BN13</f>
        <v>0.20800000000000007</v>
      </c>
      <c r="BO155" s="160">
        <f>BO145/RevBuild!BO13</f>
        <v>0.19296437823834198</v>
      </c>
      <c r="BP155" s="202"/>
      <c r="BQ155" s="159">
        <f>BQ145/RevBuild!BQ13</f>
        <v>0.11659999999999991</v>
      </c>
      <c r="BR155" s="156">
        <f>BR145/RevBuild!BR13</f>
        <v>0.2579999999999999</v>
      </c>
      <c r="BS155" s="156">
        <f>BS145/RevBuild!BS13</f>
        <v>0.18450000000000005</v>
      </c>
      <c r="BT155" s="300">
        <f>BT145/RevBuild!BT13</f>
        <v>0.224</v>
      </c>
      <c r="BU155" s="160">
        <f>BU145/RevBuild!BU13</f>
        <v>0.19960874812819868</v>
      </c>
      <c r="BV155" s="202"/>
      <c r="BW155" s="159">
        <f>BW145/RevBuild!BW13</f>
        <v>0.12410000000000002</v>
      </c>
      <c r="BX155" s="156">
        <f>BX145/RevBuild!BX13</f>
        <v>0.26549999999999996</v>
      </c>
      <c r="BY155" s="156">
        <f>BY145/RevBuild!BY13</f>
        <v>0.19200000000000006</v>
      </c>
      <c r="BZ155" s="300">
        <f>BZ145/RevBuild!BZ13</f>
        <v>0.23150000000000004</v>
      </c>
      <c r="CA155" s="160">
        <f>CA145/RevBuild!CA13</f>
        <v>0.20719983662662966</v>
      </c>
      <c r="CB155" s="156"/>
      <c r="CC155" s="159">
        <f>CC145/RevBuild!CC13</f>
        <v>0.1331</v>
      </c>
      <c r="CD155" s="156">
        <f>CD145/RevBuild!CD13</f>
        <v>0.27450000000000002</v>
      </c>
      <c r="CE155" s="156">
        <f>CE145/RevBuild!CE13</f>
        <v>0.2010000000000001</v>
      </c>
      <c r="CF155" s="300">
        <f>CF145/RevBuild!CF13</f>
        <v>0.2405000000000001</v>
      </c>
      <c r="CG155" s="160">
        <f>CG145/RevBuild!CG13</f>
        <v>0.21621919923899477</v>
      </c>
      <c r="CH155" s="202"/>
      <c r="CI155" s="159">
        <f>CI145/RevBuild!CI13</f>
        <v>0.13864999999999994</v>
      </c>
      <c r="CJ155" s="156">
        <f>CJ145/RevBuild!CJ13</f>
        <v>0.28005000000000002</v>
      </c>
      <c r="CK155" s="156">
        <f>CK145/RevBuild!CK13</f>
        <v>0.20655000000000004</v>
      </c>
      <c r="CL155" s="300">
        <f>CL145/RevBuild!CL13</f>
        <v>0.24605000000000002</v>
      </c>
      <c r="CM155" s="160">
        <f>CM145/RevBuild!CM13</f>
        <v>0.22179011480659375</v>
      </c>
      <c r="CN155" s="202"/>
      <c r="CO155" s="202"/>
      <c r="CP155" s="202"/>
      <c r="CQ155"/>
      <c r="CR155"/>
      <c r="CS155"/>
      <c r="CT155"/>
      <c r="CU155"/>
      <c r="CV155"/>
      <c r="CW155" s="154"/>
      <c r="CX155" s="154"/>
      <c r="CY155" s="154"/>
      <c r="CZ155" s="154"/>
      <c r="DA155" s="154"/>
      <c r="DB155" s="154"/>
      <c r="DC155" s="154"/>
      <c r="DD155" s="154"/>
      <c r="DE155" s="154"/>
      <c r="DF155" s="154"/>
      <c r="DG155" s="154"/>
      <c r="DH155" s="154"/>
      <c r="DI155" s="154"/>
      <c r="DJ155" s="154"/>
      <c r="DK155" s="154"/>
      <c r="DL155" s="154"/>
      <c r="DM155" s="154"/>
      <c r="DN155" s="154"/>
      <c r="DO155" s="154"/>
    </row>
    <row r="156" spans="1:119" s="154" customFormat="1">
      <c r="A156" s="281" t="s">
        <v>107</v>
      </c>
      <c r="C156" s="159"/>
      <c r="D156" s="156"/>
      <c r="E156" s="156"/>
      <c r="F156" s="156"/>
      <c r="G156" s="1316"/>
      <c r="I156" s="159"/>
      <c r="J156" s="156"/>
      <c r="K156" s="156"/>
      <c r="L156" s="300"/>
      <c r="M156" s="1316"/>
      <c r="O156" s="159"/>
      <c r="P156" s="156"/>
      <c r="Q156" s="156"/>
      <c r="R156" s="300"/>
      <c r="S156" s="1316"/>
      <c r="T156" s="202"/>
      <c r="U156" s="159"/>
      <c r="V156" s="156"/>
      <c r="W156" s="156"/>
      <c r="X156" s="300"/>
      <c r="Y156" s="1316"/>
      <c r="Z156" s="202"/>
      <c r="AA156" s="159"/>
      <c r="AB156" s="156"/>
      <c r="AC156" s="156"/>
      <c r="AD156" s="300"/>
      <c r="AE156" s="1316"/>
      <c r="AF156" s="202"/>
      <c r="AG156" s="159">
        <f>AG146/RevBuild!AG17</f>
        <v>0.20284697508896798</v>
      </c>
      <c r="AH156" s="156">
        <f>AH146/RevBuild!AH17</f>
        <v>0.1952054794520548</v>
      </c>
      <c r="AI156" s="156">
        <f>AI146/RevBuild!AI17</f>
        <v>0.22456140350877193</v>
      </c>
      <c r="AJ156" s="300">
        <f>AJ146/RevBuild!AJ17</f>
        <v>0.23972602739726026</v>
      </c>
      <c r="AK156" s="160">
        <f>AK146/RevBuild!AK17</f>
        <v>0.21565217391304348</v>
      </c>
      <c r="AL156" s="202"/>
      <c r="AM156" s="159">
        <f>AM146/RevBuild!AM17</f>
        <v>0.21088435374149661</v>
      </c>
      <c r="AN156" s="156">
        <f>AN146/RevBuild!AN17</f>
        <v>0.24429967426710097</v>
      </c>
      <c r="AO156" s="156">
        <f>AO146/RevBuild!AO17</f>
        <v>0.25901639344262295</v>
      </c>
      <c r="AP156" s="300">
        <f>AP146/RevBuild!AP17</f>
        <v>0.2610062893081761</v>
      </c>
      <c r="AQ156" s="160">
        <f>AQ146/RevBuild!AQ17</f>
        <v>0.24428104575163398</v>
      </c>
      <c r="AR156" s="202"/>
      <c r="AS156" s="159">
        <f>AS146/RevBuild!AS17</f>
        <v>0.21974522292993631</v>
      </c>
      <c r="AT156" s="156">
        <f>AT146/RevBuild!AT17</f>
        <v>0.2153846153846154</v>
      </c>
      <c r="AU156" s="156">
        <f>AU146/RevBuild!AU17</f>
        <v>0.25</v>
      </c>
      <c r="AV156" s="300">
        <f>AV146/RevBuild!AV17</f>
        <v>0.23493975903614459</v>
      </c>
      <c r="AW156" s="160">
        <f>AW146/RevBuild!AW17</f>
        <v>0.23029839326702373</v>
      </c>
      <c r="AX156" s="202"/>
      <c r="AY156" s="159">
        <f>AY146/RevBuild!AY17</f>
        <v>0.20700000000000002</v>
      </c>
      <c r="AZ156" s="156">
        <f>AZ146/RevBuild!AZ17</f>
        <v>0.215</v>
      </c>
      <c r="BA156" s="156">
        <f>BA146/RevBuild!BA17</f>
        <v>0.22600000000000003</v>
      </c>
      <c r="BB156" s="300">
        <f>BB146/RevBuild!BB17</f>
        <v>0.25100000000000006</v>
      </c>
      <c r="BC156" s="160">
        <f>BC146/RevBuild!BC17</f>
        <v>0.22504511278195494</v>
      </c>
      <c r="BD156" s="202"/>
      <c r="BE156" s="159">
        <f>BE146/RevBuild!BE17</f>
        <v>0.22099999999999997</v>
      </c>
      <c r="BF156" s="156">
        <f>BF146/RevBuild!BF17</f>
        <v>0.21500000000000005</v>
      </c>
      <c r="BG156" s="156">
        <f>BG146/RevBuild!BG17</f>
        <v>0.22699999999999995</v>
      </c>
      <c r="BH156" s="300">
        <f>BH146/RevBuild!BH17</f>
        <v>0.2273</v>
      </c>
      <c r="BI156" s="160">
        <f>BI146/RevBuild!BI17</f>
        <v>0.22270070422535207</v>
      </c>
      <c r="BJ156" s="202"/>
      <c r="BK156" s="159">
        <f>BK146/RevBuild!BK17</f>
        <v>0.20300000000000007</v>
      </c>
      <c r="BL156" s="156">
        <f>BL146/RevBuild!BL17</f>
        <v>0.216</v>
      </c>
      <c r="BM156" s="156">
        <f>BM146/RevBuild!BM17</f>
        <v>0.23350000000000004</v>
      </c>
      <c r="BN156" s="300">
        <f>BN146/RevBuild!BN17</f>
        <v>0.22900000000000001</v>
      </c>
      <c r="BO156" s="160">
        <f>BO146/RevBuild!BO17</f>
        <v>0.22076028739386025</v>
      </c>
      <c r="BP156" s="202"/>
      <c r="BQ156" s="159">
        <f>BQ146/RevBuild!BQ17</f>
        <v>0.21560000000000001</v>
      </c>
      <c r="BR156" s="156">
        <f>BR146/RevBuild!BR17</f>
        <v>0.2340000000000001</v>
      </c>
      <c r="BS156" s="156">
        <f>BS146/RevBuild!BS17</f>
        <v>0.2515</v>
      </c>
      <c r="BT156" s="300">
        <f>BT146/RevBuild!BT17</f>
        <v>0.24700000000000005</v>
      </c>
      <c r="BU156" s="160">
        <f>BU146/RevBuild!BU17</f>
        <v>0.23760604967236212</v>
      </c>
      <c r="BV156" s="202"/>
      <c r="BW156" s="159">
        <f>BW146/RevBuild!BW17</f>
        <v>0.22309999999999997</v>
      </c>
      <c r="BX156" s="156">
        <f>BX146/RevBuild!BX17</f>
        <v>0.24150000000000008</v>
      </c>
      <c r="BY156" s="156">
        <f>BY146/RevBuild!BY17</f>
        <v>0.25900000000000006</v>
      </c>
      <c r="BZ156" s="300">
        <f>BZ146/RevBuild!BZ17</f>
        <v>0.25450000000000006</v>
      </c>
      <c r="CA156" s="160">
        <f>CA146/RevBuild!CA17</f>
        <v>0.24510604967236219</v>
      </c>
      <c r="CB156" s="156"/>
      <c r="CC156" s="159">
        <f>CC146/RevBuild!CC17</f>
        <v>0.2291</v>
      </c>
      <c r="CD156" s="156">
        <f>CD146/RevBuild!CD17</f>
        <v>0.24750000000000005</v>
      </c>
      <c r="CE156" s="156">
        <f>CE146/RevBuild!CE17</f>
        <v>0.26500000000000012</v>
      </c>
      <c r="CF156" s="300">
        <f>CF146/RevBuild!CF17</f>
        <v>0.26050000000000001</v>
      </c>
      <c r="CG156" s="160">
        <f>CG146/RevBuild!CG17</f>
        <v>0.25110604967236222</v>
      </c>
      <c r="CH156" s="202"/>
      <c r="CI156" s="159">
        <f>CI146/RevBuild!CI17</f>
        <v>0.23465000000000005</v>
      </c>
      <c r="CJ156" s="156">
        <f>CJ146/RevBuild!CJ17</f>
        <v>0.25305000000000011</v>
      </c>
      <c r="CK156" s="156">
        <f>CK146/RevBuild!CK17</f>
        <v>0.27055000000000007</v>
      </c>
      <c r="CL156" s="300">
        <f>CL146/RevBuild!CL17</f>
        <v>0.26605000000000001</v>
      </c>
      <c r="CM156" s="160">
        <f>CM146/RevBuild!CM17</f>
        <v>0.25665604967236222</v>
      </c>
      <c r="CN156" s="202"/>
      <c r="CO156" s="202"/>
      <c r="CP156" s="202"/>
      <c r="CQ156"/>
      <c r="CR156"/>
      <c r="CS156"/>
      <c r="CT156"/>
      <c r="CU156"/>
      <c r="CV156"/>
    </row>
    <row r="157" spans="1:119" s="149" customFormat="1">
      <c r="A157" s="2041" t="s">
        <v>144</v>
      </c>
      <c r="B157" s="287"/>
      <c r="C157" s="1396">
        <f>C147/C10</f>
        <v>0.16483516483516483</v>
      </c>
      <c r="D157" s="1397">
        <f>D147/D10</f>
        <v>0.12616822429906541</v>
      </c>
      <c r="E157" s="1397">
        <f>E147/E10</f>
        <v>0.16417910447761194</v>
      </c>
      <c r="F157" s="1397">
        <f>F147/F10</f>
        <v>0.19274809160305342</v>
      </c>
      <c r="G157" s="1398">
        <f>G147/G10</f>
        <v>0.1636460554371002</v>
      </c>
      <c r="H157" s="287"/>
      <c r="I157" s="1396">
        <f>I147/I10</f>
        <v>0.16384180790960451</v>
      </c>
      <c r="J157" s="1397">
        <f>J147/J10</f>
        <v>0.16037735849056603</v>
      </c>
      <c r="K157" s="1397">
        <f>K147/K10</f>
        <v>0.18888888888888888</v>
      </c>
      <c r="L157" s="1397">
        <f>L147/L10</f>
        <v>0.22895622895622897</v>
      </c>
      <c r="M157" s="1398">
        <f>M147/M10</f>
        <v>0.18678815489749431</v>
      </c>
      <c r="N157" s="287"/>
      <c r="O157" s="1396">
        <f>O147/O10</f>
        <v>0.19238095238095237</v>
      </c>
      <c r="P157" s="1397">
        <f>P147/P10</f>
        <v>0.17871485943775101</v>
      </c>
      <c r="Q157" s="1397">
        <f>Q147/Q10</f>
        <v>0.18346774193548387</v>
      </c>
      <c r="R157" s="1397">
        <f>R147/R10</f>
        <v>0.20036764705882354</v>
      </c>
      <c r="S157" s="1398">
        <f>S147/S10</f>
        <v>0.18904507998061076</v>
      </c>
      <c r="T157" s="288"/>
      <c r="U157" s="1396">
        <f>U147/U10</f>
        <v>0.2089041095890411</v>
      </c>
      <c r="V157" s="1397">
        <f>V147/V10</f>
        <v>0.18356643356643357</v>
      </c>
      <c r="W157" s="1397">
        <f>W147/W10</f>
        <v>0.17780938833570412</v>
      </c>
      <c r="X157" s="1397">
        <f>X147/X10</f>
        <v>0.18048780487804877</v>
      </c>
      <c r="Y157" s="1398">
        <f>Y147/Y10</f>
        <v>0.1866368047779022</v>
      </c>
      <c r="Z157" s="288"/>
      <c r="AA157" s="1396">
        <f>AA147/AA10</f>
        <v>0.150066401062417</v>
      </c>
      <c r="AB157" s="1397">
        <f>AB147/AB10</f>
        <v>0.15739644970414202</v>
      </c>
      <c r="AC157" s="1397">
        <f>AC147/AC10</f>
        <v>0.16626794258373206</v>
      </c>
      <c r="AD157" s="1397">
        <f>AD147/AD10</f>
        <v>0.18835616438356165</v>
      </c>
      <c r="AE157" s="1398">
        <f>AE147/AE10</f>
        <v>0.16616314199395771</v>
      </c>
      <c r="AF157" s="288"/>
      <c r="AG157" s="1396">
        <f>AG147/RevBuild!AG18</f>
        <v>0.17969661610268378</v>
      </c>
      <c r="AH157" s="1397">
        <f>AH147/RevBuild!AH18</f>
        <v>0.15402567094515754</v>
      </c>
      <c r="AI157" s="1397">
        <f>AI147/RevBuild!AI18</f>
        <v>0.17425968109339407</v>
      </c>
      <c r="AJ157" s="1397">
        <f>AJ147/RevBuild!AJ18</f>
        <v>0.20399579390115669</v>
      </c>
      <c r="AK157" s="1398">
        <f>AK147/RevBuild!AK18</f>
        <v>0.17866215071972905</v>
      </c>
      <c r="AL157" s="288"/>
      <c r="AM157" s="1396">
        <f>AM147/RevBuild!AM18</f>
        <v>0.17014613778705637</v>
      </c>
      <c r="AN157" s="1397">
        <f>AN147/RevBuild!AN18</f>
        <v>0.1831275720164609</v>
      </c>
      <c r="AO157" s="1397">
        <f>AO147/RevBuild!AO18</f>
        <v>0.18296529968454259</v>
      </c>
      <c r="AP157" s="1397">
        <f>AP147/RevBuild!AP18</f>
        <v>0.21421520236920039</v>
      </c>
      <c r="AQ157" s="1398">
        <f>AQ147/RevBuild!AQ18</f>
        <v>0.18798151001540833</v>
      </c>
      <c r="AR157" s="288"/>
      <c r="AS157" s="1396">
        <f>AS147/RevBuild!AS18</f>
        <v>0.19146825396825398</v>
      </c>
      <c r="AT157" s="1397">
        <f>AT147/RevBuild!AT18</f>
        <v>0.16902834008097167</v>
      </c>
      <c r="AU157" s="1397">
        <f>AU147/RevBuild!AU18</f>
        <v>0.18830525272547077</v>
      </c>
      <c r="AV157" s="1397">
        <f>AV147/RevBuild!AV18</f>
        <v>0.20421860019175456</v>
      </c>
      <c r="AW157" s="1398">
        <f>AW147/RevBuild!AW18</f>
        <v>0.18848814229249011</v>
      </c>
      <c r="AX157" s="288"/>
      <c r="AY157" s="1396">
        <f>AY147/RevBuild!AY18</f>
        <v>0.17199707602339187</v>
      </c>
      <c r="AZ157" s="1397">
        <f>AZ147/RevBuild!AZ18</f>
        <v>0.17559605399792313</v>
      </c>
      <c r="BA157" s="1397">
        <f>BA147/RevBuild!BA18</f>
        <v>0.19679388560157796</v>
      </c>
      <c r="BB157" s="1397">
        <f>BB147/RevBuild!BB18</f>
        <v>0.21547632850241549</v>
      </c>
      <c r="BC157" s="1398">
        <f>BC147/RevBuild!BC18</f>
        <v>0.19022659732540864</v>
      </c>
      <c r="BD157" s="288"/>
      <c r="BE157" s="1396">
        <f>BE147/RevBuild!BE18</f>
        <v>0.19974124513618671</v>
      </c>
      <c r="BF157" s="1397">
        <f>BF147/RevBuild!BF18</f>
        <v>0.19150147203140333</v>
      </c>
      <c r="BG157" s="1397">
        <f>BG147/RevBuild!BG18</f>
        <v>0.2028965517241379</v>
      </c>
      <c r="BH157" s="1397">
        <f>BH147/RevBuild!BH18</f>
        <v>0.22240801080108005</v>
      </c>
      <c r="BI157" s="1398">
        <f>BI147/RevBuild!BI18</f>
        <v>0.20452006187529742</v>
      </c>
      <c r="BJ157" s="288"/>
      <c r="BK157" s="1396">
        <f>BK147/RevBuild!BK18</f>
        <v>0.20921368322399256</v>
      </c>
      <c r="BL157" s="1397">
        <f>BL147/RevBuild!BL18</f>
        <v>0.21884392014519052</v>
      </c>
      <c r="BM157" s="1397">
        <f>BM147/RevBuild!BM18</f>
        <v>0.21204317773788153</v>
      </c>
      <c r="BN157" s="1397">
        <f>BN147/RevBuild!BN18</f>
        <v>0.23012699747687129</v>
      </c>
      <c r="BO157" s="1398">
        <f>BO147/RevBuild!BO18</f>
        <v>0.21785199016100179</v>
      </c>
      <c r="BP157" s="288"/>
      <c r="BQ157" s="1396">
        <f>BQ147/RevBuild!BQ18</f>
        <v>0.22190966143682903</v>
      </c>
      <c r="BR157" s="1397">
        <f>BR147/RevBuild!BR18</f>
        <v>0.23586204468738153</v>
      </c>
      <c r="BS157" s="1397">
        <f>BS147/RevBuild!BS18</f>
        <v>0.22945871557646302</v>
      </c>
      <c r="BT157" s="1397">
        <f>BT147/RevBuild!BT18</f>
        <v>0.24712983556316778</v>
      </c>
      <c r="BU157" s="1398">
        <f>BU147/RevBuild!BU18</f>
        <v>0.2338731324615119</v>
      </c>
      <c r="BV157" s="288"/>
      <c r="BW157" s="1396">
        <f>BW147/RevBuild!BW18</f>
        <v>0.22930743297511477</v>
      </c>
      <c r="BX157" s="1397">
        <f>BX147/RevBuild!BX18</f>
        <v>0.24336268361041394</v>
      </c>
      <c r="BY157" s="1397">
        <f>BY147/RevBuild!BY18</f>
        <v>0.23653209454636587</v>
      </c>
      <c r="BZ157" s="1397">
        <f>BZ147/RevBuild!BZ18</f>
        <v>0.2543866867091823</v>
      </c>
      <c r="CA157" s="1398">
        <f>CA147/RevBuild!CA18</f>
        <v>0.24120045902250076</v>
      </c>
      <c r="CB157" s="1371"/>
      <c r="CC157" s="1396">
        <f>CC147/RevBuild!CC18</f>
        <v>0.23509942706457795</v>
      </c>
      <c r="CD157" s="1397">
        <f>CD147/RevBuild!CD18</f>
        <v>0.25091330901775682</v>
      </c>
      <c r="CE157" s="1397">
        <f>CE147/RevBuild!CE18</f>
        <v>0.24313903044764076</v>
      </c>
      <c r="CF157" s="1397">
        <f>CF147/RevBuild!CF18</f>
        <v>0.26121205643653755</v>
      </c>
      <c r="CG157" s="1398">
        <f>CG147/RevBuild!CG18</f>
        <v>0.24791865157033185</v>
      </c>
      <c r="CH157" s="152"/>
      <c r="CI157" s="1396">
        <f>CI147/RevBuild!CI18</f>
        <v>0.24052901524278977</v>
      </c>
      <c r="CJ157" s="1397">
        <f>CJ147/RevBuild!CJ18</f>
        <v>0.25814409846008157</v>
      </c>
      <c r="CK157" s="1397">
        <f>CK147/RevBuild!CK18</f>
        <v>0.24920140932230289</v>
      </c>
      <c r="CL157" s="1397">
        <f>CL147/RevBuild!CL18</f>
        <v>0.26758479704144955</v>
      </c>
      <c r="CM157" s="1398">
        <f>CM147/RevBuild!CM18</f>
        <v>0.25421810830402913</v>
      </c>
      <c r="CN157" s="152"/>
      <c r="CO157" s="152"/>
      <c r="CP157" s="289"/>
      <c r="CQ157"/>
      <c r="CR157"/>
      <c r="CS157"/>
      <c r="CT157"/>
      <c r="CU157"/>
      <c r="CV157"/>
      <c r="CW157" s="287"/>
    </row>
    <row r="158" spans="1:119" s="149" customFormat="1">
      <c r="A158" s="127"/>
      <c r="B158" s="17"/>
      <c r="C158" s="1314"/>
      <c r="D158" s="1314"/>
      <c r="E158" s="1314"/>
      <c r="F158" s="1314"/>
      <c r="G158" s="128"/>
      <c r="H158" s="17"/>
      <c r="I158" s="1314"/>
      <c r="J158" s="1314"/>
      <c r="K158" s="1314"/>
      <c r="L158" s="1314"/>
      <c r="M158" s="128"/>
      <c r="N158" s="17"/>
      <c r="O158" s="1314"/>
      <c r="P158" s="1314"/>
      <c r="Q158" s="1314"/>
      <c r="R158" s="1314"/>
      <c r="S158" s="128"/>
      <c r="T158" s="129"/>
      <c r="U158" s="1314"/>
      <c r="V158" s="1314"/>
      <c r="W158" s="1314"/>
      <c r="X158" s="1314"/>
      <c r="Y158" s="128"/>
      <c r="Z158" s="129"/>
      <c r="AA158" s="1314"/>
      <c r="AB158" s="1314"/>
      <c r="AC158" s="1314"/>
      <c r="AD158" s="1314"/>
      <c r="AE158" s="128"/>
      <c r="AF158" s="129"/>
      <c r="AG158" s="1314"/>
      <c r="AH158" s="1314"/>
      <c r="AI158" s="1314"/>
      <c r="AJ158" s="1314"/>
      <c r="AK158" s="128"/>
      <c r="AL158" s="129"/>
      <c r="AM158" s="1314"/>
      <c r="AN158" s="1314"/>
      <c r="AO158" s="1314"/>
      <c r="AP158" s="1314"/>
      <c r="AQ158" s="128"/>
      <c r="AR158" s="129"/>
      <c r="AS158" s="130"/>
      <c r="AT158" s="1315"/>
      <c r="AU158" s="1315"/>
      <c r="AV158" s="1315"/>
      <c r="AW158" s="131"/>
      <c r="AX158" s="129"/>
      <c r="AY158" s="130"/>
      <c r="AZ158" s="1315"/>
      <c r="BA158" s="1315"/>
      <c r="BB158" s="1315"/>
      <c r="BC158" s="130"/>
      <c r="BD158" s="129"/>
      <c r="BE158" s="1962"/>
      <c r="BF158" s="1315"/>
      <c r="BG158" s="1315"/>
      <c r="BH158" s="1315"/>
      <c r="BI158" s="130"/>
      <c r="BJ158" s="129"/>
      <c r="BK158" s="130"/>
      <c r="BL158" s="1315"/>
      <c r="BM158" s="1315"/>
      <c r="BN158" s="1315"/>
      <c r="BO158" s="130"/>
      <c r="BP158" s="129"/>
      <c r="BQ158" s="130"/>
      <c r="BR158" s="1315"/>
      <c r="BS158" s="1315"/>
      <c r="BT158" s="1315"/>
      <c r="BU158" s="130"/>
      <c r="BV158" s="129"/>
      <c r="BW158" s="130"/>
      <c r="BX158" s="1315"/>
      <c r="BY158" s="1315"/>
      <c r="BZ158" s="1315"/>
      <c r="CA158" s="130"/>
      <c r="CB158" s="130"/>
      <c r="CC158" s="130"/>
      <c r="CD158" s="1315"/>
      <c r="CE158" s="1315"/>
      <c r="CF158" s="1315"/>
      <c r="CG158" s="130"/>
      <c r="CI158" s="130"/>
      <c r="CJ158" s="1315"/>
      <c r="CK158" s="1315"/>
      <c r="CL158" s="1315"/>
      <c r="CM158" s="130"/>
      <c r="CN158" s="1979"/>
      <c r="CQ158"/>
      <c r="CR158"/>
      <c r="CS158"/>
      <c r="CT158"/>
      <c r="CU158"/>
      <c r="CV158"/>
    </row>
    <row r="159" spans="1:119" s="149" customFormat="1" ht="12.75" customHeight="1">
      <c r="A159" s="132" t="s">
        <v>145</v>
      </c>
      <c r="B159" s="1248"/>
      <c r="C159" s="385">
        <v>39113</v>
      </c>
      <c r="D159" s="383">
        <v>39202</v>
      </c>
      <c r="E159" s="383">
        <v>39293</v>
      </c>
      <c r="F159" s="1607">
        <v>39384</v>
      </c>
      <c r="G159" s="361" t="s">
        <v>59</v>
      </c>
      <c r="H159" s="1248">
        <v>0</v>
      </c>
      <c r="I159" s="385">
        <v>39478</v>
      </c>
      <c r="J159" s="383">
        <v>39567</v>
      </c>
      <c r="K159" s="28">
        <v>39658</v>
      </c>
      <c r="L159" s="361">
        <v>39749</v>
      </c>
      <c r="M159" s="1608" t="s">
        <v>60</v>
      </c>
      <c r="N159" s="1248"/>
      <c r="O159" s="385">
        <v>39844</v>
      </c>
      <c r="P159" s="383">
        <v>39933</v>
      </c>
      <c r="Q159" s="28">
        <v>40025</v>
      </c>
      <c r="R159" s="361">
        <v>40117</v>
      </c>
      <c r="S159" s="1608" t="str">
        <f>S139</f>
        <v>2009A</v>
      </c>
      <c r="T159" s="445"/>
      <c r="U159" s="30">
        <f>U$8</f>
        <v>40208</v>
      </c>
      <c r="V159" s="28">
        <f>V$8</f>
        <v>40297</v>
      </c>
      <c r="W159" s="28">
        <f>W$8</f>
        <v>40388</v>
      </c>
      <c r="X159" s="361">
        <f>X$8</f>
        <v>40479</v>
      </c>
      <c r="Y159" s="1608" t="str">
        <f>Y139</f>
        <v>2010A</v>
      </c>
      <c r="Z159" s="445"/>
      <c r="AA159" s="30">
        <f>AA$8</f>
        <v>40573</v>
      </c>
      <c r="AB159" s="28">
        <f>AB$8</f>
        <v>40662</v>
      </c>
      <c r="AC159" s="28">
        <f>AC$8</f>
        <v>40753</v>
      </c>
      <c r="AD159" s="361">
        <f>AD$8</f>
        <v>40844</v>
      </c>
      <c r="AE159" s="360" t="str">
        <f>AE$8</f>
        <v>2011A</v>
      </c>
      <c r="AF159" s="445"/>
      <c r="AG159" s="30">
        <f>AG$8</f>
        <v>40938</v>
      </c>
      <c r="AH159" s="28">
        <f>AH$8</f>
        <v>41027</v>
      </c>
      <c r="AI159" s="28">
        <f>AI$8</f>
        <v>41118</v>
      </c>
      <c r="AJ159" s="361">
        <f>AJ$8</f>
        <v>41209</v>
      </c>
      <c r="AK159" s="360" t="str">
        <f>AK$8</f>
        <v>2012A</v>
      </c>
      <c r="AL159" s="445"/>
      <c r="AM159" s="30">
        <f>AM$8</f>
        <v>41303</v>
      </c>
      <c r="AN159" s="28">
        <f>AN$8</f>
        <v>41392</v>
      </c>
      <c r="AO159" s="28">
        <f>AO$8</f>
        <v>41483</v>
      </c>
      <c r="AP159" s="361">
        <f>AP$8</f>
        <v>41574</v>
      </c>
      <c r="AQ159" s="360" t="str">
        <f>AQ$8</f>
        <v>2013A</v>
      </c>
      <c r="AR159" s="445"/>
      <c r="AS159" s="30">
        <f>AS$8</f>
        <v>41668</v>
      </c>
      <c r="AT159" s="28">
        <f>AT$8</f>
        <v>41757</v>
      </c>
      <c r="AU159" s="28">
        <f>AU$8</f>
        <v>41846</v>
      </c>
      <c r="AV159" s="361">
        <f>AV$8</f>
        <v>41937</v>
      </c>
      <c r="AW159" s="360" t="str">
        <f>AW$8</f>
        <v>2014A</v>
      </c>
      <c r="AX159" s="445"/>
      <c r="AY159" s="30">
        <f>AY$8</f>
        <v>42033</v>
      </c>
      <c r="AZ159" s="28">
        <f>AZ$8</f>
        <v>42122</v>
      </c>
      <c r="BA159" s="28">
        <f>BA$8</f>
        <v>42213</v>
      </c>
      <c r="BB159" s="361">
        <f>BB$8</f>
        <v>42304</v>
      </c>
      <c r="BC159" s="360" t="str">
        <f>BC$8</f>
        <v>2015A</v>
      </c>
      <c r="BD159" s="445"/>
      <c r="BE159" s="30">
        <f>BE$8</f>
        <v>42398</v>
      </c>
      <c r="BF159" s="28">
        <f>BF$8</f>
        <v>42487</v>
      </c>
      <c r="BG159" s="28">
        <f>BG$8</f>
        <v>42578</v>
      </c>
      <c r="BH159" s="361">
        <f>BH$8</f>
        <v>42669</v>
      </c>
      <c r="BI159" s="360" t="str">
        <f>BI$8</f>
        <v>2016A</v>
      </c>
      <c r="BJ159" s="445"/>
      <c r="BK159" s="30">
        <f>BK$8</f>
        <v>42763</v>
      </c>
      <c r="BL159" s="28">
        <f>BL$8</f>
        <v>42852</v>
      </c>
      <c r="BM159" s="28">
        <f>BM$8</f>
        <v>42943</v>
      </c>
      <c r="BN159" s="361">
        <f>BN$8</f>
        <v>43034</v>
      </c>
      <c r="BO159" s="360" t="str">
        <f>BO$8</f>
        <v>2017A</v>
      </c>
      <c r="BP159" s="445"/>
      <c r="BQ159" s="30">
        <f>BQ$8</f>
        <v>43128</v>
      </c>
      <c r="BR159" s="28">
        <f>BR$8</f>
        <v>43217</v>
      </c>
      <c r="BS159" s="28">
        <f>BS$8</f>
        <v>43308</v>
      </c>
      <c r="BT159" s="361">
        <f>BT$8</f>
        <v>43399</v>
      </c>
      <c r="BU159" s="360" t="str">
        <f>BU$8</f>
        <v>2018E</v>
      </c>
      <c r="BV159" s="445"/>
      <c r="BW159" s="30">
        <f>BW$8</f>
        <v>43493</v>
      </c>
      <c r="BX159" s="28">
        <f>BX$8</f>
        <v>43582</v>
      </c>
      <c r="BY159" s="28">
        <f>BY$8</f>
        <v>43673</v>
      </c>
      <c r="BZ159" s="361">
        <f>BZ$8</f>
        <v>43764</v>
      </c>
      <c r="CA159" s="360" t="str">
        <f>CA$8</f>
        <v>2019E</v>
      </c>
      <c r="CB159" s="2108"/>
      <c r="CC159" s="30">
        <f>CC$8</f>
        <v>43858</v>
      </c>
      <c r="CD159" s="28">
        <f>CD$8</f>
        <v>43947</v>
      </c>
      <c r="CE159" s="28">
        <f>CE$8</f>
        <v>44038</v>
      </c>
      <c r="CF159" s="361">
        <f>CF$8</f>
        <v>44129</v>
      </c>
      <c r="CG159" s="360" t="str">
        <f>CG$8</f>
        <v>2020E</v>
      </c>
      <c r="CH159" s="135"/>
      <c r="CI159" s="30">
        <f>CI$8</f>
        <v>44223</v>
      </c>
      <c r="CJ159" s="28">
        <f>CJ$8</f>
        <v>44312</v>
      </c>
      <c r="CK159" s="28">
        <f>CK$8</f>
        <v>44403</v>
      </c>
      <c r="CL159" s="361">
        <f>CL$8</f>
        <v>44494</v>
      </c>
      <c r="CM159" s="360" t="str">
        <f>CM$8</f>
        <v>2021E</v>
      </c>
      <c r="CN159" s="135"/>
      <c r="CO159" s="135"/>
      <c r="CP159" s="135"/>
      <c r="CQ159"/>
      <c r="CR159"/>
      <c r="CS159"/>
      <c r="CT159"/>
      <c r="CU159"/>
      <c r="CV159"/>
      <c r="CW159" s="135"/>
    </row>
    <row r="160" spans="1:119" s="149" customFormat="1" ht="12.75" hidden="1" customHeight="1" outlineLevel="2">
      <c r="A160" s="2327" t="s">
        <v>97</v>
      </c>
      <c r="B160" s="2238"/>
      <c r="C160" s="2255"/>
      <c r="D160" s="2248"/>
      <c r="E160" s="2248"/>
      <c r="F160" s="2264"/>
      <c r="G160" s="2249"/>
      <c r="H160" s="2238"/>
      <c r="I160" s="2255"/>
      <c r="J160" s="2248"/>
      <c r="K160" s="2248"/>
      <c r="L160" s="2264"/>
      <c r="M160" s="2249"/>
      <c r="N160" s="2238"/>
      <c r="O160" s="2255"/>
      <c r="P160" s="2248"/>
      <c r="Q160" s="2248"/>
      <c r="R160" s="2264"/>
      <c r="S160" s="2249"/>
      <c r="T160" s="2243"/>
      <c r="U160" s="2255"/>
      <c r="V160" s="2248"/>
      <c r="W160" s="2248"/>
      <c r="X160" s="2264"/>
      <c r="Y160" s="2249"/>
      <c r="Z160" s="2243"/>
      <c r="AA160" s="2255"/>
      <c r="AB160" s="2248"/>
      <c r="AC160" s="2248"/>
      <c r="AD160" s="2264"/>
      <c r="AE160" s="2249"/>
      <c r="AF160" s="2243"/>
      <c r="AG160" s="2255"/>
      <c r="AH160" s="2248"/>
      <c r="AI160" s="2248"/>
      <c r="AJ160" s="2264"/>
      <c r="AK160" s="2249"/>
      <c r="AL160" s="2243"/>
      <c r="AM160" s="2255"/>
      <c r="AN160" s="2248"/>
      <c r="AO160" s="2248"/>
      <c r="AP160" s="2264"/>
      <c r="AQ160" s="2249"/>
      <c r="AR160" s="2243"/>
      <c r="AS160" s="2255"/>
      <c r="AT160" s="2248"/>
      <c r="AU160" s="2248"/>
      <c r="AV160" s="2264"/>
      <c r="AW160" s="2249"/>
      <c r="AX160" s="2243"/>
      <c r="AY160" s="2255"/>
      <c r="AZ160" s="2248"/>
      <c r="BA160" s="2248"/>
      <c r="BB160" s="2264"/>
      <c r="BC160" s="2249"/>
      <c r="BD160" s="2243"/>
      <c r="BE160" s="2255"/>
      <c r="BF160" s="2248"/>
      <c r="BG160" s="2248"/>
      <c r="BH160" s="2264"/>
      <c r="BI160" s="2249"/>
      <c r="BJ160" s="2243"/>
      <c r="BK160" s="2255"/>
      <c r="BL160" s="2248"/>
      <c r="BM160" s="2248"/>
      <c r="BN160" s="2264"/>
      <c r="BO160" s="2249"/>
      <c r="BP160" s="2243"/>
      <c r="BQ160" s="2255"/>
      <c r="BR160" s="2248"/>
      <c r="BS160" s="2248"/>
      <c r="BT160" s="2264"/>
      <c r="BU160" s="2249"/>
      <c r="BV160" s="2243"/>
      <c r="BW160" s="2255"/>
      <c r="BX160" s="2248"/>
      <c r="BY160" s="2248"/>
      <c r="BZ160" s="2264"/>
      <c r="CA160" s="2249"/>
      <c r="CB160" s="2248"/>
      <c r="CC160" s="2255"/>
      <c r="CD160" s="2248"/>
      <c r="CE160" s="2248"/>
      <c r="CF160" s="2264"/>
      <c r="CG160" s="2249"/>
      <c r="CI160" s="2255"/>
      <c r="CJ160" s="2248"/>
      <c r="CK160" s="2248"/>
      <c r="CL160" s="2264"/>
      <c r="CM160" s="2249"/>
      <c r="CQ160"/>
      <c r="CR160"/>
      <c r="CS160"/>
      <c r="CT160"/>
      <c r="CU160"/>
      <c r="CV160"/>
    </row>
    <row r="161" spans="1:119" s="149" customFormat="1" ht="12.75" hidden="1" customHeight="1" outlineLevel="2">
      <c r="A161" s="2328" t="s">
        <v>146</v>
      </c>
      <c r="B161" s="2329"/>
      <c r="C161" s="2255"/>
      <c r="D161" s="2248"/>
      <c r="E161" s="2248"/>
      <c r="F161" s="2264"/>
      <c r="G161" s="2249"/>
      <c r="H161" s="2329"/>
      <c r="I161" s="2255"/>
      <c r="J161" s="2248"/>
      <c r="K161" s="2248"/>
      <c r="L161" s="2264"/>
      <c r="M161" s="2249"/>
      <c r="N161" s="2329"/>
      <c r="O161" s="2255"/>
      <c r="P161" s="2248"/>
      <c r="Q161" s="2248"/>
      <c r="R161" s="2264"/>
      <c r="S161" s="2249"/>
      <c r="T161" s="2330"/>
      <c r="U161" s="2255">
        <f>(U58-O58)/(RevBuild!U8-RevBuild!O8)</f>
        <v>0.50673913043478269</v>
      </c>
      <c r="V161" s="2248">
        <f>(V58-P58)/(RevBuild!V8-RevBuild!P8)</f>
        <v>0.54289999999999972</v>
      </c>
      <c r="W161" s="2248">
        <f>(W58-Q58)/(RevBuild!W8-RevBuild!Q8)</f>
        <v>0.55477215189873419</v>
      </c>
      <c r="X161" s="2264">
        <f>(X58-R58)/(RevBuild!X8-RevBuild!R8)</f>
        <v>0.41728301886792424</v>
      </c>
      <c r="Y161" s="2249">
        <f>(Y58-S58)/(RevBuild!Y8-RevBuild!S8)</f>
        <v>0.48739915966386543</v>
      </c>
      <c r="Z161" s="2330"/>
      <c r="AA161" s="2255">
        <f>(AA58-U58)/(RevBuild!AA8-RevBuild!U8)</f>
        <v>0.43296666666666683</v>
      </c>
      <c r="AB161" s="2248">
        <f>(AB58-V58)/(RevBuild!AB8-RevBuild!V8)</f>
        <v>0.43778400000000012</v>
      </c>
      <c r="AC161" s="2248">
        <f>(AC58-W58)/(RevBuild!AC8-RevBuild!W8)</f>
        <v>0.3614782608695653</v>
      </c>
      <c r="AD161" s="2264">
        <f>(AD58-X58)/(RevBuild!AD8-RevBuild!X8)</f>
        <v>0.43208571428571485</v>
      </c>
      <c r="AE161" s="2249">
        <f>(AE58-Y58)/(RevBuild!AE8-RevBuild!Y8)</f>
        <v>0.41787543252595183</v>
      </c>
      <c r="AF161" s="2330"/>
      <c r="AG161" s="2255">
        <f>(AG58-AA58)/(RevBuild!AG8-RevBuild!AA8)</f>
        <v>0.43784210526315781</v>
      </c>
      <c r="AH161" s="2248">
        <f>(AH58-AB58)/(RevBuild!AH8-RevBuild!AB8)</f>
        <v>-1.4710000000000036</v>
      </c>
      <c r="AI161" s="2248">
        <f>(AI58-AC58)/(RevBuild!AI8-RevBuild!AC8)</f>
        <v>0.84012500000000045</v>
      </c>
      <c r="AJ161" s="2264">
        <f>(AJ58-AD58)/(RevBuild!AJ8-RevBuild!AD8)</f>
        <v>-1.5099999999999909</v>
      </c>
      <c r="AK161" s="2249">
        <f>(AK58-AE58)/(RevBuild!AK8-RevBuild!AE8)</f>
        <v>0.42947761194029815</v>
      </c>
      <c r="AL161" s="2330"/>
      <c r="AM161" s="2255">
        <f>(AM58-AG58)/(RevBuild!AM8-RevBuild!AG8)</f>
        <v>1.1773333333333322</v>
      </c>
      <c r="AN161" s="2248">
        <f>(AN58-AH58)/(RevBuild!AN8-RevBuild!AH8)</f>
        <v>1.2544499999999998</v>
      </c>
      <c r="AO161" s="2248">
        <f>(AO58-AI58)/(RevBuild!AO8-RevBuild!AI8)</f>
        <v>0.78569999999999995</v>
      </c>
      <c r="AP161" s="2264">
        <f>(AP58-AJ58)/(RevBuild!AP8-RevBuild!AJ8)</f>
        <v>-10.323491098567105</v>
      </c>
      <c r="AQ161" s="2249">
        <f>(AQ58-AK58)/(RevBuild!AQ8-RevBuild!AK8)</f>
        <v>-3.8095096983382377</v>
      </c>
      <c r="AR161" s="2330"/>
      <c r="AS161" s="2255"/>
      <c r="AT161" s="2248"/>
      <c r="AU161" s="2248"/>
      <c r="AV161" s="2264"/>
      <c r="AW161" s="2249"/>
      <c r="AX161" s="2330"/>
      <c r="AY161" s="2255"/>
      <c r="AZ161" s="2248"/>
      <c r="BA161" s="2248"/>
      <c r="BB161" s="2264"/>
      <c r="BC161" s="2249"/>
      <c r="BD161" s="2330"/>
      <c r="BE161" s="2255"/>
      <c r="BF161" s="2248"/>
      <c r="BG161" s="2248"/>
      <c r="BH161" s="2264"/>
      <c r="BI161" s="2249"/>
      <c r="BJ161" s="2330"/>
      <c r="BK161" s="2255"/>
      <c r="BL161" s="2248"/>
      <c r="BM161" s="2248"/>
      <c r="BN161" s="2264"/>
      <c r="BO161" s="2249"/>
      <c r="BP161" s="2330"/>
      <c r="BQ161" s="2255"/>
      <c r="BR161" s="2248"/>
      <c r="BS161" s="2248"/>
      <c r="BT161" s="2264"/>
      <c r="BU161" s="2249"/>
      <c r="BV161" s="2330"/>
      <c r="BW161" s="2255"/>
      <c r="BX161" s="2248"/>
      <c r="BY161" s="2248"/>
      <c r="BZ161" s="2264"/>
      <c r="CA161" s="2249"/>
      <c r="CB161" s="2248"/>
      <c r="CC161" s="2255"/>
      <c r="CD161" s="2248"/>
      <c r="CE161" s="2248"/>
      <c r="CF161" s="2264"/>
      <c r="CG161" s="2249"/>
      <c r="CH161" s="201"/>
      <c r="CI161" s="2255"/>
      <c r="CJ161" s="2248"/>
      <c r="CK161" s="2248"/>
      <c r="CL161" s="2264"/>
      <c r="CM161" s="2249"/>
      <c r="CN161" s="201"/>
      <c r="CO161" s="201"/>
      <c r="CP161" s="201"/>
      <c r="CQ161"/>
      <c r="CR161"/>
      <c r="CS161"/>
      <c r="CT161"/>
      <c r="CU161"/>
      <c r="CV161"/>
      <c r="CW161" s="201"/>
    </row>
    <row r="162" spans="1:119" s="149" customFormat="1" ht="12.75" hidden="1" customHeight="1" outlineLevel="2">
      <c r="A162" s="2328" t="s">
        <v>147</v>
      </c>
      <c r="B162" s="2329"/>
      <c r="C162" s="2255"/>
      <c r="D162" s="2248"/>
      <c r="E162" s="2248"/>
      <c r="F162" s="2264"/>
      <c r="G162" s="2249"/>
      <c r="H162" s="2329"/>
      <c r="I162" s="2255"/>
      <c r="J162" s="2248"/>
      <c r="K162" s="2248"/>
      <c r="L162" s="2264"/>
      <c r="M162" s="2249"/>
      <c r="N162" s="2329"/>
      <c r="O162" s="2255"/>
      <c r="P162" s="2248"/>
      <c r="Q162" s="2248"/>
      <c r="R162" s="2264"/>
      <c r="S162" s="2249"/>
      <c r="T162" s="2330"/>
      <c r="U162" s="2255">
        <f>(U194-O194)/(RevBuild!U8-RevBuild!O8)</f>
        <v>0.39130434782608697</v>
      </c>
      <c r="V162" s="2248">
        <f>(V194-P194)/(RevBuild!V8-RevBuild!P8)</f>
        <v>0.16666666666666666</v>
      </c>
      <c r="W162" s="2248">
        <f>(W194-Q194)/(RevBuild!W8-RevBuild!Q8)</f>
        <v>0.21518987341772153</v>
      </c>
      <c r="X162" s="2264">
        <f>(X194-R194)/(RevBuild!X8-RevBuild!R8)</f>
        <v>0.11320754716981132</v>
      </c>
      <c r="Y162" s="2249">
        <f>(Y194-S194)/(RevBuild!Y8-RevBuild!S8)</f>
        <v>0.18067226890756302</v>
      </c>
      <c r="Z162" s="2330"/>
      <c r="AA162" s="2255">
        <f>(AA194-U194)/(RevBuild!AA8-RevBuild!U8)</f>
        <v>-0.16666666666666666</v>
      </c>
      <c r="AB162" s="2248">
        <f>(AB194-V194)/(RevBuild!AB8-RevBuild!V8)</f>
        <v>8.7999999999999995E-2</v>
      </c>
      <c r="AC162" s="2248">
        <f>(AC194-W194)/(RevBuild!AC8-RevBuild!W8)</f>
        <v>-1.4492753623188406E-2</v>
      </c>
      <c r="AD162" s="2264">
        <f>(AD194-X194)/(RevBuild!AD8-RevBuild!X8)</f>
        <v>-2.8571428571428571E-2</v>
      </c>
      <c r="AE162" s="2249">
        <f>(AE194-Y194)/(RevBuild!AE8-RevBuild!Y8)</f>
        <v>-3.4602076124567475E-3</v>
      </c>
      <c r="AF162" s="2330"/>
      <c r="AG162" s="2255">
        <f>(AG194-AA194)/(RevBuild!AG8-RevBuild!AA8)</f>
        <v>0.2807017543859649</v>
      </c>
      <c r="AH162" s="2248">
        <f>(AH194-AB194)/(RevBuild!AH8-RevBuild!AB8)</f>
        <v>-2.6666666666666665</v>
      </c>
      <c r="AI162" s="2248">
        <f>(AI194-AC194)/(RevBuild!AI8-RevBuild!AC8)</f>
        <v>0.75</v>
      </c>
      <c r="AJ162" s="2264">
        <f>(AJ194-AD194)/(RevBuild!AJ8-RevBuild!AD8)</f>
        <v>-14</v>
      </c>
      <c r="AK162" s="2249">
        <f>(AK194-AE194)/(RevBuild!AK8-RevBuild!AE8)</f>
        <v>0.41791044776119401</v>
      </c>
      <c r="AL162" s="2330"/>
      <c r="AM162" s="2255">
        <f>(AM194-AG194)/(RevBuild!AM8-RevBuild!AG8)</f>
        <v>0.49200000000000205</v>
      </c>
      <c r="AN162" s="2248">
        <f>(AN194-AH194)/(RevBuild!AN8-RevBuild!AH8)</f>
        <v>1.6911999999999991</v>
      </c>
      <c r="AO162" s="2248">
        <f>(AO194-AI194)/(RevBuild!AO8-RevBuild!AI8)</f>
        <v>0.95660000000000311</v>
      </c>
      <c r="AP162" s="2264">
        <f>(AP194-AJ194)/(RevBuild!AP8-RevBuild!AJ8)</f>
        <v>-3.655700089766905</v>
      </c>
      <c r="AQ162" s="2249">
        <f>(AQ194-AK194)/(RevBuild!AQ8-RevBuild!AK8)</f>
        <v>-0.91520083081651538</v>
      </c>
      <c r="AR162" s="2330"/>
      <c r="AS162" s="2255"/>
      <c r="AT162" s="2248"/>
      <c r="AU162" s="2248"/>
      <c r="AV162" s="2264"/>
      <c r="AW162" s="2249"/>
      <c r="AX162" s="2330"/>
      <c r="AY162" s="2255"/>
      <c r="AZ162" s="2248"/>
      <c r="BA162" s="2248"/>
      <c r="BB162" s="2264"/>
      <c r="BC162" s="2249"/>
      <c r="BD162" s="2330"/>
      <c r="BE162" s="2255"/>
      <c r="BF162" s="2248"/>
      <c r="BG162" s="2248"/>
      <c r="BH162" s="2264"/>
      <c r="BI162" s="2249"/>
      <c r="BJ162" s="2330"/>
      <c r="BK162" s="2255"/>
      <c r="BL162" s="2248"/>
      <c r="BM162" s="2248"/>
      <c r="BN162" s="2264"/>
      <c r="BO162" s="2249"/>
      <c r="BP162" s="2330"/>
      <c r="BQ162" s="2255"/>
      <c r="BR162" s="2248"/>
      <c r="BS162" s="2248"/>
      <c r="BT162" s="2264"/>
      <c r="BU162" s="2249"/>
      <c r="BV162" s="2330"/>
      <c r="BW162" s="2255"/>
      <c r="BX162" s="2248"/>
      <c r="BY162" s="2248"/>
      <c r="BZ162" s="2264"/>
      <c r="CA162" s="2249"/>
      <c r="CB162" s="2248"/>
      <c r="CC162" s="2255"/>
      <c r="CD162" s="2248"/>
      <c r="CE162" s="2248"/>
      <c r="CF162" s="2264"/>
      <c r="CG162" s="2249"/>
      <c r="CH162" s="201"/>
      <c r="CI162" s="2255"/>
      <c r="CJ162" s="2248"/>
      <c r="CK162" s="2248"/>
      <c r="CL162" s="2264"/>
      <c r="CM162" s="2249"/>
      <c r="CN162" s="201"/>
      <c r="CO162" s="201"/>
      <c r="CP162" s="201"/>
      <c r="CQ162"/>
      <c r="CR162"/>
      <c r="CS162"/>
      <c r="CT162"/>
      <c r="CU162"/>
      <c r="CV162"/>
      <c r="CW162" s="201"/>
    </row>
    <row r="163" spans="1:119" s="149" customFormat="1" ht="12.75" hidden="1" customHeight="1" outlineLevel="2">
      <c r="A163" s="2328" t="s">
        <v>148</v>
      </c>
      <c r="B163" s="2329"/>
      <c r="C163" s="2255">
        <f>C194/RevBuild!C8</f>
        <v>0.12</v>
      </c>
      <c r="D163" s="2248">
        <f>D194/RevBuild!D8</f>
        <v>0.10612244897959183</v>
      </c>
      <c r="E163" s="2248">
        <f>E194/RevBuild!E8</f>
        <v>9.6899224806201556E-2</v>
      </c>
      <c r="F163" s="2264">
        <f>F194/RevBuild!F8</f>
        <v>0.14334470989761092</v>
      </c>
      <c r="G163" s="2249">
        <f>G194/RevBuild!G8</f>
        <v>0.11759082217973231</v>
      </c>
      <c r="H163" s="2329"/>
      <c r="I163" s="2255">
        <f>I194/RevBuild!I8</f>
        <v>0.10784313725490197</v>
      </c>
      <c r="J163" s="2248">
        <f>J194/RevBuild!J8</f>
        <v>9.9337748344370855E-2</v>
      </c>
      <c r="K163" s="2248">
        <f>K194/RevBuild!K8</f>
        <v>0.12662337662337661</v>
      </c>
      <c r="L163" s="2264">
        <f>L194/RevBuild!L8</f>
        <v>0.1871345029239766</v>
      </c>
      <c r="M163" s="2249">
        <f>M194/RevBuild!M8</f>
        <v>0.13195548489666137</v>
      </c>
      <c r="N163" s="2329"/>
      <c r="O163" s="2255">
        <f>O194/RevBuild!O8</f>
        <v>0.16862745098039217</v>
      </c>
      <c r="P163" s="2248">
        <f>P194/RevBuild!P8</f>
        <v>0.15189873417721519</v>
      </c>
      <c r="Q163" s="2248">
        <f>Q194/RevBuild!Q8</f>
        <v>0.14893617021276595</v>
      </c>
      <c r="R163" s="2264">
        <f>R194/RevBuild!R8</f>
        <v>0.17624521072796934</v>
      </c>
      <c r="S163" s="2249">
        <f>S194/RevBuild!S8</f>
        <v>0.16194331983805668</v>
      </c>
      <c r="T163" s="2330"/>
      <c r="U163" s="2255">
        <f>U194/RevBuild!U8</f>
        <v>0.18705035971223022</v>
      </c>
      <c r="V163" s="2248">
        <f>V194/RevBuild!V8</f>
        <v>0.15355805243445692</v>
      </c>
      <c r="W163" s="2248">
        <f>W194/RevBuild!W8</f>
        <v>0.16560509554140126</v>
      </c>
      <c r="X163" s="2264">
        <f>X194/RevBuild!X8</f>
        <v>0.15803814713896458</v>
      </c>
      <c r="Y163" s="2249">
        <f>Y194/RevBuild!Y8</f>
        <v>0.16557911908646003</v>
      </c>
      <c r="Z163" s="2330"/>
      <c r="AA163" s="2255">
        <f>AA194/RevBuild!AA8</f>
        <v>0.1242603550295858</v>
      </c>
      <c r="AB163" s="2248">
        <f>AB194/RevBuild!AB8</f>
        <v>0.1326530612244898</v>
      </c>
      <c r="AC163" s="2248">
        <f>AC194/RevBuild!AC8</f>
        <v>0.13315926892950392</v>
      </c>
      <c r="AD163" s="2264">
        <f>AD194/RevBuild!AD8</f>
        <v>0.1417910447761194</v>
      </c>
      <c r="AE163" s="2249">
        <f>AE194/RevBuild!AE8</f>
        <v>0.13333333333333333</v>
      </c>
      <c r="AF163" s="2330"/>
      <c r="AG163" s="2255">
        <f>AG194/RevBuild!AG8</f>
        <v>0.14683544303797469</v>
      </c>
      <c r="AH163" s="2248">
        <f>AH194/RevBuild!AH8</f>
        <v>0.11139240506329114</v>
      </c>
      <c r="AI163" s="2248">
        <f>AI194/RevBuild!AI8</f>
        <v>0.14578005115089515</v>
      </c>
      <c r="AJ163" s="2264">
        <f>AJ194/RevBuild!AJ8</f>
        <v>0.17705735660847879</v>
      </c>
      <c r="AK163" s="2249">
        <f>AK194/RevBuild!AK8</f>
        <v>0.14538558786346398</v>
      </c>
      <c r="AL163" s="2330"/>
      <c r="AM163" s="2255">
        <f>AM194/RevBuild!AM8</f>
        <v>0.15200000000000002</v>
      </c>
      <c r="AN163" s="2248">
        <f>AN194/RevBuild!AN8</f>
        <v>0.15039999999999998</v>
      </c>
      <c r="AO163" s="2248">
        <f>AO194/RevBuild!AO8</f>
        <v>0.16600000000000006</v>
      </c>
      <c r="AP163" s="2264">
        <f>AP194/RevBuild!AP8</f>
        <v>0</v>
      </c>
      <c r="AQ163" s="2249">
        <f>AQ194/RevBuild!AQ8</f>
        <v>0.11578437055572141</v>
      </c>
      <c r="AR163" s="2330"/>
      <c r="AS163" s="2255"/>
      <c r="AT163" s="2248"/>
      <c r="AU163" s="2248"/>
      <c r="AV163" s="2264"/>
      <c r="AW163" s="2249"/>
      <c r="AX163" s="2330"/>
      <c r="AY163" s="2255"/>
      <c r="AZ163" s="2248"/>
      <c r="BA163" s="2248"/>
      <c r="BB163" s="2264"/>
      <c r="BC163" s="2249"/>
      <c r="BD163" s="2330"/>
      <c r="BE163" s="2255"/>
      <c r="BF163" s="2248"/>
      <c r="BG163" s="2248"/>
      <c r="BH163" s="2264"/>
      <c r="BI163" s="2249"/>
      <c r="BJ163" s="2330"/>
      <c r="BK163" s="2255"/>
      <c r="BL163" s="2248"/>
      <c r="BM163" s="2248"/>
      <c r="BN163" s="2264"/>
      <c r="BO163" s="2249"/>
      <c r="BP163" s="2330"/>
      <c r="BQ163" s="2255"/>
      <c r="BR163" s="2248"/>
      <c r="BS163" s="2248"/>
      <c r="BT163" s="2264"/>
      <c r="BU163" s="2249"/>
      <c r="BV163" s="2330"/>
      <c r="BW163" s="2255"/>
      <c r="BX163" s="2248"/>
      <c r="BY163" s="2248"/>
      <c r="BZ163" s="2264"/>
      <c r="CA163" s="2249"/>
      <c r="CB163" s="2248"/>
      <c r="CC163" s="2255"/>
      <c r="CD163" s="2248"/>
      <c r="CE163" s="2248"/>
      <c r="CF163" s="2264"/>
      <c r="CG163" s="2249"/>
      <c r="CH163" s="304"/>
      <c r="CI163" s="2255"/>
      <c r="CJ163" s="2248"/>
      <c r="CK163" s="2248"/>
      <c r="CL163" s="2264"/>
      <c r="CM163" s="2249"/>
      <c r="CN163" s="304"/>
      <c r="CO163" s="304"/>
      <c r="CP163" s="304"/>
      <c r="CQ163"/>
      <c r="CR163"/>
      <c r="CS163"/>
      <c r="CT163"/>
      <c r="CU163"/>
      <c r="CV163"/>
      <c r="CW163" s="304"/>
      <c r="CX163" s="154"/>
      <c r="CY163" s="154"/>
      <c r="CZ163" s="154"/>
      <c r="DA163" s="154"/>
      <c r="DB163" s="154"/>
      <c r="DC163" s="154"/>
      <c r="DD163" s="154"/>
      <c r="DE163" s="154"/>
      <c r="DF163" s="154"/>
      <c r="DG163" s="154"/>
      <c r="DH163" s="154"/>
      <c r="DI163" s="154"/>
      <c r="DJ163" s="154"/>
      <c r="DK163" s="154"/>
      <c r="DL163" s="154"/>
      <c r="DM163" s="154"/>
      <c r="DN163" s="154"/>
      <c r="DO163" s="154"/>
    </row>
    <row r="164" spans="1:119" s="149" customFormat="1" ht="12.75" hidden="1" customHeight="1" outlineLevel="2">
      <c r="A164" s="2237" t="s">
        <v>99</v>
      </c>
      <c r="B164" s="2238"/>
      <c r="C164" s="2255"/>
      <c r="D164" s="2248"/>
      <c r="E164" s="2248"/>
      <c r="F164" s="2264"/>
      <c r="G164" s="2249"/>
      <c r="H164" s="2238"/>
      <c r="I164" s="2255"/>
      <c r="J164" s="2248"/>
      <c r="K164" s="2248"/>
      <c r="L164" s="2264"/>
      <c r="M164" s="2249"/>
      <c r="N164" s="2238"/>
      <c r="O164" s="2255"/>
      <c r="P164" s="2248"/>
      <c r="Q164" s="2248"/>
      <c r="R164" s="2264"/>
      <c r="S164" s="2249"/>
      <c r="T164" s="2243"/>
      <c r="U164" s="2255"/>
      <c r="V164" s="2248"/>
      <c r="W164" s="2248"/>
      <c r="X164" s="2264"/>
      <c r="Y164" s="2249"/>
      <c r="Z164" s="2243"/>
      <c r="AA164" s="2255"/>
      <c r="AB164" s="2248"/>
      <c r="AC164" s="2248"/>
      <c r="AD164" s="2264"/>
      <c r="AE164" s="2249"/>
      <c r="AF164" s="2243"/>
      <c r="AG164" s="2255"/>
      <c r="AH164" s="2248"/>
      <c r="AI164" s="2248"/>
      <c r="AJ164" s="2264"/>
      <c r="AK164" s="2249"/>
      <c r="AL164" s="2243"/>
      <c r="AM164" s="2255"/>
      <c r="AN164" s="2248"/>
      <c r="AO164" s="2248"/>
      <c r="AP164" s="2264"/>
      <c r="AQ164" s="2249"/>
      <c r="AR164" s="2243"/>
      <c r="AS164" s="2255"/>
      <c r="AT164" s="2248"/>
      <c r="AU164" s="2248"/>
      <c r="AV164" s="2264"/>
      <c r="AW164" s="2249"/>
      <c r="AX164" s="2243"/>
      <c r="AY164" s="2255"/>
      <c r="AZ164" s="2248"/>
      <c r="BA164" s="2248"/>
      <c r="BB164" s="2264"/>
      <c r="BC164" s="2249"/>
      <c r="BD164" s="2243"/>
      <c r="BE164" s="2255"/>
      <c r="BF164" s="2248"/>
      <c r="BG164" s="2248"/>
      <c r="BH164" s="2264"/>
      <c r="BI164" s="2249"/>
      <c r="BJ164" s="2243"/>
      <c r="BK164" s="2255"/>
      <c r="BL164" s="2248"/>
      <c r="BM164" s="2248"/>
      <c r="BN164" s="2264"/>
      <c r="BO164" s="2249"/>
      <c r="BP164" s="2243"/>
      <c r="BQ164" s="2255"/>
      <c r="BR164" s="2248"/>
      <c r="BS164" s="2248"/>
      <c r="BT164" s="2264"/>
      <c r="BU164" s="2249"/>
      <c r="BV164" s="2243"/>
      <c r="BW164" s="2255"/>
      <c r="BX164" s="2248"/>
      <c r="BY164" s="2248"/>
      <c r="BZ164" s="2264"/>
      <c r="CA164" s="2249"/>
      <c r="CB164" s="2248"/>
      <c r="CC164" s="2255"/>
      <c r="CD164" s="2248"/>
      <c r="CE164" s="2248"/>
      <c r="CF164" s="2264"/>
      <c r="CG164" s="2249"/>
      <c r="CI164" s="2255"/>
      <c r="CJ164" s="2248"/>
      <c r="CK164" s="2248"/>
      <c r="CL164" s="2264"/>
      <c r="CM164" s="2249"/>
      <c r="CQ164"/>
      <c r="CR164"/>
      <c r="CS164"/>
      <c r="CT164"/>
      <c r="CU164"/>
      <c r="CV164"/>
    </row>
    <row r="165" spans="1:119" s="149" customFormat="1" ht="12.75" hidden="1" customHeight="1" outlineLevel="2">
      <c r="A165" s="2328" t="s">
        <v>146</v>
      </c>
      <c r="B165" s="2329"/>
      <c r="C165" s="2255"/>
      <c r="D165" s="2248"/>
      <c r="E165" s="2248"/>
      <c r="F165" s="2264"/>
      <c r="G165" s="2249"/>
      <c r="H165" s="2329"/>
      <c r="I165" s="2255"/>
      <c r="J165" s="2248"/>
      <c r="K165" s="2248"/>
      <c r="L165" s="2264"/>
      <c r="M165" s="2249"/>
      <c r="N165" s="2329"/>
      <c r="O165" s="2255"/>
      <c r="P165" s="2248"/>
      <c r="Q165" s="2248"/>
      <c r="R165" s="2264"/>
      <c r="S165" s="2249"/>
      <c r="T165" s="2330"/>
      <c r="U165" s="2255">
        <f>(U60-O60)/(RevBuild!U9-RevBuild!O9)</f>
        <v>0.61999999999999966</v>
      </c>
      <c r="V165" s="2248">
        <f>(V60-P60)/(RevBuild!V9-RevBuild!P9)</f>
        <v>0.71983333333333255</v>
      </c>
      <c r="W165" s="2248">
        <f>(W60-Q60)/(RevBuild!W9-RevBuild!Q9)</f>
        <v>0.91300000000000026</v>
      </c>
      <c r="X165" s="2264">
        <f>(X60-R60)/(RevBuild!X9-RevBuild!R9)</f>
        <v>0.54133333333333289</v>
      </c>
      <c r="Y165" s="2249">
        <f>(Y60-S60)/(RevBuild!Y9-RevBuild!S9)</f>
        <v>0.65240909090909005</v>
      </c>
      <c r="Z165" s="2330"/>
      <c r="AA165" s="2255">
        <f>(AA60-U60)/(RevBuild!AA9-RevBuild!U9)</f>
        <v>1.0775000000000006</v>
      </c>
      <c r="AB165" s="2248">
        <f>(AB60-V60)/(RevBuild!AB9-RevBuild!V9)</f>
        <v>0.752000000000001</v>
      </c>
      <c r="AC165" s="2248">
        <f>(AC60-W60)/(RevBuild!AC9-RevBuild!W9)</f>
        <v>0.57999999999999974</v>
      </c>
      <c r="AD165" s="2264">
        <f>(AD60-X60)/(RevBuild!AD9-RevBuild!X9)</f>
        <v>1.2975999999999999</v>
      </c>
      <c r="AE165" s="2249">
        <f>(AE60-Y60)/(RevBuild!AE9-RevBuild!Y9)</f>
        <v>0.84825000000000017</v>
      </c>
      <c r="AF165" s="2330"/>
      <c r="AG165" s="2255"/>
      <c r="AH165" s="2248">
        <f>(AH60-AB60)/(RevBuild!AH9-RevBuild!AB9)</f>
        <v>1.9130000000000003</v>
      </c>
      <c r="AI165" s="2248">
        <f>(AI60-AC60)/(RevBuild!AI9-RevBuild!AC9)</f>
        <v>0.63911111111111096</v>
      </c>
      <c r="AJ165" s="2264">
        <f>(AJ60-AD60)/(RevBuild!AJ9-RevBuild!AD9)</f>
        <v>0.63558620689655176</v>
      </c>
      <c r="AK165" s="2249">
        <f>(AK60-AE60)/(RevBuild!AK9-RevBuild!AE9)</f>
        <v>0.67235200000000006</v>
      </c>
      <c r="AL165" s="2330"/>
      <c r="AM165" s="2255">
        <f>(AM60-AG60)/(RevBuild!AM9-RevBuild!AG9)</f>
        <v>0.59071134020618554</v>
      </c>
      <c r="AN165" s="2248">
        <f>(AN60-AH60)/(RevBuild!AN9-RevBuild!AH9)</f>
        <v>0.6033804347826085</v>
      </c>
      <c r="AO165" s="2248">
        <f>(AO60-AI60)/(RevBuild!AO9-RevBuild!AI9)</f>
        <v>0.56796491228070167</v>
      </c>
      <c r="AP165" s="2264">
        <f>(AP60-AJ60)/(RevBuild!AP9-RevBuild!AJ9)</f>
        <v>-4.0240414752497804</v>
      </c>
      <c r="AQ165" s="2249">
        <f>(AQ60-AK60)/(RevBuild!AQ9-RevBuild!AK9)</f>
        <v>0.17104107827788223</v>
      </c>
      <c r="AR165" s="2330"/>
      <c r="AS165" s="2255"/>
      <c r="AT165" s="2248"/>
      <c r="AU165" s="2248"/>
      <c r="AV165" s="2264"/>
      <c r="AW165" s="2249"/>
      <c r="AX165" s="2330"/>
      <c r="AY165" s="2255"/>
      <c r="AZ165" s="2248"/>
      <c r="BA165" s="2248"/>
      <c r="BB165" s="2264"/>
      <c r="BC165" s="2249"/>
      <c r="BD165" s="2330"/>
      <c r="BE165" s="2255"/>
      <c r="BF165" s="2248"/>
      <c r="BG165" s="2248"/>
      <c r="BH165" s="2264"/>
      <c r="BI165" s="2249"/>
      <c r="BJ165" s="2330"/>
      <c r="BK165" s="2255"/>
      <c r="BL165" s="2248"/>
      <c r="BM165" s="2248"/>
      <c r="BN165" s="2264"/>
      <c r="BO165" s="2249"/>
      <c r="BP165" s="2330"/>
      <c r="BQ165" s="2255"/>
      <c r="BR165" s="2248"/>
      <c r="BS165" s="2248"/>
      <c r="BT165" s="2264"/>
      <c r="BU165" s="2249"/>
      <c r="BV165" s="2330"/>
      <c r="BW165" s="2255"/>
      <c r="BX165" s="2248"/>
      <c r="BY165" s="2248"/>
      <c r="BZ165" s="2264"/>
      <c r="CA165" s="2249"/>
      <c r="CB165" s="2248"/>
      <c r="CC165" s="2255"/>
      <c r="CD165" s="2248"/>
      <c r="CE165" s="2248"/>
      <c r="CF165" s="2264"/>
      <c r="CG165" s="2249"/>
      <c r="CH165" s="201"/>
      <c r="CI165" s="2255"/>
      <c r="CJ165" s="2248"/>
      <c r="CK165" s="2248"/>
      <c r="CL165" s="2264"/>
      <c r="CM165" s="2249"/>
      <c r="CN165" s="201"/>
      <c r="CO165" s="201"/>
      <c r="CP165" s="201"/>
      <c r="CQ165"/>
      <c r="CR165"/>
      <c r="CS165"/>
      <c r="CT165"/>
      <c r="CU165"/>
      <c r="CV165"/>
      <c r="CW165" s="201"/>
    </row>
    <row r="166" spans="1:119" s="149" customFormat="1" ht="12.75" hidden="1" customHeight="1" outlineLevel="2">
      <c r="A166" s="2328" t="s">
        <v>147</v>
      </c>
      <c r="B166" s="2329"/>
      <c r="C166" s="2255"/>
      <c r="D166" s="2248"/>
      <c r="E166" s="2248"/>
      <c r="F166" s="2264"/>
      <c r="G166" s="2249"/>
      <c r="H166" s="2329"/>
      <c r="I166" s="2255"/>
      <c r="J166" s="2248"/>
      <c r="K166" s="2248"/>
      <c r="L166" s="2264"/>
      <c r="M166" s="2249"/>
      <c r="N166" s="2329"/>
      <c r="O166" s="2255"/>
      <c r="P166" s="2248"/>
      <c r="Q166" s="2248"/>
      <c r="R166" s="2264"/>
      <c r="S166" s="2249"/>
      <c r="T166" s="2330"/>
      <c r="U166" s="2255">
        <f>(U197-O197)/(RevBuild!U9-RevBuild!O9)</f>
        <v>0.25</v>
      </c>
      <c r="V166" s="2248">
        <f>(V197-P197)/(RevBuild!V9-RevBuild!P9)</f>
        <v>-0.16666666666666666</v>
      </c>
      <c r="W166" s="2248">
        <f>(W197-Q197)/(RevBuild!W9-RevBuild!Q9)</f>
        <v>0</v>
      </c>
      <c r="X166" s="2264">
        <f>(X197-R197)/(RevBuild!X9-RevBuild!R9)</f>
        <v>0.5</v>
      </c>
      <c r="Y166" s="2249">
        <f>(Y197-S197)/(RevBuild!Y9-RevBuild!S9)</f>
        <v>0.18181818181818182</v>
      </c>
      <c r="Z166" s="2330"/>
      <c r="AA166" s="2255">
        <f>(AA197-U197)/(RevBuild!AA9-RevBuild!U9)</f>
        <v>0.75</v>
      </c>
      <c r="AB166" s="2248">
        <f>(AB197-V197)/(RevBuild!AB9-RevBuild!V9)</f>
        <v>0.4</v>
      </c>
      <c r="AC166" s="2248">
        <f>(AC197-W197)/(RevBuild!AC9-RevBuild!W9)</f>
        <v>0.5</v>
      </c>
      <c r="AD166" s="2264">
        <f>(AD197-X197)/(RevBuild!AD9-RevBuild!X9)</f>
        <v>1.4</v>
      </c>
      <c r="AE166" s="2249">
        <f>(AE197-Y197)/(RevBuild!AE9-RevBuild!Y9)</f>
        <v>0.70833333333333337</v>
      </c>
      <c r="AF166" s="2330"/>
      <c r="AG166" s="2255"/>
      <c r="AH166" s="2248">
        <f>(AH197-AB197)/(RevBuild!AH9-RevBuild!AB9)</f>
        <v>3</v>
      </c>
      <c r="AI166" s="2248">
        <f>(AI197-AC197)/(RevBuild!AI9-RevBuild!AC9)</f>
        <v>0.19444444444444445</v>
      </c>
      <c r="AJ166" s="2264">
        <f>(AJ197-AD197)/(RevBuild!AJ9-RevBuild!AD9)</f>
        <v>0.17241379310344829</v>
      </c>
      <c r="AK166" s="2249">
        <f>(AK197-AE197)/(RevBuild!AK9-RevBuild!AE9)</f>
        <v>0.24</v>
      </c>
      <c r="AL166" s="2330"/>
      <c r="AM166" s="2255">
        <f>(AM197-AG197)/(RevBuild!AM9-RevBuild!AG9)</f>
        <v>-8.247422680412371E-2</v>
      </c>
      <c r="AN166" s="2248">
        <f>(AN197-AH197)/(RevBuild!AN9-RevBuild!AH9)</f>
        <v>0.14130434782608695</v>
      </c>
      <c r="AO166" s="2248">
        <f>(AO197-AI197)/(RevBuild!AO9-RevBuild!AI9)</f>
        <v>0.14035087719298245</v>
      </c>
      <c r="AP166" s="2264">
        <f>(AP197-AJ197)/(RevBuild!AP9-RevBuild!AJ9)</f>
        <v>-1.0578447621581968</v>
      </c>
      <c r="AQ166" s="2249">
        <f>(AQ197-AK197)/(RevBuild!AQ9-RevBuild!AK9)</f>
        <v>-4.8045246707270318E-2</v>
      </c>
      <c r="AR166" s="2330"/>
      <c r="AS166" s="2255"/>
      <c r="AT166" s="2248"/>
      <c r="AU166" s="2248"/>
      <c r="AV166" s="2264"/>
      <c r="AW166" s="2249"/>
      <c r="AX166" s="2330"/>
      <c r="AY166" s="2255"/>
      <c r="AZ166" s="2248"/>
      <c r="BA166" s="2248"/>
      <c r="BB166" s="2264"/>
      <c r="BC166" s="2249"/>
      <c r="BD166" s="2330"/>
      <c r="BE166" s="2255"/>
      <c r="BF166" s="2248"/>
      <c r="BG166" s="2248"/>
      <c r="BH166" s="2264"/>
      <c r="BI166" s="2249"/>
      <c r="BJ166" s="2330"/>
      <c r="BK166" s="2255"/>
      <c r="BL166" s="2248"/>
      <c r="BM166" s="2248"/>
      <c r="BN166" s="2264"/>
      <c r="BO166" s="2249"/>
      <c r="BP166" s="2330"/>
      <c r="BQ166" s="2255"/>
      <c r="BR166" s="2248"/>
      <c r="BS166" s="2248"/>
      <c r="BT166" s="2264"/>
      <c r="BU166" s="2249"/>
      <c r="BV166" s="2330"/>
      <c r="BW166" s="2255"/>
      <c r="BX166" s="2248"/>
      <c r="BY166" s="2248"/>
      <c r="BZ166" s="2264"/>
      <c r="CA166" s="2249"/>
      <c r="CB166" s="2248"/>
      <c r="CC166" s="2255"/>
      <c r="CD166" s="2248"/>
      <c r="CE166" s="2248"/>
      <c r="CF166" s="2264"/>
      <c r="CG166" s="2249"/>
      <c r="CH166" s="201"/>
      <c r="CI166" s="2255"/>
      <c r="CJ166" s="2248"/>
      <c r="CK166" s="2248"/>
      <c r="CL166" s="2264"/>
      <c r="CM166" s="2249"/>
      <c r="CN166" s="201"/>
      <c r="CO166" s="201"/>
      <c r="CP166" s="201"/>
      <c r="CQ166"/>
      <c r="CR166"/>
      <c r="CS166"/>
      <c r="CT166"/>
      <c r="CU166"/>
      <c r="CV166"/>
      <c r="CW166" s="201"/>
    </row>
    <row r="167" spans="1:119" s="149" customFormat="1" ht="12.75" hidden="1" customHeight="1" outlineLevel="2">
      <c r="A167" s="2328" t="s">
        <v>148</v>
      </c>
      <c r="B167" s="2329"/>
      <c r="C167" s="2255"/>
      <c r="D167" s="2248"/>
      <c r="E167" s="2248"/>
      <c r="F167" s="2264"/>
      <c r="G167" s="2249"/>
      <c r="H167" s="2329"/>
      <c r="I167" s="2255"/>
      <c r="J167" s="2248"/>
      <c r="K167" s="2248"/>
      <c r="L167" s="2264"/>
      <c r="M167" s="2249"/>
      <c r="N167" s="2329"/>
      <c r="O167" s="2255"/>
      <c r="P167" s="2248"/>
      <c r="Q167" s="2248"/>
      <c r="R167" s="2264"/>
      <c r="S167" s="2249"/>
      <c r="T167" s="2330"/>
      <c r="U167" s="2255">
        <f>U197/RevBuild!U9</f>
        <v>4.8387096774193547E-2</v>
      </c>
      <c r="V167" s="2248">
        <f>V197/RevBuild!V9</f>
        <v>0.1044776119402985</v>
      </c>
      <c r="W167" s="2248">
        <f>W197/RevBuild!W9</f>
        <v>6.6666666666666666E-2</v>
      </c>
      <c r="X167" s="2264">
        <f>X197/RevBuild!X9</f>
        <v>6.25E-2</v>
      </c>
      <c r="Y167" s="2249">
        <f>Y197/RevBuild!Y9</f>
        <v>7.1146245059288543E-2</v>
      </c>
      <c r="Z167" s="2330"/>
      <c r="AA167" s="2255">
        <f>AA197/RevBuild!AA9</f>
        <v>9.0909090909090912E-2</v>
      </c>
      <c r="AB167" s="2248">
        <f>AB197/RevBuild!AB9</f>
        <v>0.125</v>
      </c>
      <c r="AC167" s="2248">
        <f>AC197/RevBuild!AC9</f>
        <v>0.12857142857142856</v>
      </c>
      <c r="AD167" s="2264">
        <f>AD197/RevBuild!AD9</f>
        <v>0.15942028985507245</v>
      </c>
      <c r="AE167" s="2249">
        <f>AE197/RevBuild!AE9</f>
        <v>0.1263537906137184</v>
      </c>
      <c r="AF167" s="2330"/>
      <c r="AG167" s="2255">
        <f>AG197/RevBuild!AG9</f>
        <v>0.12121212121212122</v>
      </c>
      <c r="AH167" s="2248">
        <f>AH197/RevBuild!AH9</f>
        <v>0.20270270270270271</v>
      </c>
      <c r="AI167" s="2248">
        <f>AI197/RevBuild!AI9</f>
        <v>0.15094339622641509</v>
      </c>
      <c r="AJ167" s="2264">
        <f>AJ197/RevBuild!AJ9</f>
        <v>0.16666666666666666</v>
      </c>
      <c r="AK167" s="2249">
        <f>AK197/RevBuild!AK9</f>
        <v>0.16169154228855723</v>
      </c>
      <c r="AL167" s="2330"/>
      <c r="AM167" s="2255">
        <f>AM197/RevBuild!AM9</f>
        <v>0</v>
      </c>
      <c r="AN167" s="2248">
        <f>AN197/RevBuild!AN9</f>
        <v>0.16867469879518071</v>
      </c>
      <c r="AO167" s="2248">
        <f>AO197/RevBuild!AO9</f>
        <v>0.14723926380368099</v>
      </c>
      <c r="AP167" s="2264">
        <f>AP197/RevBuild!AP9</f>
        <v>0</v>
      </c>
      <c r="AQ167" s="2249">
        <f>AQ197/RevBuild!AQ9</f>
        <v>7.7314421078176265E-2</v>
      </c>
      <c r="AR167" s="2330"/>
      <c r="AS167" s="2255"/>
      <c r="AT167" s="2248"/>
      <c r="AU167" s="2248"/>
      <c r="AV167" s="2264"/>
      <c r="AW167" s="2249"/>
      <c r="AX167" s="2330"/>
      <c r="AY167" s="2255"/>
      <c r="AZ167" s="2248"/>
      <c r="BA167" s="2248"/>
      <c r="BB167" s="2264"/>
      <c r="BC167" s="2249"/>
      <c r="BD167" s="2330"/>
      <c r="BE167" s="2255"/>
      <c r="BF167" s="2248"/>
      <c r="BG167" s="2248"/>
      <c r="BH167" s="2264"/>
      <c r="BI167" s="2249"/>
      <c r="BJ167" s="2330"/>
      <c r="BK167" s="2255"/>
      <c r="BL167" s="2248"/>
      <c r="BM167" s="2248"/>
      <c r="BN167" s="2264"/>
      <c r="BO167" s="2249"/>
      <c r="BP167" s="2330"/>
      <c r="BQ167" s="2255"/>
      <c r="BR167" s="2248"/>
      <c r="BS167" s="2248"/>
      <c r="BT167" s="2264"/>
      <c r="BU167" s="2249"/>
      <c r="BV167" s="2330"/>
      <c r="BW167" s="2255"/>
      <c r="BX167" s="2248"/>
      <c r="BY167" s="2248"/>
      <c r="BZ167" s="2264"/>
      <c r="CA167" s="2249"/>
      <c r="CB167" s="2248"/>
      <c r="CC167" s="2255"/>
      <c r="CD167" s="2248"/>
      <c r="CE167" s="2248"/>
      <c r="CF167" s="2264"/>
      <c r="CG167" s="2249"/>
      <c r="CH167" s="304"/>
      <c r="CI167" s="2255"/>
      <c r="CJ167" s="2248"/>
      <c r="CK167" s="2248"/>
      <c r="CL167" s="2264"/>
      <c r="CM167" s="2249"/>
      <c r="CN167" s="304"/>
      <c r="CO167" s="304"/>
      <c r="CP167" s="304"/>
      <c r="CQ167"/>
      <c r="CR167"/>
      <c r="CS167"/>
      <c r="CT167"/>
      <c r="CU167"/>
      <c r="CV167"/>
      <c r="CW167" s="304"/>
      <c r="CX167" s="154"/>
      <c r="CY167" s="154"/>
      <c r="CZ167" s="154"/>
      <c r="DA167" s="154"/>
      <c r="DB167" s="154"/>
      <c r="DC167" s="154"/>
      <c r="DD167" s="154"/>
      <c r="DE167" s="154"/>
      <c r="DF167" s="154"/>
      <c r="DG167" s="154"/>
      <c r="DH167" s="154"/>
      <c r="DI167" s="154"/>
      <c r="DJ167" s="154"/>
      <c r="DK167" s="154"/>
      <c r="DL167" s="154"/>
      <c r="DM167" s="154"/>
      <c r="DN167" s="154"/>
      <c r="DO167" s="154"/>
    </row>
    <row r="168" spans="1:119" s="149" customFormat="1" ht="12.75" hidden="1" customHeight="1" outlineLevel="2">
      <c r="A168" s="2237" t="s">
        <v>101</v>
      </c>
      <c r="B168" s="2329"/>
      <c r="C168" s="2255"/>
      <c r="D168" s="2248"/>
      <c r="E168" s="2248"/>
      <c r="F168" s="2264"/>
      <c r="G168" s="2249"/>
      <c r="H168" s="2329"/>
      <c r="I168" s="2255"/>
      <c r="J168" s="2248"/>
      <c r="K168" s="2248"/>
      <c r="L168" s="2264"/>
      <c r="M168" s="2249"/>
      <c r="N168" s="2329"/>
      <c r="O168" s="2255"/>
      <c r="P168" s="2248"/>
      <c r="Q168" s="2248"/>
      <c r="R168" s="2264"/>
      <c r="S168" s="2249"/>
      <c r="T168" s="2330"/>
      <c r="U168" s="2255"/>
      <c r="V168" s="2248"/>
      <c r="W168" s="2248"/>
      <c r="X168" s="2264"/>
      <c r="Y168" s="2249"/>
      <c r="Z168" s="2330"/>
      <c r="AA168" s="2255"/>
      <c r="AB168" s="2248"/>
      <c r="AC168" s="2248"/>
      <c r="AD168" s="2264"/>
      <c r="AE168" s="2249"/>
      <c r="AF168" s="2330"/>
      <c r="AG168" s="2255"/>
      <c r="AH168" s="2248"/>
      <c r="AI168" s="2248"/>
      <c r="AJ168" s="2264"/>
      <c r="AK168" s="2249"/>
      <c r="AL168" s="2330"/>
      <c r="AM168" s="2255"/>
      <c r="AN168" s="2248"/>
      <c r="AO168" s="2248"/>
      <c r="AP168" s="2264"/>
      <c r="AQ168" s="2249"/>
      <c r="AR168" s="2330"/>
      <c r="AS168" s="2255"/>
      <c r="AT168" s="2248"/>
      <c r="AU168" s="2248"/>
      <c r="AV168" s="2264"/>
      <c r="AW168" s="2249"/>
      <c r="AX168" s="2330"/>
      <c r="AY168" s="2255"/>
      <c r="AZ168" s="2248"/>
      <c r="BA168" s="2248"/>
      <c r="BB168" s="2264"/>
      <c r="BC168" s="2249"/>
      <c r="BD168" s="2330"/>
      <c r="BE168" s="2255"/>
      <c r="BF168" s="2248"/>
      <c r="BG168" s="2248"/>
      <c r="BH168" s="2264"/>
      <c r="BI168" s="2249"/>
      <c r="BJ168" s="2330"/>
      <c r="BK168" s="2255"/>
      <c r="BL168" s="2248"/>
      <c r="BM168" s="2248"/>
      <c r="BN168" s="2264"/>
      <c r="BO168" s="2249"/>
      <c r="BP168" s="2330"/>
      <c r="BQ168" s="2255"/>
      <c r="BR168" s="2248"/>
      <c r="BS168" s="2248"/>
      <c r="BT168" s="2264"/>
      <c r="BU168" s="2249"/>
      <c r="BV168" s="2330"/>
      <c r="BW168" s="2255"/>
      <c r="BX168" s="2248"/>
      <c r="BY168" s="2248"/>
      <c r="BZ168" s="2264"/>
      <c r="CA168" s="2249"/>
      <c r="CB168" s="2248"/>
      <c r="CC168" s="2255"/>
      <c r="CD168" s="2248"/>
      <c r="CE168" s="2248"/>
      <c r="CF168" s="2264"/>
      <c r="CG168" s="2249"/>
      <c r="CH168" s="201"/>
      <c r="CI168" s="2255"/>
      <c r="CJ168" s="2248"/>
      <c r="CK168" s="2248"/>
      <c r="CL168" s="2264"/>
      <c r="CM168" s="2249"/>
      <c r="CN168" s="201"/>
      <c r="CO168" s="201"/>
      <c r="CP168" s="201"/>
      <c r="CQ168"/>
      <c r="CR168"/>
      <c r="CS168"/>
      <c r="CT168"/>
      <c r="CU168"/>
      <c r="CV168"/>
      <c r="CW168" s="201"/>
    </row>
    <row r="169" spans="1:119" s="149" customFormat="1" ht="12.75" hidden="1" customHeight="1" outlineLevel="2">
      <c r="A169" s="2328" t="s">
        <v>146</v>
      </c>
      <c r="B169" s="2329"/>
      <c r="C169" s="2255"/>
      <c r="D169" s="2248"/>
      <c r="E169" s="2248"/>
      <c r="F169" s="2264"/>
      <c r="G169" s="2249"/>
      <c r="H169" s="2329"/>
      <c r="I169" s="2255"/>
      <c r="J169" s="2248"/>
      <c r="K169" s="2248"/>
      <c r="L169" s="2264"/>
      <c r="M169" s="2249"/>
      <c r="N169" s="2329"/>
      <c r="O169" s="2255"/>
      <c r="P169" s="2248"/>
      <c r="Q169" s="2248"/>
      <c r="R169" s="2264"/>
      <c r="S169" s="2249"/>
      <c r="T169" s="2330"/>
      <c r="U169" s="2255">
        <f>(U62-O62)/(RevBuild!U10-RevBuild!O10)</f>
        <v>0.55100000000000038</v>
      </c>
      <c r="V169" s="2248">
        <f>(V62-P62)/(RevBuild!V10-RevBuild!P10)</f>
        <v>0.57684210526315793</v>
      </c>
      <c r="W169" s="2248">
        <f>(W62-Q62)/(RevBuild!W10-RevBuild!Q10)</f>
        <v>0.51711111111111108</v>
      </c>
      <c r="X169" s="2264">
        <f>(X62-R62)/(RevBuild!X10-RevBuild!R10)</f>
        <v>0.50118902439024393</v>
      </c>
      <c r="Y169" s="2249">
        <f>(Y62-S62)/(RevBuild!Y10-RevBuild!S10)</f>
        <v>0.51881741573033724</v>
      </c>
      <c r="Z169" s="2330"/>
      <c r="AA169" s="2255">
        <f>(AA62-U62)/(RevBuild!AA10-RevBuild!U10)</f>
        <v>0.41804761904761889</v>
      </c>
      <c r="AB169" s="2248">
        <f>(AB62-V62)/(RevBuild!AB10-RevBuild!V10)</f>
        <v>0.44141958041958035</v>
      </c>
      <c r="AC169" s="2248">
        <f>(AC62-W62)/(RevBuild!AC10-RevBuild!W10)</f>
        <v>0.36687037037037051</v>
      </c>
      <c r="AD169" s="2264">
        <f>(AD62-X62)/(RevBuild!AD10-RevBuild!X10)</f>
        <v>0.30218749999999872</v>
      </c>
      <c r="AE169" s="2249">
        <f>(AE62-Y62)/(RevBuild!AE10-RevBuild!Y10)</f>
        <v>0.41403773584905623</v>
      </c>
      <c r="AF169" s="2330"/>
      <c r="AG169" s="2255">
        <f>(AG62-AA62)/(RevBuild!AG10-RevBuild!AA10)</f>
        <v>0.58682978723404289</v>
      </c>
      <c r="AH169" s="2248">
        <f>(AH62-AB62)/(RevBuild!AH10-RevBuild!AB10)</f>
        <v>0.78014285714285891</v>
      </c>
      <c r="AI169" s="2248">
        <f>(AI62-AC62)/(RevBuild!AI10-RevBuild!AC10)</f>
        <v>1.6500000000000057</v>
      </c>
      <c r="AJ169" s="2264">
        <f>(AJ62-AD62)/(RevBuild!AJ10-RevBuild!AD10)</f>
        <v>0.23445454545454358</v>
      </c>
      <c r="AK169" s="2249">
        <f>(AK62-AE62)/(RevBuild!AK10-RevBuild!AE10)</f>
        <v>0.66251219512195147</v>
      </c>
      <c r="AL169" s="2330"/>
      <c r="AM169" s="2255">
        <f>(AM62-AG62)/(RevBuild!AM10-RevBuild!AG10)</f>
        <v>2.0960000000000036</v>
      </c>
      <c r="AN169" s="2248">
        <f>(AN62-AH62)/(RevBuild!AN10-RevBuild!AH10)</f>
        <v>0.67765384615384283</v>
      </c>
      <c r="AO169" s="2248">
        <f>(AO62-AI62)/(RevBuild!AO10-RevBuild!AI10)</f>
        <v>1.0815000000000008</v>
      </c>
      <c r="AP169" s="2264">
        <f>(AP62-AJ62)/(RevBuild!AP10-RevBuild!AJ10)</f>
        <v>0.52899999999999947</v>
      </c>
      <c r="AQ169" s="2249">
        <f>(AQ62-AK62)/(RevBuild!AQ10-RevBuild!AK10)</f>
        <v>0.58938571428571196</v>
      </c>
      <c r="AR169" s="2330"/>
      <c r="AS169" s="2255">
        <f>(AS62-AM62)/(RevBuild!AS10-RevBuild!AM10)</f>
        <v>0.67517391304347807</v>
      </c>
      <c r="AT169" s="2248">
        <f>(AT62-AN62)/(RevBuild!AT10-RevBuild!AN10)</f>
        <v>0.98615000000000352</v>
      </c>
      <c r="AU169" s="2248">
        <f>(AU62-AO62)/(RevBuild!AU10-RevBuild!AO10)</f>
        <v>0.7463000000000003</v>
      </c>
      <c r="AV169" s="2264">
        <f>(AV62-AP62)/(RevBuild!AV10-RevBuild!AP10)</f>
        <v>0.59705263157894706</v>
      </c>
      <c r="AW169" s="2249">
        <f>(AW62-AQ62)/(RevBuild!AW10-RevBuild!AQ10)</f>
        <v>0.72101829268292861</v>
      </c>
      <c r="AX169" s="2330"/>
      <c r="AY169" s="2255"/>
      <c r="AZ169" s="2248"/>
      <c r="BA169" s="2248"/>
      <c r="BB169" s="2264"/>
      <c r="BC169" s="2249"/>
      <c r="BD169" s="2330"/>
      <c r="BE169" s="2255"/>
      <c r="BF169" s="2248"/>
      <c r="BG169" s="2248"/>
      <c r="BH169" s="2264"/>
      <c r="BI169" s="2249"/>
      <c r="BJ169" s="2330"/>
      <c r="BK169" s="2255"/>
      <c r="BL169" s="2248"/>
      <c r="BM169" s="2248"/>
      <c r="BN169" s="2264"/>
      <c r="BO169" s="2249"/>
      <c r="BP169" s="2330"/>
      <c r="BQ169" s="2255"/>
      <c r="BR169" s="2248"/>
      <c r="BS169" s="2248"/>
      <c r="BT169" s="2264"/>
      <c r="BU169" s="2249"/>
      <c r="BV169" s="2330"/>
      <c r="BW169" s="2255"/>
      <c r="BX169" s="2248"/>
      <c r="BY169" s="2248"/>
      <c r="BZ169" s="2264"/>
      <c r="CA169" s="2249"/>
      <c r="CB169" s="2248"/>
      <c r="CC169" s="2255"/>
      <c r="CD169" s="2248"/>
      <c r="CE169" s="2248"/>
      <c r="CF169" s="2264"/>
      <c r="CG169" s="2249"/>
      <c r="CH169" s="201"/>
      <c r="CI169" s="2255"/>
      <c r="CJ169" s="2248"/>
      <c r="CK169" s="2248"/>
      <c r="CL169" s="2264"/>
      <c r="CM169" s="2249"/>
      <c r="CN169" s="201"/>
      <c r="CO169" s="201"/>
      <c r="CP169" s="201"/>
      <c r="CQ169"/>
      <c r="CR169"/>
      <c r="CS169"/>
      <c r="CT169"/>
      <c r="CU169"/>
      <c r="CV169"/>
      <c r="CW169" s="201"/>
    </row>
    <row r="170" spans="1:119" s="149" customFormat="1" ht="12.75" hidden="1" customHeight="1" outlineLevel="2">
      <c r="A170" s="2328" t="s">
        <v>147</v>
      </c>
      <c r="B170" s="2329"/>
      <c r="C170" s="2255"/>
      <c r="D170" s="2248"/>
      <c r="E170" s="2248"/>
      <c r="F170" s="2264"/>
      <c r="G170" s="2249"/>
      <c r="H170" s="2329"/>
      <c r="I170" s="2255"/>
      <c r="J170" s="2248"/>
      <c r="K170" s="2248"/>
      <c r="L170" s="2264"/>
      <c r="M170" s="2249"/>
      <c r="N170" s="2329"/>
      <c r="O170" s="2255"/>
      <c r="P170" s="2248"/>
      <c r="Q170" s="2248"/>
      <c r="R170" s="2264"/>
      <c r="S170" s="2249"/>
      <c r="T170" s="2330"/>
      <c r="U170" s="2255">
        <f>(U200-O200)/(RevBuild!U10-RevBuild!O10)</f>
        <v>0.35714285714285715</v>
      </c>
      <c r="V170" s="2248">
        <f>(V200-P200)/(RevBuild!V10-RevBuild!P10)</f>
        <v>0.31578947368421051</v>
      </c>
      <c r="W170" s="2248">
        <f>(W200-Q200)/(RevBuild!W10-RevBuild!Q10)</f>
        <v>0.13492063492063491</v>
      </c>
      <c r="X170" s="2264">
        <f>(X200-R200)/(RevBuild!X10-RevBuild!R10)</f>
        <v>0.14634146341463414</v>
      </c>
      <c r="Y170" s="2249">
        <f>(Y200-S200)/(RevBuild!Y10-RevBuild!S10)</f>
        <v>0.17696629213483145</v>
      </c>
      <c r="Z170" s="2330"/>
      <c r="AA170" s="2255">
        <f>(AA200-U200)/(RevBuild!AA10-RevBuild!U10)</f>
        <v>-1.9047619047619049E-2</v>
      </c>
      <c r="AB170" s="2248">
        <f>(AB200-V200)/(RevBuild!AB10-RevBuild!V10)</f>
        <v>0.1048951048951049</v>
      </c>
      <c r="AC170" s="2248">
        <f>(AC200-W200)/(RevBuild!AC10-RevBuild!W10)</f>
        <v>0.18518518518518517</v>
      </c>
      <c r="AD170" s="2264">
        <f>(AD200-X200)/(RevBuild!AD10-RevBuild!X10)</f>
        <v>0.6875</v>
      </c>
      <c r="AE170" s="2249">
        <f>(AE200-Y200)/(RevBuild!AE10-RevBuild!Y10)</f>
        <v>0.1069182389937107</v>
      </c>
      <c r="AF170" s="2330"/>
      <c r="AG170" s="2255">
        <f>(AG200-AA200)/(RevBuild!AG10-RevBuild!AA10)</f>
        <v>0.48936170212765956</v>
      </c>
      <c r="AH170" s="2248">
        <f>(AH200-AB200)/(RevBuild!AH10-RevBuild!AB10)</f>
        <v>0.14285714285714285</v>
      </c>
      <c r="AI170" s="2248">
        <f>(AI200-AC200)/(RevBuild!AI10-RevBuild!AC10)</f>
        <v>-0.5</v>
      </c>
      <c r="AJ170" s="2264">
        <f>(AJ200-AD200)/(RevBuild!AJ10-RevBuild!AD10)</f>
        <v>0</v>
      </c>
      <c r="AK170" s="2249">
        <f>(AK200-AE200)/(RevBuild!AK10-RevBuild!AE10)</f>
        <v>0.6097560975609756</v>
      </c>
      <c r="AL170" s="2330"/>
      <c r="AM170" s="2255">
        <f>(AM200-AG200)/(RevBuild!AM10-RevBuild!AG10)</f>
        <v>3.4179999999999922</v>
      </c>
      <c r="AN170" s="2248">
        <f>(AN200-AH200)/(RevBuild!AN10-RevBuild!AH10)</f>
        <v>1.2139538461538466</v>
      </c>
      <c r="AO170" s="2248">
        <f>(AO200-AI200)/(RevBuild!AO10-RevBuild!AI10)</f>
        <v>0.53416666666666401</v>
      </c>
      <c r="AP170" s="2264">
        <f>(AP200-AJ200)/(RevBuild!AP10-RevBuild!AJ10)</f>
        <v>0.26466666666666644</v>
      </c>
      <c r="AQ170" s="2249">
        <f>(AQ200-AK200)/(RevBuild!AQ10-RevBuild!AK10)</f>
        <v>0.48326857142857144</v>
      </c>
      <c r="AR170" s="2330"/>
      <c r="AS170" s="2255">
        <f>(AS200-AM200)/(RevBuild!AS10-RevBuild!AM10)</f>
        <v>0.56860869565217342</v>
      </c>
      <c r="AT170" s="2248">
        <f>(AT200-AN200)/(RevBuild!AT10-RevBuild!AN10)</f>
        <v>0.16385999999999826</v>
      </c>
      <c r="AU170" s="2248">
        <f>(AU200-AO200)/(RevBuild!AU10-RevBuild!AO10)</f>
        <v>0.46520000000000011</v>
      </c>
      <c r="AV170" s="2264">
        <f>(AV200-AP200)/(RevBuild!AV10-RevBuild!AP10)</f>
        <v>0.20163157894736708</v>
      </c>
      <c r="AW170" s="2249">
        <f>(AW200-AQ200)/(RevBuild!AW10-RevBuild!AQ10)</f>
        <v>0.39638536585365791</v>
      </c>
      <c r="AX170" s="2330"/>
      <c r="AY170" s="2255"/>
      <c r="AZ170" s="2248"/>
      <c r="BA170" s="2248"/>
      <c r="BB170" s="2264"/>
      <c r="BC170" s="2249"/>
      <c r="BD170" s="2330"/>
      <c r="BE170" s="2255"/>
      <c r="BF170" s="2248"/>
      <c r="BG170" s="2248"/>
      <c r="BH170" s="2264"/>
      <c r="BI170" s="2249"/>
      <c r="BJ170" s="2330"/>
      <c r="BK170" s="2255"/>
      <c r="BL170" s="2248"/>
      <c r="BM170" s="2248"/>
      <c r="BN170" s="2264"/>
      <c r="BO170" s="2249"/>
      <c r="BP170" s="2330"/>
      <c r="BQ170" s="2255"/>
      <c r="BR170" s="2248"/>
      <c r="BS170" s="2248"/>
      <c r="BT170" s="2264"/>
      <c r="BU170" s="2249"/>
      <c r="BV170" s="2330"/>
      <c r="BW170" s="2255"/>
      <c r="BX170" s="2248"/>
      <c r="BY170" s="2248"/>
      <c r="BZ170" s="2264"/>
      <c r="CA170" s="2249"/>
      <c r="CB170" s="2248"/>
      <c r="CC170" s="2255"/>
      <c r="CD170" s="2248"/>
      <c r="CE170" s="2248"/>
      <c r="CF170" s="2264"/>
      <c r="CG170" s="2249"/>
      <c r="CH170" s="201"/>
      <c r="CI170" s="2255"/>
      <c r="CJ170" s="2248"/>
      <c r="CK170" s="2248"/>
      <c r="CL170" s="2264"/>
      <c r="CM170" s="2249"/>
      <c r="CN170" s="201"/>
      <c r="CO170" s="201"/>
      <c r="CP170" s="201"/>
      <c r="CQ170"/>
      <c r="CR170"/>
      <c r="CS170"/>
      <c r="CT170"/>
      <c r="CU170"/>
      <c r="CV170"/>
      <c r="CW170" s="201"/>
    </row>
    <row r="171" spans="1:119" s="149" customFormat="1" ht="12.75" hidden="1" customHeight="1" outlineLevel="2">
      <c r="A171" s="2328" t="s">
        <v>148</v>
      </c>
      <c r="B171" s="2329"/>
      <c r="C171" s="2255">
        <f>C200/RevBuild!C10</f>
        <v>0.21951219512195122</v>
      </c>
      <c r="D171" s="2248">
        <f>D200/RevBuild!D10</f>
        <v>0.15300546448087432</v>
      </c>
      <c r="E171" s="2248">
        <f>E200/RevBuild!E10</f>
        <v>0.24644549763033174</v>
      </c>
      <c r="F171" s="2264">
        <f>F200/RevBuild!F10</f>
        <v>0.25541125541125542</v>
      </c>
      <c r="G171" s="2249">
        <f>G200/RevBuild!G10</f>
        <v>0.22168674698795179</v>
      </c>
      <c r="H171" s="2329"/>
      <c r="I171" s="2255">
        <f>I200/RevBuild!I10</f>
        <v>0.24</v>
      </c>
      <c r="J171" s="2248">
        <f>J200/RevBuild!J10</f>
        <v>0.2412280701754386</v>
      </c>
      <c r="K171" s="2248">
        <f>K200/RevBuild!K10</f>
        <v>0.27155172413793105</v>
      </c>
      <c r="L171" s="2264">
        <f>L200/RevBuild!L10</f>
        <v>0.2857142857142857</v>
      </c>
      <c r="M171" s="2249">
        <f>M200/RevBuild!M10</f>
        <v>0.26040554962646745</v>
      </c>
      <c r="N171" s="2329"/>
      <c r="O171" s="2255">
        <f>O200/RevBuild!O10</f>
        <v>0.2638888888888889</v>
      </c>
      <c r="P171" s="2248">
        <f>P200/RevBuild!P10</f>
        <v>0.22500000000000001</v>
      </c>
      <c r="Q171" s="2248">
        <f>Q200/RevBuild!Q10</f>
        <v>0.25615763546798032</v>
      </c>
      <c r="R171" s="2264">
        <f>R200/RevBuild!R10</f>
        <v>0.27555555555555555</v>
      </c>
      <c r="S171" s="2249">
        <f>S200/RevBuild!S10</f>
        <v>0.25592417061611372</v>
      </c>
      <c r="T171" s="2330"/>
      <c r="U171" s="2255">
        <f>U200/RevBuild!U10</f>
        <v>0.27459016393442626</v>
      </c>
      <c r="V171" s="2248">
        <f>V200/RevBuild!V10</f>
        <v>0.23949579831932774</v>
      </c>
      <c r="W171" s="2248">
        <f>W200/RevBuild!W10</f>
        <v>0.20972644376899696</v>
      </c>
      <c r="X171" s="2264">
        <f>X200/RevBuild!X10</f>
        <v>0.2210796915167095</v>
      </c>
      <c r="Y171" s="2249">
        <f>Y200/RevBuild!Y10</f>
        <v>0.23250000000000001</v>
      </c>
      <c r="Z171" s="2330"/>
      <c r="AA171" s="2255">
        <f>AA200/RevBuild!AA10</f>
        <v>0.18624641833810887</v>
      </c>
      <c r="AB171" s="2248">
        <f>AB200/RevBuild!AB10</f>
        <v>0.1889763779527559</v>
      </c>
      <c r="AC171" s="2248">
        <f>AC200/RevBuild!AC10</f>
        <v>0.20626631853785901</v>
      </c>
      <c r="AD171" s="2264">
        <f>AD200/RevBuild!AD10</f>
        <v>0.23950617283950618</v>
      </c>
      <c r="AE171" s="2249">
        <f>AE200/RevBuild!AE10</f>
        <v>0.20619235836627142</v>
      </c>
      <c r="AF171" s="2330"/>
      <c r="AG171" s="2255">
        <f>AG200/RevBuild!AG10</f>
        <v>0.22222222222222221</v>
      </c>
      <c r="AH171" s="2248">
        <f>AH200/RevBuild!AH10</f>
        <v>0.18814432989690721</v>
      </c>
      <c r="AI171" s="2248">
        <f>AI200/RevBuild!AI10</f>
        <v>0.20997375328083989</v>
      </c>
      <c r="AJ171" s="2264">
        <f>AJ200/RevBuild!AJ10</f>
        <v>0.24619289340101522</v>
      </c>
      <c r="AK171" s="2249">
        <f>AK200/RevBuild!AK10</f>
        <v>0.21680564464400257</v>
      </c>
      <c r="AL171" s="2330"/>
      <c r="AM171" s="2255">
        <f>AM200/RevBuild!AM10</f>
        <v>0.20600000000000004</v>
      </c>
      <c r="AN171" s="2248">
        <f>AN200/RevBuild!AN10</f>
        <v>0.22140000000000001</v>
      </c>
      <c r="AO171" s="2248">
        <f>AO200/RevBuild!AO10</f>
        <v>0.21499999999999997</v>
      </c>
      <c r="AP171" s="2264">
        <f>AP200/RevBuild!AP10</f>
        <v>0.247</v>
      </c>
      <c r="AQ171" s="2249">
        <f>AQ200/RevBuild!AQ10</f>
        <v>0.22265646173149309</v>
      </c>
      <c r="AR171" s="2330"/>
      <c r="AS171" s="2255">
        <f>AS200/RevBuild!AS10</f>
        <v>0.22600000000000001</v>
      </c>
      <c r="AT171" s="2248">
        <f>AT200/RevBuild!AT10</f>
        <v>0.21999999999999997</v>
      </c>
      <c r="AU171" s="2248">
        <f>AU200/RevBuild!AU10</f>
        <v>0.23299999999999996</v>
      </c>
      <c r="AV171" s="2264">
        <f>AV200/RevBuild!AV10</f>
        <v>0.24499999999999994</v>
      </c>
      <c r="AW171" s="2249">
        <f>AW200/RevBuild!AW10</f>
        <v>0.23115632458233887</v>
      </c>
      <c r="AX171" s="2330"/>
      <c r="AY171" s="2255"/>
      <c r="AZ171" s="2248"/>
      <c r="BA171" s="2248"/>
      <c r="BB171" s="2264"/>
      <c r="BC171" s="2249"/>
      <c r="BD171" s="2330"/>
      <c r="BE171" s="2255"/>
      <c r="BF171" s="2248"/>
      <c r="BG171" s="2248"/>
      <c r="BH171" s="2264"/>
      <c r="BI171" s="2249"/>
      <c r="BJ171" s="2330"/>
      <c r="BK171" s="2255"/>
      <c r="BL171" s="2248"/>
      <c r="BM171" s="2248"/>
      <c r="BN171" s="2264"/>
      <c r="BO171" s="2249"/>
      <c r="BP171" s="2330"/>
      <c r="BQ171" s="2255"/>
      <c r="BR171" s="2248"/>
      <c r="BS171" s="2248"/>
      <c r="BT171" s="2264"/>
      <c r="BU171" s="2249"/>
      <c r="BV171" s="2330"/>
      <c r="BW171" s="2255"/>
      <c r="BX171" s="2248"/>
      <c r="BY171" s="2248"/>
      <c r="BZ171" s="2264"/>
      <c r="CA171" s="2249"/>
      <c r="CB171" s="2248"/>
      <c r="CC171" s="2255"/>
      <c r="CD171" s="2248"/>
      <c r="CE171" s="2248"/>
      <c r="CF171" s="2264"/>
      <c r="CG171" s="2249"/>
      <c r="CH171" s="201"/>
      <c r="CI171" s="2255"/>
      <c r="CJ171" s="2248"/>
      <c r="CK171" s="2248"/>
      <c r="CL171" s="2264"/>
      <c r="CM171" s="2249"/>
      <c r="CN171" s="201"/>
      <c r="CO171" s="201"/>
      <c r="CP171" s="201"/>
      <c r="CQ171"/>
      <c r="CR171"/>
      <c r="CS171"/>
      <c r="CT171"/>
      <c r="CU171"/>
      <c r="CV171"/>
      <c r="CW171" s="201"/>
    </row>
    <row r="172" spans="1:119" s="149" customFormat="1" ht="12.75" hidden="1" customHeight="1" outlineLevel="2">
      <c r="A172" s="2237" t="s">
        <v>103</v>
      </c>
      <c r="B172" s="2329"/>
      <c r="C172" s="2255"/>
      <c r="D172" s="2248"/>
      <c r="E172" s="2248"/>
      <c r="F172" s="2264"/>
      <c r="G172" s="2249"/>
      <c r="H172" s="2329"/>
      <c r="I172" s="2255"/>
      <c r="J172" s="2248"/>
      <c r="K172" s="2248"/>
      <c r="L172" s="2264"/>
      <c r="M172" s="2249"/>
      <c r="N172" s="2329"/>
      <c r="O172" s="2255"/>
      <c r="P172" s="2248"/>
      <c r="Q172" s="2248"/>
      <c r="R172" s="2264"/>
      <c r="S172" s="2249"/>
      <c r="T172" s="2330"/>
      <c r="U172" s="2255"/>
      <c r="V172" s="2248"/>
      <c r="W172" s="2248"/>
      <c r="X172" s="2264"/>
      <c r="Y172" s="2249"/>
      <c r="Z172" s="2330"/>
      <c r="AA172" s="2255"/>
      <c r="AB172" s="2248"/>
      <c r="AC172" s="2248"/>
      <c r="AD172" s="2264"/>
      <c r="AE172" s="2249"/>
      <c r="AF172" s="2330"/>
      <c r="AG172" s="2255"/>
      <c r="AH172" s="2248"/>
      <c r="AI172" s="2248"/>
      <c r="AJ172" s="2264"/>
      <c r="AK172" s="2249"/>
      <c r="AL172" s="2330"/>
      <c r="AM172" s="2255"/>
      <c r="AN172" s="2248"/>
      <c r="AO172" s="2248"/>
      <c r="AP172" s="2264"/>
      <c r="AQ172" s="2249"/>
      <c r="AR172" s="2330"/>
      <c r="AS172" s="2255"/>
      <c r="AT172" s="2248"/>
      <c r="AU172" s="2248"/>
      <c r="AV172" s="2264"/>
      <c r="AW172" s="2249"/>
      <c r="AX172" s="2330"/>
      <c r="AY172" s="2255"/>
      <c r="AZ172" s="2248"/>
      <c r="BA172" s="2248"/>
      <c r="BB172" s="2264"/>
      <c r="BC172" s="2249"/>
      <c r="BD172" s="2330"/>
      <c r="BE172" s="2255"/>
      <c r="BF172" s="2248"/>
      <c r="BG172" s="2248"/>
      <c r="BH172" s="2264"/>
      <c r="BI172" s="2249"/>
      <c r="BJ172" s="2330"/>
      <c r="BK172" s="2255"/>
      <c r="BL172" s="2248"/>
      <c r="BM172" s="2248"/>
      <c r="BN172" s="2264"/>
      <c r="BO172" s="2249"/>
      <c r="BP172" s="2330"/>
      <c r="BQ172" s="2255"/>
      <c r="BR172" s="2248"/>
      <c r="BS172" s="2248"/>
      <c r="BT172" s="2264"/>
      <c r="BU172" s="2249"/>
      <c r="BV172" s="2330"/>
      <c r="BW172" s="2255"/>
      <c r="BX172" s="2248"/>
      <c r="BY172" s="2248"/>
      <c r="BZ172" s="2264"/>
      <c r="CA172" s="2249"/>
      <c r="CB172" s="2248"/>
      <c r="CC172" s="2255"/>
      <c r="CD172" s="2248"/>
      <c r="CE172" s="2248"/>
      <c r="CF172" s="2264"/>
      <c r="CG172" s="2249"/>
      <c r="CH172" s="201"/>
      <c r="CI172" s="2255"/>
      <c r="CJ172" s="2248"/>
      <c r="CK172" s="2248"/>
      <c r="CL172" s="2264"/>
      <c r="CM172" s="2249"/>
      <c r="CN172" s="201"/>
      <c r="CO172" s="201"/>
      <c r="CP172" s="201"/>
      <c r="CQ172"/>
      <c r="CR172"/>
      <c r="CS172"/>
      <c r="CT172"/>
      <c r="CU172"/>
      <c r="CV172"/>
      <c r="CW172" s="201"/>
    </row>
    <row r="173" spans="1:119" s="149" customFormat="1" ht="12.75" hidden="1" customHeight="1" outlineLevel="2">
      <c r="A173" s="2328" t="s">
        <v>146</v>
      </c>
      <c r="B173" s="2329"/>
      <c r="C173" s="2255"/>
      <c r="D173" s="2248"/>
      <c r="E173" s="2248"/>
      <c r="F173" s="2264"/>
      <c r="G173" s="2249"/>
      <c r="H173" s="2329"/>
      <c r="I173" s="2255"/>
      <c r="J173" s="2248"/>
      <c r="K173" s="2248"/>
      <c r="L173" s="2264"/>
      <c r="M173" s="2249"/>
      <c r="N173" s="2329"/>
      <c r="O173" s="2255"/>
      <c r="P173" s="2248"/>
      <c r="Q173" s="2248"/>
      <c r="R173" s="2264"/>
      <c r="S173" s="2249"/>
      <c r="T173" s="2330"/>
      <c r="U173" s="2255">
        <f>(U64-O64)/(RevBuild!U11-RevBuild!O11)</f>
        <v>0.53596774193548324</v>
      </c>
      <c r="V173" s="2248">
        <f>(V64-P64)/(RevBuild!V11-RevBuild!P11)</f>
        <v>0.57238888888888795</v>
      </c>
      <c r="W173" s="2248">
        <f>(W64-Q64)/(RevBuild!W11-RevBuild!Q11)</f>
        <v>0.5636172839506175</v>
      </c>
      <c r="X173" s="2264">
        <f>(X64-R64)/(RevBuild!X11-RevBuild!R11)</f>
        <v>0.42392857142857132</v>
      </c>
      <c r="Y173" s="2249">
        <f>(Y64-S64)/(RevBuild!Y11-RevBuild!S11)</f>
        <v>0.50136153846153819</v>
      </c>
      <c r="Z173" s="2330"/>
      <c r="AA173" s="2255">
        <f>(AA64-U64)/(RevBuild!AA11-RevBuild!U11)</f>
        <v>0.47325000000000017</v>
      </c>
      <c r="AB173" s="2248">
        <f>(AB64-V64)/(RevBuild!AB11-RevBuild!V11)</f>
        <v>0.44986923076923102</v>
      </c>
      <c r="AC173" s="2248">
        <f>(AC64-W64)/(RevBuild!AC11-RevBuild!W11)</f>
        <v>0.38913924050632898</v>
      </c>
      <c r="AD173" s="2264">
        <f>(AD64-X64)/(RevBuild!AD11-RevBuild!X11)</f>
        <v>0.5402750000000005</v>
      </c>
      <c r="AE173" s="2249">
        <f>(AE64-Y64)/(RevBuild!AE11-RevBuild!Y11)</f>
        <v>0.45087539936102278</v>
      </c>
      <c r="AF173" s="2330"/>
      <c r="AG173" s="2255">
        <f>(AG64-AA64)/(RevBuild!AG11-RevBuild!AA11)</f>
        <v>0.47142105263157913</v>
      </c>
      <c r="AH173" s="2248">
        <f>(AH64-AB64)/(RevBuild!AH11-RevBuild!AB11)</f>
        <v>-0.1174000000000035</v>
      </c>
      <c r="AI173" s="2248">
        <f>(AI64-AC64)/(RevBuild!AI11-RevBuild!AC11)</f>
        <v>0.67565909090909126</v>
      </c>
      <c r="AJ173" s="2264">
        <f>(AJ64-AD64)/(RevBuild!AJ11-RevBuild!AD11)</f>
        <v>0.66053488372093005</v>
      </c>
      <c r="AK173" s="2249">
        <f>(AK64-AE64)/(RevBuild!AK11-RevBuild!AE11)</f>
        <v>0.58759895833333375</v>
      </c>
      <c r="AL173" s="2330"/>
      <c r="AM173" s="2255">
        <f>(AM64-AG64)/(RevBuild!AM11-RevBuild!AG11)</f>
        <v>0.6248834951456308</v>
      </c>
      <c r="AN173" s="2248">
        <f>(AN64-AH64)/(RevBuild!AN11-RevBuild!AH11)</f>
        <v>0.66721078431372516</v>
      </c>
      <c r="AO173" s="2248">
        <f>(AO64-AI64)/(RevBuild!AO11-RevBuild!AI11)</f>
        <v>0.60046268656716406</v>
      </c>
      <c r="AP173" s="2264">
        <f>(AP64-AJ64)/(RevBuild!AP11-RevBuild!AJ11)</f>
        <v>0.72152272727272759</v>
      </c>
      <c r="AQ173" s="2249">
        <f>(AQ64-AK64)/(RevBuild!AQ11-RevBuild!AK11)</f>
        <v>0.64682436708860702</v>
      </c>
      <c r="AR173" s="2330"/>
      <c r="AS173" s="2255">
        <f>(AS64-AM64)/(RevBuild!AS11-RevBuild!AM11)</f>
        <v>0.78781481481481752</v>
      </c>
      <c r="AT173" s="2248">
        <f>(AT64-AN64)/(RevBuild!AT11-RevBuild!AN11)</f>
        <v>-0.42808333333332865</v>
      </c>
      <c r="AU173" s="2248">
        <f>(AU64-AO64)/(RevBuild!AU11-RevBuild!AO11)</f>
        <v>0.54207142857142843</v>
      </c>
      <c r="AV173" s="2264">
        <f>(AV64-AP64)/(RevBuild!AV11-RevBuild!AP11)</f>
        <v>5.0272727272727025E-2</v>
      </c>
      <c r="AW173" s="2249">
        <f>(AW64-AQ64)/(RevBuild!AW11-RevBuild!AQ11)</f>
        <v>0.47824305555555685</v>
      </c>
      <c r="AX173" s="2330"/>
      <c r="AY173" s="2255"/>
      <c r="AZ173" s="2248"/>
      <c r="BA173" s="2248"/>
      <c r="BB173" s="2264"/>
      <c r="BC173" s="2249"/>
      <c r="BD173" s="2330"/>
      <c r="BE173" s="2255"/>
      <c r="BF173" s="2248"/>
      <c r="BG173" s="2248"/>
      <c r="BH173" s="2264"/>
      <c r="BI173" s="2249"/>
      <c r="BJ173" s="2330"/>
      <c r="BK173" s="2255"/>
      <c r="BL173" s="2248"/>
      <c r="BM173" s="2248"/>
      <c r="BN173" s="2264"/>
      <c r="BO173" s="2249"/>
      <c r="BP173" s="2330"/>
      <c r="BQ173" s="2255"/>
      <c r="BR173" s="2248"/>
      <c r="BS173" s="2248"/>
      <c r="BT173" s="2264"/>
      <c r="BU173" s="2249"/>
      <c r="BV173" s="2330"/>
      <c r="BW173" s="2255"/>
      <c r="BX173" s="2248"/>
      <c r="BY173" s="2248"/>
      <c r="BZ173" s="2264"/>
      <c r="CA173" s="2249"/>
      <c r="CB173" s="2248"/>
      <c r="CC173" s="2255"/>
      <c r="CD173" s="2248"/>
      <c r="CE173" s="2248"/>
      <c r="CF173" s="2264"/>
      <c r="CG173" s="2249"/>
      <c r="CH173" s="201"/>
      <c r="CI173" s="2255"/>
      <c r="CJ173" s="2248"/>
      <c r="CK173" s="2248"/>
      <c r="CL173" s="2264"/>
      <c r="CM173" s="2249"/>
      <c r="CN173" s="201"/>
      <c r="CO173" s="201"/>
      <c r="CP173" s="201"/>
      <c r="CQ173"/>
      <c r="CR173"/>
      <c r="CS173"/>
      <c r="CT173"/>
      <c r="CU173"/>
      <c r="CV173"/>
      <c r="CW173" s="201"/>
    </row>
    <row r="174" spans="1:119" s="149" customFormat="1" ht="12.75" hidden="1" customHeight="1" outlineLevel="2">
      <c r="A174" s="2328" t="s">
        <v>147</v>
      </c>
      <c r="B174" s="2329"/>
      <c r="C174" s="2255"/>
      <c r="D174" s="2248"/>
      <c r="E174" s="2248"/>
      <c r="F174" s="2264"/>
      <c r="G174" s="2249"/>
      <c r="H174" s="2329"/>
      <c r="I174" s="2255"/>
      <c r="J174" s="2248"/>
      <c r="K174" s="2248"/>
      <c r="L174" s="2264"/>
      <c r="M174" s="2249"/>
      <c r="N174" s="2329"/>
      <c r="O174" s="2255"/>
      <c r="P174" s="2248"/>
      <c r="Q174" s="2248"/>
      <c r="R174" s="2264"/>
      <c r="S174" s="2249"/>
      <c r="T174" s="2330"/>
      <c r="U174" s="2255">
        <f>(U203-O203)/(RevBuild!U11-RevBuild!O11)</f>
        <v>0.35483870967741937</v>
      </c>
      <c r="V174" s="2248">
        <f>(V203-P203)/(RevBuild!V11-RevBuild!P11)</f>
        <v>0.1111111111111111</v>
      </c>
      <c r="W174" s="2248">
        <f>(W203-Q203)/(RevBuild!W11-RevBuild!Q11)</f>
        <v>0.20987654320987653</v>
      </c>
      <c r="X174" s="2264">
        <f>(X203-R203)/(RevBuild!X11-RevBuild!R11)</f>
        <v>0.13392857142857142</v>
      </c>
      <c r="Y174" s="2249">
        <f>(Y203-S203)/(RevBuild!Y11-RevBuild!S11)</f>
        <v>0.18076923076923077</v>
      </c>
      <c r="Z174" s="2330"/>
      <c r="AA174" s="2255">
        <f>(AA203-U203)/(RevBuild!AA11-RevBuild!U11)</f>
        <v>-0.109375</v>
      </c>
      <c r="AB174" s="2248">
        <f>(AB203-V203)/(RevBuild!AB11-RevBuild!V11)</f>
        <v>0.1</v>
      </c>
      <c r="AC174" s="2248">
        <f>(AC203-W203)/(RevBuild!AC11-RevBuild!W11)</f>
        <v>5.0632911392405063E-2</v>
      </c>
      <c r="AD174" s="2264">
        <f>(AD203-X203)/(RevBuild!AD11-RevBuild!X11)</f>
        <v>0.15</v>
      </c>
      <c r="AE174" s="2249">
        <f>(AE203-Y203)/(RevBuild!AE11-RevBuild!Y11)</f>
        <v>5.1118210862619806E-2</v>
      </c>
      <c r="AF174" s="2330"/>
      <c r="AG174" s="2255">
        <f>(AG203-AA203)/(RevBuild!AG11-RevBuild!AA11)</f>
        <v>0.31578947368421051</v>
      </c>
      <c r="AH174" s="2248">
        <f>(AH203-AB203)/(RevBuild!AH11-RevBuild!AB11)</f>
        <v>-0.4</v>
      </c>
      <c r="AI174" s="2248">
        <f>(AI203-AC203)/(RevBuild!AI11-RevBuild!AC11)</f>
        <v>0.29545454545454547</v>
      </c>
      <c r="AJ174" s="2264">
        <f>(AJ203-AD203)/(RevBuild!AJ11-RevBuild!AD11)</f>
        <v>0.33720930232558138</v>
      </c>
      <c r="AK174" s="2249">
        <f>(AK203-AE203)/(RevBuild!AK11-RevBuild!AE11)</f>
        <v>0.30208333333333331</v>
      </c>
      <c r="AL174" s="2330"/>
      <c r="AM174" s="2255">
        <f>(AM203-AG203)/(RevBuild!AM11-RevBuild!AG11)</f>
        <v>-4.9009708737863956E-2</v>
      </c>
      <c r="AN174" s="2248">
        <f>(AN203-AH203)/(RevBuild!AN11-RevBuild!AH11)</f>
        <v>0.29325490196078424</v>
      </c>
      <c r="AO174" s="2248">
        <f>(AO203-AI203)/(RevBuild!AO11-RevBuild!AI11)</f>
        <v>0.26217910447761239</v>
      </c>
      <c r="AP174" s="2264">
        <f>(AP203-AJ203)/(RevBuild!AP11-RevBuild!AJ11)</f>
        <v>-2.2045454545454546</v>
      </c>
      <c r="AQ174" s="2249">
        <f>(AQ203-AK203)/(RevBuild!AQ11-RevBuild!AK11)</f>
        <v>-0.17268987341772141</v>
      </c>
      <c r="AR174" s="2330"/>
      <c r="AS174" s="2255">
        <f>(AS203-AM203)/(RevBuild!AS11-RevBuild!AM11)</f>
        <v>1.4462222222222219</v>
      </c>
      <c r="AT174" s="2248">
        <f>(AT203-AN203)/(RevBuild!AT11-RevBuild!AN11)</f>
        <v>-2.1519999999999988</v>
      </c>
      <c r="AU174" s="2248">
        <f>(AU203-AO203)/(RevBuild!AU11-RevBuild!AO11)</f>
        <v>8.6928571428570328E-2</v>
      </c>
      <c r="AV174" s="2264">
        <f>(AV203-AP203)/(RevBuild!AV11-RevBuild!AP11)</f>
        <v>9.7272727272727266</v>
      </c>
      <c r="AW174" s="2249">
        <f>(AW203-AQ203)/(RevBuild!AW11-RevBuild!AQ11)</f>
        <v>1.8829166666666661</v>
      </c>
      <c r="AX174" s="2330"/>
      <c r="AY174" s="2255"/>
      <c r="AZ174" s="2248"/>
      <c r="BA174" s="2248"/>
      <c r="BB174" s="2264"/>
      <c r="BC174" s="2249"/>
      <c r="BD174" s="2330"/>
      <c r="BE174" s="2255"/>
      <c r="BF174" s="2248"/>
      <c r="BG174" s="2248"/>
      <c r="BH174" s="2264"/>
      <c r="BI174" s="2249"/>
      <c r="BJ174" s="2330"/>
      <c r="BK174" s="2255"/>
      <c r="BL174" s="2248"/>
      <c r="BM174" s="2248"/>
      <c r="BN174" s="2264"/>
      <c r="BO174" s="2249"/>
      <c r="BP174" s="2330"/>
      <c r="BQ174" s="2255"/>
      <c r="BR174" s="2248"/>
      <c r="BS174" s="2248"/>
      <c r="BT174" s="2264"/>
      <c r="BU174" s="2249"/>
      <c r="BV174" s="2330"/>
      <c r="BW174" s="2255"/>
      <c r="BX174" s="2248"/>
      <c r="BY174" s="2248"/>
      <c r="BZ174" s="2264"/>
      <c r="CA174" s="2249"/>
      <c r="CB174" s="2248"/>
      <c r="CC174" s="2255"/>
      <c r="CD174" s="2248"/>
      <c r="CE174" s="2248"/>
      <c r="CF174" s="2264"/>
      <c r="CG174" s="2249"/>
      <c r="CH174" s="201"/>
      <c r="CI174" s="2255"/>
      <c r="CJ174" s="2248"/>
      <c r="CK174" s="2248"/>
      <c r="CL174" s="2264"/>
      <c r="CM174" s="2249"/>
      <c r="CN174" s="201"/>
      <c r="CO174" s="201"/>
      <c r="CP174" s="201"/>
      <c r="CQ174"/>
      <c r="CR174"/>
      <c r="CS174"/>
      <c r="CT174"/>
      <c r="CU174"/>
      <c r="CV174"/>
      <c r="CW174" s="201"/>
    </row>
    <row r="175" spans="1:119" s="149" customFormat="1" ht="12.75" hidden="1" customHeight="1" outlineLevel="2">
      <c r="A175" s="2328" t="s">
        <v>148</v>
      </c>
      <c r="B175" s="2329"/>
      <c r="C175" s="2255"/>
      <c r="D175" s="2248"/>
      <c r="E175" s="2248"/>
      <c r="F175" s="2264"/>
      <c r="G175" s="2249"/>
      <c r="H175" s="2329"/>
      <c r="I175" s="2255"/>
      <c r="J175" s="2248"/>
      <c r="K175" s="2248"/>
      <c r="L175" s="2264"/>
      <c r="M175" s="2249"/>
      <c r="N175" s="2329"/>
      <c r="O175" s="2255"/>
      <c r="P175" s="2248"/>
      <c r="Q175" s="2248"/>
      <c r="R175" s="2264"/>
      <c r="S175" s="2249"/>
      <c r="T175" s="2330"/>
      <c r="U175" s="2255">
        <f>U203/RevBuild!U11</f>
        <v>0.16176470588235295</v>
      </c>
      <c r="V175" s="2248">
        <f>V203/RevBuild!V11</f>
        <v>0.1437125748502994</v>
      </c>
      <c r="W175" s="2248">
        <f>W203/RevBuild!W11</f>
        <v>0.1497326203208556</v>
      </c>
      <c r="X175" s="2264">
        <f>X203/RevBuild!X11</f>
        <v>0.14385150812064965</v>
      </c>
      <c r="Y175" s="2249">
        <f>Y203/RevBuild!Y11</f>
        <v>0.14942528735632185</v>
      </c>
      <c r="Z175" s="2330"/>
      <c r="AA175" s="2255">
        <f>AA203/RevBuild!AA11</f>
        <v>0.11881188118811881</v>
      </c>
      <c r="AB175" s="2248">
        <f>AB203/RevBuild!AB11</f>
        <v>0.13146551724137931</v>
      </c>
      <c r="AC175" s="2248">
        <f>AC203/RevBuild!AC11</f>
        <v>0.13245033112582782</v>
      </c>
      <c r="AD175" s="2264">
        <f>AD203/RevBuild!AD11</f>
        <v>0.14437367303609341</v>
      </c>
      <c r="AE175" s="2249">
        <f>AE203/RevBuild!AE11</f>
        <v>0.13225446428571427</v>
      </c>
      <c r="AF175" s="2330"/>
      <c r="AG175" s="2255">
        <f>AG203/RevBuild!AG11</f>
        <v>0.14316702819956617</v>
      </c>
      <c r="AH175" s="2248">
        <f>AH203/RevBuild!AH11</f>
        <v>0.1257995735607676</v>
      </c>
      <c r="AI175" s="2248">
        <f>AI203/RevBuild!AI11</f>
        <v>0.14688128772635814</v>
      </c>
      <c r="AJ175" s="2264">
        <f>AJ203/RevBuild!AJ11</f>
        <v>0.1741472172351885</v>
      </c>
      <c r="AK175" s="2249">
        <f>AK203/RevBuild!AK11</f>
        <v>0.14868951612903225</v>
      </c>
      <c r="AL175" s="2330"/>
      <c r="AM175" s="2255">
        <f>AM203/RevBuild!AM11</f>
        <v>0.10807092198581562</v>
      </c>
      <c r="AN175" s="2248">
        <f>AN203/RevBuild!AN11</f>
        <v>0.15571278458844132</v>
      </c>
      <c r="AO175" s="2248">
        <f>AO203/RevBuild!AO11</f>
        <v>0.16057801418439721</v>
      </c>
      <c r="AP175" s="2264">
        <f>AP203/RevBuild!AP11</f>
        <v>0</v>
      </c>
      <c r="AQ175" s="2249">
        <f>AQ203/RevBuild!AQ11</f>
        <v>0.10453478260869567</v>
      </c>
      <c r="AR175" s="2330"/>
      <c r="AS175" s="2255">
        <f>AS203/RevBuild!AS11</f>
        <v>0.16920473773265651</v>
      </c>
      <c r="AT175" s="2248">
        <f>AT203/RevBuild!AT11</f>
        <v>0.1317157712305026</v>
      </c>
      <c r="AU175" s="2248">
        <f>AU203/RevBuild!AU11</f>
        <v>0.1570945945945946</v>
      </c>
      <c r="AV175" s="2264">
        <f>AV203/RevBuild!AV11</f>
        <v>0.17483660130718953</v>
      </c>
      <c r="AW175" s="2249">
        <f>AW203/RevBuild!AW11</f>
        <v>0.15851602023608768</v>
      </c>
      <c r="AX175" s="2330"/>
      <c r="AY175" s="2255"/>
      <c r="AZ175" s="2248"/>
      <c r="BA175" s="2248"/>
      <c r="BB175" s="2264"/>
      <c r="BC175" s="2249"/>
      <c r="BD175" s="2330"/>
      <c r="BE175" s="2255"/>
      <c r="BF175" s="2248"/>
      <c r="BG175" s="2248"/>
      <c r="BH175" s="2264"/>
      <c r="BI175" s="2249"/>
      <c r="BJ175" s="2330"/>
      <c r="BK175" s="2255"/>
      <c r="BL175" s="2248"/>
      <c r="BM175" s="2248"/>
      <c r="BN175" s="2264"/>
      <c r="BO175" s="2249"/>
      <c r="BP175" s="2330"/>
      <c r="BQ175" s="2255"/>
      <c r="BR175" s="2248"/>
      <c r="BS175" s="2248"/>
      <c r="BT175" s="2264"/>
      <c r="BU175" s="2249"/>
      <c r="BV175" s="2330"/>
      <c r="BW175" s="2255"/>
      <c r="BX175" s="2248"/>
      <c r="BY175" s="2248"/>
      <c r="BZ175" s="2264"/>
      <c r="CA175" s="2249"/>
      <c r="CB175" s="2248"/>
      <c r="CC175" s="2255"/>
      <c r="CD175" s="2248"/>
      <c r="CE175" s="2248"/>
      <c r="CF175" s="2264"/>
      <c r="CG175" s="2249"/>
      <c r="CH175" s="201"/>
      <c r="CI175" s="2255"/>
      <c r="CJ175" s="2248"/>
      <c r="CK175" s="2248"/>
      <c r="CL175" s="2264"/>
      <c r="CM175" s="2249"/>
      <c r="CN175" s="201"/>
      <c r="CO175" s="201"/>
      <c r="CP175" s="201"/>
      <c r="CQ175"/>
      <c r="CR175"/>
      <c r="CS175"/>
      <c r="CT175"/>
      <c r="CU175"/>
      <c r="CV175"/>
      <c r="CW175" s="201"/>
    </row>
    <row r="176" spans="1:119" s="149" customFormat="1" collapsed="1">
      <c r="A176" s="501" t="s">
        <v>105</v>
      </c>
      <c r="B176" s="302"/>
      <c r="C176" s="233"/>
      <c r="D176" s="234"/>
      <c r="E176" s="234"/>
      <c r="F176" s="221"/>
      <c r="G176" s="221"/>
      <c r="H176" s="302"/>
      <c r="I176" s="233"/>
      <c r="J176" s="234"/>
      <c r="K176" s="234"/>
      <c r="L176" s="221"/>
      <c r="M176" s="221"/>
      <c r="N176" s="302"/>
      <c r="O176" s="233"/>
      <c r="P176" s="234"/>
      <c r="Q176" s="234"/>
      <c r="R176" s="221"/>
      <c r="S176" s="221"/>
      <c r="T176" s="303"/>
      <c r="U176" s="233"/>
      <c r="V176" s="234"/>
      <c r="W176" s="234"/>
      <c r="X176" s="221"/>
      <c r="Y176" s="221"/>
      <c r="Z176" s="303"/>
      <c r="AA176" s="233"/>
      <c r="AB176" s="234"/>
      <c r="AC176" s="234"/>
      <c r="AD176" s="221"/>
      <c r="AE176" s="221"/>
      <c r="AF176" s="303"/>
      <c r="AG176" s="233"/>
      <c r="AH176" s="234"/>
      <c r="AI176" s="234"/>
      <c r="AJ176" s="221"/>
      <c r="AK176" s="222"/>
      <c r="AL176" s="303"/>
      <c r="AM176" s="233"/>
      <c r="AN176" s="234"/>
      <c r="AO176" s="234"/>
      <c r="AP176" s="221"/>
      <c r="AQ176" s="222"/>
      <c r="AR176" s="303"/>
      <c r="AS176" s="233"/>
      <c r="AT176" s="234"/>
      <c r="AU176" s="234"/>
      <c r="AV176" s="221"/>
      <c r="AW176" s="222"/>
      <c r="AX176" s="303"/>
      <c r="AY176" s="233"/>
      <c r="AZ176" s="234"/>
      <c r="BA176" s="234"/>
      <c r="BB176" s="221"/>
      <c r="BC176" s="222"/>
      <c r="BD176" s="303"/>
      <c r="BE176" s="233"/>
      <c r="BF176" s="234"/>
      <c r="BG176" s="234"/>
      <c r="BH176" s="221"/>
      <c r="BI176" s="222"/>
      <c r="BJ176" s="303"/>
      <c r="BK176" s="233"/>
      <c r="BL176" s="234"/>
      <c r="BM176" s="234"/>
      <c r="BN176" s="221"/>
      <c r="BO176" s="222"/>
      <c r="BP176" s="303"/>
      <c r="BQ176" s="233"/>
      <c r="BR176" s="234"/>
      <c r="BS176" s="234"/>
      <c r="BT176" s="221"/>
      <c r="BU176" s="222"/>
      <c r="BV176" s="303"/>
      <c r="BW176" s="233"/>
      <c r="BX176" s="234"/>
      <c r="BY176" s="234"/>
      <c r="BZ176" s="221"/>
      <c r="CA176" s="222"/>
      <c r="CB176" s="234"/>
      <c r="CC176" s="233"/>
      <c r="CD176" s="234"/>
      <c r="CE176" s="234"/>
      <c r="CF176" s="221"/>
      <c r="CG176" s="222"/>
      <c r="CH176" s="201"/>
      <c r="CI176" s="233"/>
      <c r="CJ176" s="234"/>
      <c r="CK176" s="234"/>
      <c r="CL176" s="221"/>
      <c r="CM176" s="222"/>
      <c r="CN176" s="201"/>
      <c r="CO176" s="201"/>
      <c r="CP176" s="201"/>
      <c r="CQ176"/>
      <c r="CR176"/>
      <c r="CS176"/>
      <c r="CT176"/>
      <c r="CU176"/>
      <c r="CV176"/>
      <c r="CW176" s="201"/>
    </row>
    <row r="177" spans="1:101" s="149" customFormat="1">
      <c r="A177" s="309" t="s">
        <v>146</v>
      </c>
      <c r="B177" s="302"/>
      <c r="C177" s="233"/>
      <c r="D177" s="234"/>
      <c r="E177" s="234"/>
      <c r="F177" s="221"/>
      <c r="G177" s="221"/>
      <c r="H177" s="302"/>
      <c r="I177" s="233"/>
      <c r="J177" s="234"/>
      <c r="K177" s="234"/>
      <c r="L177" s="221"/>
      <c r="M177" s="221"/>
      <c r="N177" s="302"/>
      <c r="O177" s="233"/>
      <c r="P177" s="234"/>
      <c r="Q177" s="234"/>
      <c r="R177" s="221"/>
      <c r="S177" s="221"/>
      <c r="T177" s="303"/>
      <c r="U177" s="233"/>
      <c r="V177" s="234"/>
      <c r="W177" s="234"/>
      <c r="X177" s="221"/>
      <c r="Y177" s="221"/>
      <c r="Z177" s="303"/>
      <c r="AA177" s="233"/>
      <c r="AB177" s="234"/>
      <c r="AC177" s="234"/>
      <c r="AD177" s="221"/>
      <c r="AE177" s="221"/>
      <c r="AF177" s="303"/>
      <c r="AG177" s="233"/>
      <c r="AH177" s="234"/>
      <c r="AI177" s="234"/>
      <c r="AJ177" s="221"/>
      <c r="AK177" s="222"/>
      <c r="AL177" s="303"/>
      <c r="AM177" s="233">
        <f>(AM66-AG66)/(RevBuild!AM12-RevBuild!AG12)</f>
        <v>0.6281666666666581</v>
      </c>
      <c r="AN177" s="234">
        <f>(AN66-AH66)/(RevBuild!AN12-RevBuild!AH12)</f>
        <v>1.0300000000000011</v>
      </c>
      <c r="AO177" s="234">
        <f>(AO66-AI66)/(RevBuild!AO12-RevBuild!AI12)</f>
        <v>0.24257142857143371</v>
      </c>
      <c r="AP177" s="221">
        <f>(AP66-AJ66)/(RevBuild!AP12-RevBuild!AJ12)</f>
        <v>0.50480952380952382</v>
      </c>
      <c r="AQ177" s="222">
        <f>(AQ66-AK66)/(RevBuild!AQ12-RevBuild!AK12)</f>
        <v>0.85744444444444268</v>
      </c>
      <c r="AR177" s="303"/>
      <c r="AS177" s="233">
        <f>(AS66-AM66)/(RevBuild!AS12-RevBuild!AM12)</f>
        <v>0.94474999999999909</v>
      </c>
      <c r="AT177" s="234">
        <f>(AT66-AN66)/(RevBuild!AT12-RevBuild!AN12)</f>
        <v>7.5076923076923013E-2</v>
      </c>
      <c r="AU177" s="234">
        <f>(AU66-AO66)/(RevBuild!AU12-RevBuild!AO12)</f>
        <v>1.2583333333333353</v>
      </c>
      <c r="AV177" s="221">
        <f>(AV66-AP66)/(RevBuild!AV12-RevBuild!AP12)</f>
        <v>1.3614999999999924</v>
      </c>
      <c r="AW177" s="222">
        <f>(AW66-AQ66)/(RevBuild!AW12-RevBuild!AQ12)</f>
        <v>1.4552441860465097</v>
      </c>
      <c r="AX177" s="303"/>
      <c r="AY177" s="233">
        <f>(AY66-AS66)/(RevBuild!AY12-RevBuild!AS12)</f>
        <v>0.50679999999999836</v>
      </c>
      <c r="AZ177" s="234">
        <f>(AZ66-AT66)/(RevBuild!AZ12-RevBuild!AT12)</f>
        <v>0.17850000000000096</v>
      </c>
      <c r="BA177" s="234">
        <f>(BA66-AU66)/(RevBuild!BA12-RevBuild!AU12)</f>
        <v>1.0630000000000024</v>
      </c>
      <c r="BB177" s="221">
        <f>(BB66-AV66)/(RevBuild!BB12-RevBuild!AV12)</f>
        <v>0.61391666666666589</v>
      </c>
      <c r="BC177" s="222">
        <f>(BC66-AW66)/(RevBuild!BC12-RevBuild!AW12)</f>
        <v>0.29190625000000381</v>
      </c>
      <c r="BD177" s="303"/>
      <c r="BE177" s="233">
        <f>(BE66-AY66)/(RevBuild!BE12-RevBuild!AY12)</f>
        <v>-0.1032619047619045</v>
      </c>
      <c r="BF177" s="234">
        <f>(BF66-AZ66)/(RevBuild!BF12-RevBuild!AZ12)</f>
        <v>1.1009999999999991</v>
      </c>
      <c r="BG177" s="234">
        <f>(BG66-BA66)/(RevBuild!BG12-RevBuild!BA12)</f>
        <v>-1.0279999999999876</v>
      </c>
      <c r="BH177" s="221">
        <f>(BH66-BB66)/(RevBuild!BH12-RevBuild!BB12)</f>
        <v>0.98415151515151611</v>
      </c>
      <c r="BI177" s="222">
        <f>(BI66-BC66)/(RevBuild!BI12-RevBuild!BC12)</f>
        <v>2.4467962962962955</v>
      </c>
      <c r="BJ177" s="303"/>
      <c r="BK177" s="233">
        <f>(BK66-BE66)/(RevBuild!BK12-RevBuild!BE12)</f>
        <v>0.93414285714285528</v>
      </c>
      <c r="BL177" s="234">
        <f>(BL66-BF66)/(RevBuild!BL12-RevBuild!BF12)</f>
        <v>0.84649999999999992</v>
      </c>
      <c r="BM177" s="234">
        <f>(BM66-BG66)/(RevBuild!BM12-RevBuild!BG12)</f>
        <v>0.95166666666666855</v>
      </c>
      <c r="BN177" s="221">
        <f>(BN66-BH66)/(RevBuild!BN12-RevBuild!BH12)</f>
        <v>0.93474074074074076</v>
      </c>
      <c r="BO177" s="222">
        <f>(BO66-BI66)/(RevBuild!BO12-RevBuild!BI12)</f>
        <v>0.9136770833333353</v>
      </c>
      <c r="BP177" s="303"/>
      <c r="BQ177" s="233">
        <f>(BQ66-BK66)/(RevBuild!BQ12-RevBuild!BK12)</f>
        <v>0.77030769230769236</v>
      </c>
      <c r="BR177" s="234">
        <f>(BR66-BL66)/(RevBuild!BR12-RevBuild!BL12)</f>
        <v>0.63910585455570623</v>
      </c>
      <c r="BS177" s="234">
        <f>(BS66-BM66)/(RevBuild!BS12-RevBuild!BM12)</f>
        <v>0.65864241674311408</v>
      </c>
      <c r="BT177" s="221">
        <f>(BT66-BN66)/(RevBuild!BT12-RevBuild!BN12)</f>
        <v>0.68078947368421083</v>
      </c>
      <c r="BU177" s="222">
        <f>(BU66-BO66)/(RevBuild!BU12-RevBuild!BO12)</f>
        <v>0.69247106499576272</v>
      </c>
      <c r="BV177" s="303"/>
      <c r="BW177" s="233">
        <f>(BW66-BQ66)/(RevBuild!BW12-RevBuild!BQ12)</f>
        <v>0.70633333333333359</v>
      </c>
      <c r="BX177" s="234">
        <f>(BX66-BR66)/(RevBuild!BX12-RevBuild!BR12)</f>
        <v>0.69233333333333424</v>
      </c>
      <c r="BY177" s="234">
        <f>(BY66-BS66)/(RevBuild!BY12-RevBuild!BS12)</f>
        <v>0.69033333333333391</v>
      </c>
      <c r="BZ177" s="221">
        <f>(BZ66-BT66)/(RevBuild!BZ12-RevBuild!BT12)</f>
        <v>0.7033333333333327</v>
      </c>
      <c r="CA177" s="222">
        <f>(CA66-BU66)/(RevBuild!CA12-RevBuild!BU12)</f>
        <v>0.69826268092058441</v>
      </c>
      <c r="CB177" s="234"/>
      <c r="CC177" s="233">
        <f>(CC66-BW66)/(RevBuild!CC12-RevBuild!BW12)</f>
        <v>0.76033333333333308</v>
      </c>
      <c r="CD177" s="234">
        <f>(CD66-BX66)/(RevBuild!CD12-RevBuild!BX12)</f>
        <v>0.74633333333333207</v>
      </c>
      <c r="CE177" s="234">
        <f>(CE66-BY66)/(RevBuild!CE12-RevBuild!BY12)</f>
        <v>0.74433333333333263</v>
      </c>
      <c r="CF177" s="221">
        <f>(CF66-BZ66)/(RevBuild!CF12-RevBuild!BZ12)</f>
        <v>0.75733333333333297</v>
      </c>
      <c r="CG177" s="222">
        <f>(CG66-CA66)/(RevBuild!CG12-RevBuild!CA12)</f>
        <v>0.75226268092058113</v>
      </c>
      <c r="CH177" s="201"/>
      <c r="CI177" s="233">
        <f>(CI66-CC66)/(RevBuild!CI12-RevBuild!CC12)</f>
        <v>0.73000000000000054</v>
      </c>
      <c r="CJ177" s="234">
        <f>(CJ66-CD66)/(RevBuild!CJ12-RevBuild!CD12)</f>
        <v>0.71599999999999853</v>
      </c>
      <c r="CK177" s="234">
        <f>(CK66-CE66)/(RevBuild!CK12-RevBuild!CE12)</f>
        <v>0.71399999999999941</v>
      </c>
      <c r="CL177" s="221">
        <f>(CL66-CF66)/(RevBuild!CL12-RevBuild!CF12)</f>
        <v>0.72700000000000031</v>
      </c>
      <c r="CM177" s="222">
        <f>(CM66-CG66)/(RevBuild!CM12-RevBuild!CG12)</f>
        <v>0.72192934758724792</v>
      </c>
      <c r="CN177" s="201"/>
      <c r="CO177" s="201"/>
      <c r="CP177" s="201"/>
      <c r="CQ177"/>
      <c r="CR177"/>
      <c r="CS177"/>
      <c r="CT177"/>
      <c r="CU177"/>
      <c r="CV177"/>
      <c r="CW177" s="201"/>
    </row>
    <row r="178" spans="1:101" s="149" customFormat="1">
      <c r="A178" s="309" t="s">
        <v>147</v>
      </c>
      <c r="B178" s="302"/>
      <c r="C178" s="233"/>
      <c r="D178" s="234"/>
      <c r="E178" s="234"/>
      <c r="F178" s="221"/>
      <c r="G178" s="221"/>
      <c r="H178" s="302"/>
      <c r="I178" s="233"/>
      <c r="J178" s="234"/>
      <c r="K178" s="234"/>
      <c r="L178" s="221"/>
      <c r="M178" s="221"/>
      <c r="N178" s="302"/>
      <c r="O178" s="233"/>
      <c r="P178" s="234"/>
      <c r="Q178" s="234"/>
      <c r="R178" s="221"/>
      <c r="S178" s="221"/>
      <c r="T178" s="303"/>
      <c r="U178" s="233"/>
      <c r="V178" s="234"/>
      <c r="W178" s="234"/>
      <c r="X178" s="221"/>
      <c r="Y178" s="221"/>
      <c r="Z178" s="303"/>
      <c r="AA178" s="233"/>
      <c r="AB178" s="234"/>
      <c r="AC178" s="234"/>
      <c r="AD178" s="221"/>
      <c r="AE178" s="221"/>
      <c r="AF178" s="303"/>
      <c r="AG178" s="233"/>
      <c r="AH178" s="234"/>
      <c r="AI178" s="234"/>
      <c r="AJ178" s="221"/>
      <c r="AK178" s="222"/>
      <c r="AL178" s="303"/>
      <c r="AM178" s="233">
        <f>(AM206-AG206)/(RevBuild!AM12-RevBuild!AG12)</f>
        <v>1.7932087796353784</v>
      </c>
      <c r="AN178" s="234">
        <f>(AN206-AH206)/(RevBuild!AN12-RevBuild!AH12)</f>
        <v>1.1862617091874768</v>
      </c>
      <c r="AO178" s="234">
        <f>(AO206-AI206)/(RevBuild!AO12-RevBuild!AI12)</f>
        <v>-2.2142990593755889E-2</v>
      </c>
      <c r="AP178" s="221">
        <f>(AP206-AJ206)/(RevBuild!AP12-RevBuild!AJ12)</f>
        <v>0.49726983197699798</v>
      </c>
      <c r="AQ178" s="222">
        <f>(AQ206-AK206)/(RevBuild!AQ12-RevBuild!AK12)</f>
        <v>0.6500573233186534</v>
      </c>
      <c r="AR178" s="303"/>
      <c r="AS178" s="233">
        <f>(AS206-AM206)/(RevBuild!AS12-RevBuild!AM12)</f>
        <v>0.80682560489266897</v>
      </c>
      <c r="AT178" s="234">
        <f>(AT206-AN206)/(RevBuild!AT12-RevBuild!AN12)</f>
        <v>0.17614807349479214</v>
      </c>
      <c r="AU178" s="234">
        <f>(AU206-AO206)/(RevBuild!AU12-RevBuild!AO12)</f>
        <v>0.86867546463184508</v>
      </c>
      <c r="AV178" s="221">
        <f>(AV206-AP206)/(RevBuild!AV12-RevBuild!AP12)</f>
        <v>0.76062023117812316</v>
      </c>
      <c r="AW178" s="222">
        <f>(AW206-AQ206)/(RevBuild!AW12-RevBuild!AQ12)</f>
        <v>1.0104916723090185</v>
      </c>
      <c r="AX178" s="303"/>
      <c r="AY178" s="233">
        <f>(AY206-AS206)/(RevBuild!AY12-RevBuild!AS12)</f>
        <v>-0.66469166666666413</v>
      </c>
      <c r="AZ178" s="234">
        <f>(AZ206-AT206)/(RevBuild!AZ12-RevBuild!AT12)</f>
        <v>0.75714220647773545</v>
      </c>
      <c r="BA178" s="234">
        <f>(BA206-AU206)/(RevBuild!BA12-RevBuild!AU12)</f>
        <v>-2.4488723984142737</v>
      </c>
      <c r="BB178" s="221">
        <f>(BB206-AV206)/(RevBuild!BB12-RevBuild!AV12)</f>
        <v>1.0243478747203565</v>
      </c>
      <c r="BC178" s="222">
        <f>(BC206-AW206)/(RevBuild!BC12-RevBuild!AW12)</f>
        <v>1.8026213686288273</v>
      </c>
      <c r="BD178" s="303"/>
      <c r="BE178" s="233">
        <f>(BE206-AY206)/(RevBuild!BE12-RevBuild!AY12)</f>
        <v>-0.32999999999999624</v>
      </c>
      <c r="BF178" s="234">
        <f>(BF206-AZ206)/(RevBuild!BF12-RevBuild!AZ12)</f>
        <v>0.87800000000000011</v>
      </c>
      <c r="BG178" s="234">
        <f>(BG206-BA206)/(RevBuild!BG12-RevBuild!BA12)</f>
        <v>-0.10099999999999502</v>
      </c>
      <c r="BH178" s="221">
        <f>(BH206-BB206)/(RevBuild!BH12-RevBuild!BB12)</f>
        <v>0.66995151515151308</v>
      </c>
      <c r="BI178" s="222">
        <f>(BI206-BC206)/(RevBuild!BI12-RevBuild!BC12)</f>
        <v>1.8170888888888823</v>
      </c>
      <c r="BJ178" s="303"/>
      <c r="BK178" s="233">
        <f>(BK206-BE206)/(RevBuild!BK12-RevBuild!BE12)</f>
        <v>0.85342857142857809</v>
      </c>
      <c r="BL178" s="234">
        <f>(BL206-BF206)/(RevBuild!BL12-RevBuild!BF12)</f>
        <v>0.60092857142857115</v>
      </c>
      <c r="BM178" s="234">
        <f>(BM206-BG206)/(RevBuild!BM12-RevBuild!BG12)</f>
        <v>0.6158000000000009</v>
      </c>
      <c r="BN178" s="221">
        <f>(BN206-BH206)/(RevBuild!BN12-RevBuild!BH12)</f>
        <v>0.45617037037037123</v>
      </c>
      <c r="BO178" s="222">
        <f>(BO206-BI206)/(RevBuild!BO12-RevBuild!BI12)</f>
        <v>0.60122083333333443</v>
      </c>
      <c r="BP178" s="303"/>
      <c r="BQ178" s="233">
        <f>(BQ206-BK206)/(RevBuild!BQ12-RevBuild!BK12)</f>
        <v>0.42444615384615264</v>
      </c>
      <c r="BR178" s="234">
        <f>(BR206-BL206)/(RevBuild!BR12-RevBuild!BL12)</f>
        <v>0.34835990548940154</v>
      </c>
      <c r="BS178" s="234">
        <f>(BS206-BM206)/(RevBuild!BS12-RevBuild!BM12)</f>
        <v>0.42218421692658908</v>
      </c>
      <c r="BT178" s="221">
        <f>(BT206-BN206)/(RevBuild!BT12-RevBuild!BN12)</f>
        <v>0.47968421052631649</v>
      </c>
      <c r="BU178" s="222">
        <f>(BU206-BO206)/(RevBuild!BU12-RevBuild!BO12)</f>
        <v>0.41062371658260038</v>
      </c>
      <c r="BV178" s="303"/>
      <c r="BW178" s="233">
        <f>(BW206-BQ206)/(RevBuild!BW12-RevBuild!BQ12)</f>
        <v>0.39009999999999978</v>
      </c>
      <c r="BX178" s="234">
        <f>(BX206-BR206)/(RevBuild!BX12-RevBuild!BR12)</f>
        <v>0.3615000000000001</v>
      </c>
      <c r="BY178" s="234">
        <f>(BY206-BS206)/(RevBuild!BY12-RevBuild!BS12)</f>
        <v>0.36210000000000109</v>
      </c>
      <c r="BZ178" s="221">
        <f>(BZ206-BT206)/(RevBuild!BZ12-RevBuild!BT12)</f>
        <v>0.38849999999999929</v>
      </c>
      <c r="CA178" s="222">
        <f>(CA206-BU206)/(RevBuild!CA12-RevBuild!BU12)</f>
        <v>0.37589698639587188</v>
      </c>
      <c r="CB178" s="234"/>
      <c r="CC178" s="233">
        <f>(CC206-BW206)/(RevBuild!CC12-RevBuild!BW12)</f>
        <v>0.52260000000000062</v>
      </c>
      <c r="CD178" s="234">
        <f>(CD206-BX206)/(RevBuild!CD12-RevBuild!BX12)</f>
        <v>0.4939999999999985</v>
      </c>
      <c r="CE178" s="234">
        <f>(CE206-BY206)/(RevBuild!CE12-RevBuild!BY12)</f>
        <v>0.49459999999999821</v>
      </c>
      <c r="CF178" s="221">
        <f>(CF206-BZ206)/(RevBuild!CF12-RevBuild!BZ12)</f>
        <v>0.52099999999999935</v>
      </c>
      <c r="CG178" s="222">
        <f>(CG206-CA206)/(RevBuild!CG12-RevBuild!CA12)</f>
        <v>0.50839698639586972</v>
      </c>
      <c r="CH178" s="201"/>
      <c r="CI178" s="233">
        <f>(CI206-CC206)/(RevBuild!CI12-RevBuild!CC12)</f>
        <v>0.56614999999999938</v>
      </c>
      <c r="CJ178" s="234">
        <f>(CJ206-CD206)/(RevBuild!CJ12-RevBuild!CD12)</f>
        <v>0.53754999999999808</v>
      </c>
      <c r="CK178" s="234">
        <f>(CK206-CE206)/(RevBuild!CK12-RevBuild!CE12)</f>
        <v>0.53814999999999813</v>
      </c>
      <c r="CL178" s="221">
        <f>(CL206-CF206)/(RevBuild!CL12-RevBuild!CF12)</f>
        <v>0.56455000000000066</v>
      </c>
      <c r="CM178" s="222">
        <f>(CM206-CG206)/(RevBuild!CM12-RevBuild!CG12)</f>
        <v>0.55194698639587114</v>
      </c>
      <c r="CN178" s="201"/>
      <c r="CO178" s="201"/>
      <c r="CP178" s="201"/>
      <c r="CQ178"/>
      <c r="CR178"/>
      <c r="CS178"/>
      <c r="CT178"/>
      <c r="CU178"/>
      <c r="CV178"/>
      <c r="CW178" s="201"/>
    </row>
    <row r="179" spans="1:101" s="149" customFormat="1">
      <c r="A179" s="309" t="s">
        <v>148</v>
      </c>
      <c r="B179" s="302"/>
      <c r="C179" s="233"/>
      <c r="D179" s="234"/>
      <c r="E179" s="234"/>
      <c r="F179" s="221"/>
      <c r="G179" s="221"/>
      <c r="H179" s="302"/>
      <c r="I179" s="233"/>
      <c r="J179" s="234"/>
      <c r="K179" s="234"/>
      <c r="L179" s="221"/>
      <c r="M179" s="221"/>
      <c r="N179" s="302"/>
      <c r="O179" s="233"/>
      <c r="P179" s="234"/>
      <c r="Q179" s="234"/>
      <c r="R179" s="221"/>
      <c r="S179" s="221"/>
      <c r="T179" s="303"/>
      <c r="U179" s="233"/>
      <c r="V179" s="234"/>
      <c r="W179" s="234"/>
      <c r="X179" s="221"/>
      <c r="Y179" s="221"/>
      <c r="Z179" s="303"/>
      <c r="AA179" s="233"/>
      <c r="AB179" s="234"/>
      <c r="AC179" s="234"/>
      <c r="AD179" s="221"/>
      <c r="AE179" s="221"/>
      <c r="AF179" s="303"/>
      <c r="AG179" s="233">
        <f>AG206/RevBuild!AG12</f>
        <v>0.20046557759626604</v>
      </c>
      <c r="AH179" s="234">
        <f>AH206/RevBuild!AH12</f>
        <v>0.16429404900816805</v>
      </c>
      <c r="AI179" s="234">
        <f>AI206/RevBuild!AI12</f>
        <v>0.18056719817767664</v>
      </c>
      <c r="AJ179" s="221">
        <f>AJ206/RevBuild!AJ12</f>
        <v>0.21346687697160893</v>
      </c>
      <c r="AK179" s="222">
        <f>AK206/RevBuild!AK12</f>
        <v>0.18990317802037629</v>
      </c>
      <c r="AL179" s="303"/>
      <c r="AM179" s="233">
        <f>AM206/RevBuild!AM12</f>
        <v>0.18176409185803771</v>
      </c>
      <c r="AN179" s="234">
        <f>AN206/RevBuild!AN12</f>
        <v>0.184411522633745</v>
      </c>
      <c r="AO179" s="234">
        <f>AO206/RevBuild!AO12</f>
        <v>0.18346898002103046</v>
      </c>
      <c r="AP179" s="221">
        <f>AP206/RevBuild!AP12</f>
        <v>0.22477591312931894</v>
      </c>
      <c r="AQ179" s="222">
        <f>AQ206/RevBuild!AQ12</f>
        <v>0.19397333753652812</v>
      </c>
      <c r="AR179" s="303"/>
      <c r="AS179" s="233">
        <f>AS206/RevBuild!AS12</f>
        <v>0.21202777777777776</v>
      </c>
      <c r="AT179" s="234">
        <f>AT206/RevBuild!AT12</f>
        <v>0.18462854251012153</v>
      </c>
      <c r="AU179" s="234">
        <f>AU206/RevBuild!AU12</f>
        <v>0.20779583746283453</v>
      </c>
      <c r="AV179" s="221">
        <f>AV206/RevBuild!AV12</f>
        <v>0.23670565675934796</v>
      </c>
      <c r="AW179" s="222">
        <f>AW206/RevBuild!AW12</f>
        <v>0.21086953021950072</v>
      </c>
      <c r="AX179" s="303"/>
      <c r="AY179" s="233">
        <f>AY206/RevBuild!AY12</f>
        <v>0.19600000000000004</v>
      </c>
      <c r="AZ179" s="234">
        <f>AZ206/RevBuild!AZ12</f>
        <v>0.15799999999999995</v>
      </c>
      <c r="BA179" s="234">
        <f>BA206/RevBuild!BA12</f>
        <v>0.18700000000000003</v>
      </c>
      <c r="BB179" s="221">
        <f>BB206/RevBuild!BB12</f>
        <v>0.2</v>
      </c>
      <c r="BC179" s="222">
        <f>BC206/RevBuild!BC12</f>
        <v>0.18597409579667645</v>
      </c>
      <c r="BD179" s="303"/>
      <c r="BE179" s="233">
        <f>BE206/RevBuild!BE12</f>
        <v>0.21699999999999989</v>
      </c>
      <c r="BF179" s="234">
        <f>BF206/RevBuild!BF12</f>
        <v>0.18999999999999997</v>
      </c>
      <c r="BG179" s="234">
        <f>BG206/RevBuild!BG12</f>
        <v>0.19099999999999998</v>
      </c>
      <c r="BH179" s="221">
        <f>BH206/RevBuild!BH12</f>
        <v>0.22829999999999986</v>
      </c>
      <c r="BI179" s="222">
        <f>BI206/RevBuild!BI12</f>
        <v>0.20721871683550402</v>
      </c>
      <c r="BJ179" s="303"/>
      <c r="BK179" s="233">
        <f>BK206/RevBuild!BK12</f>
        <v>0.23350000000000007</v>
      </c>
      <c r="BL179" s="234">
        <f>BL206/RevBuild!BL12</f>
        <v>0.21199999999999997</v>
      </c>
      <c r="BM179" s="234">
        <f>BM206/RevBuild!BM12</f>
        <v>0.21260000000000001</v>
      </c>
      <c r="BN179" s="221">
        <f>BN206/RevBuild!BN12</f>
        <v>0.23899999999999993</v>
      </c>
      <c r="BO179" s="222">
        <f>BO206/RevBuild!BO12</f>
        <v>0.22465726141078837</v>
      </c>
      <c r="BP179" s="303"/>
      <c r="BQ179" s="233">
        <f>BQ206/RevBuild!BQ12</f>
        <v>0.25759999999999988</v>
      </c>
      <c r="BR179" s="234">
        <f>BR206/RevBuild!BR12</f>
        <v>0.22900000000000001</v>
      </c>
      <c r="BS179" s="234">
        <f>BS206/RevBuild!BS12</f>
        <v>0.2296</v>
      </c>
      <c r="BT179" s="221">
        <f>BT206/RevBuild!BT12</f>
        <v>0.25600000000000001</v>
      </c>
      <c r="BU179" s="222">
        <f>BU206/RevBuild!BU12</f>
        <v>0.24339698639587207</v>
      </c>
      <c r="BV179" s="303"/>
      <c r="BW179" s="233">
        <f>BW206/RevBuild!BW12</f>
        <v>0.26509999999999989</v>
      </c>
      <c r="BX179" s="234">
        <f>BX206/RevBuild!BX12</f>
        <v>0.23649999999999999</v>
      </c>
      <c r="BY179" s="234">
        <f>BY206/RevBuild!BY12</f>
        <v>0.23710000000000006</v>
      </c>
      <c r="BZ179" s="221">
        <f>BZ206/RevBuild!BZ12</f>
        <v>0.26349999999999996</v>
      </c>
      <c r="CA179" s="222">
        <f>CA206/RevBuild!CA12</f>
        <v>0.25089698639587205</v>
      </c>
      <c r="CB179" s="234"/>
      <c r="CC179" s="233">
        <f>CC206/RevBuild!CC12</f>
        <v>0.27259999999999995</v>
      </c>
      <c r="CD179" s="234">
        <f>CD206/RevBuild!CD12</f>
        <v>0.24399999999999997</v>
      </c>
      <c r="CE179" s="234">
        <f>CE206/RevBuild!CE12</f>
        <v>0.24460000000000004</v>
      </c>
      <c r="CF179" s="221">
        <f>CF206/RevBuild!CF12</f>
        <v>0.27099999999999996</v>
      </c>
      <c r="CG179" s="222">
        <f>CG206/RevBuild!CG12</f>
        <v>0.25839698639587205</v>
      </c>
      <c r="CH179" s="201"/>
      <c r="CI179" s="233">
        <f>CI206/RevBuild!CI12</f>
        <v>0.28114999999999996</v>
      </c>
      <c r="CJ179" s="234">
        <f>CJ206/RevBuild!CJ12</f>
        <v>0.25254999999999994</v>
      </c>
      <c r="CK179" s="234">
        <f>CK206/RevBuild!CK12</f>
        <v>0.25314999999999999</v>
      </c>
      <c r="CL179" s="221">
        <f>CL206/RevBuild!CL12</f>
        <v>0.27954999999999997</v>
      </c>
      <c r="CM179" s="222">
        <f>CM206/RevBuild!CM12</f>
        <v>0.266946986395872</v>
      </c>
      <c r="CN179" s="201"/>
      <c r="CO179" s="201"/>
      <c r="CP179" s="201"/>
      <c r="CQ179"/>
      <c r="CR179"/>
      <c r="CS179"/>
      <c r="CT179"/>
      <c r="CU179"/>
      <c r="CV179"/>
      <c r="CW179" s="201"/>
    </row>
    <row r="180" spans="1:101" s="149" customFormat="1">
      <c r="A180" s="501" t="s">
        <v>99</v>
      </c>
      <c r="B180" s="302"/>
      <c r="C180" s="233"/>
      <c r="D180" s="234"/>
      <c r="E180" s="234"/>
      <c r="F180" s="221"/>
      <c r="G180" s="221"/>
      <c r="H180" s="302"/>
      <c r="I180" s="233"/>
      <c r="J180" s="234"/>
      <c r="K180" s="234"/>
      <c r="L180" s="221"/>
      <c r="M180" s="221"/>
      <c r="N180" s="302"/>
      <c r="O180" s="233"/>
      <c r="P180" s="234"/>
      <c r="Q180" s="234"/>
      <c r="R180" s="221"/>
      <c r="S180" s="221"/>
      <c r="T180" s="303"/>
      <c r="U180" s="233"/>
      <c r="V180" s="234"/>
      <c r="W180" s="234"/>
      <c r="X180" s="221"/>
      <c r="Y180" s="221"/>
      <c r="Z180" s="303"/>
      <c r="AA180" s="233"/>
      <c r="AB180" s="234"/>
      <c r="AC180" s="234"/>
      <c r="AD180" s="221"/>
      <c r="AE180" s="221"/>
      <c r="AF180" s="303"/>
      <c r="AG180" s="233"/>
      <c r="AH180" s="234"/>
      <c r="AI180" s="234"/>
      <c r="AJ180" s="221"/>
      <c r="AK180" s="222"/>
      <c r="AL180" s="303"/>
      <c r="AM180" s="233"/>
      <c r="AN180" s="234"/>
      <c r="AO180" s="234"/>
      <c r="AP180" s="221"/>
      <c r="AQ180" s="222"/>
      <c r="AR180" s="303"/>
      <c r="AS180" s="233"/>
      <c r="AT180" s="234"/>
      <c r="AU180" s="234"/>
      <c r="AV180" s="221"/>
      <c r="AW180" s="222"/>
      <c r="AX180" s="303"/>
      <c r="AY180" s="233"/>
      <c r="AZ180" s="234"/>
      <c r="BA180" s="234"/>
      <c r="BB180" s="221"/>
      <c r="BC180" s="222"/>
      <c r="BD180" s="303"/>
      <c r="BE180" s="233"/>
      <c r="BF180" s="234"/>
      <c r="BG180" s="234"/>
      <c r="BH180" s="221"/>
      <c r="BI180" s="222"/>
      <c r="BJ180" s="303"/>
      <c r="BK180" s="233"/>
      <c r="BL180" s="234"/>
      <c r="BM180" s="234"/>
      <c r="BN180" s="221"/>
      <c r="BO180" s="222"/>
      <c r="BP180" s="303"/>
      <c r="BQ180" s="233"/>
      <c r="BR180" s="234"/>
      <c r="BS180" s="234"/>
      <c r="BT180" s="221"/>
      <c r="BU180" s="222"/>
      <c r="BV180" s="303"/>
      <c r="BW180" s="233"/>
      <c r="BX180" s="234"/>
      <c r="BY180" s="234"/>
      <c r="BZ180" s="221"/>
      <c r="CA180" s="222"/>
      <c r="CB180" s="234"/>
      <c r="CC180" s="233"/>
      <c r="CD180" s="234"/>
      <c r="CE180" s="234"/>
      <c r="CF180" s="221"/>
      <c r="CG180" s="222"/>
      <c r="CH180" s="201"/>
      <c r="CI180" s="233"/>
      <c r="CJ180" s="234"/>
      <c r="CK180" s="234"/>
      <c r="CL180" s="221"/>
      <c r="CM180" s="222"/>
      <c r="CN180" s="201"/>
      <c r="CO180" s="201"/>
      <c r="CP180" s="201"/>
      <c r="CQ180"/>
      <c r="CR180"/>
      <c r="CS180"/>
      <c r="CT180"/>
      <c r="CU180"/>
      <c r="CV180"/>
      <c r="CW180" s="201"/>
    </row>
    <row r="181" spans="1:101" s="149" customFormat="1">
      <c r="A181" s="309" t="s">
        <v>146</v>
      </c>
      <c r="B181" s="302"/>
      <c r="C181" s="233"/>
      <c r="D181" s="234"/>
      <c r="E181" s="234"/>
      <c r="F181" s="221"/>
      <c r="G181" s="221"/>
      <c r="H181" s="302"/>
      <c r="I181" s="233"/>
      <c r="J181" s="234"/>
      <c r="K181" s="234"/>
      <c r="L181" s="221"/>
      <c r="M181" s="221"/>
      <c r="N181" s="302"/>
      <c r="O181" s="233"/>
      <c r="P181" s="234"/>
      <c r="Q181" s="234"/>
      <c r="R181" s="221"/>
      <c r="S181" s="221"/>
      <c r="T181" s="303"/>
      <c r="U181" s="233"/>
      <c r="V181" s="234"/>
      <c r="W181" s="234"/>
      <c r="X181" s="221"/>
      <c r="Y181" s="221"/>
      <c r="Z181" s="303"/>
      <c r="AA181" s="233"/>
      <c r="AB181" s="234"/>
      <c r="AC181" s="234"/>
      <c r="AD181" s="221"/>
      <c r="AE181" s="221"/>
      <c r="AF181" s="303"/>
      <c r="AG181" s="233"/>
      <c r="AH181" s="234"/>
      <c r="AI181" s="234"/>
      <c r="AJ181" s="221"/>
      <c r="AK181" s="222"/>
      <c r="AL181" s="303"/>
      <c r="AM181" s="233">
        <f>(AM68-AG68)/(RevBuild!AM13-RevBuild!AG13)</f>
        <v>0.60364893617021276</v>
      </c>
      <c r="AN181" s="234">
        <f>(AN68-AH68)/(RevBuild!AN13-RevBuild!AH13)</f>
        <v>0.60506666666666664</v>
      </c>
      <c r="AO181" s="234">
        <f>(AO68-AI68)/(RevBuild!AO13-RevBuild!AI13)</f>
        <v>0.56636666666666668</v>
      </c>
      <c r="AP181" s="221">
        <f>(AP68-AJ68)/(RevBuild!AP13-RevBuild!AJ13)</f>
        <v>0.36639999999999967</v>
      </c>
      <c r="AQ181" s="222">
        <f>(AQ68-AK68)/(RevBuild!AQ13-RevBuild!AK13)</f>
        <v>0.58176447876447868</v>
      </c>
      <c r="AR181" s="303"/>
      <c r="AS181" s="233">
        <f>(AS68-AM68)/(RevBuild!AS13-RevBuild!AM13)</f>
        <v>-1.0374999999999801E-2</v>
      </c>
      <c r="AT181" s="234">
        <f>(AT68-AN68)/(RevBuild!AT13-RevBuild!AN13)</f>
        <v>6.4181818181818465E-2</v>
      </c>
      <c r="AU181" s="234">
        <f>(AU68-AO68)/(RevBuild!AU13-RevBuild!AO13)</f>
        <v>-1.2222222222217421E-3</v>
      </c>
      <c r="AV181" s="221">
        <f>(AV68-AP68)/(RevBuild!AV13-RevBuild!AP13)</f>
        <v>-2.0219999999999949</v>
      </c>
      <c r="AW181" s="222">
        <f>(AW68-AQ68)/(RevBuild!AW13-RevBuild!AQ13)</f>
        <v>-0.26551785714285564</v>
      </c>
      <c r="AX181" s="303"/>
      <c r="AY181" s="233">
        <f>(AY68-AS68)/(RevBuild!AY13-RevBuild!AS13)</f>
        <v>2.1282777777777775</v>
      </c>
      <c r="AZ181" s="234">
        <f>(AZ68-AT68)/(RevBuild!AZ13-RevBuild!AT13)</f>
        <v>-4.4919999999999902</v>
      </c>
      <c r="BA181" s="234">
        <f>(BA68-AU68)/(RevBuild!BA13-RevBuild!AU13)</f>
        <v>2.7279999999999944</v>
      </c>
      <c r="BB181" s="221">
        <f>(BB68-AV68)/(RevBuild!BB13-RevBuild!AV13)</f>
        <v>1.1333333333333329</v>
      </c>
      <c r="BC181" s="222">
        <f>(BC68-AW68)/(RevBuild!BC13-RevBuild!AW13)</f>
        <v>14.118499999999983</v>
      </c>
      <c r="BD181" s="303"/>
      <c r="BE181" s="233">
        <f>(BE68-AY68)/(RevBuild!BE13-RevBuild!AY13)</f>
        <v>1.0968000000000004</v>
      </c>
      <c r="BF181" s="234">
        <f>(BF68-AZ68)/(RevBuild!BF13-RevBuild!AZ13)</f>
        <v>0.40955555555555478</v>
      </c>
      <c r="BG181" s="234">
        <f>(BG68-BA68)/(RevBuild!BG13-RevBuild!BA13)</f>
        <v>0.40384615384615496</v>
      </c>
      <c r="BH181" s="221">
        <f>(BH68-BB68)/(RevBuild!BH13-RevBuild!BB13)</f>
        <v>0.48280000000000028</v>
      </c>
      <c r="BI181" s="222">
        <f>(BI68-BC68)/(RevBuild!BI13-RevBuild!BC13)</f>
        <v>0.57757446808510671</v>
      </c>
      <c r="BJ181" s="303"/>
      <c r="BK181" s="233">
        <f>(BK68-BE68)/(RevBuild!BK13-RevBuild!BE13)</f>
        <v>1.1010000000000015</v>
      </c>
      <c r="BL181" s="234">
        <f>(BL68-BF68)/(RevBuild!BL13-RevBuild!BF13)</f>
        <v>0.8468695652173911</v>
      </c>
      <c r="BM181" s="234">
        <f>(BM68-BG68)/(RevBuild!BM13-RevBuild!BG13)</f>
        <v>0.1987647058823524</v>
      </c>
      <c r="BN181" s="221">
        <f>(BN68-BH68)/(RevBuild!BN13-RevBuild!BH13)</f>
        <v>0.52929411764705914</v>
      </c>
      <c r="BO181" s="222">
        <f>(BO68-BI68)/(RevBuild!BO13-RevBuild!BI13)</f>
        <v>0.61049206349206364</v>
      </c>
      <c r="BP181" s="303"/>
      <c r="BQ181" s="233">
        <f>(BQ68-BK68)/(RevBuild!BQ13-RevBuild!BK13)</f>
        <v>0.51276190476190409</v>
      </c>
      <c r="BR181" s="234">
        <f>(BR68-BL68)/(RevBuild!BR13-RevBuild!BL13)</f>
        <v>0.62908403551523018</v>
      </c>
      <c r="BS181" s="234">
        <f>(BS68-BM68)/(RevBuild!BS13-RevBuild!BM13)</f>
        <v>0.57481047928937656</v>
      </c>
      <c r="BT181" s="221">
        <f>(BT68-BN68)/(RevBuild!BT13-RevBuild!BN13)</f>
        <v>0.5995828480106139</v>
      </c>
      <c r="BU181" s="222">
        <f>(BU68-BO68)/(RevBuild!BU13-RevBuild!BO13)</f>
        <v>0.57974732538046103</v>
      </c>
      <c r="BV181" s="303"/>
      <c r="BW181" s="233">
        <f>(BW68-BQ68)/(RevBuild!BW13-RevBuild!BQ13)</f>
        <v>0.62695475176809312</v>
      </c>
      <c r="BX181" s="234">
        <f>(BX68-BR68)/(RevBuild!BX13-RevBuild!BR13)</f>
        <v>0.66476244877598223</v>
      </c>
      <c r="BY181" s="234">
        <f>(BY68-BS68)/(RevBuild!BY13-RevBuild!BS13)</f>
        <v>0.57328904061810004</v>
      </c>
      <c r="BZ181" s="221">
        <f>(BZ68-BT68)/(RevBuild!BZ13-RevBuild!BT13)</f>
        <v>0.60249705272486476</v>
      </c>
      <c r="CA181" s="222">
        <f>(CA68-BU68)/(RevBuild!CA13-RevBuild!BU13)</f>
        <v>0.60580466236733022</v>
      </c>
      <c r="CB181" s="234"/>
      <c r="CC181" s="233">
        <f>(CC68-BW68)/(RevBuild!CC13-RevBuild!BW13)</f>
        <v>0.58673704100653701</v>
      </c>
      <c r="CD181" s="234">
        <f>(CD68-BX68)/(RevBuild!CD13-RevBuild!BX13)</f>
        <v>0.62309756856493015</v>
      </c>
      <c r="CE181" s="234">
        <f>(CE68-BY68)/(RevBuild!CE13-RevBuild!BY13)</f>
        <v>0.56627639076033842</v>
      </c>
      <c r="CF181" s="221">
        <f>(CF68-BZ68)/(RevBuild!CF13-RevBuild!BZ13)</f>
        <v>0.59447677985308445</v>
      </c>
      <c r="CG181" s="222">
        <f>(CG68-CA68)/(RevBuild!CG13-RevBuild!CA13)</f>
        <v>0.59072986894447732</v>
      </c>
      <c r="CH181" s="201"/>
      <c r="CI181" s="233">
        <f>(CI68-CC68)/(RevBuild!CI13-RevBuild!CC13)</f>
        <v>0.58001649786495368</v>
      </c>
      <c r="CJ181" s="234">
        <f>(CJ68-CD68)/(RevBuild!CJ13-RevBuild!CD13)</f>
        <v>0.61653982178287425</v>
      </c>
      <c r="CK181" s="234">
        <f>(CK68-CE68)/(RevBuild!CK13-RevBuild!CE13)</f>
        <v>0.56202423172493932</v>
      </c>
      <c r="CL181" s="221">
        <f>(CL68-CF68)/(RevBuild!CL13-RevBuild!CF13)</f>
        <v>0.58924342352797909</v>
      </c>
      <c r="CM181" s="222">
        <f>(CM68-CG68)/(RevBuild!CM13-RevBuild!CG13)</f>
        <v>0.58504180860009425</v>
      </c>
      <c r="CN181" s="201"/>
      <c r="CO181" s="201"/>
      <c r="CP181" s="201"/>
      <c r="CQ181"/>
      <c r="CR181"/>
      <c r="CS181"/>
      <c r="CT181"/>
      <c r="CU181"/>
      <c r="CV181"/>
      <c r="CW181" s="201"/>
    </row>
    <row r="182" spans="1:101" s="149" customFormat="1">
      <c r="A182" s="309" t="s">
        <v>147</v>
      </c>
      <c r="B182" s="302"/>
      <c r="C182" s="233"/>
      <c r="D182" s="234"/>
      <c r="E182" s="234"/>
      <c r="F182" s="221"/>
      <c r="G182" s="221"/>
      <c r="H182" s="302"/>
      <c r="I182" s="233"/>
      <c r="J182" s="234"/>
      <c r="K182" s="234"/>
      <c r="L182" s="221"/>
      <c r="M182" s="221"/>
      <c r="N182" s="302"/>
      <c r="O182" s="233"/>
      <c r="P182" s="234"/>
      <c r="Q182" s="234"/>
      <c r="R182" s="221"/>
      <c r="S182" s="221"/>
      <c r="T182" s="303"/>
      <c r="U182" s="233"/>
      <c r="V182" s="234"/>
      <c r="W182" s="234"/>
      <c r="X182" s="221"/>
      <c r="Y182" s="221"/>
      <c r="Z182" s="303"/>
      <c r="AA182" s="233"/>
      <c r="AB182" s="234"/>
      <c r="AC182" s="234"/>
      <c r="AD182" s="221"/>
      <c r="AE182" s="221"/>
      <c r="AF182" s="303"/>
      <c r="AG182" s="233"/>
      <c r="AH182" s="234"/>
      <c r="AI182" s="234"/>
      <c r="AJ182" s="221"/>
      <c r="AK182" s="222"/>
      <c r="AL182" s="303"/>
      <c r="AM182" s="233">
        <f>(AM209-AG209)/(RevBuild!AM13-RevBuild!AG13)</f>
        <v>0.23230252102234092</v>
      </c>
      <c r="AN182" s="234">
        <f>(AN209-AH209)/(RevBuild!AN13-RevBuild!AH13)</f>
        <v>0.2650100863327855</v>
      </c>
      <c r="AO182" s="234">
        <f>(AO209-AI209)/(RevBuild!AO13-RevBuild!AI13)</f>
        <v>0.22206019400111951</v>
      </c>
      <c r="AP182" s="221">
        <f>(AP209-AJ209)/(RevBuild!AP13-RevBuild!AJ13)</f>
        <v>0.17392808193796061</v>
      </c>
      <c r="AQ182" s="222">
        <f>(AQ209-AK209)/(RevBuild!AQ13-RevBuild!AK13)</f>
        <v>0.2379145853868237</v>
      </c>
      <c r="AR182" s="303"/>
      <c r="AS182" s="233">
        <f>(AS209-AM209)/(RevBuild!AS13-RevBuild!AM13)</f>
        <v>5.1863764207842777E-2</v>
      </c>
      <c r="AT182" s="234">
        <f>(AT209-AN209)/(RevBuild!AT13-RevBuild!AN13)</f>
        <v>-0.46336490107250294</v>
      </c>
      <c r="AU182" s="234">
        <f>(AU209-AO209)/(RevBuild!AU13-RevBuild!AO13)</f>
        <v>-0.37461342716347523</v>
      </c>
      <c r="AV182" s="221">
        <f>(AV209-AP209)/(RevBuild!AV13-RevBuild!AP13)</f>
        <v>-2.6112451107794143</v>
      </c>
      <c r="AW182" s="222">
        <f>(AW209-AQ209)/(RevBuild!AW13-RevBuild!AQ13)</f>
        <v>-0.66807357651982557</v>
      </c>
      <c r="AX182" s="303"/>
      <c r="AY182" s="233">
        <f>(AY209-AS209)/(RevBuild!AY13-RevBuild!AS13)</f>
        <v>3.9828179012345677</v>
      </c>
      <c r="AZ182" s="234">
        <f>(AZ209-AT209)/(RevBuild!AZ13-RevBuild!AT13)</f>
        <v>-11.379595141700413</v>
      </c>
      <c r="BA182" s="234">
        <f>(BA209-AU209)/(RevBuild!BA13-RevBuild!AU13)</f>
        <v>-7.2681090188305006</v>
      </c>
      <c r="BB182" s="221">
        <f>(BB209-AV209)/(RevBuild!BB13-RevBuild!AV13)</f>
        <v>-0.20089549376798152</v>
      </c>
      <c r="BC182" s="222">
        <f>(BC209-AW209)/(RevBuild!BC13-RevBuild!AW13)</f>
        <v>55.698438234249892</v>
      </c>
      <c r="BD182" s="303"/>
      <c r="BE182" s="233">
        <f>(BE209-AY209)/(RevBuild!BE13-RevBuild!AY13)</f>
        <v>1.4428000000000012</v>
      </c>
      <c r="BF182" s="234">
        <f>(BF209-AZ209)/(RevBuild!BF13-RevBuild!AZ13)</f>
        <v>0.14999999999999858</v>
      </c>
      <c r="BG182" s="234">
        <f>(BG209-BA209)/(RevBuild!BG13-RevBuild!BA13)</f>
        <v>0.44492307692307631</v>
      </c>
      <c r="BH182" s="221">
        <f>(BH209-BB209)/(RevBuild!BH13-RevBuild!BB13)</f>
        <v>0.24732666666666603</v>
      </c>
      <c r="BI182" s="222">
        <f>(BI209-BC209)/(RevBuild!BI13-RevBuild!BC13)</f>
        <v>0.53769999999999918</v>
      </c>
      <c r="BJ182" s="303"/>
      <c r="BK182" s="233">
        <f>(BK209-BE209)/(RevBuild!BK13-RevBuild!BE13)</f>
        <v>1.3806666666666665</v>
      </c>
      <c r="BL182" s="234">
        <f>(BL209-BF209)/(RevBuild!BL13-RevBuild!BF13)</f>
        <v>0.95399999999999996</v>
      </c>
      <c r="BM182" s="234">
        <f>(BM209-BG209)/(RevBuild!BM13-RevBuild!BG13)</f>
        <v>-3.7970588235294027E-2</v>
      </c>
      <c r="BN182" s="221">
        <f>(BN209-BH209)/(RevBuild!BN13-RevBuild!BH13)</f>
        <v>0.34082941176470671</v>
      </c>
      <c r="BO182" s="222">
        <f>(BO209-BI209)/(RevBuild!BO13-RevBuild!BI13)</f>
        <v>0.5615015873015875</v>
      </c>
      <c r="BP182" s="303"/>
      <c r="BQ182" s="233">
        <f>(BQ209-BK209)/(RevBuild!BQ13-RevBuild!BK13)</f>
        <v>-8.957142857142994E-2</v>
      </c>
      <c r="BR182" s="234">
        <f>(BR209-BL209)/(RevBuild!BR13-RevBuild!BL13)</f>
        <v>0.41186891364873846</v>
      </c>
      <c r="BS182" s="234">
        <f>(BS209-BM209)/(RevBuild!BS13-RevBuild!BM13)</f>
        <v>0.32149353372600531</v>
      </c>
      <c r="BT182" s="221">
        <f>(BT209-BN209)/(RevBuild!BT13-RevBuild!BN13)</f>
        <v>0.36026511363396529</v>
      </c>
      <c r="BU182" s="222">
        <f>(BU209-BO209)/(RevBuild!BU13-RevBuild!BO13)</f>
        <v>0.25687813689136441</v>
      </c>
      <c r="BV182" s="303"/>
      <c r="BW182" s="233">
        <f>(BW209-BQ209)/(RevBuild!BW13-RevBuild!BQ13)</f>
        <v>0.2410321276521398</v>
      </c>
      <c r="BX182" s="234">
        <f>(BX209-BR209)/(RevBuild!BX13-RevBuild!BR13)</f>
        <v>0.38364367316397446</v>
      </c>
      <c r="BY182" s="234">
        <f>(BY209-BS209)/(RevBuild!BY13-RevBuild!BS13)</f>
        <v>0.24643356092714991</v>
      </c>
      <c r="BZ182" s="221">
        <f>(BZ209-BT209)/(RevBuild!BZ13-RevBuild!BT13)</f>
        <v>0.29224557908729759</v>
      </c>
      <c r="CA182" s="222">
        <f>(CA209-BU209)/(RevBuild!CA13-RevBuild!BU13)</f>
        <v>0.28392879167251617</v>
      </c>
      <c r="CB182" s="234"/>
      <c r="CC182" s="233">
        <f>(CC209-BW209)/(RevBuild!CC13-RevBuild!BW13)</f>
        <v>0.20900834226470877</v>
      </c>
      <c r="CD182" s="234">
        <f>(CD209-BX209)/(RevBuild!CD13-RevBuild!BX13)</f>
        <v>0.3489695292710922</v>
      </c>
      <c r="CE182" s="234">
        <f>(CE209-BY209)/(RevBuild!CE13-RevBuild!BY13)</f>
        <v>0.25787187921076071</v>
      </c>
      <c r="CF182" s="221">
        <f>(CF209-BZ209)/(RevBuild!CF13-RevBuild!BZ13)</f>
        <v>0.30457275466943884</v>
      </c>
      <c r="CG182" s="222">
        <f>(CG209-CA209)/(RevBuild!CG13-RevBuild!CA13)</f>
        <v>0.28267204804500751</v>
      </c>
      <c r="CH182" s="201"/>
      <c r="CI182" s="233">
        <f>(CI209-CC209)/(RevBuild!CI13-RevBuild!CC13)</f>
        <v>0.18308052105016401</v>
      </c>
      <c r="CJ182" s="234">
        <f>(CJ209-CD209)/(RevBuild!CJ13-RevBuild!CD13)</f>
        <v>0.32359867029831707</v>
      </c>
      <c r="CK182" s="234">
        <f>(CK209-CE209)/(RevBuild!CK13-RevBuild!CE13)</f>
        <v>0.23989482869113815</v>
      </c>
      <c r="CL182" s="221">
        <f>(CL209-CF209)/(RevBuild!CL13-RevBuild!CF13)</f>
        <v>0.28350033352676152</v>
      </c>
      <c r="CM182" s="222">
        <f>(CM209-CG209)/(RevBuild!CM13-RevBuild!CG13)</f>
        <v>0.26068136938882031</v>
      </c>
      <c r="CN182" s="201"/>
      <c r="CO182" s="201"/>
      <c r="CP182" s="201"/>
      <c r="CQ182"/>
      <c r="CR182"/>
      <c r="CS182"/>
      <c r="CT182"/>
      <c r="CU182"/>
      <c r="CV182"/>
      <c r="CW182" s="201"/>
    </row>
    <row r="183" spans="1:101" s="149" customFormat="1">
      <c r="A183" s="309" t="s">
        <v>148</v>
      </c>
      <c r="B183" s="302"/>
      <c r="C183" s="233"/>
      <c r="D183" s="234"/>
      <c r="E183" s="234"/>
      <c r="F183" s="221"/>
      <c r="G183" s="221"/>
      <c r="H183" s="302"/>
      <c r="I183" s="233"/>
      <c r="J183" s="234"/>
      <c r="K183" s="234"/>
      <c r="L183" s="221"/>
      <c r="M183" s="221"/>
      <c r="N183" s="302"/>
      <c r="O183" s="233"/>
      <c r="P183" s="234"/>
      <c r="Q183" s="234"/>
      <c r="R183" s="221"/>
      <c r="S183" s="221"/>
      <c r="T183" s="303"/>
      <c r="U183" s="233"/>
      <c r="V183" s="234"/>
      <c r="W183" s="234"/>
      <c r="X183" s="221"/>
      <c r="Y183" s="221"/>
      <c r="Z183" s="303"/>
      <c r="AA183" s="233"/>
      <c r="AB183" s="234"/>
      <c r="AC183" s="234"/>
      <c r="AD183" s="221"/>
      <c r="AE183" s="221"/>
      <c r="AF183" s="303"/>
      <c r="AG183" s="233">
        <f>AG209/RevBuild!AG13</f>
        <v>0.24646557759626606</v>
      </c>
      <c r="AH183" s="234">
        <f>AH209/RevBuild!AH13</f>
        <v>0.26829404900816795</v>
      </c>
      <c r="AI183" s="234">
        <f>AI209/RevBuild!AI13</f>
        <v>0.26156719817767649</v>
      </c>
      <c r="AJ183" s="221">
        <f>AJ209/RevBuild!AJ13</f>
        <v>0.28246687697160877</v>
      </c>
      <c r="AK183" s="222">
        <f>AK209/RevBuild!AK13</f>
        <v>0.26890058713196197</v>
      </c>
      <c r="AL183" s="303"/>
      <c r="AM183" s="233">
        <f>AM209/RevBuild!AM13</f>
        <v>0.23776409185803751</v>
      </c>
      <c r="AN183" s="234">
        <f>AN209/RevBuild!AN13</f>
        <v>0.2664115226337449</v>
      </c>
      <c r="AO183" s="234">
        <f>AO209/RevBuild!AO13</f>
        <v>0.24646898002103051</v>
      </c>
      <c r="AP183" s="221">
        <f>AP209/RevBuild!AP13</f>
        <v>0.27277591312931876</v>
      </c>
      <c r="AQ183" s="222">
        <f>AQ209/RevBuild!AQ13</f>
        <v>0.2562622021681969</v>
      </c>
      <c r="AR183" s="303"/>
      <c r="AS183" s="233">
        <f>AS209/RevBuild!AS13</f>
        <v>0.23302777777777778</v>
      </c>
      <c r="AT183" s="234">
        <f>AT209/RevBuild!AT13</f>
        <v>0.21862854251012151</v>
      </c>
      <c r="AU183" s="234">
        <f>AU209/RevBuild!AU13</f>
        <v>0.2127958374628344</v>
      </c>
      <c r="AV183" s="221">
        <f>AV209/RevBuild!AV13</f>
        <v>0.20570565675934824</v>
      </c>
      <c r="AW183" s="222">
        <f>AW209/RevBuild!AW13</f>
        <v>0.21722539703506777</v>
      </c>
      <c r="AX183" s="303"/>
      <c r="AY183" s="233">
        <f>AY209/RevBuild!AY13</f>
        <v>5.0000000000000131E-3</v>
      </c>
      <c r="AZ183" s="234">
        <f>AZ209/RevBuild!AZ13</f>
        <v>0.15000000000000002</v>
      </c>
      <c r="BA183" s="234">
        <f>BA209/RevBuild!BA13</f>
        <v>0.16800000000000007</v>
      </c>
      <c r="BB183" s="221">
        <f>BB209/RevBuild!BB13</f>
        <v>0.19200000000000006</v>
      </c>
      <c r="BC183" s="222">
        <f>BC209/RevBuild!BC13</f>
        <v>0.13341691842900308</v>
      </c>
      <c r="BD183" s="303"/>
      <c r="BE183" s="233">
        <f>BE209/RevBuild!BE13</f>
        <v>9.6000000000000085E-2</v>
      </c>
      <c r="BF183" s="234">
        <f>BF209/RevBuild!BF13</f>
        <v>0.14999999999999994</v>
      </c>
      <c r="BG183" s="234">
        <f>BG209/RevBuild!BG13</f>
        <v>0.18800000000000003</v>
      </c>
      <c r="BH183" s="221">
        <f>BH209/RevBuild!BH13</f>
        <v>0.1963</v>
      </c>
      <c r="BI183" s="222">
        <f>BI209/RevBuild!BI13</f>
        <v>0.16021706629055005</v>
      </c>
      <c r="BJ183" s="303"/>
      <c r="BK183" s="233">
        <f>BK209/RevBuild!BK13</f>
        <v>0.14300000000000007</v>
      </c>
      <c r="BL183" s="234">
        <f>BL209/RevBuild!BL13</f>
        <v>0.24199999999999994</v>
      </c>
      <c r="BM183" s="234">
        <f>BM209/RevBuild!BM13</f>
        <v>0.16850000000000004</v>
      </c>
      <c r="BN183" s="221">
        <f>BN209/RevBuild!BN13</f>
        <v>0.20800000000000007</v>
      </c>
      <c r="BO183" s="222">
        <f>BO209/RevBuild!BO13</f>
        <v>0.19296437823834198</v>
      </c>
      <c r="BP183" s="303"/>
      <c r="BQ183" s="233">
        <f>BQ209/RevBuild!BQ13</f>
        <v>0.11659999999999991</v>
      </c>
      <c r="BR183" s="234">
        <f>BR209/RevBuild!BR13</f>
        <v>0.2579999999999999</v>
      </c>
      <c r="BS183" s="234">
        <f>BS209/RevBuild!BS13</f>
        <v>0.18450000000000005</v>
      </c>
      <c r="BT183" s="221">
        <f>BT209/RevBuild!BT13</f>
        <v>0.224</v>
      </c>
      <c r="BU183" s="222">
        <f>BU209/RevBuild!BU13</f>
        <v>0.19960874812819868</v>
      </c>
      <c r="BV183" s="303"/>
      <c r="BW183" s="233">
        <f>BW209/RevBuild!BW13</f>
        <v>0.12410000000000002</v>
      </c>
      <c r="BX183" s="234">
        <f>BX209/RevBuild!BX13</f>
        <v>0.26549999999999996</v>
      </c>
      <c r="BY183" s="234">
        <f>BY209/RevBuild!BY13</f>
        <v>0.19200000000000006</v>
      </c>
      <c r="BZ183" s="221">
        <f>BZ209/RevBuild!BZ13</f>
        <v>0.23150000000000004</v>
      </c>
      <c r="CA183" s="222">
        <f>CA209/RevBuild!CA13</f>
        <v>0.20719983662662966</v>
      </c>
      <c r="CB183" s="234"/>
      <c r="CC183" s="233">
        <f>CC209/RevBuild!CC13</f>
        <v>0.1331</v>
      </c>
      <c r="CD183" s="234">
        <f>CD209/RevBuild!CD13</f>
        <v>0.27450000000000002</v>
      </c>
      <c r="CE183" s="234">
        <f>CE209/RevBuild!CE13</f>
        <v>0.2010000000000001</v>
      </c>
      <c r="CF183" s="221">
        <f>CF209/RevBuild!CF13</f>
        <v>0.2405000000000001</v>
      </c>
      <c r="CG183" s="222">
        <f>CG209/RevBuild!CG13</f>
        <v>0.21621919923899477</v>
      </c>
      <c r="CH183" s="201"/>
      <c r="CI183" s="233">
        <f>CI209/RevBuild!CI13</f>
        <v>0.13864999999999994</v>
      </c>
      <c r="CJ183" s="234">
        <f>CJ209/RevBuild!CJ13</f>
        <v>0.28005000000000002</v>
      </c>
      <c r="CK183" s="234">
        <f>CK209/RevBuild!CK13</f>
        <v>0.20655000000000004</v>
      </c>
      <c r="CL183" s="221">
        <f>CL209/RevBuild!CL13</f>
        <v>0.24605000000000002</v>
      </c>
      <c r="CM183" s="222">
        <f>CM209/RevBuild!CM13</f>
        <v>0.22179011480659375</v>
      </c>
      <c r="CN183" s="201"/>
      <c r="CO183" s="201"/>
      <c r="CP183" s="201"/>
      <c r="CQ183"/>
      <c r="CR183"/>
      <c r="CS183"/>
      <c r="CT183"/>
      <c r="CU183"/>
      <c r="CV183"/>
      <c r="CW183" s="201"/>
    </row>
    <row r="184" spans="1:101" s="149" customFormat="1">
      <c r="A184" s="501" t="s">
        <v>107</v>
      </c>
      <c r="B184" s="302"/>
      <c r="C184" s="233"/>
      <c r="D184" s="234"/>
      <c r="E184" s="234"/>
      <c r="F184" s="221"/>
      <c r="G184" s="221"/>
      <c r="H184" s="302"/>
      <c r="I184" s="233"/>
      <c r="J184" s="234"/>
      <c r="K184" s="234"/>
      <c r="L184" s="221"/>
      <c r="M184" s="221"/>
      <c r="N184" s="302"/>
      <c r="O184" s="233"/>
      <c r="P184" s="234"/>
      <c r="Q184" s="234"/>
      <c r="R184" s="221"/>
      <c r="S184" s="221"/>
      <c r="T184" s="303"/>
      <c r="U184" s="233"/>
      <c r="V184" s="234"/>
      <c r="W184" s="234"/>
      <c r="X184" s="221"/>
      <c r="Y184" s="221"/>
      <c r="Z184" s="303"/>
      <c r="AA184" s="233"/>
      <c r="AB184" s="234"/>
      <c r="AC184" s="234"/>
      <c r="AD184" s="221"/>
      <c r="AE184" s="221"/>
      <c r="AF184" s="303"/>
      <c r="AG184" s="233"/>
      <c r="AH184" s="234"/>
      <c r="AI184" s="234"/>
      <c r="AJ184" s="221"/>
      <c r="AK184" s="222"/>
      <c r="AL184" s="303"/>
      <c r="AM184" s="233"/>
      <c r="AN184" s="234"/>
      <c r="AO184" s="234"/>
      <c r="AP184" s="221"/>
      <c r="AQ184" s="222"/>
      <c r="AR184" s="303"/>
      <c r="AS184" s="233"/>
      <c r="AT184" s="234"/>
      <c r="AU184" s="234"/>
      <c r="AV184" s="221"/>
      <c r="AW184" s="222"/>
      <c r="AX184" s="303"/>
      <c r="AY184" s="233"/>
      <c r="AZ184" s="234"/>
      <c r="BA184" s="234"/>
      <c r="BB184" s="221"/>
      <c r="BC184" s="222"/>
      <c r="BD184" s="303"/>
      <c r="BE184" s="233"/>
      <c r="BF184" s="234"/>
      <c r="BG184" s="234"/>
      <c r="BH184" s="221"/>
      <c r="BI184" s="222"/>
      <c r="BJ184" s="303"/>
      <c r="BK184" s="233"/>
      <c r="BL184" s="234"/>
      <c r="BM184" s="234"/>
      <c r="BN184" s="221"/>
      <c r="BO184" s="222"/>
      <c r="BP184" s="303"/>
      <c r="BQ184" s="233"/>
      <c r="BR184" s="234"/>
      <c r="BS184" s="234"/>
      <c r="BT184" s="221"/>
      <c r="BU184" s="222"/>
      <c r="BV184" s="303"/>
      <c r="BW184" s="233"/>
      <c r="BX184" s="234"/>
      <c r="BY184" s="234"/>
      <c r="BZ184" s="221"/>
      <c r="CA184" s="222"/>
      <c r="CB184" s="234"/>
      <c r="CC184" s="233"/>
      <c r="CD184" s="234"/>
      <c r="CE184" s="234"/>
      <c r="CF184" s="221"/>
      <c r="CG184" s="222"/>
      <c r="CH184" s="201"/>
      <c r="CI184" s="233"/>
      <c r="CJ184" s="234"/>
      <c r="CK184" s="234"/>
      <c r="CL184" s="221"/>
      <c r="CM184" s="222"/>
      <c r="CN184" s="201"/>
      <c r="CO184" s="201"/>
      <c r="CP184" s="201"/>
      <c r="CQ184"/>
      <c r="CR184"/>
      <c r="CS184"/>
      <c r="CT184"/>
      <c r="CU184"/>
      <c r="CV184"/>
      <c r="CW184" s="201"/>
    </row>
    <row r="185" spans="1:101" s="149" customFormat="1">
      <c r="A185" s="309" t="s">
        <v>146</v>
      </c>
      <c r="B185" s="302"/>
      <c r="C185" s="233"/>
      <c r="D185" s="234"/>
      <c r="E185" s="234"/>
      <c r="F185" s="221"/>
      <c r="G185" s="221"/>
      <c r="H185" s="302"/>
      <c r="I185" s="233"/>
      <c r="J185" s="234"/>
      <c r="K185" s="234"/>
      <c r="L185" s="221"/>
      <c r="M185" s="221"/>
      <c r="N185" s="302"/>
      <c r="O185" s="233"/>
      <c r="P185" s="234"/>
      <c r="Q185" s="234"/>
      <c r="R185" s="221"/>
      <c r="S185" s="221"/>
      <c r="T185" s="303"/>
      <c r="U185" s="233"/>
      <c r="V185" s="234"/>
      <c r="W185" s="234"/>
      <c r="X185" s="221"/>
      <c r="Y185" s="221"/>
      <c r="Z185" s="303"/>
      <c r="AA185" s="233"/>
      <c r="AB185" s="234"/>
      <c r="AC185" s="234"/>
      <c r="AD185" s="221"/>
      <c r="AE185" s="221"/>
      <c r="AF185" s="303"/>
      <c r="AG185" s="233"/>
      <c r="AH185" s="234"/>
      <c r="AI185" s="234"/>
      <c r="AJ185" s="221"/>
      <c r="AK185" s="222"/>
      <c r="AL185" s="303"/>
      <c r="AM185" s="233">
        <f>(AM70-AG70)/(RevBuild!AM17-RevBuild!AG17)</f>
        <v>0.58307692307692405</v>
      </c>
      <c r="AN185" s="234">
        <f>(AN70-AH70)/(RevBuild!AN17-RevBuild!AH17)</f>
        <v>0.83639999999999948</v>
      </c>
      <c r="AO185" s="234">
        <f>(AO70-AI70)/(RevBuild!AO17-RevBuild!AI17)</f>
        <v>0.73425000000000007</v>
      </c>
      <c r="AP185" s="221">
        <f>(AP70-AJ70)/(RevBuild!AP17-RevBuild!AJ17)</f>
        <v>0.56138461538461448</v>
      </c>
      <c r="AQ185" s="222">
        <f>(AQ70-AK70)/(RevBuild!AQ17-RevBuild!AK17)</f>
        <v>0.66766216216216112</v>
      </c>
      <c r="AR185" s="303"/>
      <c r="AS185" s="233">
        <f>(AS70-AM70)/(RevBuild!AS17-RevBuild!AM17)</f>
        <v>0.63199999999999934</v>
      </c>
      <c r="AT185" s="234">
        <f>(AT70-AN70)/(RevBuild!AT17-RevBuild!AN17)</f>
        <v>0.35961111111111027</v>
      </c>
      <c r="AU185" s="234">
        <f>(AU70-AO70)/(RevBuild!AU17-RevBuild!AO17)</f>
        <v>0.48116129032258054</v>
      </c>
      <c r="AV185" s="221">
        <f>(AV70-AP70)/(RevBuild!AV17-RevBuild!AP17)</f>
        <v>0.28057142857142836</v>
      </c>
      <c r="AW185" s="222">
        <f>(AW70-AQ70)/(RevBuild!AW17-RevBuild!AQ17)</f>
        <v>0.4573132530120495</v>
      </c>
      <c r="AX185" s="303"/>
      <c r="AY185" s="233">
        <f>(AY70-AS70)/(RevBuild!AY17-RevBuild!AS17)</f>
        <v>0.78679411764705809</v>
      </c>
      <c r="AZ185" s="234">
        <f>(AZ70-AT70)/(RevBuild!AZ17-RevBuild!AT17)</f>
        <v>-0.88525000000000631</v>
      </c>
      <c r="BA185" s="760" t="str">
        <f>IFERROR((BA70-AU70)/(RevBuild!BA17-RevBuild!AU17),"NM")</f>
        <v>NM</v>
      </c>
      <c r="BB185" s="221">
        <f>(BB70-AV70)/(RevBuild!BB17-RevBuild!AV17)</f>
        <v>1.1006000000000029</v>
      </c>
      <c r="BC185" s="222">
        <f>(BC70-AW70)/(RevBuild!BC17-RevBuild!AW17)</f>
        <v>1.1263695652173935</v>
      </c>
      <c r="BD185" s="303"/>
      <c r="BE185" s="233">
        <f>(BE70-AY70)/(RevBuild!BE17-RevBuild!AY17)</f>
        <v>0.50049999999999906</v>
      </c>
      <c r="BF185" s="234">
        <f>(BF70-AZ70)/(RevBuild!BF17-RevBuild!AZ17)</f>
        <v>0.45447999999999977</v>
      </c>
      <c r="BG185" s="234">
        <f>(BG70-BA70)/(RevBuild!BG17-RevBuild!BA17)</f>
        <v>0.51499999999999935</v>
      </c>
      <c r="BH185" s="221">
        <f>(BH70-BB70)/(RevBuild!BH17-RevBuild!BB17)</f>
        <v>0.38407142857142823</v>
      </c>
      <c r="BI185" s="222">
        <f>(BI70-BC70)/(RevBuild!BI17-RevBuild!BC17)</f>
        <v>0.45536111111110938</v>
      </c>
      <c r="BJ185" s="303"/>
      <c r="BK185" s="233">
        <f>(BK70-BE70)/(RevBuild!BK17-RevBuild!BE17)</f>
        <v>0.20436842105263359</v>
      </c>
      <c r="BL185" s="234">
        <f>(BL70-BF70)/(RevBuild!BL17-RevBuild!BF17)</f>
        <v>0.54024999999999945</v>
      </c>
      <c r="BM185" s="234">
        <f>(BM70-BG70)/(RevBuild!BM17-RevBuild!BG17)</f>
        <v>0.66515384615384654</v>
      </c>
      <c r="BN185" s="221">
        <f>(BN70-BH70)/(RevBuild!BN17-RevBuild!BH17)</f>
        <v>0.51776470588235246</v>
      </c>
      <c r="BO185" s="222">
        <f>(BO70-BI70)/(RevBuild!BO17-RevBuild!BI17)</f>
        <v>0.50512612612612684</v>
      </c>
      <c r="BP185" s="303"/>
      <c r="BQ185" s="233">
        <f>(BQ70-BK70)/(RevBuild!BQ17-RevBuild!BK17)</f>
        <v>0.6754</v>
      </c>
      <c r="BR185" s="234">
        <f>(BR70-BL70)/(RevBuild!BR17-RevBuild!BL17)</f>
        <v>0.54937503858421688</v>
      </c>
      <c r="BS185" s="234">
        <f>(BS70-BM70)/(RevBuild!BS17-RevBuild!BM17)</f>
        <v>0.55175163398692784</v>
      </c>
      <c r="BT185" s="221">
        <f>(BT70-BN70)/(RevBuild!BT17-RevBuild!BN17)</f>
        <v>0.54935761589404009</v>
      </c>
      <c r="BU185" s="222">
        <f>(BU70-BO70)/(RevBuild!BU17-RevBuild!BO17)</f>
        <v>0.57538686340520007</v>
      </c>
      <c r="BV185" s="303"/>
      <c r="BW185" s="233">
        <f>(BW70-BQ70)/(RevBuild!BW17-RevBuild!BQ17)</f>
        <v>0.57349999999999945</v>
      </c>
      <c r="BX185" s="234">
        <f>(BX70-BR70)/(RevBuild!BX17-RevBuild!BR17)</f>
        <v>0.57149999999999979</v>
      </c>
      <c r="BY185" s="234">
        <f>(BY70-BS70)/(RevBuild!BY17-RevBuild!BS17)</f>
        <v>0.57350000000000079</v>
      </c>
      <c r="BZ185" s="221">
        <f>(BZ70-BT70)/(RevBuild!BZ17-RevBuild!BT17)</f>
        <v>0.57049999999999979</v>
      </c>
      <c r="CA185" s="222">
        <f>(CA70-BU70)/(RevBuild!CA17-RevBuild!BU17)</f>
        <v>0.57220743785824768</v>
      </c>
      <c r="CB185" s="234"/>
      <c r="CC185" s="233">
        <f>(CC70-BW70)/(RevBuild!CC17-RevBuild!BW17)</f>
        <v>0.56833333333333369</v>
      </c>
      <c r="CD185" s="234">
        <f>(CD70-BX70)/(RevBuild!CD17-RevBuild!BX17)</f>
        <v>0.56633333333333369</v>
      </c>
      <c r="CE185" s="234">
        <f>(CE70-BY70)/(RevBuild!CE17-RevBuild!BY17)</f>
        <v>0.56833333333333358</v>
      </c>
      <c r="CF185" s="221">
        <f>(CF70-BZ70)/(RevBuild!CF17-RevBuild!BZ17)</f>
        <v>0.56533333333333391</v>
      </c>
      <c r="CG185" s="222">
        <f>(CG70-CA70)/(RevBuild!CG17-RevBuild!CA17)</f>
        <v>0.56704077119158069</v>
      </c>
      <c r="CH185" s="201"/>
      <c r="CI185" s="233">
        <f>(CI70-CC70)/(RevBuild!CI17-RevBuild!CC17)</f>
        <v>0.55800000000000027</v>
      </c>
      <c r="CJ185" s="234">
        <f>(CJ70-CD70)/(RevBuild!CJ17-RevBuild!CD17)</f>
        <v>0.55600000000000027</v>
      </c>
      <c r="CK185" s="234">
        <f>(CK70-CE70)/(RevBuild!CK17-RevBuild!CE17)</f>
        <v>0.55800000000000005</v>
      </c>
      <c r="CL185" s="221">
        <f>(CL70-CF70)/(RevBuild!CL17-RevBuild!CF17)</f>
        <v>0.55499999999999983</v>
      </c>
      <c r="CM185" s="222">
        <f>(CM70-CG70)/(RevBuild!CM17-RevBuild!CG17)</f>
        <v>0.55670743785824583</v>
      </c>
      <c r="CN185" s="201"/>
      <c r="CO185" s="201"/>
      <c r="CP185" s="201"/>
      <c r="CQ185"/>
      <c r="CR185"/>
      <c r="CS185"/>
      <c r="CT185"/>
      <c r="CU185"/>
      <c r="CV185"/>
      <c r="CW185" s="201"/>
    </row>
    <row r="186" spans="1:101" s="149" customFormat="1">
      <c r="A186" s="309" t="s">
        <v>147</v>
      </c>
      <c r="B186" s="302"/>
      <c r="C186" s="233"/>
      <c r="D186" s="234"/>
      <c r="E186" s="234"/>
      <c r="F186" s="221"/>
      <c r="G186" s="221"/>
      <c r="H186" s="302"/>
      <c r="I186" s="233"/>
      <c r="J186" s="234"/>
      <c r="K186" s="234"/>
      <c r="L186" s="221"/>
      <c r="M186" s="221"/>
      <c r="N186" s="302"/>
      <c r="O186" s="233"/>
      <c r="P186" s="234"/>
      <c r="Q186" s="234"/>
      <c r="R186" s="221"/>
      <c r="S186" s="221"/>
      <c r="T186" s="303"/>
      <c r="U186" s="233"/>
      <c r="V186" s="234"/>
      <c r="W186" s="234"/>
      <c r="X186" s="221"/>
      <c r="Y186" s="221"/>
      <c r="Z186" s="303"/>
      <c r="AA186" s="233"/>
      <c r="AB186" s="234"/>
      <c r="AC186" s="234"/>
      <c r="AD186" s="221"/>
      <c r="AE186" s="221"/>
      <c r="AF186" s="303"/>
      <c r="AG186" s="233"/>
      <c r="AH186" s="234"/>
      <c r="AI186" s="234"/>
      <c r="AJ186" s="221"/>
      <c r="AK186" s="222"/>
      <c r="AL186" s="303"/>
      <c r="AM186" s="233">
        <f>(AM212-AG212)/(RevBuild!AM17-RevBuild!AG17)</f>
        <v>-0.15978340756059267</v>
      </c>
      <c r="AN186" s="234">
        <f>(AN212-AH212)/(RevBuild!AN17-RevBuild!AH17)</f>
        <v>0.68576500921164252</v>
      </c>
      <c r="AO186" s="234">
        <f>(AO212-AI212)/(RevBuild!AO17-RevBuild!AI17)</f>
        <v>0.3760693712888255</v>
      </c>
      <c r="AP186" s="221">
        <f>(AP212-AJ212)/(RevBuild!AP17-RevBuild!AJ17)</f>
        <v>0.38263124228513756</v>
      </c>
      <c r="AQ186" s="222">
        <f>(AQ212-AK212)/(RevBuild!AQ17-RevBuild!AK17)</f>
        <v>0.34701473736590566</v>
      </c>
      <c r="AR186" s="303"/>
      <c r="AS186" s="233">
        <f>(AS212-AM212)/(RevBuild!AS17-RevBuild!AM17)</f>
        <v>0.44075396079795792</v>
      </c>
      <c r="AT186" s="234">
        <f>(AT212-AN212)/(RevBuild!AT17-RevBuild!AN17)</f>
        <v>-0.20072561848723561</v>
      </c>
      <c r="AU186" s="234">
        <f>(AU212-AO212)/(RevBuild!AU17-RevBuild!AO17)</f>
        <v>0.12049556390638919</v>
      </c>
      <c r="AV186" s="221">
        <f>(AV212-AP212)/(RevBuild!AV17-RevBuild!AP17)</f>
        <v>-0.19160445221569944</v>
      </c>
      <c r="AW186" s="222">
        <f>(AW212-AQ212)/(RevBuild!AW17-RevBuild!AQ17)</f>
        <v>7.5360460641773208E-2</v>
      </c>
      <c r="AX186" s="303"/>
      <c r="AY186" s="233">
        <f>(AY212-AS212)/(RevBuild!AY17-RevBuild!AS17)</f>
        <v>1.5271339869281055</v>
      </c>
      <c r="AZ186" s="234">
        <f>(AZ212-AT212)/(RevBuild!AZ17-RevBuild!AT17)</f>
        <v>-7.5339309210526366</v>
      </c>
      <c r="BA186" s="760" t="str">
        <f>IFERROR((BA212-AU212)/(RevBuild!BA17-RevBuild!AU17),"NM")</f>
        <v>NM</v>
      </c>
      <c r="BB186" s="221">
        <f>(BB212-AV212)/(RevBuild!BB17-RevBuild!AV17)</f>
        <v>3.5807721955896428</v>
      </c>
      <c r="BC186" s="222">
        <f>(BC212-AW212)/(RevBuild!BC17-RevBuild!AW17)</f>
        <v>5.152927044798802</v>
      </c>
      <c r="BD186" s="303"/>
      <c r="BE186" s="233">
        <f>(BE212-AY212)/(RevBuild!BE17-RevBuild!AY17)</f>
        <v>0.57746153846153669</v>
      </c>
      <c r="BF186" s="234">
        <f>(BF212-AZ212)/(RevBuild!BF17-RevBuild!AZ17)</f>
        <v>0.21500000000000058</v>
      </c>
      <c r="BG186" s="234">
        <f>(BG212-BA212)/(RevBuild!BG17-RevBuild!BA17)</f>
        <v>0.24099999999999908</v>
      </c>
      <c r="BH186" s="221">
        <f>(BH212-BB212)/(RevBuild!BH17-RevBuild!BB17)</f>
        <v>-6.2178571428571923E-2</v>
      </c>
      <c r="BI186" s="222">
        <f>(BI212-BC212)/(RevBuild!BI17-RevBuild!BC17)</f>
        <v>0.18805555555555442</v>
      </c>
      <c r="BJ186" s="303"/>
      <c r="BK186" s="233">
        <f>(BK212-BE212)/(RevBuild!BK17-RevBuild!BE17)</f>
        <v>-0.12289473684210343</v>
      </c>
      <c r="BL186" s="234">
        <f>(BL212-BF212)/(RevBuild!BL17-RevBuild!BF17)</f>
        <v>0.22681249999999942</v>
      </c>
      <c r="BM186" s="234">
        <f>(BM212-BG212)/(RevBuild!BM17-RevBuild!BG17)</f>
        <v>0.32350000000000112</v>
      </c>
      <c r="BN186" s="221">
        <f>(BN212-BH212)/(RevBuild!BN17-RevBuild!BH17)</f>
        <v>0.24750000000000019</v>
      </c>
      <c r="BO186" s="222">
        <f>(BO212-BI212)/(RevBuild!BO17-RevBuild!BI17)</f>
        <v>0.19593693693693767</v>
      </c>
      <c r="BP186" s="303"/>
      <c r="BQ186" s="233">
        <f>(BQ212-BK212)/(RevBuild!BQ17-RevBuild!BK17)</f>
        <v>0.31723999999999974</v>
      </c>
      <c r="BR186" s="234">
        <f>(BR212-BL212)/(RevBuild!BR17-RevBuild!BL17)</f>
        <v>0.35067867064512875</v>
      </c>
      <c r="BS186" s="234">
        <f>(BS212-BM212)/(RevBuild!BS17-RevBuild!BM17)</f>
        <v>0.36914705882352916</v>
      </c>
      <c r="BT186" s="221">
        <f>(BT212-BN212)/(RevBuild!BT17-RevBuild!BN17)</f>
        <v>0.36620529801324525</v>
      </c>
      <c r="BU186" s="222">
        <f>(BU212-BO212)/(RevBuild!BU17-RevBuild!BO17)</f>
        <v>0.3530654636129214</v>
      </c>
      <c r="BV186" s="303"/>
      <c r="BW186" s="233">
        <f>(BW212-BQ212)/(RevBuild!BW17-RevBuild!BQ17)</f>
        <v>0.31684999999999902</v>
      </c>
      <c r="BX186" s="234">
        <f>(BX212-BR212)/(RevBuild!BX17-RevBuild!BR17)</f>
        <v>0.33524999999999994</v>
      </c>
      <c r="BY186" s="234">
        <f>(BY212-BS212)/(RevBuild!BY17-RevBuild!BS17)</f>
        <v>0.35275000000000101</v>
      </c>
      <c r="BZ186" s="221">
        <f>(BZ212-BT212)/(RevBuild!BZ17-RevBuild!BT17)</f>
        <v>0.34824999999999989</v>
      </c>
      <c r="CA186" s="222">
        <f>(CA212-BU212)/(RevBuild!CA17-RevBuild!BU17)</f>
        <v>0.33885604967236282</v>
      </c>
      <c r="CB186" s="234"/>
      <c r="CC186" s="233">
        <f>(CC212-BW212)/(RevBuild!CC17-RevBuild!BW17)</f>
        <v>0.30910000000000032</v>
      </c>
      <c r="CD186" s="234">
        <f>(CD212-BX212)/(RevBuild!CD17-RevBuild!BX17)</f>
        <v>0.3274999999999999</v>
      </c>
      <c r="CE186" s="234">
        <f>(CE212-BY212)/(RevBuild!CE17-RevBuild!BY17)</f>
        <v>0.34500000000000058</v>
      </c>
      <c r="CF186" s="221">
        <f>(CF212-BZ212)/(RevBuild!CF17-RevBuild!BZ17)</f>
        <v>0.34050000000000014</v>
      </c>
      <c r="CG186" s="222">
        <f>(CG212-CA212)/(RevBuild!CG17-RevBuild!CA17)</f>
        <v>0.3311060496723629</v>
      </c>
      <c r="CH186" s="201"/>
      <c r="CI186" s="233">
        <f>(CI212-CC212)/(RevBuild!CI17-RevBuild!CC17)</f>
        <v>0.30865000000000087</v>
      </c>
      <c r="CJ186" s="234">
        <f>(CJ212-CD212)/(RevBuild!CJ17-RevBuild!CD17)</f>
        <v>0.32705000000000084</v>
      </c>
      <c r="CK186" s="234">
        <f>(CK212-CE212)/(RevBuild!CK17-RevBuild!CE17)</f>
        <v>0.34454999999999975</v>
      </c>
      <c r="CL186" s="221">
        <f>(CL212-CF212)/(RevBuild!CL17-RevBuild!CF17)</f>
        <v>0.3400499999999993</v>
      </c>
      <c r="CM186" s="222">
        <f>(CM212-CG212)/(RevBuild!CM17-RevBuild!CG17)</f>
        <v>0.3306560496723619</v>
      </c>
      <c r="CN186" s="201"/>
      <c r="CO186" s="201"/>
      <c r="CP186" s="201"/>
      <c r="CQ186"/>
      <c r="CR186"/>
      <c r="CS186"/>
      <c r="CT186"/>
      <c r="CU186"/>
      <c r="CV186"/>
      <c r="CW186" s="201"/>
    </row>
    <row r="187" spans="1:101" s="149" customFormat="1">
      <c r="A187" s="309" t="s">
        <v>148</v>
      </c>
      <c r="B187" s="302"/>
      <c r="C187" s="241"/>
      <c r="D187" s="242"/>
      <c r="E187" s="242"/>
      <c r="F187" s="305"/>
      <c r="G187" s="221"/>
      <c r="H187" s="302"/>
      <c r="I187" s="241"/>
      <c r="J187" s="242"/>
      <c r="K187" s="242"/>
      <c r="L187" s="305"/>
      <c r="M187" s="221"/>
      <c r="N187" s="302"/>
      <c r="O187" s="241"/>
      <c r="P187" s="242"/>
      <c r="Q187" s="242"/>
      <c r="R187" s="305"/>
      <c r="S187" s="221"/>
      <c r="T187" s="303"/>
      <c r="U187" s="241"/>
      <c r="V187" s="242"/>
      <c r="W187" s="242"/>
      <c r="X187" s="305"/>
      <c r="Y187" s="221"/>
      <c r="Z187" s="303"/>
      <c r="AA187" s="241"/>
      <c r="AB187" s="242"/>
      <c r="AC187" s="242"/>
      <c r="AD187" s="305"/>
      <c r="AE187" s="221"/>
      <c r="AF187" s="303"/>
      <c r="AG187" s="241">
        <f>AG212/RevBuild!AG17</f>
        <v>0.12746557759626606</v>
      </c>
      <c r="AH187" s="242">
        <f>AH212/RevBuild!AH17</f>
        <v>0.11029404900816801</v>
      </c>
      <c r="AI187" s="242">
        <f>AI212/RevBuild!AI17</f>
        <v>0.13356719817767651</v>
      </c>
      <c r="AJ187" s="305">
        <f>AJ212/RevBuild!AJ17</f>
        <v>0.14646687697160893</v>
      </c>
      <c r="AK187" s="243">
        <f>AK212/RevBuild!AK17</f>
        <v>0.12944232101850733</v>
      </c>
      <c r="AL187" s="303"/>
      <c r="AM187" s="241">
        <f>AM212/RevBuild!AM17</f>
        <v>0.11476409185803761</v>
      </c>
      <c r="AN187" s="242">
        <f>AN212/RevBuild!AN17</f>
        <v>0.13841152263374493</v>
      </c>
      <c r="AO187" s="242">
        <f>AO212/RevBuild!AO17</f>
        <v>0.14946898002103054</v>
      </c>
      <c r="AP187" s="305">
        <f>AP212/RevBuild!AP17</f>
        <v>0.1657759131293188</v>
      </c>
      <c r="AQ187" s="243">
        <f>AQ212/RevBuild!AQ17</f>
        <v>0.14259620893493499</v>
      </c>
      <c r="AR187" s="303"/>
      <c r="AS187" s="241">
        <f>AS212/RevBuild!AS17</f>
        <v>0.13552777777777775</v>
      </c>
      <c r="AT187" s="242">
        <f>AT212/RevBuild!AT17</f>
        <v>0.11962854251012139</v>
      </c>
      <c r="AU187" s="242">
        <f>AU212/RevBuild!AU17</f>
        <v>0.14679583746283445</v>
      </c>
      <c r="AV187" s="305">
        <f>AV212/RevBuild!AV17</f>
        <v>0.15070565675934816</v>
      </c>
      <c r="AW187" s="243">
        <f>AW212/RevBuild!AW17</f>
        <v>0.13832645598288265</v>
      </c>
      <c r="AX187" s="303"/>
      <c r="AY187" s="241">
        <f>AY212/RevBuild!AY17</f>
        <v>0.20700000000000002</v>
      </c>
      <c r="AZ187" s="242">
        <f>AZ212/RevBuild!AZ17</f>
        <v>0.215</v>
      </c>
      <c r="BA187" s="242">
        <f>BA212/RevBuild!BA17</f>
        <v>0.22600000000000003</v>
      </c>
      <c r="BB187" s="305">
        <f>BB212/RevBuild!BB17</f>
        <v>0.25100000000000006</v>
      </c>
      <c r="BC187" s="243">
        <f>BC212/RevBuild!BC17</f>
        <v>0.22504511278195494</v>
      </c>
      <c r="BD187" s="303"/>
      <c r="BE187" s="241">
        <f>BE212/RevBuild!BE17</f>
        <v>0.22099999999999997</v>
      </c>
      <c r="BF187" s="242">
        <f>BF212/RevBuild!BF17</f>
        <v>0.21500000000000005</v>
      </c>
      <c r="BG187" s="242">
        <f>BG212/RevBuild!BG17</f>
        <v>0.22699999999999995</v>
      </c>
      <c r="BH187" s="305">
        <f>BH212/RevBuild!BH17</f>
        <v>0.2273</v>
      </c>
      <c r="BI187" s="243">
        <f>BI212/RevBuild!BI17</f>
        <v>0.22270070422535207</v>
      </c>
      <c r="BJ187" s="303"/>
      <c r="BK187" s="241">
        <f>BK212/RevBuild!BK17</f>
        <v>0.20300000000000007</v>
      </c>
      <c r="BL187" s="242">
        <f>BL212/RevBuild!BL17</f>
        <v>0.216</v>
      </c>
      <c r="BM187" s="242">
        <f>BM212/RevBuild!BM17</f>
        <v>0.23350000000000004</v>
      </c>
      <c r="BN187" s="305">
        <f>BN212/RevBuild!BN17</f>
        <v>0.22900000000000001</v>
      </c>
      <c r="BO187" s="243">
        <f>BO212/RevBuild!BO17</f>
        <v>0.22076028739386025</v>
      </c>
      <c r="BP187" s="303"/>
      <c r="BQ187" s="241">
        <f>BQ212/RevBuild!BQ17</f>
        <v>0.21560000000000001</v>
      </c>
      <c r="BR187" s="242">
        <f>BR212/RevBuild!BR17</f>
        <v>0.2340000000000001</v>
      </c>
      <c r="BS187" s="242">
        <f>BS212/RevBuild!BS17</f>
        <v>0.2515</v>
      </c>
      <c r="BT187" s="305">
        <f>BT212/RevBuild!BT17</f>
        <v>0.24700000000000005</v>
      </c>
      <c r="BU187" s="243">
        <f>BU212/RevBuild!BU17</f>
        <v>0.23760604967236212</v>
      </c>
      <c r="BV187" s="303"/>
      <c r="BW187" s="241">
        <f>BW212/RevBuild!BW17</f>
        <v>0.22309999999999997</v>
      </c>
      <c r="BX187" s="242">
        <f>BX212/RevBuild!BX17</f>
        <v>0.24150000000000008</v>
      </c>
      <c r="BY187" s="242">
        <f>BY212/RevBuild!BY17</f>
        <v>0.25900000000000006</v>
      </c>
      <c r="BZ187" s="305">
        <f>BZ212/RevBuild!BZ17</f>
        <v>0.25450000000000006</v>
      </c>
      <c r="CA187" s="243">
        <f>CA212/RevBuild!CA17</f>
        <v>0.24510604967236219</v>
      </c>
      <c r="CB187" s="234"/>
      <c r="CC187" s="241">
        <f>CC212/RevBuild!CC17</f>
        <v>0.2291</v>
      </c>
      <c r="CD187" s="242">
        <f>CD212/RevBuild!CD17</f>
        <v>0.24750000000000005</v>
      </c>
      <c r="CE187" s="242">
        <f>CE212/RevBuild!CE17</f>
        <v>0.26500000000000012</v>
      </c>
      <c r="CF187" s="305">
        <f>CF212/RevBuild!CF17</f>
        <v>0.26050000000000001</v>
      </c>
      <c r="CG187" s="243">
        <f>CG212/RevBuild!CG17</f>
        <v>0.25110604967236222</v>
      </c>
      <c r="CH187" s="201"/>
      <c r="CI187" s="241">
        <f>CI212/RevBuild!CI17</f>
        <v>0.23465000000000005</v>
      </c>
      <c r="CJ187" s="242">
        <f>CJ212/RevBuild!CJ17</f>
        <v>0.25305000000000011</v>
      </c>
      <c r="CK187" s="242">
        <f>CK212/RevBuild!CK17</f>
        <v>0.27055000000000007</v>
      </c>
      <c r="CL187" s="305">
        <f>CL212/RevBuild!CL17</f>
        <v>0.26605000000000001</v>
      </c>
      <c r="CM187" s="243">
        <f>CM212/RevBuild!CM17</f>
        <v>0.25665604967236222</v>
      </c>
      <c r="CN187" s="201"/>
      <c r="CO187" s="201"/>
      <c r="CP187" s="201"/>
      <c r="CQ187"/>
      <c r="CR187"/>
      <c r="CS187"/>
      <c r="CT187"/>
      <c r="CU187"/>
      <c r="CV187"/>
      <c r="CW187" s="201"/>
    </row>
    <row r="188" spans="1:101" s="149" customFormat="1">
      <c r="A188" s="180" t="s">
        <v>149</v>
      </c>
      <c r="B188" s="302"/>
      <c r="C188" s="306"/>
      <c r="D188" s="307"/>
      <c r="E188" s="307"/>
      <c r="F188" s="307"/>
      <c r="G188" s="184"/>
      <c r="H188" s="302"/>
      <c r="I188" s="306"/>
      <c r="J188" s="307"/>
      <c r="K188" s="183"/>
      <c r="L188" s="183"/>
      <c r="M188" s="184"/>
      <c r="N188" s="302"/>
      <c r="O188" s="306"/>
      <c r="P188" s="307"/>
      <c r="Q188" s="183"/>
      <c r="R188" s="183"/>
      <c r="S188" s="184"/>
      <c r="T188" s="303"/>
      <c r="U188" s="182"/>
      <c r="V188" s="183"/>
      <c r="W188" s="183"/>
      <c r="X188" s="183"/>
      <c r="Y188" s="184"/>
      <c r="Z188" s="303"/>
      <c r="AA188" s="182"/>
      <c r="AB188" s="183"/>
      <c r="AC188" s="183"/>
      <c r="AD188" s="308"/>
      <c r="AE188" s="184"/>
      <c r="AF188" s="303"/>
      <c r="AG188" s="182"/>
      <c r="AH188" s="183"/>
      <c r="AI188" s="183"/>
      <c r="AJ188" s="183"/>
      <c r="AK188" s="184"/>
      <c r="AL188" s="303"/>
      <c r="AM188" s="182"/>
      <c r="AN188" s="183"/>
      <c r="AO188" s="183"/>
      <c r="AP188" s="183"/>
      <c r="AQ188" s="184"/>
      <c r="AR188" s="303"/>
      <c r="AS188" s="182"/>
      <c r="AT188" s="183"/>
      <c r="AU188" s="183"/>
      <c r="AV188" s="183"/>
      <c r="AW188" s="184"/>
      <c r="AX188" s="303"/>
      <c r="AY188" s="182"/>
      <c r="AZ188" s="183"/>
      <c r="BA188" s="183"/>
      <c r="BB188" s="183"/>
      <c r="BC188" s="184"/>
      <c r="BD188" s="303"/>
      <c r="BE188" s="182"/>
      <c r="BF188" s="183"/>
      <c r="BG188" s="183"/>
      <c r="BH188" s="183"/>
      <c r="BI188" s="184"/>
      <c r="BJ188" s="303"/>
      <c r="BK188" s="182"/>
      <c r="BL188" s="183"/>
      <c r="BM188" s="183"/>
      <c r="BN188" s="183"/>
      <c r="BO188" s="184"/>
      <c r="BP188" s="303"/>
      <c r="BQ188" s="182"/>
      <c r="BR188" s="183"/>
      <c r="BS188" s="183"/>
      <c r="BT188" s="183"/>
      <c r="BU188" s="184"/>
      <c r="BV188" s="303"/>
      <c r="BW188" s="182"/>
      <c r="BX188" s="183"/>
      <c r="BY188" s="183"/>
      <c r="BZ188" s="183"/>
      <c r="CA188" s="184"/>
      <c r="CB188" s="307"/>
      <c r="CC188" s="182"/>
      <c r="CD188" s="183"/>
      <c r="CE188" s="183"/>
      <c r="CF188" s="183"/>
      <c r="CG188" s="184"/>
      <c r="CH188" s="201"/>
      <c r="CI188" s="182"/>
      <c r="CJ188" s="183"/>
      <c r="CK188" s="183"/>
      <c r="CL188" s="183"/>
      <c r="CM188" s="184"/>
      <c r="CN188" s="201"/>
      <c r="CO188" s="201"/>
      <c r="CP188" s="201"/>
      <c r="CQ188"/>
      <c r="CR188"/>
      <c r="CS188"/>
      <c r="CT188"/>
      <c r="CU188"/>
      <c r="CV188"/>
      <c r="CW188" s="201"/>
    </row>
    <row r="189" spans="1:101" s="149" customFormat="1">
      <c r="A189" s="309" t="s">
        <v>150</v>
      </c>
      <c r="B189" s="302"/>
      <c r="C189" s="233"/>
      <c r="D189" s="234"/>
      <c r="E189" s="234"/>
      <c r="F189" s="234"/>
      <c r="G189" s="222"/>
      <c r="H189" s="302"/>
      <c r="I189" s="233"/>
      <c r="J189" s="234"/>
      <c r="K189" s="234"/>
      <c r="L189" s="234"/>
      <c r="M189" s="222"/>
      <c r="N189" s="302"/>
      <c r="O189" s="233"/>
      <c r="P189" s="234"/>
      <c r="Q189" s="234"/>
      <c r="R189" s="234"/>
      <c r="S189" s="222"/>
      <c r="T189" s="303"/>
      <c r="U189" s="233">
        <f>(U72-O72)/(RevBuild!U18-RevBuild!O18)</f>
        <v>0.5431016949152544</v>
      </c>
      <c r="V189" s="234">
        <f>(V72-P72)/(RevBuild!V18-RevBuild!P18)</f>
        <v>0.57467567567567501</v>
      </c>
      <c r="W189" s="234">
        <f>(W72-Q72)/(RevBuild!W18-RevBuild!Q18)</f>
        <v>0.53530917874396122</v>
      </c>
      <c r="X189" s="234">
        <f>(X72-R72)/(RevBuild!X18-RevBuild!R18)</f>
        <v>0.46983695652173918</v>
      </c>
      <c r="Y189" s="222">
        <f>(Y72-S72)/(RevBuild!Y18-RevBuild!S18)</f>
        <v>0.51144967532467556</v>
      </c>
      <c r="Z189" s="303"/>
      <c r="AA189" s="233">
        <f>(AA72-U72)/(RevBuild!AA18-RevBuild!U18)</f>
        <v>0.43895266272189343</v>
      </c>
      <c r="AB189" s="234">
        <f>(AB72-V72)/(RevBuild!AB18-RevBuild!V18)</f>
        <v>0.4454432234432234</v>
      </c>
      <c r="AC189" s="234">
        <f>(AC72-W72)/(RevBuild!AC18-RevBuild!W18)</f>
        <v>0.38009774436090221</v>
      </c>
      <c r="AD189" s="221">
        <f>(AD72-X72)/(RevBuild!AD18-RevBuild!X18)</f>
        <v>0.47224999999999945</v>
      </c>
      <c r="AE189" s="222">
        <f>(AE72-Y72)/(RevBuild!AE18-RevBuild!Y18)</f>
        <v>0.43231061806656068</v>
      </c>
      <c r="AF189" s="303"/>
      <c r="AG189" s="233">
        <f>(AG72-AA72)/(RevBuild!AG18-RevBuild!AA18)</f>
        <v>0.5164711538461535</v>
      </c>
      <c r="AH189" s="234">
        <f>(AH72-AB72)/(RevBuild!AH18-RevBuild!AB18)</f>
        <v>0.40391666666666975</v>
      </c>
      <c r="AI189" s="234">
        <f>(AI72-AC72)/(RevBuild!AI18-RevBuild!AC18)</f>
        <v>0.62911904761904769</v>
      </c>
      <c r="AJ189" s="234">
        <f>(AJ72-AD72)/(RevBuild!AJ18-RevBuild!AD18)</f>
        <v>0.86926666666666652</v>
      </c>
      <c r="AK189" s="222">
        <f>(AK72-AE72)/(RevBuild!AK18-RevBuild!AE18)</f>
        <v>0.64454077253218933</v>
      </c>
      <c r="AL189" s="303"/>
      <c r="AM189" s="233">
        <f>(AM72-AG72)/(RevBuild!AM18-RevBuild!AG18)</f>
        <v>0.59954455445544586</v>
      </c>
      <c r="AN189" s="234">
        <f>(AN72-AH72)/(RevBuild!AN18-RevBuild!AH18)</f>
        <v>0.67219130434782581</v>
      </c>
      <c r="AO189" s="234">
        <f>(AO72-AI72)/(RevBuild!AO18-RevBuild!AI18)</f>
        <v>0.64341095890410949</v>
      </c>
      <c r="AP189" s="234">
        <f>(AP72-AJ72)/(RevBuild!AP18-RevBuild!AJ18)</f>
        <v>0.49504838709677396</v>
      </c>
      <c r="AQ189" s="222">
        <f>(AQ72-AK72)/(RevBuild!AQ18-RevBuild!AK18)</f>
        <v>0.61401139601139543</v>
      </c>
      <c r="AR189" s="303"/>
      <c r="AS189" s="233">
        <f>(AS72-AM72)/(RevBuild!AS18-RevBuild!AM18)</f>
        <v>0.74324000000000068</v>
      </c>
      <c r="AT189" s="234">
        <f>(AT72-AN72)/(RevBuild!AT18-RevBuild!AN18)</f>
        <v>0.38768749999999841</v>
      </c>
      <c r="AU189" s="234">
        <f>(AU72-AO72)/(RevBuild!AU18-RevBuild!AO18)</f>
        <v>0.64750000000000008</v>
      </c>
      <c r="AV189" s="234">
        <f>(AV72-AP72)/(RevBuild!AV18-RevBuild!AP18)</f>
        <v>0.40593333333332943</v>
      </c>
      <c r="AW189" s="222">
        <f>(AW72-AQ72)/(RevBuild!AW18-RevBuild!AQ18)</f>
        <v>0.60453246753246725</v>
      </c>
      <c r="AX189" s="303"/>
      <c r="AY189" s="233">
        <f>(AY72-AS72)/(RevBuild!AY18-RevBuild!AS18)</f>
        <v>-3.9500000000000708E-2</v>
      </c>
      <c r="AZ189" s="234">
        <f>(AZ72-AT72)/(RevBuild!AZ18-RevBuild!AT18)</f>
        <v>0.19511999999999716</v>
      </c>
      <c r="BA189" s="234">
        <f>(BA72-AU72)/(RevBuild!BA18-RevBuild!AU18)</f>
        <v>0.99280000000001112</v>
      </c>
      <c r="BB189" s="234">
        <f>(BB72-AV72)/(RevBuild!BB18-RevBuild!AV18)</f>
        <v>-0.38400000000001455</v>
      </c>
      <c r="BC189" s="222">
        <f>(BC72-AW72)/(RevBuild!BC18-RevBuild!AW18)</f>
        <v>-0.24470000000001163</v>
      </c>
      <c r="BD189" s="303"/>
      <c r="BE189" s="233">
        <f>(BE72-AY72)/(RevBuild!BE18-RevBuild!AY18)</f>
        <v>9.8215000000000146</v>
      </c>
      <c r="BF189" s="234">
        <f>(BF72-AZ72)/(RevBuild!BF18-RevBuild!AZ18)</f>
        <v>0.70124999999999971</v>
      </c>
      <c r="BG189" s="234">
        <f>(BG72-BA72)/(RevBuild!BG18-RevBuild!BA18)</f>
        <v>0.82686666666666042</v>
      </c>
      <c r="BH189" s="234">
        <f>(BH72-BB72)/(RevBuild!BH18-RevBuild!BB18)</f>
        <v>0.66411842105263252</v>
      </c>
      <c r="BI189" s="222">
        <f>(BI72-BC72)/(RevBuild!BI18-RevBuild!BC18)</f>
        <v>0.81824390243902445</v>
      </c>
      <c r="BJ189" s="303"/>
      <c r="BK189" s="233">
        <f>(BK72-BE72)/(RevBuild!BK18-RevBuild!BE18)</f>
        <v>0.60428205128205148</v>
      </c>
      <c r="BL189" s="234">
        <f>(BL72-BF72)/(RevBuild!BL18-RevBuild!BF18)</f>
        <v>0.72853012048192722</v>
      </c>
      <c r="BM189" s="234">
        <f>(BM72-BG72)/(RevBuild!BM18-RevBuild!BG18)</f>
        <v>0.66240000000000232</v>
      </c>
      <c r="BN189" s="234">
        <f>(BN72-BH72)/(RevBuild!BN18-RevBuild!BH18)</f>
        <v>0.66461538461538361</v>
      </c>
      <c r="BO189" s="222">
        <f>(BO72-BI72)/(RevBuild!BO18-RevBuild!BI18)</f>
        <v>0.67497407407407384</v>
      </c>
      <c r="BP189" s="303"/>
      <c r="BQ189" s="233">
        <f>(BQ72-BK72)/(RevBuild!BQ18-RevBuild!BK18)</f>
        <v>0.703090277777777</v>
      </c>
      <c r="BR189" s="234">
        <f>(BR72-BL72)/(RevBuild!BR18-RevBuild!BL18)</f>
        <v>0.60369993682408174</v>
      </c>
      <c r="BS189" s="234">
        <f>(BS72-BM72)/(RevBuild!BS18-RevBuild!BM18)</f>
        <v>0.5947240620439731</v>
      </c>
      <c r="BT189" s="234">
        <f>(BT72-BN72)/(RevBuild!BT18-RevBuild!BN18)</f>
        <v>0.60333039500411767</v>
      </c>
      <c r="BU189" s="222">
        <f>(BU72-BO72)/(RevBuild!BU18-RevBuild!BO18)</f>
        <v>0.62727357044901577</v>
      </c>
      <c r="BV189" s="303"/>
      <c r="BW189" s="233">
        <f>(BW72-BQ72)/(RevBuild!BW18-RevBuild!BQ18)</f>
        <v>0.64164595853995432</v>
      </c>
      <c r="BX189" s="234">
        <f>(BX72-BR72)/(RevBuild!BX18-RevBuild!BR18)</f>
        <v>0.63804265351712874</v>
      </c>
      <c r="BY189" s="234">
        <f>(BY72-BS72)/(RevBuild!BY18-RevBuild!BS18)</f>
        <v>0.61370758011256243</v>
      </c>
      <c r="BZ189" s="234">
        <f>(BZ72-BT72)/(RevBuild!BZ18-RevBuild!BT18)</f>
        <v>0.6272122417331587</v>
      </c>
      <c r="CA189" s="222">
        <f>(CA72-BU72)/(RevBuild!CA18-RevBuild!BU18)</f>
        <v>0.62920519225787075</v>
      </c>
      <c r="CB189" s="234"/>
      <c r="CC189" s="233">
        <f>(CC72-BW72)/(RevBuild!CC18-RevBuild!BW18)</f>
        <v>0.623603408842616</v>
      </c>
      <c r="CD189" s="234">
        <f>(CD72-BX72)/(RevBuild!CD18-RevBuild!BX18)</f>
        <v>0.62714489170370558</v>
      </c>
      <c r="CE189" s="234">
        <f>(CE72-BY72)/(RevBuild!CE18-RevBuild!BY18)</f>
        <v>0.601859182550602</v>
      </c>
      <c r="CF189" s="234">
        <f>(CF72-BZ72)/(RevBuild!CF18-RevBuild!BZ18)</f>
        <v>0.61679775867959741</v>
      </c>
      <c r="CG189" s="222">
        <f>(CG72-CA72)/(RevBuild!CG18-RevBuild!CA18)</f>
        <v>0.61671160444084872</v>
      </c>
      <c r="CH189" s="201"/>
      <c r="CI189" s="233">
        <f>(CI72-CC72)/(RevBuild!CI18-RevBuild!CC18)</f>
        <v>0.60708075159705732</v>
      </c>
      <c r="CJ189" s="234">
        <f>(CJ72-CD72)/(RevBuild!CJ18-RevBuild!CD18)</f>
        <v>0.61266590410329758</v>
      </c>
      <c r="CK189" s="234">
        <f>(CK72-CE72)/(RevBuild!CK18-RevBuild!CE18)</f>
        <v>0.58770505386779548</v>
      </c>
      <c r="CL189" s="234">
        <f>(CL72-CF72)/(RevBuild!CL18-RevBuild!CF18)</f>
        <v>0.60258568302957449</v>
      </c>
      <c r="CM189" s="222">
        <f>(CM72-CG72)/(RevBuild!CM18-RevBuild!CG18)</f>
        <v>0.60185456959206696</v>
      </c>
      <c r="CN189" s="201"/>
      <c r="CO189" s="201"/>
      <c r="CP189" s="201"/>
      <c r="CQ189"/>
      <c r="CR189"/>
      <c r="CS189"/>
      <c r="CT189"/>
      <c r="CU189"/>
      <c r="CV189"/>
      <c r="CW189" s="201"/>
    </row>
    <row r="190" spans="1:101" s="149" customFormat="1">
      <c r="A190" s="309" t="s">
        <v>151</v>
      </c>
      <c r="B190" s="302"/>
      <c r="C190" s="233"/>
      <c r="D190" s="234"/>
      <c r="E190" s="234"/>
      <c r="F190" s="234"/>
      <c r="G190" s="222"/>
      <c r="H190" s="302"/>
      <c r="I190" s="233"/>
      <c r="J190" s="234"/>
      <c r="K190" s="234"/>
      <c r="L190" s="234"/>
      <c r="M190" s="222">
        <f>(M147-G147)/(RevBuild!M18-RevBuild!G18)</f>
        <v>0.32288401253918497</v>
      </c>
      <c r="N190" s="302"/>
      <c r="O190" s="233"/>
      <c r="P190" s="234"/>
      <c r="Q190" s="234"/>
      <c r="R190" s="234"/>
      <c r="S190" s="222">
        <f>(S147-M147)/(RevBuild!S18-RevBuild!M18)</f>
        <v>0.15151515151515152</v>
      </c>
      <c r="T190" s="303"/>
      <c r="U190" s="233">
        <f>(U147-O147)/(RevBuild!U18-RevBuild!O18)</f>
        <v>0.3559322033898305</v>
      </c>
      <c r="V190" s="234">
        <f>(V147-P147)/(RevBuild!V18-RevBuild!P18)</f>
        <v>0.21621621621621623</v>
      </c>
      <c r="W190" s="234">
        <f>(W147-Q147)/(RevBuild!W18-RevBuild!Q18)</f>
        <v>0.16425120772946861</v>
      </c>
      <c r="X190" s="234">
        <f>(X147-R147)/(RevBuild!X18-RevBuild!R18)</f>
        <v>0.14130434782608695</v>
      </c>
      <c r="Y190" s="222">
        <f>(Y147-S147)/(RevBuild!Y18-RevBuild!S18)</f>
        <v>0.17857142857142858</v>
      </c>
      <c r="Z190" s="303"/>
      <c r="AA190" s="233">
        <f>(AA147-U147)/(RevBuild!AA18-RevBuild!U18)</f>
        <v>-5.3254437869822487E-2</v>
      </c>
      <c r="AB190" s="234">
        <f>(AB147-V147)/(RevBuild!AB18-RevBuild!V18)</f>
        <v>0.10256410256410256</v>
      </c>
      <c r="AC190" s="234">
        <f>(AC147-W147)/(RevBuild!AC18-RevBuild!W18)</f>
        <v>0.10526315789473684</v>
      </c>
      <c r="AD190" s="221">
        <f>(AD147-X147)/(RevBuild!AD18-RevBuild!X18)</f>
        <v>0.30357142857142855</v>
      </c>
      <c r="AE190" s="222">
        <f>(AE147-Y147)/(RevBuild!AE18-RevBuild!Y18)</f>
        <v>7.9239302694136288E-2</v>
      </c>
      <c r="AF190" s="303"/>
      <c r="AG190" s="233">
        <f>(AG147-AA147)/(RevBuild!AG18-RevBuild!AA18)</f>
        <v>0.39423076923076922</v>
      </c>
      <c r="AH190" s="234">
        <f>(AH147-AB147)/(RevBuild!AH18-RevBuild!AB18)</f>
        <v>-8.3333333333333329E-2</v>
      </c>
      <c r="AI190" s="234">
        <f>(AI147-AC147)/(RevBuild!AI18-RevBuild!AC18)</f>
        <v>0.33333333333333331</v>
      </c>
      <c r="AJ190" s="234">
        <f>(AJ147-AD147)/(RevBuild!AJ18-RevBuild!AD18)</f>
        <v>0.38666666666666666</v>
      </c>
      <c r="AK190" s="222">
        <f>(AK147-AE147)/(RevBuild!AK18-RevBuild!AE18)</f>
        <v>0.35622317596566522</v>
      </c>
      <c r="AL190" s="303"/>
      <c r="AM190" s="233">
        <f>(AM147-AG147)/(RevBuild!AM18-RevBuild!AG18)</f>
        <v>8.9108910891089105E-2</v>
      </c>
      <c r="AN190" s="234">
        <f>(AN147-AH147)/(RevBuild!AN18-RevBuild!AH18)</f>
        <v>0.4</v>
      </c>
      <c r="AO190" s="234">
        <f>(AO147-AI147)/(RevBuild!AO18-RevBuild!AI18)</f>
        <v>0.28767123287671231</v>
      </c>
      <c r="AP190" s="234">
        <f>(AP147-AJ147)/(RevBuild!AP18-RevBuild!AJ18)</f>
        <v>0.37096774193548387</v>
      </c>
      <c r="AQ190" s="222">
        <f>(AQ147-AK147)/(RevBuild!AQ18-RevBuild!AK18)</f>
        <v>0.28205128205128205</v>
      </c>
      <c r="AR190" s="303"/>
      <c r="AS190" s="233">
        <f>(AS147-AM147)/(RevBuild!AS18-RevBuild!AM18)</f>
        <v>0.6</v>
      </c>
      <c r="AT190" s="234">
        <f>(AT147-AN147)/(RevBuild!AT18-RevBuild!AN18)</f>
        <v>-0.6875</v>
      </c>
      <c r="AU190" s="234">
        <f>(AU147-AO147)/(RevBuild!AU18-RevBuild!AO18)</f>
        <v>0.27586206896551724</v>
      </c>
      <c r="AV190" s="234">
        <f>(AV147-AP147)/(RevBuild!AV18-RevBuild!AP18)</f>
        <v>-0.13333333333333333</v>
      </c>
      <c r="AW190" s="222">
        <f>(AW147-AQ147)/(RevBuild!AW18-RevBuild!AQ18)</f>
        <v>0.20129870129870131</v>
      </c>
      <c r="AX190" s="303"/>
      <c r="AY190" s="233">
        <f>(AY147-AS147)/(RevBuild!AY18-RevBuild!AS18)</f>
        <v>-0.91838888888888603</v>
      </c>
      <c r="AZ190" s="234">
        <f>(AZ147-AT147)/(RevBuild!AZ18-RevBuild!AT18)</f>
        <v>-8.3959999999999577E-2</v>
      </c>
      <c r="BA190" s="234">
        <f>(BA147-AU147)/(RevBuild!BA18-RevBuild!AU18)</f>
        <v>1.909800000000007</v>
      </c>
      <c r="BB190" s="234">
        <f>(BB147-AV147)/(RevBuild!BB18-RevBuild!AV18)</f>
        <v>-1.2522500000000036</v>
      </c>
      <c r="BC190" s="222">
        <f>(BC147-AW147)/(RevBuild!BC18-RevBuild!AW18)</f>
        <v>-0.5135000000000105</v>
      </c>
      <c r="BD190" s="303"/>
      <c r="BE190" s="233">
        <f>(BE147-AY147)/(RevBuild!BE18-RevBuild!AY18)</f>
        <v>14.432499999999948</v>
      </c>
      <c r="BF190" s="234">
        <f>(BF147-AZ147)/(RevBuild!BF18-RevBuild!AZ18)</f>
        <v>0.46501785714285709</v>
      </c>
      <c r="BG190" s="234">
        <f>(BG147-BA147)/(RevBuild!BG18-RevBuild!BA18)</f>
        <v>0.40916666666666401</v>
      </c>
      <c r="BH190" s="234">
        <f>(BH147-BB147)/(RevBuild!BH18-RevBuild!BB18)</f>
        <v>0.31680657894736702</v>
      </c>
      <c r="BI190" s="222">
        <f>(BI147-BC147)/(RevBuild!BI18-RevBuild!BC18)</f>
        <v>0.55645304878048552</v>
      </c>
      <c r="BJ190" s="303"/>
      <c r="BK190" s="233">
        <f>(BK147-BE147)/(RevBuild!BK18-RevBuild!BE18)</f>
        <v>0.45889743589743859</v>
      </c>
      <c r="BL190" s="234">
        <f>(BL147-BF147)/(RevBuild!BL18-RevBuild!BF18)</f>
        <v>0.55453012048192751</v>
      </c>
      <c r="BM190" s="234">
        <f>(BM147-BG147)/(RevBuild!BM18-RevBuild!BG18)</f>
        <v>0.34845857142857262</v>
      </c>
      <c r="BN190" s="234">
        <f>(BN147-BH147)/(RevBuild!BN18-RevBuild!BH18)</f>
        <v>0.34007307692307764</v>
      </c>
      <c r="BO190" s="222">
        <f>(BO147-BI147)/(RevBuild!BO18-RevBuild!BI18)</f>
        <v>0.42533629629629738</v>
      </c>
      <c r="BP190" s="303"/>
      <c r="BQ190" s="233">
        <f>(BQ147-BK147)/(RevBuild!BQ18-RevBuild!BK18)</f>
        <v>0.31598333333333251</v>
      </c>
      <c r="BR190" s="234">
        <f>(BR147-BL147)/(RevBuild!BR18-RevBuild!BL18)</f>
        <v>0.35787568439277156</v>
      </c>
      <c r="BS190" s="234">
        <f>(BS147-BM147)/(RevBuild!BS18-RevBuild!BM18)</f>
        <v>0.3799240610980173</v>
      </c>
      <c r="BT190" s="234">
        <f>(BT147-BN147)/(RevBuild!BT18-RevBuild!BN18)</f>
        <v>0.40340759374168439</v>
      </c>
      <c r="BU190" s="222">
        <f>(BU147-BO147)/(RevBuild!BU18-RevBuild!BO18)</f>
        <v>0.36273264701870273</v>
      </c>
      <c r="BV190" s="303"/>
      <c r="BW190" s="233">
        <f>(BW147-BQ147)/(RevBuild!BW18-RevBuild!BQ18)</f>
        <v>0.33911447029106528</v>
      </c>
      <c r="BX190" s="234">
        <f>(BX147-BR147)/(RevBuild!BX18-RevBuild!BR18)</f>
        <v>0.3543769533285781</v>
      </c>
      <c r="BY190" s="234">
        <f>(BY147-BS147)/(RevBuild!BY18-RevBuild!BS18)</f>
        <v>0.32393392460286252</v>
      </c>
      <c r="BZ190" s="234">
        <f>(BZ147-BT147)/(RevBuild!BZ18-RevBuild!BT18)</f>
        <v>0.34700684327031811</v>
      </c>
      <c r="CA190" s="222">
        <f>(CA147-BU147)/(RevBuild!CA18-RevBuild!BU18)</f>
        <v>0.3406891144349482</v>
      </c>
      <c r="CB190" s="234"/>
      <c r="CC190" s="233">
        <f>(CC147-BW147)/(RevBuild!CC18-RevBuild!BW18)</f>
        <v>0.33355406837862217</v>
      </c>
      <c r="CD190" s="234">
        <f>(CD147-BX147)/(RevBuild!CD18-RevBuild!BX18)</f>
        <v>0.37306792270157202</v>
      </c>
      <c r="CE190" s="234">
        <f>(CE147-BY147)/(RevBuild!CE18-RevBuild!BY18)</f>
        <v>0.33753135601530021</v>
      </c>
      <c r="CF190" s="234">
        <f>(CF147-BZ147)/(RevBuild!CF18-RevBuild!BZ18)</f>
        <v>0.36403331077609463</v>
      </c>
      <c r="CG190" s="222">
        <f>(CG147-CA147)/(RevBuild!CG18-RevBuild!CA18)</f>
        <v>0.35233985603510753</v>
      </c>
      <c r="CH190" s="201"/>
      <c r="CI190" s="233">
        <f>(CI147-CC147)/(RevBuild!CI18-RevBuild!CC18)</f>
        <v>0.32976389614042484</v>
      </c>
      <c r="CJ190" s="234">
        <f>(CJ147-CD147)/(RevBuild!CJ18-RevBuild!CD18)</f>
        <v>0.37090980657388978</v>
      </c>
      <c r="CK190" s="234">
        <f>(CK147-CE147)/(RevBuild!CK18-RevBuild!CE18)</f>
        <v>0.33146684871286586</v>
      </c>
      <c r="CL190" s="234">
        <f>(CL147-CF147)/(RevBuild!CL18-RevBuild!CF18)</f>
        <v>0.35932413148692666</v>
      </c>
      <c r="CM190" s="222">
        <f>(CM147-CG147)/(RevBuild!CM18-RevBuild!CG18)</f>
        <v>0.34803491386890051</v>
      </c>
      <c r="CN190" s="201"/>
      <c r="CO190" s="201"/>
      <c r="CP190" s="201"/>
      <c r="CQ190"/>
      <c r="CR190"/>
      <c r="CS190"/>
      <c r="CT190"/>
      <c r="CU190"/>
      <c r="CV190"/>
      <c r="CW190" s="201"/>
    </row>
    <row r="191" spans="1:101" s="154" customFormat="1">
      <c r="A191" s="309" t="s">
        <v>148</v>
      </c>
      <c r="B191" s="311"/>
      <c r="C191" s="2049">
        <f>+C157</f>
        <v>0.16483516483516483</v>
      </c>
      <c r="D191" s="2050">
        <f>+D157</f>
        <v>0.12616822429906541</v>
      </c>
      <c r="E191" s="2050">
        <f>+E157</f>
        <v>0.16417910447761194</v>
      </c>
      <c r="F191" s="2050">
        <f>+F157</f>
        <v>0.19274809160305342</v>
      </c>
      <c r="G191" s="2051">
        <f>+G157</f>
        <v>0.1636460554371002</v>
      </c>
      <c r="H191" s="311"/>
      <c r="I191" s="2049">
        <f>+I157</f>
        <v>0.16384180790960451</v>
      </c>
      <c r="J191" s="2050">
        <f>+J157</f>
        <v>0.16037735849056603</v>
      </c>
      <c r="K191" s="2050">
        <f>+K157</f>
        <v>0.18888888888888888</v>
      </c>
      <c r="L191" s="2050">
        <f>+L157</f>
        <v>0.22895622895622897</v>
      </c>
      <c r="M191" s="2051">
        <f>+M157</f>
        <v>0.18678815489749431</v>
      </c>
      <c r="N191" s="311"/>
      <c r="O191" s="2049">
        <f t="shared" ref="O191:Y191" si="92">+O157</f>
        <v>0.19238095238095237</v>
      </c>
      <c r="P191" s="2050">
        <f t="shared" si="92"/>
        <v>0.17871485943775101</v>
      </c>
      <c r="Q191" s="2050">
        <f t="shared" si="92"/>
        <v>0.18346774193548387</v>
      </c>
      <c r="R191" s="2050">
        <f t="shared" si="92"/>
        <v>0.20036764705882354</v>
      </c>
      <c r="S191" s="2051">
        <f t="shared" si="92"/>
        <v>0.18904507998061076</v>
      </c>
      <c r="T191" s="312">
        <f t="shared" si="92"/>
        <v>0</v>
      </c>
      <c r="U191" s="2049">
        <f t="shared" si="92"/>
        <v>0.2089041095890411</v>
      </c>
      <c r="V191" s="2050">
        <f t="shared" si="92"/>
        <v>0.18356643356643357</v>
      </c>
      <c r="W191" s="2050">
        <f t="shared" si="92"/>
        <v>0.17780938833570412</v>
      </c>
      <c r="X191" s="2050">
        <f t="shared" si="92"/>
        <v>0.18048780487804877</v>
      </c>
      <c r="Y191" s="2051">
        <f t="shared" si="92"/>
        <v>0.1866368047779022</v>
      </c>
      <c r="Z191" s="312"/>
      <c r="AA191" s="2049">
        <f>+AA157</f>
        <v>0.150066401062417</v>
      </c>
      <c r="AB191" s="2050">
        <f>+AB157</f>
        <v>0.15739644970414202</v>
      </c>
      <c r="AC191" s="2050">
        <f>+AC157</f>
        <v>0.16626794258373206</v>
      </c>
      <c r="AD191" s="2052">
        <f>+AD157</f>
        <v>0.18835616438356165</v>
      </c>
      <c r="AE191" s="2051">
        <f>+AE157</f>
        <v>0.16616314199395771</v>
      </c>
      <c r="AF191" s="312"/>
      <c r="AG191" s="2049">
        <f>+AG157</f>
        <v>0.17969661610268378</v>
      </c>
      <c r="AH191" s="2050">
        <f>+AH157</f>
        <v>0.15402567094515754</v>
      </c>
      <c r="AI191" s="2050">
        <f>+AI157</f>
        <v>0.17425968109339407</v>
      </c>
      <c r="AJ191" s="2050">
        <f>+AJ157</f>
        <v>0.20399579390115669</v>
      </c>
      <c r="AK191" s="2051">
        <f>+AK157</f>
        <v>0.17866215071972905</v>
      </c>
      <c r="AL191" s="312"/>
      <c r="AM191" s="2049">
        <f>+AM157</f>
        <v>0.17014613778705637</v>
      </c>
      <c r="AN191" s="2050">
        <f>+AN157</f>
        <v>0.1831275720164609</v>
      </c>
      <c r="AO191" s="2050">
        <f>+AO157</f>
        <v>0.18296529968454259</v>
      </c>
      <c r="AP191" s="2050">
        <f>+AP157</f>
        <v>0.21421520236920039</v>
      </c>
      <c r="AQ191" s="2051">
        <f>+AQ157</f>
        <v>0.18798151001540833</v>
      </c>
      <c r="AR191" s="312"/>
      <c r="AS191" s="2049">
        <f>+AS157</f>
        <v>0.19146825396825398</v>
      </c>
      <c r="AT191" s="2050">
        <f>+AT157</f>
        <v>0.16902834008097167</v>
      </c>
      <c r="AU191" s="2050">
        <f>+AU157</f>
        <v>0.18830525272547077</v>
      </c>
      <c r="AV191" s="2050">
        <f>+AV157</f>
        <v>0.20421860019175456</v>
      </c>
      <c r="AW191" s="2051">
        <f>+AW157</f>
        <v>0.18848814229249011</v>
      </c>
      <c r="AX191" s="312"/>
      <c r="AY191" s="2049">
        <f>+AY157</f>
        <v>0.17199707602339187</v>
      </c>
      <c r="AZ191" s="2050">
        <f>+AZ157</f>
        <v>0.17559605399792313</v>
      </c>
      <c r="BA191" s="2050">
        <f>+BA157</f>
        <v>0.19679388560157796</v>
      </c>
      <c r="BB191" s="2050">
        <f>+BB157</f>
        <v>0.21547632850241549</v>
      </c>
      <c r="BC191" s="2051">
        <f>+BC157</f>
        <v>0.19022659732540864</v>
      </c>
      <c r="BD191" s="312"/>
      <c r="BE191" s="2049">
        <f>+BE157</f>
        <v>0.19974124513618671</v>
      </c>
      <c r="BF191" s="2050">
        <f>+BF157</f>
        <v>0.19150147203140333</v>
      </c>
      <c r="BG191" s="2050">
        <f>+BG157</f>
        <v>0.2028965517241379</v>
      </c>
      <c r="BH191" s="2050">
        <f>+BH157</f>
        <v>0.22240801080108005</v>
      </c>
      <c r="BI191" s="2051">
        <f>+BI157</f>
        <v>0.20452006187529742</v>
      </c>
      <c r="BJ191" s="312"/>
      <c r="BK191" s="2049">
        <f>+BK157</f>
        <v>0.20921368322399256</v>
      </c>
      <c r="BL191" s="2050">
        <f>+BL157</f>
        <v>0.21884392014519052</v>
      </c>
      <c r="BM191" s="2050">
        <f>+BM157</f>
        <v>0.21204317773788153</v>
      </c>
      <c r="BN191" s="2050">
        <f>+BN157</f>
        <v>0.23012699747687129</v>
      </c>
      <c r="BO191" s="2051">
        <f>+BO157</f>
        <v>0.21785199016100179</v>
      </c>
      <c r="BP191" s="312"/>
      <c r="BQ191" s="2049">
        <f>+BQ157</f>
        <v>0.22190966143682903</v>
      </c>
      <c r="BR191" s="2050">
        <f>+BR157</f>
        <v>0.23586204468738153</v>
      </c>
      <c r="BS191" s="2050">
        <f>+BS157</f>
        <v>0.22945871557646302</v>
      </c>
      <c r="BT191" s="2050">
        <f>+BT157</f>
        <v>0.24712983556316778</v>
      </c>
      <c r="BU191" s="2051">
        <f>+BU157</f>
        <v>0.2338731324615119</v>
      </c>
      <c r="BV191" s="312"/>
      <c r="BW191" s="2049">
        <f>+BW157</f>
        <v>0.22930743297511477</v>
      </c>
      <c r="BX191" s="2050">
        <f>+BX157</f>
        <v>0.24336268361041394</v>
      </c>
      <c r="BY191" s="2050">
        <f>+BY157</f>
        <v>0.23653209454636587</v>
      </c>
      <c r="BZ191" s="2050">
        <f>+BZ157</f>
        <v>0.2543866867091823</v>
      </c>
      <c r="CA191" s="2051">
        <f>+CA157</f>
        <v>0.24120045902250076</v>
      </c>
      <c r="CB191" s="2050"/>
      <c r="CC191" s="2049">
        <f>+CC157</f>
        <v>0.23509942706457795</v>
      </c>
      <c r="CD191" s="2050">
        <f>+CD157</f>
        <v>0.25091330901775682</v>
      </c>
      <c r="CE191" s="2050">
        <f>+CE157</f>
        <v>0.24313903044764076</v>
      </c>
      <c r="CF191" s="2050">
        <f>+CF157</f>
        <v>0.26121205643653755</v>
      </c>
      <c r="CG191" s="2051">
        <f>+CG157</f>
        <v>0.24791865157033185</v>
      </c>
      <c r="CH191" s="573"/>
      <c r="CI191" s="2049">
        <f>+CI157</f>
        <v>0.24052901524278977</v>
      </c>
      <c r="CJ191" s="2050">
        <f>+CJ157</f>
        <v>0.25814409846008157</v>
      </c>
      <c r="CK191" s="2050">
        <f>+CK157</f>
        <v>0.24920140932230289</v>
      </c>
      <c r="CL191" s="2050">
        <f>+CL157</f>
        <v>0.26758479704144955</v>
      </c>
      <c r="CM191" s="2051">
        <f>+CM157</f>
        <v>0.25421810830402913</v>
      </c>
      <c r="CN191" s="573"/>
      <c r="CO191" s="573"/>
      <c r="CP191" s="573"/>
      <c r="CQ191"/>
      <c r="CR191"/>
      <c r="CS191"/>
      <c r="CT191"/>
      <c r="CU191"/>
      <c r="CV191"/>
      <c r="CW191" s="573"/>
    </row>
    <row r="192" spans="1:101" s="149" customFormat="1">
      <c r="A192" s="1946"/>
      <c r="B192" s="17"/>
      <c r="C192" s="179"/>
      <c r="D192" s="179"/>
      <c r="E192" s="179"/>
      <c r="F192" s="179"/>
      <c r="G192" s="418"/>
      <c r="H192" s="17"/>
      <c r="I192" s="179"/>
      <c r="J192" s="179"/>
      <c r="K192" s="179"/>
      <c r="L192" s="179"/>
      <c r="M192" s="418"/>
      <c r="N192" s="17"/>
      <c r="O192" s="179"/>
      <c r="P192" s="179"/>
      <c r="Q192" s="179"/>
      <c r="R192" s="179"/>
      <c r="S192" s="418"/>
      <c r="T192" s="129"/>
      <c r="U192" s="179"/>
      <c r="V192" s="179"/>
      <c r="W192" s="179"/>
      <c r="X192" s="179"/>
      <c r="Y192" s="418"/>
      <c r="Z192" s="129"/>
      <c r="AA192" s="179"/>
      <c r="AB192" s="179"/>
      <c r="AC192" s="179"/>
      <c r="AD192" s="179"/>
      <c r="AE192" s="418"/>
      <c r="AF192" s="129"/>
      <c r="AG192" s="179"/>
      <c r="AH192" s="179"/>
      <c r="AI192" s="179"/>
      <c r="AJ192" s="179"/>
      <c r="AK192" s="418"/>
      <c r="AL192" s="129"/>
      <c r="AM192" s="179"/>
      <c r="AN192" s="179"/>
      <c r="AO192" s="179"/>
      <c r="AP192" s="179"/>
      <c r="AQ192" s="418"/>
      <c r="AR192" s="129"/>
      <c r="AS192" s="267"/>
      <c r="AT192" s="125"/>
      <c r="AU192" s="125"/>
      <c r="AV192" s="125"/>
      <c r="AW192" s="312"/>
      <c r="AX192" s="129"/>
      <c r="AY192" s="267"/>
      <c r="AZ192" s="125"/>
      <c r="BA192" s="125"/>
      <c r="BB192" s="125"/>
      <c r="BC192" s="267"/>
      <c r="BD192" s="129"/>
      <c r="BE192" s="267"/>
      <c r="BF192" s="125"/>
      <c r="BG192" s="125"/>
      <c r="BH192" s="125"/>
      <c r="BI192" s="267"/>
      <c r="BJ192" s="129"/>
      <c r="BK192" s="267"/>
      <c r="BL192" s="125"/>
      <c r="BM192" s="125"/>
      <c r="BN192" s="125"/>
      <c r="BO192" s="267"/>
      <c r="BP192" s="129"/>
      <c r="BQ192" s="267"/>
      <c r="BR192" s="125"/>
      <c r="BS192" s="125"/>
      <c r="BT192" s="125"/>
      <c r="BU192" s="267"/>
      <c r="BV192" s="129"/>
      <c r="BW192" s="267"/>
      <c r="BX192" s="125"/>
      <c r="BY192" s="125"/>
      <c r="BZ192" s="125"/>
      <c r="CA192" s="267"/>
      <c r="CB192" s="267"/>
      <c r="CC192" s="267"/>
      <c r="CD192" s="125"/>
      <c r="CE192" s="125"/>
      <c r="CF192" s="125"/>
      <c r="CG192" s="267"/>
      <c r="CI192" s="267"/>
      <c r="CJ192" s="125"/>
      <c r="CK192" s="125"/>
      <c r="CL192" s="125"/>
      <c r="CM192" s="267"/>
      <c r="CQ192"/>
      <c r="CR192"/>
      <c r="CS192"/>
      <c r="CT192"/>
      <c r="CU192"/>
      <c r="CV192"/>
    </row>
    <row r="193" spans="1:101" s="149" customFormat="1" ht="12.75" customHeight="1">
      <c r="A193" s="132" t="s">
        <v>152</v>
      </c>
      <c r="B193" s="1248"/>
      <c r="C193" s="30">
        <v>39113</v>
      </c>
      <c r="D193" s="28">
        <v>39202</v>
      </c>
      <c r="E193" s="28">
        <v>39293</v>
      </c>
      <c r="F193" s="361">
        <v>39384</v>
      </c>
      <c r="G193" s="386" t="s">
        <v>59</v>
      </c>
      <c r="H193" s="1248"/>
      <c r="I193" s="30">
        <v>39478</v>
      </c>
      <c r="J193" s="28">
        <v>39567</v>
      </c>
      <c r="K193" s="28">
        <v>39658</v>
      </c>
      <c r="L193" s="361">
        <v>39749</v>
      </c>
      <c r="M193" s="386" t="s">
        <v>60</v>
      </c>
      <c r="N193" s="1248"/>
      <c r="O193" s="30">
        <f t="shared" ref="O193:X193" si="93">O$8</f>
        <v>39843</v>
      </c>
      <c r="P193" s="28">
        <f t="shared" si="93"/>
        <v>39932</v>
      </c>
      <c r="Q193" s="28">
        <f t="shared" si="93"/>
        <v>40023</v>
      </c>
      <c r="R193" s="361">
        <f t="shared" si="93"/>
        <v>40114</v>
      </c>
      <c r="S193" s="386" t="str">
        <f>S8</f>
        <v>2009A</v>
      </c>
      <c r="T193" s="445"/>
      <c r="U193" s="30">
        <f t="shared" si="93"/>
        <v>40208</v>
      </c>
      <c r="V193" s="28">
        <f t="shared" si="93"/>
        <v>40297</v>
      </c>
      <c r="W193" s="28">
        <f t="shared" si="93"/>
        <v>40388</v>
      </c>
      <c r="X193" s="361">
        <f t="shared" si="93"/>
        <v>40479</v>
      </c>
      <c r="Y193" s="386" t="str">
        <f>Y8</f>
        <v>2010A</v>
      </c>
      <c r="Z193" s="445"/>
      <c r="AA193" s="30">
        <f>AA$8</f>
        <v>40573</v>
      </c>
      <c r="AB193" s="28">
        <f>AB$8</f>
        <v>40662</v>
      </c>
      <c r="AC193" s="28">
        <f>AC$8</f>
        <v>40753</v>
      </c>
      <c r="AD193" s="361">
        <f>AD$8</f>
        <v>40844</v>
      </c>
      <c r="AE193" s="386" t="str">
        <f>AE8</f>
        <v>2011A</v>
      </c>
      <c r="AF193" s="445"/>
      <c r="AG193" s="30">
        <f>AG$8</f>
        <v>40938</v>
      </c>
      <c r="AH193" s="28">
        <f>AH$8</f>
        <v>41027</v>
      </c>
      <c r="AI193" s="28">
        <f>AI$8</f>
        <v>41118</v>
      </c>
      <c r="AJ193" s="361">
        <f t="shared" ref="AJ193:AP193" si="94">AJ$8</f>
        <v>41209</v>
      </c>
      <c r="AK193" s="386" t="str">
        <f>AK8</f>
        <v>2012A</v>
      </c>
      <c r="AL193" s="445"/>
      <c r="AM193" s="30">
        <f t="shared" si="94"/>
        <v>41303</v>
      </c>
      <c r="AN193" s="28">
        <f t="shared" si="94"/>
        <v>41392</v>
      </c>
      <c r="AO193" s="28">
        <f t="shared" si="94"/>
        <v>41483</v>
      </c>
      <c r="AP193" s="361">
        <f t="shared" si="94"/>
        <v>41574</v>
      </c>
      <c r="AQ193" s="386" t="str">
        <f>AQ8</f>
        <v>2013A</v>
      </c>
      <c r="AR193" s="445"/>
      <c r="AS193" s="30">
        <f>AS$8</f>
        <v>41668</v>
      </c>
      <c r="AT193" s="28">
        <f>AT$8</f>
        <v>41757</v>
      </c>
      <c r="AU193" s="28">
        <f>AU$8</f>
        <v>41846</v>
      </c>
      <c r="AV193" s="361">
        <f>AV$8</f>
        <v>41937</v>
      </c>
      <c r="AW193" s="386" t="str">
        <f>AW8</f>
        <v>2014A</v>
      </c>
      <c r="AX193" s="445"/>
      <c r="AY193" s="30">
        <f>AY$8</f>
        <v>42033</v>
      </c>
      <c r="AZ193" s="28">
        <f>AZ$8</f>
        <v>42122</v>
      </c>
      <c r="BA193" s="28">
        <f>BA$8</f>
        <v>42213</v>
      </c>
      <c r="BB193" s="361">
        <f>BB$8</f>
        <v>42304</v>
      </c>
      <c r="BC193" s="386" t="str">
        <f>BC8</f>
        <v>2015A</v>
      </c>
      <c r="BD193" s="445"/>
      <c r="BE193" s="30">
        <f>BE$8</f>
        <v>42398</v>
      </c>
      <c r="BF193" s="28">
        <f>BF$8</f>
        <v>42487</v>
      </c>
      <c r="BG193" s="28">
        <f>BG$8</f>
        <v>42578</v>
      </c>
      <c r="BH193" s="361">
        <f>BH$8</f>
        <v>42669</v>
      </c>
      <c r="BI193" s="386" t="str">
        <f>BI8</f>
        <v>2016A</v>
      </c>
      <c r="BJ193" s="445"/>
      <c r="BK193" s="30">
        <f>BK$8</f>
        <v>42763</v>
      </c>
      <c r="BL193" s="28">
        <f>BL$8</f>
        <v>42852</v>
      </c>
      <c r="BM193" s="28">
        <f>BM$8</f>
        <v>42943</v>
      </c>
      <c r="BN193" s="361">
        <f>BN$8</f>
        <v>43034</v>
      </c>
      <c r="BO193" s="386" t="str">
        <f>BO8</f>
        <v>2017A</v>
      </c>
      <c r="BP193" s="445"/>
      <c r="BQ193" s="30">
        <f>BQ$8</f>
        <v>43128</v>
      </c>
      <c r="BR193" s="28">
        <f>BR$8</f>
        <v>43217</v>
      </c>
      <c r="BS193" s="28">
        <f>BS$8</f>
        <v>43308</v>
      </c>
      <c r="BT193" s="361">
        <f>BT$8</f>
        <v>43399</v>
      </c>
      <c r="BU193" s="386" t="str">
        <f>BU8</f>
        <v>2018E</v>
      </c>
      <c r="BV193" s="445"/>
      <c r="BW193" s="30">
        <f>BW$8</f>
        <v>43493</v>
      </c>
      <c r="BX193" s="28">
        <f>BX$8</f>
        <v>43582</v>
      </c>
      <c r="BY193" s="28">
        <f>BY$8</f>
        <v>43673</v>
      </c>
      <c r="BZ193" s="361">
        <f>BZ$8</f>
        <v>43764</v>
      </c>
      <c r="CA193" s="386" t="str">
        <f>CA8</f>
        <v>2019E</v>
      </c>
      <c r="CB193" s="2108"/>
      <c r="CC193" s="30">
        <f>CC$8</f>
        <v>43858</v>
      </c>
      <c r="CD193" s="28">
        <f>CD$8</f>
        <v>43947</v>
      </c>
      <c r="CE193" s="28">
        <f>CE$8</f>
        <v>44038</v>
      </c>
      <c r="CF193" s="361">
        <f>CF$8</f>
        <v>44129</v>
      </c>
      <c r="CG193" s="386" t="str">
        <f>CG8</f>
        <v>2020E</v>
      </c>
      <c r="CH193" s="135"/>
      <c r="CI193" s="30">
        <f>CI$8</f>
        <v>44223</v>
      </c>
      <c r="CJ193" s="28">
        <f>CJ$8</f>
        <v>44312</v>
      </c>
      <c r="CK193" s="28">
        <f>CK$8</f>
        <v>44403</v>
      </c>
      <c r="CL193" s="361">
        <f>CL$8</f>
        <v>44494</v>
      </c>
      <c r="CM193" s="386" t="str">
        <f>CM8</f>
        <v>2021E</v>
      </c>
      <c r="CN193" s="135"/>
      <c r="CO193" s="135"/>
      <c r="CP193" s="135"/>
      <c r="CQ193"/>
      <c r="CR193"/>
      <c r="CS193"/>
      <c r="CT193"/>
      <c r="CU193"/>
      <c r="CV193"/>
      <c r="CW193" s="135"/>
    </row>
    <row r="194" spans="1:101" s="149" customFormat="1" ht="12.75" hidden="1" customHeight="1" outlineLevel="2">
      <c r="A194" s="2331" t="s">
        <v>97</v>
      </c>
      <c r="B194" s="2238"/>
      <c r="C194" s="2332">
        <f>C140</f>
        <v>30</v>
      </c>
      <c r="D194" s="2333">
        <f>D140</f>
        <v>26</v>
      </c>
      <c r="E194" s="2333">
        <f>E140</f>
        <v>25</v>
      </c>
      <c r="F194" s="2333">
        <f>F140</f>
        <v>42</v>
      </c>
      <c r="G194" s="2334">
        <f>SUM(C194:F194)</f>
        <v>123</v>
      </c>
      <c r="H194" s="2238"/>
      <c r="I194" s="2332">
        <f>I140</f>
        <v>33</v>
      </c>
      <c r="J194" s="2333">
        <f>J140</f>
        <v>30</v>
      </c>
      <c r="K194" s="2333">
        <f>K140</f>
        <v>39</v>
      </c>
      <c r="L194" s="2333">
        <f>L140</f>
        <v>64</v>
      </c>
      <c r="M194" s="2334">
        <f>SUM(I194:L194)</f>
        <v>166</v>
      </c>
      <c r="N194" s="2238"/>
      <c r="O194" s="2332">
        <f>O140</f>
        <v>43</v>
      </c>
      <c r="P194" s="2333">
        <f>P140</f>
        <v>36</v>
      </c>
      <c r="Q194" s="2333">
        <f>Q140</f>
        <v>35</v>
      </c>
      <c r="R194" s="2333">
        <f>R140</f>
        <v>46</v>
      </c>
      <c r="S194" s="2334">
        <f>SUM(O194:R194)</f>
        <v>160</v>
      </c>
      <c r="T194" s="2335"/>
      <c r="U194" s="2332">
        <f>U140</f>
        <v>52</v>
      </c>
      <c r="V194" s="2333">
        <f>V140</f>
        <v>41</v>
      </c>
      <c r="W194" s="2333">
        <f>W140</f>
        <v>52</v>
      </c>
      <c r="X194" s="2333">
        <f>X140</f>
        <v>58</v>
      </c>
      <c r="Y194" s="2334">
        <f>SUM(U194:X194)</f>
        <v>203</v>
      </c>
      <c r="Z194" s="2335"/>
      <c r="AA194" s="2332">
        <f>AA140</f>
        <v>42</v>
      </c>
      <c r="AB194" s="2333">
        <f>AB140</f>
        <v>52</v>
      </c>
      <c r="AC194" s="2333">
        <f>AC140</f>
        <v>51</v>
      </c>
      <c r="AD194" s="2333">
        <f>AD140</f>
        <v>57</v>
      </c>
      <c r="AE194" s="2334">
        <f>SUM(AA194:AD194)</f>
        <v>202</v>
      </c>
      <c r="AF194" s="2335"/>
      <c r="AG194" s="2332">
        <f>AG140</f>
        <v>58</v>
      </c>
      <c r="AH194" s="2333">
        <f>AH140</f>
        <v>44</v>
      </c>
      <c r="AI194" s="2333">
        <f>AI140</f>
        <v>57</v>
      </c>
      <c r="AJ194" s="2333">
        <f>AJ140</f>
        <v>71</v>
      </c>
      <c r="AK194" s="2334">
        <f>SUM(AG194:AJ194)</f>
        <v>230</v>
      </c>
      <c r="AL194" s="2335"/>
      <c r="AM194" s="2332">
        <f>AM58-AM75-AM92</f>
        <v>60.952000000000012</v>
      </c>
      <c r="AN194" s="2333">
        <f>AN58-AN75-AN92</f>
        <v>60.911999999999992</v>
      </c>
      <c r="AO194" s="2333">
        <f>AO58-AO75-AO92</f>
        <v>66.566000000000031</v>
      </c>
      <c r="AP194" s="2333">
        <f>AP58-AP75-AP92</f>
        <v>0</v>
      </c>
      <c r="AQ194" s="2334">
        <f>SUM(AM194:AP194)</f>
        <v>188.43000000000004</v>
      </c>
      <c r="AR194" s="2267"/>
      <c r="AS194" s="2332"/>
      <c r="AT194" s="2333"/>
      <c r="AU194" s="2333"/>
      <c r="AV194" s="2333"/>
      <c r="AW194" s="2334"/>
      <c r="AX194" s="2267"/>
      <c r="AY194" s="2336"/>
      <c r="AZ194" s="2337"/>
      <c r="BA194" s="2337"/>
      <c r="BB194" s="2337"/>
      <c r="BC194" s="2338"/>
      <c r="BD194" s="2267"/>
      <c r="BE194" s="2336"/>
      <c r="BF194" s="2337"/>
      <c r="BG194" s="2337"/>
      <c r="BH194" s="2337"/>
      <c r="BI194" s="2338"/>
      <c r="BJ194" s="2267"/>
      <c r="BK194" s="2336"/>
      <c r="BL194" s="2337"/>
      <c r="BM194" s="2337"/>
      <c r="BN194" s="2337"/>
      <c r="BO194" s="2338"/>
      <c r="BP194" s="2267"/>
      <c r="BQ194" s="2336"/>
      <c r="BR194" s="2337"/>
      <c r="BS194" s="2337"/>
      <c r="BT194" s="2337"/>
      <c r="BU194" s="2338"/>
      <c r="BV194" s="2267"/>
      <c r="BW194" s="2336"/>
      <c r="BX194" s="2337"/>
      <c r="BY194" s="2337"/>
      <c r="BZ194" s="2337"/>
      <c r="CA194" s="2338"/>
      <c r="CB194" s="2241"/>
      <c r="CC194" s="2336"/>
      <c r="CD194" s="2337"/>
      <c r="CE194" s="2337"/>
      <c r="CF194" s="2337"/>
      <c r="CG194" s="2338"/>
      <c r="CI194" s="2336"/>
      <c r="CJ194" s="2337"/>
      <c r="CK194" s="2337"/>
      <c r="CL194" s="2337"/>
      <c r="CM194" s="2338"/>
      <c r="CQ194"/>
      <c r="CR194"/>
      <c r="CS194"/>
      <c r="CT194"/>
      <c r="CU194"/>
      <c r="CV194"/>
    </row>
    <row r="195" spans="1:101" s="149" customFormat="1" ht="12.75" hidden="1" customHeight="1" outlineLevel="2">
      <c r="A195" s="2339" t="s">
        <v>153</v>
      </c>
      <c r="B195" s="2238"/>
      <c r="C195" s="2340">
        <f>C194/RevBuild!C8</f>
        <v>0.12</v>
      </c>
      <c r="D195" s="2341">
        <f>D194/RevBuild!D8</f>
        <v>0.10612244897959183</v>
      </c>
      <c r="E195" s="2341">
        <f>E194/RevBuild!E8</f>
        <v>9.6899224806201556E-2</v>
      </c>
      <c r="F195" s="2341">
        <f>F194/RevBuild!F8</f>
        <v>0.14334470989761092</v>
      </c>
      <c r="G195" s="2342">
        <f>G194/RevBuild!G8</f>
        <v>0.11759082217973231</v>
      </c>
      <c r="H195" s="2238"/>
      <c r="I195" s="2340">
        <f>I194/RevBuild!I8</f>
        <v>0.10784313725490197</v>
      </c>
      <c r="J195" s="2341">
        <f>J194/RevBuild!J8</f>
        <v>9.9337748344370855E-2</v>
      </c>
      <c r="K195" s="2341">
        <f>K194/RevBuild!K8</f>
        <v>0.12662337662337661</v>
      </c>
      <c r="L195" s="2341">
        <f>L194/RevBuild!L8</f>
        <v>0.1871345029239766</v>
      </c>
      <c r="M195" s="2342">
        <f>M194/RevBuild!M8</f>
        <v>0.13195548489666137</v>
      </c>
      <c r="N195" s="2238"/>
      <c r="O195" s="2340">
        <f>O194/RevBuild!O8</f>
        <v>0.16862745098039217</v>
      </c>
      <c r="P195" s="2341">
        <f>P194/RevBuild!P8</f>
        <v>0.15189873417721519</v>
      </c>
      <c r="Q195" s="2341">
        <f>Q194/RevBuild!Q8</f>
        <v>0.14893617021276595</v>
      </c>
      <c r="R195" s="2341">
        <f>R194/RevBuild!R8</f>
        <v>0.17624521072796934</v>
      </c>
      <c r="S195" s="2342">
        <f>S194/RevBuild!S8</f>
        <v>0.16194331983805668</v>
      </c>
      <c r="T195" s="2335"/>
      <c r="U195" s="2340">
        <f>U194/RevBuild!U8</f>
        <v>0.18705035971223022</v>
      </c>
      <c r="V195" s="2341">
        <f>V194/RevBuild!V8</f>
        <v>0.15355805243445692</v>
      </c>
      <c r="W195" s="2341">
        <f>W194/RevBuild!W8</f>
        <v>0.16560509554140126</v>
      </c>
      <c r="X195" s="2341">
        <f>X194/RevBuild!X8</f>
        <v>0.15803814713896458</v>
      </c>
      <c r="Y195" s="2342">
        <f>Y194/RevBuild!Y8</f>
        <v>0.16557911908646003</v>
      </c>
      <c r="Z195" s="2335"/>
      <c r="AA195" s="2340">
        <f>AA194/RevBuild!AA8</f>
        <v>0.1242603550295858</v>
      </c>
      <c r="AB195" s="2341">
        <f>AB194/RevBuild!AB8</f>
        <v>0.1326530612244898</v>
      </c>
      <c r="AC195" s="2341">
        <f>AC194/RevBuild!AC8</f>
        <v>0.13315926892950392</v>
      </c>
      <c r="AD195" s="2341">
        <f>AD194/RevBuild!AD8</f>
        <v>0.1417910447761194</v>
      </c>
      <c r="AE195" s="2342">
        <f>AE194/RevBuild!AE8</f>
        <v>0.13333333333333333</v>
      </c>
      <c r="AF195" s="2335"/>
      <c r="AG195" s="2340">
        <f>AG194/RevBuild!AG8</f>
        <v>0.14683544303797469</v>
      </c>
      <c r="AH195" s="2341">
        <f>AH194/RevBuild!AH8</f>
        <v>0.11139240506329114</v>
      </c>
      <c r="AI195" s="2341">
        <f>AI194/RevBuild!AI8</f>
        <v>0.14578005115089515</v>
      </c>
      <c r="AJ195" s="2341">
        <f>AJ194/RevBuild!AJ8</f>
        <v>0.17705735660847879</v>
      </c>
      <c r="AK195" s="2342">
        <f>AK194/RevBuild!AK8</f>
        <v>0.14538558786346398</v>
      </c>
      <c r="AL195" s="2335"/>
      <c r="AM195" s="2340">
        <f>AM194/RevBuild!AM8</f>
        <v>0.15200000000000002</v>
      </c>
      <c r="AN195" s="2341">
        <f>AN194/RevBuild!AN8</f>
        <v>0.15039999999999998</v>
      </c>
      <c r="AO195" s="2341">
        <f>AO194/RevBuild!AO8</f>
        <v>0.16600000000000006</v>
      </c>
      <c r="AP195" s="2341">
        <f>AP194/RevBuild!AP8</f>
        <v>0</v>
      </c>
      <c r="AQ195" s="2342">
        <f>AQ194/RevBuild!AQ8</f>
        <v>0.11578437055572141</v>
      </c>
      <c r="AR195" s="2269"/>
      <c r="AS195" s="2340"/>
      <c r="AT195" s="2341"/>
      <c r="AU195" s="2341"/>
      <c r="AV195" s="2341"/>
      <c r="AW195" s="2342"/>
      <c r="AX195" s="2269"/>
      <c r="AY195" s="2343"/>
      <c r="AZ195" s="2344"/>
      <c r="BA195" s="2344"/>
      <c r="BB195" s="2344"/>
      <c r="BC195" s="2345"/>
      <c r="BD195" s="2269"/>
      <c r="BE195" s="2343"/>
      <c r="BF195" s="2344"/>
      <c r="BG195" s="2344"/>
      <c r="BH195" s="2344"/>
      <c r="BI195" s="2345"/>
      <c r="BJ195" s="2269"/>
      <c r="BK195" s="2343"/>
      <c r="BL195" s="2344"/>
      <c r="BM195" s="2344"/>
      <c r="BN195" s="2344"/>
      <c r="BO195" s="2345"/>
      <c r="BP195" s="2269"/>
      <c r="BQ195" s="2343"/>
      <c r="BR195" s="2344"/>
      <c r="BS195" s="2344"/>
      <c r="BT195" s="2344"/>
      <c r="BU195" s="2345"/>
      <c r="BV195" s="2269"/>
      <c r="BW195" s="2343"/>
      <c r="BX195" s="2344"/>
      <c r="BY195" s="2344"/>
      <c r="BZ195" s="2344"/>
      <c r="CA195" s="2345"/>
      <c r="CB195" s="2344"/>
      <c r="CC195" s="2343"/>
      <c r="CD195" s="2344"/>
      <c r="CE195" s="2344"/>
      <c r="CF195" s="2344"/>
      <c r="CG195" s="2345"/>
      <c r="CI195" s="2343"/>
      <c r="CJ195" s="2344"/>
      <c r="CK195" s="2344"/>
      <c r="CL195" s="2344"/>
      <c r="CM195" s="2345"/>
      <c r="CQ195"/>
      <c r="CR195"/>
      <c r="CS195"/>
      <c r="CT195"/>
      <c r="CU195"/>
      <c r="CV195"/>
    </row>
    <row r="196" spans="1:101" s="149" customFormat="1" ht="12.75" hidden="1" customHeight="1" outlineLevel="2">
      <c r="A196" s="2339" t="s">
        <v>154</v>
      </c>
      <c r="B196" s="2238"/>
      <c r="C196" s="2340"/>
      <c r="D196" s="2341"/>
      <c r="E196" s="2341"/>
      <c r="F196" s="2341"/>
      <c r="G196" s="2342"/>
      <c r="H196" s="2238"/>
      <c r="I196" s="2340"/>
      <c r="J196" s="2341"/>
      <c r="K196" s="2341"/>
      <c r="L196" s="2341"/>
      <c r="M196" s="2342"/>
      <c r="N196" s="2238"/>
      <c r="O196" s="2340"/>
      <c r="P196" s="2341"/>
      <c r="Q196" s="2341"/>
      <c r="R196" s="2341"/>
      <c r="S196" s="2342"/>
      <c r="T196" s="2335"/>
      <c r="U196" s="2340">
        <f>(U194-O194)/(RevBuild!U8-RevBuild!O8)</f>
        <v>0.39130434782608697</v>
      </c>
      <c r="V196" s="2341">
        <f>(V194-P194)/(RevBuild!V8-RevBuild!P8)</f>
        <v>0.16666666666666666</v>
      </c>
      <c r="W196" s="2341">
        <f>(W194-Q194)/(RevBuild!W8-RevBuild!Q8)</f>
        <v>0.21518987341772153</v>
      </c>
      <c r="X196" s="2341">
        <f>(X194-R194)/(RevBuild!X8-RevBuild!R8)</f>
        <v>0.11320754716981132</v>
      </c>
      <c r="Y196" s="2342">
        <f>(Y194-S194)/(RevBuild!Y8-RevBuild!S8)</f>
        <v>0.18067226890756302</v>
      </c>
      <c r="Z196" s="2335"/>
      <c r="AA196" s="2340">
        <f>(AA194-U194)/(RevBuild!AA8-RevBuild!U8)</f>
        <v>-0.16666666666666666</v>
      </c>
      <c r="AB196" s="2341">
        <f>(AB194-V194)/(RevBuild!AB8-RevBuild!V8)</f>
        <v>8.7999999999999995E-2</v>
      </c>
      <c r="AC196" s="2341">
        <f>(AC194-W194)/(RevBuild!AC8-RevBuild!W8)</f>
        <v>-1.4492753623188406E-2</v>
      </c>
      <c r="AD196" s="2341">
        <f>(AD194-X194)/(RevBuild!AD8-RevBuild!X8)</f>
        <v>-2.8571428571428571E-2</v>
      </c>
      <c r="AE196" s="2342">
        <f>(AE194-Y194)/(RevBuild!AE8-RevBuild!Y8)</f>
        <v>-3.4602076124567475E-3</v>
      </c>
      <c r="AF196" s="2335"/>
      <c r="AG196" s="2340"/>
      <c r="AH196" s="2341"/>
      <c r="AI196" s="2341"/>
      <c r="AJ196" s="2341"/>
      <c r="AK196" s="2342"/>
      <c r="AL196" s="2335"/>
      <c r="AM196" s="2340">
        <f>(AM194-AG194)/(RevBuild!AM8-RevBuild!AG8)</f>
        <v>0.49200000000000205</v>
      </c>
      <c r="AN196" s="2341">
        <f>(AN194-AH194)/(RevBuild!AN8-RevBuild!AH8)</f>
        <v>1.6911999999999991</v>
      </c>
      <c r="AO196" s="2341">
        <f>(AO194-AI194)/(RevBuild!AO8-RevBuild!AI8)</f>
        <v>0.95660000000000311</v>
      </c>
      <c r="AP196" s="2341">
        <f>(AP194-AJ194)/(RevBuild!AP8-RevBuild!AJ8)</f>
        <v>-3.655700089766905</v>
      </c>
      <c r="AQ196" s="2342">
        <f>(AQ194-AK194)/(RevBuild!AQ8-RevBuild!AK8)</f>
        <v>-0.91520083081651538</v>
      </c>
      <c r="AR196" s="2269"/>
      <c r="AS196" s="2340"/>
      <c r="AT196" s="2341"/>
      <c r="AU196" s="2341"/>
      <c r="AV196" s="2341"/>
      <c r="AW196" s="2342"/>
      <c r="AX196" s="2269"/>
      <c r="AY196" s="2343"/>
      <c r="AZ196" s="2344"/>
      <c r="BA196" s="2344"/>
      <c r="BB196" s="2344"/>
      <c r="BC196" s="2345"/>
      <c r="BD196" s="2269"/>
      <c r="BE196" s="2343"/>
      <c r="BF196" s="2344"/>
      <c r="BG196" s="2344"/>
      <c r="BH196" s="2344"/>
      <c r="BI196" s="2345"/>
      <c r="BJ196" s="2269"/>
      <c r="BK196" s="2343"/>
      <c r="BL196" s="2344"/>
      <c r="BM196" s="2344"/>
      <c r="BN196" s="2344"/>
      <c r="BO196" s="2345"/>
      <c r="BP196" s="2269"/>
      <c r="BQ196" s="2343"/>
      <c r="BR196" s="2344"/>
      <c r="BS196" s="2344"/>
      <c r="BT196" s="2344"/>
      <c r="BU196" s="2345"/>
      <c r="BV196" s="2269"/>
      <c r="BW196" s="2343"/>
      <c r="BX196" s="2344"/>
      <c r="BY196" s="2344"/>
      <c r="BZ196" s="2344"/>
      <c r="CA196" s="2345"/>
      <c r="CB196" s="2344"/>
      <c r="CC196" s="2343"/>
      <c r="CD196" s="2344"/>
      <c r="CE196" s="2344"/>
      <c r="CF196" s="2344"/>
      <c r="CG196" s="2345"/>
      <c r="CI196" s="2343"/>
      <c r="CJ196" s="2344"/>
      <c r="CK196" s="2344"/>
      <c r="CL196" s="2344"/>
      <c r="CM196" s="2345"/>
      <c r="CQ196"/>
      <c r="CR196"/>
      <c r="CS196"/>
      <c r="CT196"/>
      <c r="CU196"/>
      <c r="CV196"/>
    </row>
    <row r="197" spans="1:101" s="149" customFormat="1" ht="12.75" hidden="1" customHeight="1" outlineLevel="2">
      <c r="A197" s="2331" t="s">
        <v>99</v>
      </c>
      <c r="B197" s="2238"/>
      <c r="C197" s="2332"/>
      <c r="D197" s="2333"/>
      <c r="E197" s="2333"/>
      <c r="F197" s="2333"/>
      <c r="G197" s="2334"/>
      <c r="H197" s="2238"/>
      <c r="I197" s="2332"/>
      <c r="J197" s="2333"/>
      <c r="K197" s="2333"/>
      <c r="L197" s="2333"/>
      <c r="M197" s="2334"/>
      <c r="N197" s="2238"/>
      <c r="O197" s="2332">
        <f>O141</f>
        <v>1</v>
      </c>
      <c r="P197" s="2333">
        <f>P141</f>
        <v>8</v>
      </c>
      <c r="Q197" s="2333">
        <f>Q141</f>
        <v>4</v>
      </c>
      <c r="R197" s="2333">
        <f>R141</f>
        <v>1</v>
      </c>
      <c r="S197" s="2334">
        <f>SUM(O197:R197)</f>
        <v>14</v>
      </c>
      <c r="T197" s="2335"/>
      <c r="U197" s="2332">
        <f>U141</f>
        <v>3</v>
      </c>
      <c r="V197" s="2333">
        <f>V141</f>
        <v>7</v>
      </c>
      <c r="W197" s="2333">
        <f>W141</f>
        <v>4</v>
      </c>
      <c r="X197" s="2333">
        <f>X141</f>
        <v>4</v>
      </c>
      <c r="Y197" s="2334">
        <f>SUM(U197:X197)</f>
        <v>18</v>
      </c>
      <c r="Z197" s="2335"/>
      <c r="AA197" s="2332">
        <f>AA141</f>
        <v>6</v>
      </c>
      <c r="AB197" s="2333">
        <f>AB141</f>
        <v>9</v>
      </c>
      <c r="AC197" s="2333">
        <f>AC141</f>
        <v>9</v>
      </c>
      <c r="AD197" s="2333">
        <f>AD141</f>
        <v>11</v>
      </c>
      <c r="AE197" s="2334">
        <f>SUM(AA197:AD197)</f>
        <v>35</v>
      </c>
      <c r="AF197" s="2335"/>
      <c r="AG197" s="2332">
        <f>AG141</f>
        <v>8</v>
      </c>
      <c r="AH197" s="2333">
        <f>AH141</f>
        <v>15</v>
      </c>
      <c r="AI197" s="2333">
        <f>AI141</f>
        <v>16</v>
      </c>
      <c r="AJ197" s="2333">
        <f>AJ141</f>
        <v>26</v>
      </c>
      <c r="AK197" s="2334">
        <f>SUM(AG197:AJ197)</f>
        <v>65</v>
      </c>
      <c r="AL197" s="2335"/>
      <c r="AM197" s="2332">
        <f>AM141</f>
        <v>0</v>
      </c>
      <c r="AN197" s="2333">
        <f>AN141</f>
        <v>28</v>
      </c>
      <c r="AO197" s="2333">
        <f>AO141</f>
        <v>24</v>
      </c>
      <c r="AP197" s="2333">
        <f>AP141</f>
        <v>0</v>
      </c>
      <c r="AQ197" s="2334">
        <f>SUM(AM197:AP197)</f>
        <v>52</v>
      </c>
      <c r="AR197" s="2267"/>
      <c r="AS197" s="2332"/>
      <c r="AT197" s="2333"/>
      <c r="AU197" s="2333"/>
      <c r="AV197" s="2333"/>
      <c r="AW197" s="2334"/>
      <c r="AX197" s="2267"/>
      <c r="AY197" s="2336"/>
      <c r="AZ197" s="2337"/>
      <c r="BA197" s="2337"/>
      <c r="BB197" s="2337"/>
      <c r="BC197" s="2338"/>
      <c r="BD197" s="2267"/>
      <c r="BE197" s="2336"/>
      <c r="BF197" s="2337"/>
      <c r="BG197" s="2337"/>
      <c r="BH197" s="2337"/>
      <c r="BI197" s="2338"/>
      <c r="BJ197" s="2267"/>
      <c r="BK197" s="2336"/>
      <c r="BL197" s="2337"/>
      <c r="BM197" s="2337"/>
      <c r="BN197" s="2337"/>
      <c r="BO197" s="2338"/>
      <c r="BP197" s="2267"/>
      <c r="BQ197" s="2336"/>
      <c r="BR197" s="2337"/>
      <c r="BS197" s="2337"/>
      <c r="BT197" s="2337"/>
      <c r="BU197" s="2338"/>
      <c r="BV197" s="2267"/>
      <c r="BW197" s="2336"/>
      <c r="BX197" s="2337"/>
      <c r="BY197" s="2337"/>
      <c r="BZ197" s="2337"/>
      <c r="CA197" s="2338"/>
      <c r="CB197" s="2241"/>
      <c r="CC197" s="2336"/>
      <c r="CD197" s="2337"/>
      <c r="CE197" s="2337"/>
      <c r="CF197" s="2337"/>
      <c r="CG197" s="2338"/>
      <c r="CI197" s="2336"/>
      <c r="CJ197" s="2337"/>
      <c r="CK197" s="2337"/>
      <c r="CL197" s="2337"/>
      <c r="CM197" s="2338"/>
      <c r="CQ197"/>
      <c r="CR197"/>
      <c r="CS197"/>
      <c r="CT197"/>
      <c r="CU197"/>
      <c r="CV197"/>
    </row>
    <row r="198" spans="1:101" s="149" customFormat="1" ht="12.75" hidden="1" customHeight="1" outlineLevel="2">
      <c r="A198" s="2339" t="s">
        <v>153</v>
      </c>
      <c r="B198" s="2238"/>
      <c r="C198" s="2340"/>
      <c r="D198" s="2341"/>
      <c r="E198" s="2341"/>
      <c r="F198" s="2341"/>
      <c r="G198" s="2342"/>
      <c r="H198" s="2238"/>
      <c r="I198" s="2340"/>
      <c r="J198" s="2341"/>
      <c r="K198" s="2341"/>
      <c r="L198" s="2341"/>
      <c r="M198" s="2342"/>
      <c r="N198" s="2238"/>
      <c r="O198" s="2340">
        <f>O197/RevBuild!O9</f>
        <v>1.8518518518518517E-2</v>
      </c>
      <c r="P198" s="2341">
        <f>P197/RevBuild!P9</f>
        <v>0.13114754098360656</v>
      </c>
      <c r="Q198" s="2341">
        <f>Q197/RevBuild!Q9</f>
        <v>6.8965517241379309E-2</v>
      </c>
      <c r="R198" s="2341">
        <f>R197/RevBuild!R9</f>
        <v>1.7241379310344827E-2</v>
      </c>
      <c r="S198" s="2342">
        <f>S197/RevBuild!S9</f>
        <v>6.0606060606060608E-2</v>
      </c>
      <c r="T198" s="2335"/>
      <c r="U198" s="2340">
        <f>U197/RevBuild!U9</f>
        <v>4.8387096774193547E-2</v>
      </c>
      <c r="V198" s="2341">
        <f>V197/RevBuild!V9</f>
        <v>0.1044776119402985</v>
      </c>
      <c r="W198" s="2341">
        <f>W197/RevBuild!W9</f>
        <v>6.6666666666666666E-2</v>
      </c>
      <c r="X198" s="2341">
        <f>X197/RevBuild!X9</f>
        <v>6.25E-2</v>
      </c>
      <c r="Y198" s="2342">
        <f>Y197/RevBuild!Y9</f>
        <v>7.1146245059288543E-2</v>
      </c>
      <c r="Z198" s="2335"/>
      <c r="AA198" s="2340">
        <f>AA197/RevBuild!AA9</f>
        <v>9.0909090909090912E-2</v>
      </c>
      <c r="AB198" s="2341">
        <f>AB197/RevBuild!AB9</f>
        <v>0.125</v>
      </c>
      <c r="AC198" s="2341">
        <f>AC197/RevBuild!AC9</f>
        <v>0.12857142857142856</v>
      </c>
      <c r="AD198" s="2341">
        <f>AD197/RevBuild!AD9</f>
        <v>0.15942028985507245</v>
      </c>
      <c r="AE198" s="2342">
        <f>AE197/RevBuild!AE9</f>
        <v>0.1263537906137184</v>
      </c>
      <c r="AF198" s="2335"/>
      <c r="AG198" s="2340">
        <f>AG197/RevBuild!AG9</f>
        <v>0.12121212121212122</v>
      </c>
      <c r="AH198" s="2341">
        <f>AH197/RevBuild!AH9</f>
        <v>0.20270270270270271</v>
      </c>
      <c r="AI198" s="2341">
        <f>AI197/RevBuild!AI9</f>
        <v>0.15094339622641509</v>
      </c>
      <c r="AJ198" s="2341">
        <f>AJ197/RevBuild!AJ9</f>
        <v>0.16666666666666666</v>
      </c>
      <c r="AK198" s="2342">
        <f>AK197/RevBuild!AK9</f>
        <v>0.16169154228855723</v>
      </c>
      <c r="AL198" s="2335"/>
      <c r="AM198" s="2340">
        <f>AM197/RevBuild!AM9</f>
        <v>0</v>
      </c>
      <c r="AN198" s="2341">
        <f>AN197/RevBuild!AN9</f>
        <v>0.16867469879518071</v>
      </c>
      <c r="AO198" s="2341">
        <f>AO197/RevBuild!AO9</f>
        <v>0.14723926380368099</v>
      </c>
      <c r="AP198" s="2341">
        <f>AP197/RevBuild!AP9</f>
        <v>0</v>
      </c>
      <c r="AQ198" s="2342">
        <f>AQ197/RevBuild!AQ9</f>
        <v>7.7314421078176265E-2</v>
      </c>
      <c r="AR198" s="2269"/>
      <c r="AS198" s="2340"/>
      <c r="AT198" s="2341"/>
      <c r="AU198" s="2341"/>
      <c r="AV198" s="2341"/>
      <c r="AW198" s="2342"/>
      <c r="AX198" s="2269"/>
      <c r="AY198" s="2343"/>
      <c r="AZ198" s="2344"/>
      <c r="BA198" s="2344"/>
      <c r="BB198" s="2344"/>
      <c r="BC198" s="2345"/>
      <c r="BD198" s="2269"/>
      <c r="BE198" s="2343"/>
      <c r="BF198" s="2344"/>
      <c r="BG198" s="2344"/>
      <c r="BH198" s="2344"/>
      <c r="BI198" s="2345"/>
      <c r="BJ198" s="2269"/>
      <c r="BK198" s="2343"/>
      <c r="BL198" s="2344"/>
      <c r="BM198" s="2344"/>
      <c r="BN198" s="2344"/>
      <c r="BO198" s="2345"/>
      <c r="BP198" s="2269"/>
      <c r="BQ198" s="2343"/>
      <c r="BR198" s="2344"/>
      <c r="BS198" s="2344"/>
      <c r="BT198" s="2344"/>
      <c r="BU198" s="2345"/>
      <c r="BV198" s="2269"/>
      <c r="BW198" s="2343"/>
      <c r="BX198" s="2344"/>
      <c r="BY198" s="2344"/>
      <c r="BZ198" s="2344"/>
      <c r="CA198" s="2345"/>
      <c r="CB198" s="2344"/>
      <c r="CC198" s="2343"/>
      <c r="CD198" s="2344"/>
      <c r="CE198" s="2344"/>
      <c r="CF198" s="2344"/>
      <c r="CG198" s="2345"/>
      <c r="CI198" s="2343"/>
      <c r="CJ198" s="2344"/>
      <c r="CK198" s="2344"/>
      <c r="CL198" s="2344"/>
      <c r="CM198" s="2345"/>
      <c r="CQ198"/>
      <c r="CR198"/>
      <c r="CS198"/>
      <c r="CT198"/>
      <c r="CU198"/>
      <c r="CV198"/>
    </row>
    <row r="199" spans="1:101" s="149" customFormat="1" ht="12.75" hidden="1" customHeight="1" outlineLevel="2">
      <c r="A199" s="2339" t="s">
        <v>154</v>
      </c>
      <c r="B199" s="2238"/>
      <c r="C199" s="2340"/>
      <c r="D199" s="2341"/>
      <c r="E199" s="2341"/>
      <c r="F199" s="2341"/>
      <c r="G199" s="2342"/>
      <c r="H199" s="2238"/>
      <c r="I199" s="2340"/>
      <c r="J199" s="2341"/>
      <c r="K199" s="2341"/>
      <c r="L199" s="2341"/>
      <c r="M199" s="2342"/>
      <c r="N199" s="2238"/>
      <c r="O199" s="2340"/>
      <c r="P199" s="2341"/>
      <c r="Q199" s="2341"/>
      <c r="R199" s="2341"/>
      <c r="S199" s="2342"/>
      <c r="T199" s="2335"/>
      <c r="U199" s="2340">
        <f>(U197-O197)/(RevBuild!U9-RevBuild!O9)</f>
        <v>0.25</v>
      </c>
      <c r="V199" s="2341">
        <f>(V197-P197)/(RevBuild!V9-RevBuild!P9)</f>
        <v>-0.16666666666666666</v>
      </c>
      <c r="W199" s="2341">
        <f>(W197-Q197)/(RevBuild!W9-RevBuild!Q9)</f>
        <v>0</v>
      </c>
      <c r="X199" s="2341">
        <f>(X197-R197)/(RevBuild!X9-RevBuild!R9)</f>
        <v>0.5</v>
      </c>
      <c r="Y199" s="2342">
        <f>(Y197-S197)/(RevBuild!Y9-RevBuild!S9)</f>
        <v>0.18181818181818182</v>
      </c>
      <c r="Z199" s="2335"/>
      <c r="AA199" s="2340">
        <f>(AA197-U197)/(RevBuild!AA9-RevBuild!U9)</f>
        <v>0.75</v>
      </c>
      <c r="AB199" s="2341">
        <f>(AB197-V197)/(RevBuild!AB9-RevBuild!V9)</f>
        <v>0.4</v>
      </c>
      <c r="AC199" s="2341">
        <f>(AC197-W197)/(RevBuild!AC9-RevBuild!W9)</f>
        <v>0.5</v>
      </c>
      <c r="AD199" s="2341">
        <f>(AD197-X197)/(RevBuild!AD9-RevBuild!X9)</f>
        <v>1.4</v>
      </c>
      <c r="AE199" s="2342">
        <f>(AE197-Y197)/(RevBuild!AE9-RevBuild!Y9)</f>
        <v>0.70833333333333337</v>
      </c>
      <c r="AF199" s="2335"/>
      <c r="AG199" s="2340"/>
      <c r="AH199" s="2341"/>
      <c r="AI199" s="2341"/>
      <c r="AJ199" s="2341"/>
      <c r="AK199" s="2342"/>
      <c r="AL199" s="2335"/>
      <c r="AM199" s="2340">
        <f>(AM197-AG197)/(RevBuild!AM9-RevBuild!AG9)</f>
        <v>-8.247422680412371E-2</v>
      </c>
      <c r="AN199" s="2341">
        <f>(AN197-AH197)/(RevBuild!AN9-RevBuild!AH9)</f>
        <v>0.14130434782608695</v>
      </c>
      <c r="AO199" s="2341">
        <f>(AO197-AI197)/(RevBuild!AO9-RevBuild!AI9)</f>
        <v>0.14035087719298245</v>
      </c>
      <c r="AP199" s="2341">
        <f>(AP197-AJ197)/(RevBuild!AP9-RevBuild!AJ9)</f>
        <v>-1.0578447621581968</v>
      </c>
      <c r="AQ199" s="2342">
        <f>(AQ197-AK197)/(RevBuild!AQ9-RevBuild!AK9)</f>
        <v>-4.8045246707270318E-2</v>
      </c>
      <c r="AR199" s="2269"/>
      <c r="AS199" s="2340"/>
      <c r="AT199" s="2341"/>
      <c r="AU199" s="2341"/>
      <c r="AV199" s="2341"/>
      <c r="AW199" s="2342"/>
      <c r="AX199" s="2269"/>
      <c r="AY199" s="2343"/>
      <c r="AZ199" s="2344"/>
      <c r="BA199" s="2344"/>
      <c r="BB199" s="2344"/>
      <c r="BC199" s="2345"/>
      <c r="BD199" s="2269"/>
      <c r="BE199" s="2343"/>
      <c r="BF199" s="2344"/>
      <c r="BG199" s="2344"/>
      <c r="BH199" s="2344"/>
      <c r="BI199" s="2345"/>
      <c r="BJ199" s="2269"/>
      <c r="BK199" s="2343"/>
      <c r="BL199" s="2344"/>
      <c r="BM199" s="2344"/>
      <c r="BN199" s="2344"/>
      <c r="BO199" s="2345"/>
      <c r="BP199" s="2269"/>
      <c r="BQ199" s="2343"/>
      <c r="BR199" s="2344"/>
      <c r="BS199" s="2344"/>
      <c r="BT199" s="2344"/>
      <c r="BU199" s="2345"/>
      <c r="BV199" s="2269"/>
      <c r="BW199" s="2343"/>
      <c r="BX199" s="2344"/>
      <c r="BY199" s="2344"/>
      <c r="BZ199" s="2344"/>
      <c r="CA199" s="2345"/>
      <c r="CB199" s="2344"/>
      <c r="CC199" s="2343"/>
      <c r="CD199" s="2344"/>
      <c r="CE199" s="2344"/>
      <c r="CF199" s="2344"/>
      <c r="CG199" s="2345"/>
      <c r="CI199" s="2343"/>
      <c r="CJ199" s="2344"/>
      <c r="CK199" s="2344"/>
      <c r="CL199" s="2344"/>
      <c r="CM199" s="2345"/>
      <c r="CQ199"/>
      <c r="CR199"/>
      <c r="CS199"/>
      <c r="CT199"/>
      <c r="CU199"/>
      <c r="CV199"/>
    </row>
    <row r="200" spans="1:101" s="149" customFormat="1" ht="12.75" hidden="1" customHeight="1" outlineLevel="2">
      <c r="A200" s="2331" t="s">
        <v>101</v>
      </c>
      <c r="B200" s="2238"/>
      <c r="C200" s="2332">
        <f>C142</f>
        <v>45</v>
      </c>
      <c r="D200" s="2333">
        <f>D142</f>
        <v>28</v>
      </c>
      <c r="E200" s="2333">
        <f>E142</f>
        <v>52</v>
      </c>
      <c r="F200" s="2333">
        <f>F142</f>
        <v>59</v>
      </c>
      <c r="G200" s="2334">
        <f>SUM(C200:F200)</f>
        <v>184</v>
      </c>
      <c r="H200" s="2238"/>
      <c r="I200" s="2332">
        <f>I142</f>
        <v>54</v>
      </c>
      <c r="J200" s="2333">
        <f>J142</f>
        <v>55</v>
      </c>
      <c r="K200" s="2333">
        <f>K142</f>
        <v>63</v>
      </c>
      <c r="L200" s="2333">
        <f>L142</f>
        <v>72</v>
      </c>
      <c r="M200" s="2334">
        <f>SUM(I200:L200)</f>
        <v>244</v>
      </c>
      <c r="N200" s="2238"/>
      <c r="O200" s="2332">
        <f>O142</f>
        <v>57</v>
      </c>
      <c r="P200" s="2333">
        <f>P142</f>
        <v>45</v>
      </c>
      <c r="Q200" s="2333">
        <f>Q142</f>
        <v>52</v>
      </c>
      <c r="R200" s="2333">
        <f>R142</f>
        <v>62</v>
      </c>
      <c r="S200" s="2334">
        <f>SUM(O200:R200)</f>
        <v>216</v>
      </c>
      <c r="T200" s="2335"/>
      <c r="U200" s="2332">
        <f>U142</f>
        <v>67</v>
      </c>
      <c r="V200" s="2333">
        <f>V142</f>
        <v>57</v>
      </c>
      <c r="W200" s="2333">
        <f>W142</f>
        <v>69</v>
      </c>
      <c r="X200" s="2333">
        <f>X142</f>
        <v>86</v>
      </c>
      <c r="Y200" s="2334">
        <f>SUM(U200:X200)</f>
        <v>279</v>
      </c>
      <c r="Z200" s="2335"/>
      <c r="AA200" s="2332">
        <f>AA142</f>
        <v>65</v>
      </c>
      <c r="AB200" s="2333">
        <f>AB142</f>
        <v>72</v>
      </c>
      <c r="AC200" s="2333">
        <f>AC142</f>
        <v>79</v>
      </c>
      <c r="AD200" s="2333">
        <f>AD142</f>
        <v>97</v>
      </c>
      <c r="AE200" s="2334">
        <f>SUM(AA200:AD200)</f>
        <v>313</v>
      </c>
      <c r="AF200" s="2335"/>
      <c r="AG200" s="2332">
        <f>AG142</f>
        <v>88</v>
      </c>
      <c r="AH200" s="2333">
        <f>AH142</f>
        <v>73</v>
      </c>
      <c r="AI200" s="2333">
        <f>AI142</f>
        <v>80</v>
      </c>
      <c r="AJ200" s="2333">
        <f>AJ142</f>
        <v>97</v>
      </c>
      <c r="AK200" s="2334">
        <f>SUM(AG200:AJ200)</f>
        <v>338</v>
      </c>
      <c r="AL200" s="2335"/>
      <c r="AM200" s="2332">
        <f>AM62-AM79-AM96</f>
        <v>81.164000000000016</v>
      </c>
      <c r="AN200" s="2333">
        <f>AN62-AN79-AN96</f>
        <v>88.781400000000005</v>
      </c>
      <c r="AO200" s="2333">
        <f>AO62-AO79-AO96</f>
        <v>83.204999999999984</v>
      </c>
      <c r="AP200" s="2333">
        <f>AP62-AP79-AP96</f>
        <v>101.764</v>
      </c>
      <c r="AQ200" s="2334">
        <f>SUM(AM200:AP200)</f>
        <v>354.9144</v>
      </c>
      <c r="AR200" s="2267"/>
      <c r="AS200" s="2332">
        <f>AS62-AS79-AS96</f>
        <v>94.242000000000004</v>
      </c>
      <c r="AT200" s="2333">
        <f>AT62-AT79-AT96</f>
        <v>90.419999999999987</v>
      </c>
      <c r="AU200" s="2333">
        <f>AU62-AU79-AU96</f>
        <v>97.160999999999987</v>
      </c>
      <c r="AV200" s="2333">
        <f>AV62-AV79-AV96</f>
        <v>105.59499999999997</v>
      </c>
      <c r="AW200" s="2334">
        <f>SUM(AS200:AV200)</f>
        <v>387.41799999999995</v>
      </c>
      <c r="AX200" s="2267"/>
      <c r="AY200" s="2336"/>
      <c r="AZ200" s="2337"/>
      <c r="BA200" s="2337"/>
      <c r="BB200" s="2337"/>
      <c r="BC200" s="2338"/>
      <c r="BD200" s="2267"/>
      <c r="BE200" s="2336"/>
      <c r="BF200" s="2337"/>
      <c r="BG200" s="2337"/>
      <c r="BH200" s="2337"/>
      <c r="BI200" s="2338"/>
      <c r="BJ200" s="2267"/>
      <c r="BK200" s="2336"/>
      <c r="BL200" s="2337"/>
      <c r="BM200" s="2337"/>
      <c r="BN200" s="2337"/>
      <c r="BO200" s="2338"/>
      <c r="BP200" s="2267"/>
      <c r="BQ200" s="2336"/>
      <c r="BR200" s="2337"/>
      <c r="BS200" s="2337"/>
      <c r="BT200" s="2337"/>
      <c r="BU200" s="2338"/>
      <c r="BV200" s="2267"/>
      <c r="BW200" s="2336"/>
      <c r="BX200" s="2337"/>
      <c r="BY200" s="2337"/>
      <c r="BZ200" s="2337"/>
      <c r="CA200" s="2338"/>
      <c r="CB200" s="2241"/>
      <c r="CC200" s="2336"/>
      <c r="CD200" s="2337"/>
      <c r="CE200" s="2337"/>
      <c r="CF200" s="2337"/>
      <c r="CG200" s="2338"/>
      <c r="CI200" s="2336"/>
      <c r="CJ200" s="2337"/>
      <c r="CK200" s="2337"/>
      <c r="CL200" s="2337"/>
      <c r="CM200" s="2338"/>
      <c r="CQ200"/>
      <c r="CR200"/>
      <c r="CS200"/>
      <c r="CT200"/>
      <c r="CU200"/>
      <c r="CV200"/>
    </row>
    <row r="201" spans="1:101" s="149" customFormat="1" ht="12.75" hidden="1" customHeight="1" outlineLevel="2">
      <c r="A201" s="2339" t="s">
        <v>153</v>
      </c>
      <c r="B201" s="2238"/>
      <c r="C201" s="2340">
        <f>C200/RevBuild!C10</f>
        <v>0.21951219512195122</v>
      </c>
      <c r="D201" s="2341">
        <f>D200/RevBuild!D10</f>
        <v>0.15300546448087432</v>
      </c>
      <c r="E201" s="2341">
        <f>E200/RevBuild!E10</f>
        <v>0.24644549763033174</v>
      </c>
      <c r="F201" s="2341">
        <f>F200/RevBuild!F10</f>
        <v>0.25541125541125542</v>
      </c>
      <c r="G201" s="2342">
        <f>G200/RevBuild!G10</f>
        <v>0.22168674698795179</v>
      </c>
      <c r="H201" s="2238"/>
      <c r="I201" s="2340">
        <f>I200/RevBuild!I10</f>
        <v>0.24</v>
      </c>
      <c r="J201" s="2341">
        <f>J200/RevBuild!J10</f>
        <v>0.2412280701754386</v>
      </c>
      <c r="K201" s="2341">
        <f>K200/RevBuild!K10</f>
        <v>0.27155172413793105</v>
      </c>
      <c r="L201" s="2341">
        <f>L200/RevBuild!L10</f>
        <v>0.2857142857142857</v>
      </c>
      <c r="M201" s="2342">
        <f>M200/RevBuild!M10</f>
        <v>0.26040554962646745</v>
      </c>
      <c r="N201" s="2238"/>
      <c r="O201" s="2340">
        <f>O200/RevBuild!O10</f>
        <v>0.2638888888888889</v>
      </c>
      <c r="P201" s="2341">
        <f>P200/RevBuild!P10</f>
        <v>0.22500000000000001</v>
      </c>
      <c r="Q201" s="2341">
        <f>Q200/RevBuild!Q10</f>
        <v>0.25615763546798032</v>
      </c>
      <c r="R201" s="2341">
        <f>R200/RevBuild!R10</f>
        <v>0.27555555555555555</v>
      </c>
      <c r="S201" s="2342">
        <f>S200/RevBuild!S10</f>
        <v>0.25592417061611372</v>
      </c>
      <c r="T201" s="2335"/>
      <c r="U201" s="2340">
        <f>U200/RevBuild!U10</f>
        <v>0.27459016393442626</v>
      </c>
      <c r="V201" s="2341">
        <f>V200/RevBuild!V10</f>
        <v>0.23949579831932774</v>
      </c>
      <c r="W201" s="2341">
        <f>W200/RevBuild!W10</f>
        <v>0.20972644376899696</v>
      </c>
      <c r="X201" s="2341">
        <f>X200/RevBuild!X10</f>
        <v>0.2210796915167095</v>
      </c>
      <c r="Y201" s="2342">
        <f>Y200/RevBuild!Y10</f>
        <v>0.23250000000000001</v>
      </c>
      <c r="Z201" s="2335"/>
      <c r="AA201" s="2340">
        <f>AA200/RevBuild!AA10</f>
        <v>0.18624641833810887</v>
      </c>
      <c r="AB201" s="2341">
        <f>AB200/RevBuild!AB10</f>
        <v>0.1889763779527559</v>
      </c>
      <c r="AC201" s="2341">
        <f>AC200/RevBuild!AC10</f>
        <v>0.20626631853785901</v>
      </c>
      <c r="AD201" s="2341">
        <f>AD200/RevBuild!AD10</f>
        <v>0.23950617283950618</v>
      </c>
      <c r="AE201" s="2342">
        <f>AE200/RevBuild!AE10</f>
        <v>0.20619235836627142</v>
      </c>
      <c r="AF201" s="2335"/>
      <c r="AG201" s="2340">
        <f>AG200/RevBuild!AG10</f>
        <v>0.22222222222222221</v>
      </c>
      <c r="AH201" s="2341">
        <f>AH200/RevBuild!AH10</f>
        <v>0.18814432989690721</v>
      </c>
      <c r="AI201" s="2341">
        <f>AI200/RevBuild!AI10</f>
        <v>0.20997375328083989</v>
      </c>
      <c r="AJ201" s="2341">
        <f>AJ200/RevBuild!AJ10</f>
        <v>0.24619289340101522</v>
      </c>
      <c r="AK201" s="2342">
        <f>AK200/RevBuild!AK10</f>
        <v>0.21680564464400257</v>
      </c>
      <c r="AL201" s="2335"/>
      <c r="AM201" s="2340">
        <f>AM200/RevBuild!AM10</f>
        <v>0.20600000000000004</v>
      </c>
      <c r="AN201" s="2341">
        <f>AN200/RevBuild!AN10</f>
        <v>0.22140000000000001</v>
      </c>
      <c r="AO201" s="2341">
        <f>AO200/RevBuild!AO10</f>
        <v>0.21499999999999997</v>
      </c>
      <c r="AP201" s="2341">
        <f>AP200/RevBuild!AP10</f>
        <v>0.247</v>
      </c>
      <c r="AQ201" s="2342">
        <f>AQ200/RevBuild!AQ10</f>
        <v>0.22265646173149309</v>
      </c>
      <c r="AR201" s="2269"/>
      <c r="AS201" s="2340">
        <f>AS200/RevBuild!AS10</f>
        <v>0.22600000000000001</v>
      </c>
      <c r="AT201" s="2341">
        <f>AT200/RevBuild!AT10</f>
        <v>0.21999999999999997</v>
      </c>
      <c r="AU201" s="2341">
        <f>AU200/RevBuild!AU10</f>
        <v>0.23299999999999996</v>
      </c>
      <c r="AV201" s="2341">
        <f>AV200/RevBuild!AV10</f>
        <v>0.24499999999999994</v>
      </c>
      <c r="AW201" s="2342">
        <f>AW200/RevBuild!AW10</f>
        <v>0.23115632458233887</v>
      </c>
      <c r="AX201" s="2269"/>
      <c r="AY201" s="2343"/>
      <c r="AZ201" s="2344"/>
      <c r="BA201" s="2344"/>
      <c r="BB201" s="2344"/>
      <c r="BC201" s="2345"/>
      <c r="BD201" s="2269"/>
      <c r="BE201" s="2343"/>
      <c r="BF201" s="2344"/>
      <c r="BG201" s="2344"/>
      <c r="BH201" s="2344"/>
      <c r="BI201" s="2345"/>
      <c r="BJ201" s="2269"/>
      <c r="BK201" s="2343"/>
      <c r="BL201" s="2344"/>
      <c r="BM201" s="2344"/>
      <c r="BN201" s="2344"/>
      <c r="BO201" s="2345"/>
      <c r="BP201" s="2269"/>
      <c r="BQ201" s="2343"/>
      <c r="BR201" s="2344"/>
      <c r="BS201" s="2344"/>
      <c r="BT201" s="2344"/>
      <c r="BU201" s="2345"/>
      <c r="BV201" s="2269"/>
      <c r="BW201" s="2343"/>
      <c r="BX201" s="2344"/>
      <c r="BY201" s="2344"/>
      <c r="BZ201" s="2344"/>
      <c r="CA201" s="2345"/>
      <c r="CB201" s="2344"/>
      <c r="CC201" s="2343"/>
      <c r="CD201" s="2344"/>
      <c r="CE201" s="2344"/>
      <c r="CF201" s="2344"/>
      <c r="CG201" s="2345"/>
      <c r="CI201" s="2343"/>
      <c r="CJ201" s="2344"/>
      <c r="CK201" s="2344"/>
      <c r="CL201" s="2344"/>
      <c r="CM201" s="2345"/>
      <c r="CQ201"/>
      <c r="CR201"/>
      <c r="CS201"/>
      <c r="CT201"/>
      <c r="CU201"/>
      <c r="CV201"/>
    </row>
    <row r="202" spans="1:101" s="149" customFormat="1" ht="12.75" hidden="1" customHeight="1" outlineLevel="2">
      <c r="A202" s="2339" t="s">
        <v>154</v>
      </c>
      <c r="B202" s="2238"/>
      <c r="C202" s="2340"/>
      <c r="D202" s="2341"/>
      <c r="E202" s="2341"/>
      <c r="F202" s="2341"/>
      <c r="G202" s="2342"/>
      <c r="H202" s="2238"/>
      <c r="I202" s="2340"/>
      <c r="J202" s="2341"/>
      <c r="K202" s="2341"/>
      <c r="L202" s="2341"/>
      <c r="M202" s="2342"/>
      <c r="N202" s="2238"/>
      <c r="O202" s="2340"/>
      <c r="P202" s="2341"/>
      <c r="Q202" s="2341"/>
      <c r="R202" s="2341"/>
      <c r="S202" s="2342"/>
      <c r="T202" s="2335"/>
      <c r="U202" s="2340">
        <f>(U200-O200)/(RevBuild!U10-RevBuild!O10)</f>
        <v>0.35714285714285715</v>
      </c>
      <c r="V202" s="2341">
        <f>(V200-P200)/(RevBuild!V10-RevBuild!P10)</f>
        <v>0.31578947368421051</v>
      </c>
      <c r="W202" s="2341">
        <f>(W200-Q200)/(RevBuild!W10-RevBuild!Q10)</f>
        <v>0.13492063492063491</v>
      </c>
      <c r="X202" s="2341">
        <f>(X200-R200)/(RevBuild!X10-RevBuild!R10)</f>
        <v>0.14634146341463414</v>
      </c>
      <c r="Y202" s="2342">
        <f>(Y200-S200)/(RevBuild!Y10-RevBuild!S10)</f>
        <v>0.17696629213483145</v>
      </c>
      <c r="Z202" s="2335"/>
      <c r="AA202" s="2340">
        <f>(AA200-U200)/(RevBuild!AA10-RevBuild!U10)</f>
        <v>-1.9047619047619049E-2</v>
      </c>
      <c r="AB202" s="2341">
        <f>(AB200-V200)/(RevBuild!AB10-RevBuild!V10)</f>
        <v>0.1048951048951049</v>
      </c>
      <c r="AC202" s="2341">
        <f>(AC200-W200)/(RevBuild!AC10-RevBuild!W10)</f>
        <v>0.18518518518518517</v>
      </c>
      <c r="AD202" s="2341">
        <f>(AD200-X200)/(RevBuild!AD10-RevBuild!X10)</f>
        <v>0.6875</v>
      </c>
      <c r="AE202" s="2342">
        <f>(AE200-Y200)/(RevBuild!AE10-RevBuild!Y10)</f>
        <v>0.1069182389937107</v>
      </c>
      <c r="AF202" s="2335"/>
      <c r="AG202" s="2340"/>
      <c r="AH202" s="2341"/>
      <c r="AI202" s="2341"/>
      <c r="AJ202" s="2341"/>
      <c r="AK202" s="2342"/>
      <c r="AL202" s="2335"/>
      <c r="AM202" s="2340">
        <f>(AM200-AG200)/(RevBuild!AM10-RevBuild!AG10)</f>
        <v>3.4179999999999922</v>
      </c>
      <c r="AN202" s="2341">
        <f>(AN200-AH200)/(RevBuild!AN10-RevBuild!AH10)</f>
        <v>1.2139538461538466</v>
      </c>
      <c r="AO202" s="2341">
        <f>(AO200-AI200)/(RevBuild!AO10-RevBuild!AI10)</f>
        <v>0.53416666666666401</v>
      </c>
      <c r="AP202" s="2341">
        <f>(AP200-AJ200)/(RevBuild!AP10-RevBuild!AJ10)</f>
        <v>0.26466666666666644</v>
      </c>
      <c r="AQ202" s="2342">
        <f>(AQ200-AK200)/(RevBuild!AQ10-RevBuild!AK10)</f>
        <v>0.48326857142857144</v>
      </c>
      <c r="AR202" s="2269"/>
      <c r="AS202" s="2340">
        <f>(AS200-AM200)/(RevBuild!AS10-RevBuild!AM10)</f>
        <v>0.56860869565217342</v>
      </c>
      <c r="AT202" s="2341">
        <f>(AT200-AN200)/(RevBuild!AT10-RevBuild!AN10)</f>
        <v>0.16385999999999826</v>
      </c>
      <c r="AU202" s="2341">
        <f>(AU200-AO200)/(RevBuild!AU10-RevBuild!AO10)</f>
        <v>0.46520000000000011</v>
      </c>
      <c r="AV202" s="2341">
        <f>(AV200-AP200)/(RevBuild!AV10-RevBuild!AP10)</f>
        <v>0.20163157894736708</v>
      </c>
      <c r="AW202" s="2342">
        <f>(AW200-AQ200)/(RevBuild!AW10-RevBuild!AQ10)</f>
        <v>0.39638536585365791</v>
      </c>
      <c r="AX202" s="2269"/>
      <c r="AY202" s="2343"/>
      <c r="AZ202" s="2344"/>
      <c r="BA202" s="2344"/>
      <c r="BB202" s="2344"/>
      <c r="BC202" s="2345"/>
      <c r="BD202" s="2269"/>
      <c r="BE202" s="2343"/>
      <c r="BF202" s="2344"/>
      <c r="BG202" s="2344"/>
      <c r="BH202" s="2344"/>
      <c r="BI202" s="2345"/>
      <c r="BJ202" s="2269"/>
      <c r="BK202" s="2343"/>
      <c r="BL202" s="2344"/>
      <c r="BM202" s="2344"/>
      <c r="BN202" s="2344"/>
      <c r="BO202" s="2345"/>
      <c r="BP202" s="2269"/>
      <c r="BQ202" s="2343"/>
      <c r="BR202" s="2344"/>
      <c r="BS202" s="2344"/>
      <c r="BT202" s="2344"/>
      <c r="BU202" s="2345"/>
      <c r="BV202" s="2269"/>
      <c r="BW202" s="2343"/>
      <c r="BX202" s="2344"/>
      <c r="BY202" s="2344"/>
      <c r="BZ202" s="2344"/>
      <c r="CA202" s="2345"/>
      <c r="CB202" s="2344"/>
      <c r="CC202" s="2343"/>
      <c r="CD202" s="2344"/>
      <c r="CE202" s="2344"/>
      <c r="CF202" s="2344"/>
      <c r="CG202" s="2345"/>
      <c r="CI202" s="2343"/>
      <c r="CJ202" s="2344"/>
      <c r="CK202" s="2344"/>
      <c r="CL202" s="2344"/>
      <c r="CM202" s="2345"/>
      <c r="CQ202"/>
      <c r="CR202"/>
      <c r="CS202"/>
      <c r="CT202"/>
      <c r="CU202"/>
      <c r="CV202"/>
    </row>
    <row r="203" spans="1:101" s="149" customFormat="1" ht="12.75" hidden="1" customHeight="1" outlineLevel="2">
      <c r="A203" s="2331" t="s">
        <v>103</v>
      </c>
      <c r="B203" s="2238"/>
      <c r="C203" s="2332">
        <f>+C197+C194</f>
        <v>30</v>
      </c>
      <c r="D203" s="2333">
        <f>+D197+D194</f>
        <v>26</v>
      </c>
      <c r="E203" s="2333">
        <f>+E197+E194</f>
        <v>25</v>
      </c>
      <c r="F203" s="2333">
        <f>+F197+F194</f>
        <v>42</v>
      </c>
      <c r="G203" s="2334">
        <f>+G197+G194</f>
        <v>123</v>
      </c>
      <c r="H203" s="2238"/>
      <c r="I203" s="2332">
        <f>+I197+I194</f>
        <v>33</v>
      </c>
      <c r="J203" s="2333">
        <f>+J197+J194</f>
        <v>30</v>
      </c>
      <c r="K203" s="2333">
        <f>+K197+K194</f>
        <v>39</v>
      </c>
      <c r="L203" s="2333">
        <f>+L197+L194</f>
        <v>64</v>
      </c>
      <c r="M203" s="2334">
        <f>+M197+M194</f>
        <v>166</v>
      </c>
      <c r="N203" s="2238"/>
      <c r="O203" s="2332">
        <f>+O197+O194</f>
        <v>44</v>
      </c>
      <c r="P203" s="2333">
        <f>+P197+P194</f>
        <v>44</v>
      </c>
      <c r="Q203" s="2333">
        <f>+Q197+Q194</f>
        <v>39</v>
      </c>
      <c r="R203" s="2333">
        <f>+R197+R194</f>
        <v>47</v>
      </c>
      <c r="S203" s="2334">
        <f>+S197+S194</f>
        <v>174</v>
      </c>
      <c r="T203" s="2335"/>
      <c r="U203" s="2332">
        <f>+U197+U194</f>
        <v>55</v>
      </c>
      <c r="V203" s="2333">
        <f>+V197+V194</f>
        <v>48</v>
      </c>
      <c r="W203" s="2333">
        <f>+W197+W194</f>
        <v>56</v>
      </c>
      <c r="X203" s="2333">
        <f>+X197+X194</f>
        <v>62</v>
      </c>
      <c r="Y203" s="2334">
        <f>+Y197+Y194</f>
        <v>221</v>
      </c>
      <c r="Z203" s="2335"/>
      <c r="AA203" s="2332">
        <f>+AA197+AA194</f>
        <v>48</v>
      </c>
      <c r="AB203" s="2333">
        <f>+AB197+AB194</f>
        <v>61</v>
      </c>
      <c r="AC203" s="2333">
        <f>+AC197+AC194</f>
        <v>60</v>
      </c>
      <c r="AD203" s="2333">
        <f>+AD197+AD194</f>
        <v>68</v>
      </c>
      <c r="AE203" s="2334">
        <f>+AE197+AE194</f>
        <v>237</v>
      </c>
      <c r="AF203" s="2335"/>
      <c r="AG203" s="2332">
        <f>+AG197+AG194</f>
        <v>66</v>
      </c>
      <c r="AH203" s="2333">
        <f>+AH197+AH194</f>
        <v>59</v>
      </c>
      <c r="AI203" s="2333">
        <f>+AI197+AI194</f>
        <v>73</v>
      </c>
      <c r="AJ203" s="2333">
        <f>+AJ197+AJ194</f>
        <v>97</v>
      </c>
      <c r="AK203" s="2334">
        <f>+AK197+AK194</f>
        <v>295</v>
      </c>
      <c r="AL203" s="2335"/>
      <c r="AM203" s="2332">
        <f>+AM197+AM194</f>
        <v>60.952000000000012</v>
      </c>
      <c r="AN203" s="2333">
        <f>+AN197+AN194</f>
        <v>88.911999999999992</v>
      </c>
      <c r="AO203" s="2333">
        <f>+AO197+AO194</f>
        <v>90.566000000000031</v>
      </c>
      <c r="AP203" s="2333">
        <f>+AP197+AP194</f>
        <v>0</v>
      </c>
      <c r="AQ203" s="2334">
        <f>SUM(AM203:AP203)</f>
        <v>240.43000000000004</v>
      </c>
      <c r="AR203" s="2267"/>
      <c r="AS203" s="2332">
        <f>AS143</f>
        <v>100</v>
      </c>
      <c r="AT203" s="2333">
        <f>AT143</f>
        <v>76</v>
      </c>
      <c r="AU203" s="2333">
        <f>AU143</f>
        <v>93</v>
      </c>
      <c r="AV203" s="2333">
        <f>AV143</f>
        <v>107</v>
      </c>
      <c r="AW203" s="2334">
        <f>SUM(AS203:AV203)</f>
        <v>376</v>
      </c>
      <c r="AX203" s="2267"/>
      <c r="AY203" s="2336"/>
      <c r="AZ203" s="2337"/>
      <c r="BA203" s="2337"/>
      <c r="BB203" s="2337"/>
      <c r="BC203" s="2338"/>
      <c r="BD203" s="2267"/>
      <c r="BE203" s="2336"/>
      <c r="BF203" s="2337"/>
      <c r="BG203" s="2337"/>
      <c r="BH203" s="2337"/>
      <c r="BI203" s="2338"/>
      <c r="BJ203" s="2267"/>
      <c r="BK203" s="2336"/>
      <c r="BL203" s="2337"/>
      <c r="BM203" s="2337"/>
      <c r="BN203" s="2337"/>
      <c r="BO203" s="2338"/>
      <c r="BP203" s="2267"/>
      <c r="BQ203" s="2336"/>
      <c r="BR203" s="2337"/>
      <c r="BS203" s="2337"/>
      <c r="BT203" s="2337"/>
      <c r="BU203" s="2338"/>
      <c r="BV203" s="2267"/>
      <c r="BW203" s="2336"/>
      <c r="BX203" s="2337"/>
      <c r="BY203" s="2337"/>
      <c r="BZ203" s="2337"/>
      <c r="CA203" s="2338"/>
      <c r="CB203" s="2241"/>
      <c r="CC203" s="2336"/>
      <c r="CD203" s="2337"/>
      <c r="CE203" s="2337"/>
      <c r="CF203" s="2337"/>
      <c r="CG203" s="2338"/>
      <c r="CI203" s="2336"/>
      <c r="CJ203" s="2337"/>
      <c r="CK203" s="2337"/>
      <c r="CL203" s="2337"/>
      <c r="CM203" s="2338"/>
      <c r="CQ203"/>
      <c r="CR203"/>
      <c r="CS203"/>
      <c r="CT203"/>
      <c r="CU203"/>
      <c r="CV203"/>
    </row>
    <row r="204" spans="1:101" s="149" customFormat="1" ht="12.75" hidden="1" customHeight="1" outlineLevel="2">
      <c r="A204" s="2339" t="s">
        <v>153</v>
      </c>
      <c r="B204" s="2238"/>
      <c r="C204" s="2340">
        <f>C203/RevBuild!C11</f>
        <v>0.12</v>
      </c>
      <c r="D204" s="2341">
        <f>D203/RevBuild!D11</f>
        <v>0.10612244897959183</v>
      </c>
      <c r="E204" s="2341">
        <f>E203/RevBuild!E11</f>
        <v>9.6899224806201556E-2</v>
      </c>
      <c r="F204" s="2341">
        <f>F203/RevBuild!F11</f>
        <v>0.14334470989761092</v>
      </c>
      <c r="G204" s="2342">
        <f>G203/RevBuild!G11</f>
        <v>0.11759082217973231</v>
      </c>
      <c r="H204" s="2238"/>
      <c r="I204" s="2340">
        <f>I203/RevBuild!I11</f>
        <v>0.10784313725490197</v>
      </c>
      <c r="J204" s="2341">
        <f>J203/RevBuild!J11</f>
        <v>9.9337748344370855E-2</v>
      </c>
      <c r="K204" s="2341">
        <f>K203/RevBuild!K11</f>
        <v>0.12662337662337661</v>
      </c>
      <c r="L204" s="2341">
        <f>L203/RevBuild!L11</f>
        <v>0.1871345029239766</v>
      </c>
      <c r="M204" s="2342">
        <f>M203/RevBuild!M11</f>
        <v>0.13195548489666137</v>
      </c>
      <c r="N204" s="2238"/>
      <c r="O204" s="2340">
        <f>O203/RevBuild!O11</f>
        <v>0.14239482200647249</v>
      </c>
      <c r="P204" s="2341">
        <f>P203/RevBuild!P11</f>
        <v>0.1476510067114094</v>
      </c>
      <c r="Q204" s="2341">
        <f>Q203/RevBuild!Q11</f>
        <v>0.13310580204778158</v>
      </c>
      <c r="R204" s="2341">
        <f>R203/RevBuild!R11</f>
        <v>0.14733542319749215</v>
      </c>
      <c r="S204" s="2342">
        <f>S203/RevBuild!S11</f>
        <v>0.14273995077932733</v>
      </c>
      <c r="T204" s="2335"/>
      <c r="U204" s="2340">
        <f>U203/RevBuild!U11</f>
        <v>0.16176470588235295</v>
      </c>
      <c r="V204" s="2341">
        <f>V203/RevBuild!V11</f>
        <v>0.1437125748502994</v>
      </c>
      <c r="W204" s="2341">
        <f>W203/RevBuild!W11</f>
        <v>0.1497326203208556</v>
      </c>
      <c r="X204" s="2341">
        <f>X203/RevBuild!X11</f>
        <v>0.14385150812064965</v>
      </c>
      <c r="Y204" s="2342">
        <f>Y203/RevBuild!Y11</f>
        <v>0.14942528735632185</v>
      </c>
      <c r="Z204" s="2335"/>
      <c r="AA204" s="2340">
        <f>AA203/RevBuild!AA11</f>
        <v>0.11881188118811881</v>
      </c>
      <c r="AB204" s="2341">
        <f>AB203/RevBuild!AB11</f>
        <v>0.13146551724137931</v>
      </c>
      <c r="AC204" s="2341">
        <f>AC203/RevBuild!AC11</f>
        <v>0.13245033112582782</v>
      </c>
      <c r="AD204" s="2341">
        <f>AD203/RevBuild!AD11</f>
        <v>0.14437367303609341</v>
      </c>
      <c r="AE204" s="2342">
        <f>AE203/RevBuild!AE11</f>
        <v>0.13225446428571427</v>
      </c>
      <c r="AF204" s="2335"/>
      <c r="AG204" s="2340">
        <f>AG203/RevBuild!AG11</f>
        <v>0.14316702819956617</v>
      </c>
      <c r="AH204" s="2341">
        <f>AH203/RevBuild!AH11</f>
        <v>0.1257995735607676</v>
      </c>
      <c r="AI204" s="2341">
        <f>AI203/RevBuild!AI11</f>
        <v>0.14688128772635814</v>
      </c>
      <c r="AJ204" s="2341">
        <f>AJ203/RevBuild!AJ11</f>
        <v>0.1741472172351885</v>
      </c>
      <c r="AK204" s="2342">
        <f>AK203/RevBuild!AK11</f>
        <v>0.14868951612903225</v>
      </c>
      <c r="AL204" s="2335"/>
      <c r="AM204" s="2340">
        <f>AM203/RevBuild!AM11</f>
        <v>0.10807092198581562</v>
      </c>
      <c r="AN204" s="2341">
        <f>AN203/RevBuild!AN11</f>
        <v>0.15571278458844132</v>
      </c>
      <c r="AO204" s="2341">
        <f>AO203/RevBuild!AO11</f>
        <v>0.16057801418439721</v>
      </c>
      <c r="AP204" s="2341">
        <f>AP203/RevBuild!AP11</f>
        <v>0</v>
      </c>
      <c r="AQ204" s="2342">
        <f>AQ203/RevBuild!AQ11</f>
        <v>0.10453478260869567</v>
      </c>
      <c r="AR204" s="2269"/>
      <c r="AS204" s="2340">
        <f>AS203/RevBuild!AS11</f>
        <v>0.16920473773265651</v>
      </c>
      <c r="AT204" s="2341">
        <f>AT203/RevBuild!AT11</f>
        <v>0.1317157712305026</v>
      </c>
      <c r="AU204" s="2341">
        <f>AU203/RevBuild!AU11</f>
        <v>0.1570945945945946</v>
      </c>
      <c r="AV204" s="2341">
        <f>AV203/RevBuild!AV11</f>
        <v>0.17483660130718953</v>
      </c>
      <c r="AW204" s="2342">
        <f>AW203/RevBuild!AW11</f>
        <v>0.15851602023608768</v>
      </c>
      <c r="AX204" s="2269"/>
      <c r="AY204" s="2343"/>
      <c r="AZ204" s="2344"/>
      <c r="BA204" s="2344"/>
      <c r="BB204" s="2344"/>
      <c r="BC204" s="2345"/>
      <c r="BD204" s="2269"/>
      <c r="BE204" s="2343"/>
      <c r="BF204" s="2344"/>
      <c r="BG204" s="2344"/>
      <c r="BH204" s="2344"/>
      <c r="BI204" s="2345"/>
      <c r="BJ204" s="2269"/>
      <c r="BK204" s="2343"/>
      <c r="BL204" s="2344"/>
      <c r="BM204" s="2344"/>
      <c r="BN204" s="2344"/>
      <c r="BO204" s="2345"/>
      <c r="BP204" s="2269"/>
      <c r="BQ204" s="2343"/>
      <c r="BR204" s="2344"/>
      <c r="BS204" s="2344"/>
      <c r="BT204" s="2344"/>
      <c r="BU204" s="2345"/>
      <c r="BV204" s="2269"/>
      <c r="BW204" s="2343"/>
      <c r="BX204" s="2344"/>
      <c r="BY204" s="2344"/>
      <c r="BZ204" s="2344"/>
      <c r="CA204" s="2345"/>
      <c r="CB204" s="2344"/>
      <c r="CC204" s="2343"/>
      <c r="CD204" s="2344"/>
      <c r="CE204" s="2344"/>
      <c r="CF204" s="2344"/>
      <c r="CG204" s="2345"/>
      <c r="CI204" s="2343"/>
      <c r="CJ204" s="2344"/>
      <c r="CK204" s="2344"/>
      <c r="CL204" s="2344"/>
      <c r="CM204" s="2345"/>
      <c r="CQ204"/>
      <c r="CR204"/>
      <c r="CS204"/>
      <c r="CT204"/>
      <c r="CU204"/>
      <c r="CV204"/>
    </row>
    <row r="205" spans="1:101" s="149" customFormat="1" ht="12.75" hidden="1" customHeight="1" outlineLevel="2">
      <c r="A205" s="2339" t="s">
        <v>154</v>
      </c>
      <c r="B205" s="2238"/>
      <c r="C205" s="2340"/>
      <c r="D205" s="2341"/>
      <c r="E205" s="2341"/>
      <c r="F205" s="2341"/>
      <c r="G205" s="2342"/>
      <c r="H205" s="2238"/>
      <c r="I205" s="2340"/>
      <c r="J205" s="2341"/>
      <c r="K205" s="2341"/>
      <c r="L205" s="2341"/>
      <c r="M205" s="2342"/>
      <c r="N205" s="2238"/>
      <c r="O205" s="2340"/>
      <c r="P205" s="2341"/>
      <c r="Q205" s="2341"/>
      <c r="R205" s="2341"/>
      <c r="S205" s="2342"/>
      <c r="T205" s="2335"/>
      <c r="U205" s="2340">
        <f>(U203-O203)/(RevBuild!U11-RevBuild!O11)</f>
        <v>0.35483870967741937</v>
      </c>
      <c r="V205" s="2341">
        <f>(V203-P203)/(RevBuild!V11-RevBuild!P11)</f>
        <v>0.1111111111111111</v>
      </c>
      <c r="W205" s="2341">
        <f>(W203-Q203)/(RevBuild!W11-RevBuild!Q11)</f>
        <v>0.20987654320987653</v>
      </c>
      <c r="X205" s="2341">
        <f>(X203-R203)/(RevBuild!X11-RevBuild!R11)</f>
        <v>0.13392857142857142</v>
      </c>
      <c r="Y205" s="2342">
        <f>(Y203-S203)/(RevBuild!Y11-RevBuild!S11)</f>
        <v>0.18076923076923077</v>
      </c>
      <c r="Z205" s="2335"/>
      <c r="AA205" s="2340">
        <f>(AA203-U203)/(RevBuild!AA11-RevBuild!U11)</f>
        <v>-0.109375</v>
      </c>
      <c r="AB205" s="2341">
        <f>(AB203-V203)/(RevBuild!AB11-RevBuild!V11)</f>
        <v>0.1</v>
      </c>
      <c r="AC205" s="2341">
        <f>(AC203-W203)/(RevBuild!AC11-RevBuild!W11)</f>
        <v>5.0632911392405063E-2</v>
      </c>
      <c r="AD205" s="2341">
        <f>(AD203-X203)/(RevBuild!AD11-RevBuild!X11)</f>
        <v>0.15</v>
      </c>
      <c r="AE205" s="2342">
        <f>(AE203-Y203)/(RevBuild!AE11-RevBuild!Y11)</f>
        <v>5.1118210862619806E-2</v>
      </c>
      <c r="AF205" s="2335"/>
      <c r="AG205" s="2340"/>
      <c r="AH205" s="2341"/>
      <c r="AI205" s="2341"/>
      <c r="AJ205" s="2341"/>
      <c r="AK205" s="2342"/>
      <c r="AL205" s="2335"/>
      <c r="AM205" s="2340">
        <f>(AM203-AG203)/(RevBuild!AM11-RevBuild!AG11)</f>
        <v>-4.9009708737863956E-2</v>
      </c>
      <c r="AN205" s="2341">
        <f>(AN203-AH203)/(RevBuild!AN11-RevBuild!AH11)</f>
        <v>0.29325490196078424</v>
      </c>
      <c r="AO205" s="2341">
        <f>(AO203-AI203)/(RevBuild!AO11-RevBuild!AI11)</f>
        <v>0.26217910447761239</v>
      </c>
      <c r="AP205" s="2341">
        <f>(AP203-AJ203)/(RevBuild!AP11-RevBuild!AJ11)</f>
        <v>-2.2045454545454546</v>
      </c>
      <c r="AQ205" s="2342">
        <f>(AQ203-AK203)/(RevBuild!AQ11-RevBuild!AK11)</f>
        <v>-0.17268987341772141</v>
      </c>
      <c r="AR205" s="2269"/>
      <c r="AS205" s="2340">
        <f>(AS203-AM203)/(RevBuild!AS11-RevBuild!AM11)</f>
        <v>1.4462222222222219</v>
      </c>
      <c r="AT205" s="2341">
        <f>(AT203-AN203)/(RevBuild!AT11-RevBuild!AN11)</f>
        <v>-2.1519999999999988</v>
      </c>
      <c r="AU205" s="2341">
        <f>(AU203-AO203)/(RevBuild!AU11-RevBuild!AO11)</f>
        <v>8.6928571428570328E-2</v>
      </c>
      <c r="AV205" s="2341">
        <f>(AV203-AP203)/(RevBuild!AV11-RevBuild!AP11)</f>
        <v>9.7272727272727266</v>
      </c>
      <c r="AW205" s="2342">
        <f>(AW203-AQ203)/(RevBuild!AW11-RevBuild!AQ11)</f>
        <v>1.8829166666666661</v>
      </c>
      <c r="AX205" s="2269"/>
      <c r="AY205" s="2343"/>
      <c r="AZ205" s="2344"/>
      <c r="BA205" s="2344"/>
      <c r="BB205" s="2344"/>
      <c r="BC205" s="2345"/>
      <c r="BD205" s="2269"/>
      <c r="BE205" s="2343"/>
      <c r="BF205" s="2344"/>
      <c r="BG205" s="2344"/>
      <c r="BH205" s="2344"/>
      <c r="BI205" s="2345"/>
      <c r="BJ205" s="2269"/>
      <c r="BK205" s="2343"/>
      <c r="BL205" s="2344"/>
      <c r="BM205" s="2344"/>
      <c r="BN205" s="2344"/>
      <c r="BO205" s="2345"/>
      <c r="BP205" s="2269"/>
      <c r="BQ205" s="2343"/>
      <c r="BR205" s="2344"/>
      <c r="BS205" s="2344"/>
      <c r="BT205" s="2344"/>
      <c r="BU205" s="2345"/>
      <c r="BV205" s="2269"/>
      <c r="BW205" s="2343"/>
      <c r="BX205" s="2344"/>
      <c r="BY205" s="2344"/>
      <c r="BZ205" s="2344"/>
      <c r="CA205" s="2345"/>
      <c r="CB205" s="2344"/>
      <c r="CC205" s="2343"/>
      <c r="CD205" s="2344"/>
      <c r="CE205" s="2344"/>
      <c r="CF205" s="2344"/>
      <c r="CG205" s="2345"/>
      <c r="CI205" s="2343"/>
      <c r="CJ205" s="2344"/>
      <c r="CK205" s="2344"/>
      <c r="CL205" s="2344"/>
      <c r="CM205" s="2345"/>
      <c r="CQ205"/>
      <c r="CR205"/>
      <c r="CS205"/>
      <c r="CT205"/>
      <c r="CU205"/>
      <c r="CV205"/>
    </row>
    <row r="206" spans="1:101" s="149" customFormat="1" outlineLevel="1" collapsed="1">
      <c r="A206" s="1934" t="s">
        <v>105</v>
      </c>
      <c r="C206" s="1935"/>
      <c r="D206" s="1936"/>
      <c r="E206" s="1936"/>
      <c r="F206" s="1936"/>
      <c r="G206" s="1937"/>
      <c r="I206" s="1935"/>
      <c r="J206" s="1936"/>
      <c r="K206" s="1936"/>
      <c r="L206" s="1936"/>
      <c r="M206" s="1937"/>
      <c r="O206" s="1935"/>
      <c r="P206" s="1936"/>
      <c r="Q206" s="1936"/>
      <c r="R206" s="1936"/>
      <c r="S206" s="1937"/>
      <c r="U206" s="1935"/>
      <c r="V206" s="1936"/>
      <c r="W206" s="1936"/>
      <c r="X206" s="1936"/>
      <c r="Y206" s="1937"/>
      <c r="AA206" s="1935"/>
      <c r="AB206" s="1936"/>
      <c r="AC206" s="1936"/>
      <c r="AD206" s="1936"/>
      <c r="AE206" s="1937"/>
      <c r="AG206" s="1938">
        <f>AG66-AG83-AG100</f>
        <v>103.64070361726954</v>
      </c>
      <c r="AH206" s="1870">
        <f>AH66-AH83-AH100</f>
        <v>81.81843640606769</v>
      </c>
      <c r="AI206" s="1870">
        <f>AI66-AI83-AI100</f>
        <v>89.561330296127608</v>
      </c>
      <c r="AJ206" s="1870">
        <f>AJ66-AJ83-AJ100</f>
        <v>108.01423974763412</v>
      </c>
      <c r="AK206" s="748">
        <f>SUM(AG206:AJ206)</f>
        <v>383.03471006709896</v>
      </c>
      <c r="AM206" s="1938">
        <f>AM66-AM83-AM100</f>
        <v>92.881450939457267</v>
      </c>
      <c r="AN206" s="1870">
        <f>AN66-AN83-AN100</f>
        <v>93.681053497942457</v>
      </c>
      <c r="AO206" s="1870">
        <f>AO66-AO83-AO100</f>
        <v>89.716331230283899</v>
      </c>
      <c r="AP206" s="1870">
        <f>AP66-AP83-AP100</f>
        <v>118.45690621915108</v>
      </c>
      <c r="AQ206" s="748">
        <f>SUM(AM206:AP206)</f>
        <v>394.73574188683472</v>
      </c>
      <c r="AS206" s="1938">
        <f>AS66-AS83-AS100</f>
        <v>113.85891666666666</v>
      </c>
      <c r="AT206" s="1870">
        <f>AT66-AT83-AT100</f>
        <v>91.39112854251016</v>
      </c>
      <c r="AU206" s="1870">
        <f>AU66-AU83-AU100</f>
        <v>105.35248959365711</v>
      </c>
      <c r="AV206" s="1870">
        <f>AV66-AV83-AV100</f>
        <v>127.58434899328856</v>
      </c>
      <c r="AW206" s="748">
        <f>SUM(AS206:AV206)</f>
        <v>438.18688379612252</v>
      </c>
      <c r="AY206" s="1938">
        <f>AY66-AY83-AY100</f>
        <v>107.21200000000002</v>
      </c>
      <c r="AZ206" s="1870">
        <f>AZ66-AZ83-AZ100</f>
        <v>74.73399999999998</v>
      </c>
      <c r="BA206" s="1870">
        <f>BA66-BA83-BA100</f>
        <v>95.557000000000016</v>
      </c>
      <c r="BB206" s="1870">
        <f>BB66-BB83-BB100</f>
        <v>103</v>
      </c>
      <c r="BC206" s="748">
        <f>SUM(AY206:BB206)</f>
        <v>380.50300000000004</v>
      </c>
      <c r="BE206" s="1938">
        <f>BE66-BE83-BE100</f>
        <v>114.14199999999994</v>
      </c>
      <c r="BF206" s="1870">
        <f>BF66-BF83-BF100</f>
        <v>94.049999999999983</v>
      </c>
      <c r="BG206" s="1870">
        <f>BG66-BG83-BG100</f>
        <v>96.263999999999982</v>
      </c>
      <c r="BH206" s="1870">
        <f>BH66-BH83-BH100</f>
        <v>125.10839999999993</v>
      </c>
      <c r="BI206" s="748">
        <f>SUM(BE206:BH206)</f>
        <v>429.56439999999986</v>
      </c>
      <c r="BK206" s="1938">
        <f>BK66-BK83-BK100</f>
        <v>126.09000000000003</v>
      </c>
      <c r="BL206" s="1870">
        <f>BL66-BL83-BL100</f>
        <v>110.87599999999998</v>
      </c>
      <c r="BM206" s="1870">
        <f>BM66-BM83-BM100</f>
        <v>112.89060000000001</v>
      </c>
      <c r="BN206" s="1870">
        <f>BN66-BN83-BN100</f>
        <v>137.42499999999995</v>
      </c>
      <c r="BO206" s="748">
        <f>SUM(BK206:BN206)</f>
        <v>487.28159999999997</v>
      </c>
      <c r="BQ206" s="1938">
        <f>BQ66-BQ83-BQ100</f>
        <v>159.19679999999994</v>
      </c>
      <c r="BR206" s="1870">
        <f>BR66-BR83-BR100</f>
        <v>136.82498099999998</v>
      </c>
      <c r="BS206" s="1870">
        <f>BS66-BS83-BS100</f>
        <v>132.67964079999999</v>
      </c>
      <c r="BT206" s="1870">
        <f>BT66-BT83-BT100</f>
        <v>158.38720000000001</v>
      </c>
      <c r="BU206" s="748">
        <f>SUM(BQ206:BT206)</f>
        <v>587.08862179999994</v>
      </c>
      <c r="BW206" s="1938">
        <f>BW66-BW83-BW100</f>
        <v>173.66170799999995</v>
      </c>
      <c r="BX206" s="1870">
        <f>BX66-BX83-BX100</f>
        <v>149.78451740999998</v>
      </c>
      <c r="BY206" s="1870">
        <f>BY66-BY83-BY100</f>
        <v>145.23450959800002</v>
      </c>
      <c r="BZ206" s="1870">
        <f>BZ66-BZ83-BZ100</f>
        <v>172.80909700000001</v>
      </c>
      <c r="CA206" s="748">
        <f>SUM(BW206:BZ206)</f>
        <v>641.48983200799989</v>
      </c>
      <c r="CB206" s="204"/>
      <c r="CC206" s="1938">
        <f>CC66-CC83-CC100</f>
        <v>183.93205223999999</v>
      </c>
      <c r="CD206" s="1870">
        <f>CD66-CD83-CD100</f>
        <v>159.17059160879995</v>
      </c>
      <c r="CE206" s="1870">
        <f>CE66-CE83-CE100</f>
        <v>154.32345794644002</v>
      </c>
      <c r="CF206" s="1870">
        <f>CF66-CF83-CF100</f>
        <v>183.05959486</v>
      </c>
      <c r="CG206" s="748">
        <f>SUM(CC206:CF206)</f>
        <v>680.48569665523996</v>
      </c>
      <c r="CI206" s="1938">
        <f>CI66-CI83-CI100</f>
        <v>195.3920446878</v>
      </c>
      <c r="CJ206" s="1870">
        <f>CJ66-CJ83-CJ100</f>
        <v>169.69052827101024</v>
      </c>
      <c r="CK206" s="1870">
        <f>CK66-CK83-CK100</f>
        <v>164.50937400047229</v>
      </c>
      <c r="CL206" s="1870">
        <f>CL66-CL83-CL100</f>
        <v>194.50014404209</v>
      </c>
      <c r="CM206" s="748">
        <f>SUM(CI206:CL206)</f>
        <v>724.09209100137252</v>
      </c>
      <c r="CQ206"/>
      <c r="CR206"/>
      <c r="CS206"/>
      <c r="CT206"/>
      <c r="CU206"/>
      <c r="CV206"/>
    </row>
    <row r="207" spans="1:101" s="149" customFormat="1" outlineLevel="1">
      <c r="A207" s="1939" t="s">
        <v>153</v>
      </c>
      <c r="C207" s="1940"/>
      <c r="D207" s="154"/>
      <c r="E207" s="154"/>
      <c r="F207" s="154"/>
      <c r="G207" s="1316"/>
      <c r="I207" s="1940"/>
      <c r="J207" s="154"/>
      <c r="K207" s="154"/>
      <c r="L207" s="154"/>
      <c r="M207" s="1316"/>
      <c r="O207" s="1940"/>
      <c r="P207" s="154"/>
      <c r="Q207" s="154"/>
      <c r="R207" s="154"/>
      <c r="S207" s="1316"/>
      <c r="U207" s="1940"/>
      <c r="V207" s="154"/>
      <c r="W207" s="154"/>
      <c r="X207" s="154"/>
      <c r="Y207" s="1316"/>
      <c r="AA207" s="1940"/>
      <c r="AB207" s="154"/>
      <c r="AC207" s="154"/>
      <c r="AD207" s="154"/>
      <c r="AE207" s="1316"/>
      <c r="AG207" s="1941">
        <f>AG206/RevBuild!AG12</f>
        <v>0.20046557759626604</v>
      </c>
      <c r="AH207" s="824">
        <f>AH206/RevBuild!AH12</f>
        <v>0.16429404900816805</v>
      </c>
      <c r="AI207" s="824">
        <f>AI206/RevBuild!AI12</f>
        <v>0.18056719817767664</v>
      </c>
      <c r="AJ207" s="824">
        <f>AJ206/RevBuild!AJ12</f>
        <v>0.21346687697160893</v>
      </c>
      <c r="AK207" s="921">
        <f>AK206/RevBuild!AK12</f>
        <v>0.18990317802037629</v>
      </c>
      <c r="AM207" s="1941">
        <f>AM206/RevBuild!AM12</f>
        <v>0.18176409185803771</v>
      </c>
      <c r="AN207" s="824">
        <f>AN206/RevBuild!AN12</f>
        <v>0.184411522633745</v>
      </c>
      <c r="AO207" s="824">
        <f>AO206/RevBuild!AO12</f>
        <v>0.18346898002103046</v>
      </c>
      <c r="AP207" s="824">
        <f>AP206/RevBuild!AP12</f>
        <v>0.22477591312931894</v>
      </c>
      <c r="AQ207" s="921">
        <f>AQ206/RevBuild!AQ12</f>
        <v>0.19397333753652812</v>
      </c>
      <c r="AS207" s="1941">
        <f>AS206/RevBuild!AS12</f>
        <v>0.21202777777777776</v>
      </c>
      <c r="AT207" s="824">
        <f>AT206/RevBuild!AT12</f>
        <v>0.18462854251012153</v>
      </c>
      <c r="AU207" s="824">
        <f>AU206/RevBuild!AU12</f>
        <v>0.20779583746283453</v>
      </c>
      <c r="AV207" s="824">
        <f>AV206/RevBuild!AV12</f>
        <v>0.23670565675934796</v>
      </c>
      <c r="AW207" s="921">
        <f>AW206/RevBuild!AW12</f>
        <v>0.21086953021950072</v>
      </c>
      <c r="AY207" s="1941">
        <f>AY206/RevBuild!AY12</f>
        <v>0.19600000000000004</v>
      </c>
      <c r="AZ207" s="824">
        <f>AZ206/RevBuild!AZ12</f>
        <v>0.15799999999999995</v>
      </c>
      <c r="BA207" s="824">
        <f>BA206/RevBuild!BA12</f>
        <v>0.18700000000000003</v>
      </c>
      <c r="BB207" s="824">
        <f>BB206/RevBuild!BB12</f>
        <v>0.2</v>
      </c>
      <c r="BC207" s="921">
        <f>BC206/RevBuild!BC12</f>
        <v>0.18597409579667645</v>
      </c>
      <c r="BE207" s="1941">
        <f>BE206/RevBuild!BE12</f>
        <v>0.21699999999999989</v>
      </c>
      <c r="BF207" s="824">
        <f>BF206/RevBuild!BF12</f>
        <v>0.18999999999999997</v>
      </c>
      <c r="BG207" s="824">
        <f>BG206/RevBuild!BG12</f>
        <v>0.19099999999999998</v>
      </c>
      <c r="BH207" s="824">
        <f>BH206/RevBuild!BH12</f>
        <v>0.22829999999999986</v>
      </c>
      <c r="BI207" s="921">
        <f>BI206/RevBuild!BI12</f>
        <v>0.20721871683550402</v>
      </c>
      <c r="BK207" s="1941">
        <f>BK206/RevBuild!BK12</f>
        <v>0.23350000000000007</v>
      </c>
      <c r="BL207" s="824">
        <f>BL206/RevBuild!BL12</f>
        <v>0.21199999999999997</v>
      </c>
      <c r="BM207" s="824">
        <f>BM206/RevBuild!BM12</f>
        <v>0.21260000000000001</v>
      </c>
      <c r="BN207" s="824">
        <f>BN206/RevBuild!BN12</f>
        <v>0.23899999999999993</v>
      </c>
      <c r="BO207" s="921">
        <f>BO206/RevBuild!BO12</f>
        <v>0.22465726141078837</v>
      </c>
      <c r="BQ207" s="1941">
        <f>BQ206/RevBuild!BQ12</f>
        <v>0.25759999999999988</v>
      </c>
      <c r="BR207" s="824">
        <f>BR206/RevBuild!BR12</f>
        <v>0.22900000000000001</v>
      </c>
      <c r="BS207" s="824">
        <f>BS206/RevBuild!BS12</f>
        <v>0.2296</v>
      </c>
      <c r="BT207" s="824">
        <f>BT206/RevBuild!BT12</f>
        <v>0.25600000000000001</v>
      </c>
      <c r="BU207" s="921">
        <f>BU206/RevBuild!BU12</f>
        <v>0.24339698639587207</v>
      </c>
      <c r="BW207" s="1941">
        <f>BW206/RevBuild!BW12</f>
        <v>0.26509999999999989</v>
      </c>
      <c r="BX207" s="824">
        <f>BX206/RevBuild!BX12</f>
        <v>0.23649999999999999</v>
      </c>
      <c r="BY207" s="824">
        <f>BY206/RevBuild!BY12</f>
        <v>0.23710000000000006</v>
      </c>
      <c r="BZ207" s="824">
        <f>BZ206/RevBuild!BZ12</f>
        <v>0.26349999999999996</v>
      </c>
      <c r="CA207" s="921">
        <f>CA206/RevBuild!CA12</f>
        <v>0.25089698639587205</v>
      </c>
      <c r="CB207" s="824"/>
      <c r="CC207" s="1941">
        <f>CC206/RevBuild!CC12</f>
        <v>0.27259999999999995</v>
      </c>
      <c r="CD207" s="824">
        <f>CD206/RevBuild!CD12</f>
        <v>0.24399999999999997</v>
      </c>
      <c r="CE207" s="824">
        <f>CE206/RevBuild!CE12</f>
        <v>0.24460000000000004</v>
      </c>
      <c r="CF207" s="824">
        <f>CF206/RevBuild!CF12</f>
        <v>0.27099999999999996</v>
      </c>
      <c r="CG207" s="921">
        <f>CG206/RevBuild!CG12</f>
        <v>0.25839698639587205</v>
      </c>
      <c r="CI207" s="1941">
        <f>CI206/RevBuild!CI12</f>
        <v>0.28114999999999996</v>
      </c>
      <c r="CJ207" s="824">
        <f>CJ206/RevBuild!CJ12</f>
        <v>0.25254999999999994</v>
      </c>
      <c r="CK207" s="824">
        <f>CK206/RevBuild!CK12</f>
        <v>0.25314999999999999</v>
      </c>
      <c r="CL207" s="824">
        <f>CL206/RevBuild!CL12</f>
        <v>0.27954999999999997</v>
      </c>
      <c r="CM207" s="921">
        <f>CM206/RevBuild!CM12</f>
        <v>0.266946986395872</v>
      </c>
      <c r="CQ207"/>
      <c r="CR207"/>
      <c r="CS207"/>
      <c r="CT207"/>
      <c r="CU207"/>
      <c r="CV207"/>
    </row>
    <row r="208" spans="1:101" s="149" customFormat="1" outlineLevel="1">
      <c r="A208" s="1942" t="s">
        <v>154</v>
      </c>
      <c r="C208" s="1943"/>
      <c r="D208" s="1944"/>
      <c r="E208" s="1944"/>
      <c r="F208" s="1944"/>
      <c r="G208" s="1945"/>
      <c r="I208" s="1943"/>
      <c r="J208" s="1944"/>
      <c r="K208" s="1944"/>
      <c r="L208" s="1944"/>
      <c r="M208" s="1945"/>
      <c r="O208" s="1943"/>
      <c r="P208" s="1944"/>
      <c r="Q208" s="1944"/>
      <c r="R208" s="1944"/>
      <c r="S208" s="1945"/>
      <c r="U208" s="1943"/>
      <c r="V208" s="1944"/>
      <c r="W208" s="1944"/>
      <c r="X208" s="1944"/>
      <c r="Y208" s="1945"/>
      <c r="AA208" s="1943"/>
      <c r="AB208" s="1944"/>
      <c r="AC208" s="1944"/>
      <c r="AD208" s="1944"/>
      <c r="AE208" s="1945"/>
      <c r="AG208" s="1941"/>
      <c r="AH208" s="824"/>
      <c r="AI208" s="824"/>
      <c r="AJ208" s="824"/>
      <c r="AK208" s="921"/>
      <c r="AM208" s="1941">
        <f>(AM206-AG206)/(RevBuild!AM12-RevBuild!AG12)</f>
        <v>1.7932087796353784</v>
      </c>
      <c r="AN208" s="824">
        <f>(AN206-AH206)/(RevBuild!AN12-RevBuild!AH12)</f>
        <v>1.1862617091874768</v>
      </c>
      <c r="AO208" s="824">
        <f>(AO206-AI206)/(RevBuild!AO12-RevBuild!AI12)</f>
        <v>-2.2142990593755889E-2</v>
      </c>
      <c r="AP208" s="824">
        <f>(AP206-AJ206)/(RevBuild!AP12-RevBuild!AJ12)</f>
        <v>0.49726983197699798</v>
      </c>
      <c r="AQ208" s="921">
        <f>(AQ206-AK206)/(RevBuild!AQ12-RevBuild!AK12)</f>
        <v>0.6500573233186534</v>
      </c>
      <c r="AS208" s="1941">
        <f>(AS206-AM206)/(RevBuild!AS12-RevBuild!AM12)</f>
        <v>0.80682560489266897</v>
      </c>
      <c r="AT208" s="824">
        <f>(AT206-AN206)/(RevBuild!AT12-RevBuild!AN12)</f>
        <v>0.17614807349479214</v>
      </c>
      <c r="AU208" s="824">
        <f>(AU206-AO206)/(RevBuild!AU12-RevBuild!AO12)</f>
        <v>0.86867546463184508</v>
      </c>
      <c r="AV208" s="824">
        <f>(AV206-AP206)/(RevBuild!AV12-RevBuild!AP12)</f>
        <v>0.76062023117812316</v>
      </c>
      <c r="AW208" s="921">
        <f>(AW206-AQ206)/(RevBuild!AW12-RevBuild!AQ12)</f>
        <v>1.0104916723090185</v>
      </c>
      <c r="AY208" s="1941">
        <f>(AY206-AS206)/(RevBuild!AY12-RevBuild!AS12)</f>
        <v>-0.66469166666666413</v>
      </c>
      <c r="AZ208" s="824">
        <f>(AZ206-AT206)/(RevBuild!AZ12-RevBuild!AT12)</f>
        <v>0.75714220647773545</v>
      </c>
      <c r="BA208" s="824">
        <f>(BA206-AU206)/(RevBuild!BA12-RevBuild!AU12)</f>
        <v>-2.4488723984142737</v>
      </c>
      <c r="BB208" s="824">
        <f>(BB206-AV206)/(RevBuild!BB12-RevBuild!AV12)</f>
        <v>1.0243478747203565</v>
      </c>
      <c r="BC208" s="921">
        <f>(BC206-AW206)/(RevBuild!BC12-RevBuild!AW12)</f>
        <v>1.8026213686288273</v>
      </c>
      <c r="BE208" s="1941">
        <f>(BE206-AY206)/(RevBuild!BE12-RevBuild!AY12)</f>
        <v>-0.32999999999999624</v>
      </c>
      <c r="BF208" s="824">
        <f>(BF206-AZ206)/(RevBuild!BF12-RevBuild!AZ12)</f>
        <v>0.87800000000000011</v>
      </c>
      <c r="BG208" s="824">
        <f>(BG206-BA206)/(RevBuild!BG12-RevBuild!BA12)</f>
        <v>-0.10099999999999502</v>
      </c>
      <c r="BH208" s="824">
        <f>(BH206-BB206)/(RevBuild!BH12-RevBuild!BB12)</f>
        <v>0.66995151515151308</v>
      </c>
      <c r="BI208" s="921">
        <f>(BI206-BC206)/(RevBuild!BI12-RevBuild!BC12)</f>
        <v>1.8170888888888823</v>
      </c>
      <c r="BK208" s="1941">
        <f>(BK206-BE206)/(RevBuild!BK12-RevBuild!BE12)</f>
        <v>0.85342857142857809</v>
      </c>
      <c r="BL208" s="824">
        <f>(BL206-BF206)/(RevBuild!BL12-RevBuild!BF12)</f>
        <v>0.60092857142857115</v>
      </c>
      <c r="BM208" s="824">
        <f>(BM206-BG206)/(RevBuild!BM12-RevBuild!BG12)</f>
        <v>0.6158000000000009</v>
      </c>
      <c r="BN208" s="824">
        <f>(BN206-BH206)/(RevBuild!BN12-RevBuild!BH12)</f>
        <v>0.45617037037037123</v>
      </c>
      <c r="BO208" s="921">
        <f>(BO206-BI206)/(RevBuild!BO12-RevBuild!BI12)</f>
        <v>0.60122083333333443</v>
      </c>
      <c r="BQ208" s="1941">
        <f>(BQ206-BK206)/(RevBuild!BQ12-RevBuild!BK12)</f>
        <v>0.42444615384615264</v>
      </c>
      <c r="BR208" s="824">
        <f>(BR206-BL206)/(RevBuild!BR12-RevBuild!BL12)</f>
        <v>0.34835990548940154</v>
      </c>
      <c r="BS208" s="824">
        <f>(BS206-BM206)/(RevBuild!BS12-RevBuild!BM12)</f>
        <v>0.42218421692658908</v>
      </c>
      <c r="BT208" s="824">
        <f>(BT206-BN206)/(RevBuild!BT12-RevBuild!BN12)</f>
        <v>0.47968421052631649</v>
      </c>
      <c r="BU208" s="921">
        <f>(BU206-BO206)/(RevBuild!BU12-RevBuild!BO12)</f>
        <v>0.41062371658260038</v>
      </c>
      <c r="BW208" s="1941">
        <f>(BW206-BQ206)/(RevBuild!BW12-RevBuild!BQ12)</f>
        <v>0.39009999999999978</v>
      </c>
      <c r="BX208" s="824">
        <f>(BX206-BR206)/(RevBuild!BX12-RevBuild!BR12)</f>
        <v>0.3615000000000001</v>
      </c>
      <c r="BY208" s="824">
        <f>(BY206-BS206)/(RevBuild!BY12-RevBuild!BS12)</f>
        <v>0.36210000000000109</v>
      </c>
      <c r="BZ208" s="824">
        <f>(BZ206-BT206)/(RevBuild!BZ12-RevBuild!BT12)</f>
        <v>0.38849999999999929</v>
      </c>
      <c r="CA208" s="921">
        <f>(CA206-BU206)/(RevBuild!CA12-RevBuild!BU12)</f>
        <v>0.37589698639587188</v>
      </c>
      <c r="CB208" s="824"/>
      <c r="CC208" s="1941">
        <f>(CC206-BW206)/(RevBuild!CC12-RevBuild!BW12)</f>
        <v>0.52260000000000062</v>
      </c>
      <c r="CD208" s="824">
        <f>(CD206-BX206)/(RevBuild!CD12-RevBuild!BX12)</f>
        <v>0.4939999999999985</v>
      </c>
      <c r="CE208" s="824">
        <f>(CE206-BY206)/(RevBuild!CE12-RevBuild!BY12)</f>
        <v>0.49459999999999821</v>
      </c>
      <c r="CF208" s="824">
        <f>(CF206-BZ206)/(RevBuild!CF12-RevBuild!BZ12)</f>
        <v>0.52099999999999935</v>
      </c>
      <c r="CG208" s="921">
        <f>(CG206-CA206)/(RevBuild!CG12-RevBuild!CA12)</f>
        <v>0.50839698639586972</v>
      </c>
      <c r="CI208" s="1941">
        <f>(CI206-CC206)/(RevBuild!CI12-RevBuild!CC12)</f>
        <v>0.56614999999999938</v>
      </c>
      <c r="CJ208" s="824">
        <f>(CJ206-CD206)/(RevBuild!CJ12-RevBuild!CD12)</f>
        <v>0.53754999999999808</v>
      </c>
      <c r="CK208" s="824">
        <f>(CK206-CE206)/(RevBuild!CK12-RevBuild!CE12)</f>
        <v>0.53814999999999813</v>
      </c>
      <c r="CL208" s="824">
        <f>(CL206-CF206)/(RevBuild!CL12-RevBuild!CF12)</f>
        <v>0.56455000000000066</v>
      </c>
      <c r="CM208" s="921">
        <f>(CM206-CG206)/(RevBuild!CM12-RevBuild!CG12)</f>
        <v>0.55194698639587114</v>
      </c>
      <c r="CQ208"/>
      <c r="CR208"/>
      <c r="CS208"/>
      <c r="CT208"/>
      <c r="CU208"/>
      <c r="CV208"/>
    </row>
    <row r="209" spans="1:119" s="149" customFormat="1" outlineLevel="1">
      <c r="A209" s="1934" t="s">
        <v>99</v>
      </c>
      <c r="C209" s="1935"/>
      <c r="D209" s="1936"/>
      <c r="E209" s="1936"/>
      <c r="F209" s="1936"/>
      <c r="G209" s="1937"/>
      <c r="I209" s="1935"/>
      <c r="J209" s="1936"/>
      <c r="K209" s="1936"/>
      <c r="L209" s="1936"/>
      <c r="M209" s="1937"/>
      <c r="O209" s="1935"/>
      <c r="P209" s="1936"/>
      <c r="Q209" s="1936"/>
      <c r="R209" s="1936"/>
      <c r="S209" s="1937"/>
      <c r="U209" s="1935"/>
      <c r="V209" s="1936"/>
      <c r="W209" s="1936"/>
      <c r="X209" s="1936"/>
      <c r="Y209" s="1937"/>
      <c r="AA209" s="1935"/>
      <c r="AB209" s="1936"/>
      <c r="AC209" s="1936"/>
      <c r="AD209" s="1936"/>
      <c r="AE209" s="1937"/>
      <c r="AG209" s="1938">
        <f>AG68-AG85-AG102</f>
        <v>14.541469078179697</v>
      </c>
      <c r="AH209" s="1870">
        <f>AH68-AH85-AH102</f>
        <v>17.975701283547252</v>
      </c>
      <c r="AI209" s="1870">
        <f>AI68-AI85-AI102</f>
        <v>25.372018223234619</v>
      </c>
      <c r="AJ209" s="1870">
        <f>AJ68-AJ85-AJ102</f>
        <v>43.217432176656146</v>
      </c>
      <c r="AK209" s="748">
        <f>SUM(AG209:AJ209)</f>
        <v>101.10662076161771</v>
      </c>
      <c r="AM209" s="1938">
        <f>AM68-AM85-AM102</f>
        <v>36.377906054279741</v>
      </c>
      <c r="AN209" s="1870">
        <f>AN68-AN85-AN102</f>
        <v>41.826609053497947</v>
      </c>
      <c r="AO209" s="1870">
        <f>AO68-AO85-AO102</f>
        <v>38.695629863301789</v>
      </c>
      <c r="AP209" s="1870">
        <f>AP68-AP85-AP102</f>
        <v>45.826353405725555</v>
      </c>
      <c r="AQ209" s="748">
        <f>SUM(AM209:AP209)</f>
        <v>162.72649837680504</v>
      </c>
      <c r="AS209" s="1938">
        <f>AS68-AS85-AS102</f>
        <v>36.585361111111112</v>
      </c>
      <c r="AT209" s="1870">
        <f>AT68-AT85-AT102</f>
        <v>36.729595141700415</v>
      </c>
      <c r="AU209" s="1870">
        <f>AU68-AU85-AU102</f>
        <v>35.324109018830512</v>
      </c>
      <c r="AV209" s="1870">
        <f>AV68-AV85-AV102</f>
        <v>35.381372962607898</v>
      </c>
      <c r="AW209" s="748">
        <f>SUM(AS209:AV209)</f>
        <v>144.02043823424992</v>
      </c>
      <c r="AY209" s="1938">
        <f>AY68-AY85-AY102</f>
        <v>0.74000000000000199</v>
      </c>
      <c r="AZ209" s="1870">
        <f>AZ68-AZ85-AZ102</f>
        <v>25.35</v>
      </c>
      <c r="BA209" s="1870">
        <f>BA68-BA85-BA102</f>
        <v>28.056000000000012</v>
      </c>
      <c r="BB209" s="1870">
        <f>BB68-BB85-BB102</f>
        <v>34.176000000000009</v>
      </c>
      <c r="BC209" s="748">
        <f>SUM(AY209:BB209)</f>
        <v>88.322000000000031</v>
      </c>
      <c r="BE209" s="1938">
        <f>BE68-BE85-BE102</f>
        <v>15.168000000000013</v>
      </c>
      <c r="BF209" s="1870">
        <f>BF68-BF85-BF102</f>
        <v>26.699999999999989</v>
      </c>
      <c r="BG209" s="1870">
        <f>BG68-BG85-BG102</f>
        <v>33.840000000000003</v>
      </c>
      <c r="BH209" s="1870">
        <f>BH68-BH85-BH102</f>
        <v>37.885899999999999</v>
      </c>
      <c r="BI209" s="748">
        <f>SUM(BE209:BH209)</f>
        <v>113.59389999999999</v>
      </c>
      <c r="BK209" s="1938">
        <f>BK68-BK85-BK102</f>
        <v>23.452000000000012</v>
      </c>
      <c r="BL209" s="1870">
        <f>BL68-BL85-BL102</f>
        <v>48.641999999999989</v>
      </c>
      <c r="BM209" s="1870">
        <f>BM68-BM85-BM102</f>
        <v>33.194500000000005</v>
      </c>
      <c r="BN209" s="1870">
        <f>BN68-BN85-BN102</f>
        <v>43.680000000000014</v>
      </c>
      <c r="BO209" s="748">
        <f>SUM(BK209:BN209)</f>
        <v>148.96850000000001</v>
      </c>
      <c r="BQ209" s="1938">
        <f>BQ68-BQ85-BQ102</f>
        <v>21.570999999999984</v>
      </c>
      <c r="BR209" s="1870">
        <f>BR68-BR85-BR102</f>
        <v>57.250434250196555</v>
      </c>
      <c r="BS209" s="1870">
        <f>BS68-BS85-BS102</f>
        <v>40.59154707764619</v>
      </c>
      <c r="BT209" s="1870">
        <f>BT68-BT85-BT102</f>
        <v>52.563350620920744</v>
      </c>
      <c r="BU209" s="748">
        <f>SUM(BQ209:BT209)</f>
        <v>171.97633194876349</v>
      </c>
      <c r="BW209" s="1938">
        <f>BW68-BW85-BW102</f>
        <v>24.431052954071319</v>
      </c>
      <c r="BX209" s="1870">
        <f>BX68-BX85-BX102</f>
        <v>62.654715143312686</v>
      </c>
      <c r="BY209" s="1870">
        <f>BY68-BY85-BY102</f>
        <v>48.061770716272818</v>
      </c>
      <c r="BZ209" s="1870">
        <f>BZ68-BZ85-BZ102</f>
        <v>61.030350624282718</v>
      </c>
      <c r="CA209" s="748">
        <f>SUM(BW209:BZ209)</f>
        <v>196.17788943793954</v>
      </c>
      <c r="CB209" s="204"/>
      <c r="CC209" s="1938">
        <f>CC68-CC85-CC102</f>
        <v>29.309561010680412</v>
      </c>
      <c r="CD209" s="1870">
        <f>CD68-CD85-CD102</f>
        <v>72.607408940285382</v>
      </c>
      <c r="CE209" s="1870">
        <f>CE68-CE85-CE102</f>
        <v>58.276984366891426</v>
      </c>
      <c r="CF209" s="1870">
        <f>CF68-CF85-CF102</f>
        <v>72.308946466556847</v>
      </c>
      <c r="CG209" s="748">
        <f>SUM(CC209:CF209)</f>
        <v>232.50290078441407</v>
      </c>
      <c r="CI209" s="1938">
        <f>CI68-CI85-CI102</f>
        <v>34.345552352865397</v>
      </c>
      <c r="CJ209" s="1870">
        <f>CJ68-CJ85-CJ102</f>
        <v>83.515867914742245</v>
      </c>
      <c r="CK209" s="1870">
        <f>CK68-CK85-CK102</f>
        <v>69.853727354505622</v>
      </c>
      <c r="CL209" s="1870">
        <f>CL68-CL85-CL102</f>
        <v>84.940821504417272</v>
      </c>
      <c r="CM209" s="748">
        <f>SUM(CI209:CL209)</f>
        <v>272.65596912653052</v>
      </c>
      <c r="CQ209"/>
      <c r="CR209"/>
      <c r="CS209"/>
      <c r="CT209"/>
      <c r="CU209"/>
      <c r="CV209"/>
    </row>
    <row r="210" spans="1:119" s="149" customFormat="1" outlineLevel="1">
      <c r="A210" s="1939" t="s">
        <v>153</v>
      </c>
      <c r="C210" s="1940"/>
      <c r="D210" s="154"/>
      <c r="E210" s="154"/>
      <c r="F210" s="154"/>
      <c r="G210" s="1316"/>
      <c r="I210" s="1940"/>
      <c r="J210" s="154"/>
      <c r="K210" s="154"/>
      <c r="L210" s="154"/>
      <c r="M210" s="1316"/>
      <c r="O210" s="1940"/>
      <c r="P210" s="154"/>
      <c r="Q210" s="154"/>
      <c r="R210" s="154"/>
      <c r="S210" s="1316"/>
      <c r="U210" s="1940"/>
      <c r="V210" s="154"/>
      <c r="W210" s="154"/>
      <c r="X210" s="154"/>
      <c r="Y210" s="1316"/>
      <c r="AA210" s="1940"/>
      <c r="AB210" s="154"/>
      <c r="AC210" s="154"/>
      <c r="AD210" s="154"/>
      <c r="AE210" s="1316"/>
      <c r="AG210" s="1941">
        <f>AG209/RevBuild!AG13</f>
        <v>0.24646557759626606</v>
      </c>
      <c r="AH210" s="824">
        <f>AH209/RevBuild!AH13</f>
        <v>0.26829404900816795</v>
      </c>
      <c r="AI210" s="824">
        <f>AI209/RevBuild!AI13</f>
        <v>0.26156719817767649</v>
      </c>
      <c r="AJ210" s="824">
        <f>AJ209/RevBuild!AJ13</f>
        <v>0.28246687697160877</v>
      </c>
      <c r="AK210" s="921">
        <f>AK209/RevBuild!AK13</f>
        <v>0.26890058713196197</v>
      </c>
      <c r="AM210" s="1941">
        <f>AM209/RevBuild!AM13</f>
        <v>0.23776409185803751</v>
      </c>
      <c r="AN210" s="824">
        <f>AN209/RevBuild!AN13</f>
        <v>0.2664115226337449</v>
      </c>
      <c r="AO210" s="824">
        <f>AO209/RevBuild!AO13</f>
        <v>0.24646898002103051</v>
      </c>
      <c r="AP210" s="824">
        <f>AP209/RevBuild!AP13</f>
        <v>0.27277591312931876</v>
      </c>
      <c r="AQ210" s="921">
        <f>AQ209/RevBuild!AQ13</f>
        <v>0.2562622021681969</v>
      </c>
      <c r="AS210" s="1941">
        <f>AS209/RevBuild!AS13</f>
        <v>0.23302777777777778</v>
      </c>
      <c r="AT210" s="824">
        <f>AT209/RevBuild!AT13</f>
        <v>0.21862854251012151</v>
      </c>
      <c r="AU210" s="824">
        <f>AU209/RevBuild!AU13</f>
        <v>0.2127958374628344</v>
      </c>
      <c r="AV210" s="824">
        <f>AV209/RevBuild!AV13</f>
        <v>0.20570565675934824</v>
      </c>
      <c r="AW210" s="921">
        <f>AW209/RevBuild!AW13</f>
        <v>0.21722539703506777</v>
      </c>
      <c r="AY210" s="1941">
        <f>AY209/RevBuild!AY13</f>
        <v>5.0000000000000131E-3</v>
      </c>
      <c r="AZ210" s="824">
        <f>AZ209/RevBuild!AZ13</f>
        <v>0.15000000000000002</v>
      </c>
      <c r="BA210" s="824">
        <f>BA209/RevBuild!BA13</f>
        <v>0.16800000000000007</v>
      </c>
      <c r="BB210" s="824">
        <f>BB209/RevBuild!BB13</f>
        <v>0.19200000000000006</v>
      </c>
      <c r="BC210" s="921">
        <f>BC209/RevBuild!BC13</f>
        <v>0.13341691842900308</v>
      </c>
      <c r="BE210" s="1941">
        <f>BE209/RevBuild!BE13</f>
        <v>9.6000000000000085E-2</v>
      </c>
      <c r="BF210" s="824">
        <f>BF209/RevBuild!BF13</f>
        <v>0.14999999999999994</v>
      </c>
      <c r="BG210" s="824">
        <f>BG209/RevBuild!BG13</f>
        <v>0.18800000000000003</v>
      </c>
      <c r="BH210" s="824">
        <f>BH209/RevBuild!BH13</f>
        <v>0.1963</v>
      </c>
      <c r="BI210" s="921">
        <f>BI209/RevBuild!BI13</f>
        <v>0.16021706629055005</v>
      </c>
      <c r="BK210" s="1941">
        <f>BK209/RevBuild!BK13</f>
        <v>0.14300000000000007</v>
      </c>
      <c r="BL210" s="824">
        <f>BL209/RevBuild!BL13</f>
        <v>0.24199999999999994</v>
      </c>
      <c r="BM210" s="824">
        <f>BM209/RevBuild!BM13</f>
        <v>0.16850000000000004</v>
      </c>
      <c r="BN210" s="824">
        <f>BN209/RevBuild!BN13</f>
        <v>0.20800000000000007</v>
      </c>
      <c r="BO210" s="921">
        <f>BO209/RevBuild!BO13</f>
        <v>0.19296437823834198</v>
      </c>
      <c r="BQ210" s="1941">
        <f>BQ209/RevBuild!BQ13</f>
        <v>0.11659999999999991</v>
      </c>
      <c r="BR210" s="824">
        <f>BR209/RevBuild!BR13</f>
        <v>0.2579999999999999</v>
      </c>
      <c r="BS210" s="824">
        <f>BS209/RevBuild!BS13</f>
        <v>0.18450000000000005</v>
      </c>
      <c r="BT210" s="824">
        <f>BT209/RevBuild!BT13</f>
        <v>0.224</v>
      </c>
      <c r="BU210" s="921">
        <f>BU209/RevBuild!BU13</f>
        <v>0.19960874812819868</v>
      </c>
      <c r="BW210" s="1941">
        <f>BW209/RevBuild!BW13</f>
        <v>0.12410000000000002</v>
      </c>
      <c r="BX210" s="824">
        <f>BX209/RevBuild!BX13</f>
        <v>0.26549999999999996</v>
      </c>
      <c r="BY210" s="824">
        <f>BY209/RevBuild!BY13</f>
        <v>0.19200000000000006</v>
      </c>
      <c r="BZ210" s="824">
        <f>BZ209/RevBuild!BZ13</f>
        <v>0.23150000000000004</v>
      </c>
      <c r="CA210" s="921">
        <f>CA209/RevBuild!CA13</f>
        <v>0.20719983662662966</v>
      </c>
      <c r="CB210" s="824"/>
      <c r="CC210" s="1941">
        <f>CC209/RevBuild!CC13</f>
        <v>0.1331</v>
      </c>
      <c r="CD210" s="824">
        <f>CD209/RevBuild!CD13</f>
        <v>0.27450000000000002</v>
      </c>
      <c r="CE210" s="824">
        <f>CE209/RevBuild!CE13</f>
        <v>0.2010000000000001</v>
      </c>
      <c r="CF210" s="824">
        <f>CF209/RevBuild!CF13</f>
        <v>0.2405000000000001</v>
      </c>
      <c r="CG210" s="921">
        <f>CG209/RevBuild!CG13</f>
        <v>0.21621919923899477</v>
      </c>
      <c r="CI210" s="1941">
        <f>CI209/RevBuild!CI13</f>
        <v>0.13864999999999994</v>
      </c>
      <c r="CJ210" s="824">
        <f>CJ209/RevBuild!CJ13</f>
        <v>0.28005000000000002</v>
      </c>
      <c r="CK210" s="824">
        <f>CK209/RevBuild!CK13</f>
        <v>0.20655000000000004</v>
      </c>
      <c r="CL210" s="824">
        <f>CL209/RevBuild!CL13</f>
        <v>0.24605000000000002</v>
      </c>
      <c r="CM210" s="921">
        <f>CM209/RevBuild!CM13</f>
        <v>0.22179011480659375</v>
      </c>
      <c r="CQ210"/>
      <c r="CR210"/>
      <c r="CS210"/>
      <c r="CT210"/>
      <c r="CU210"/>
      <c r="CV210"/>
    </row>
    <row r="211" spans="1:119" s="149" customFormat="1" outlineLevel="1">
      <c r="A211" s="1942" t="s">
        <v>154</v>
      </c>
      <c r="C211" s="1943"/>
      <c r="D211" s="1944"/>
      <c r="E211" s="1944"/>
      <c r="F211" s="1944"/>
      <c r="G211" s="1945"/>
      <c r="I211" s="1943"/>
      <c r="J211" s="1944"/>
      <c r="K211" s="1944"/>
      <c r="L211" s="1944"/>
      <c r="M211" s="1945"/>
      <c r="O211" s="1943"/>
      <c r="P211" s="1944"/>
      <c r="Q211" s="1944"/>
      <c r="R211" s="1944"/>
      <c r="S211" s="1945"/>
      <c r="U211" s="1943"/>
      <c r="V211" s="1944"/>
      <c r="W211" s="1944"/>
      <c r="X211" s="1944"/>
      <c r="Y211" s="1945"/>
      <c r="AA211" s="1943"/>
      <c r="AB211" s="1944"/>
      <c r="AC211" s="1944"/>
      <c r="AD211" s="1944"/>
      <c r="AE211" s="1945"/>
      <c r="AG211" s="1941"/>
      <c r="AH211" s="824"/>
      <c r="AI211" s="824"/>
      <c r="AJ211" s="824"/>
      <c r="AK211" s="921"/>
      <c r="AM211" s="1941">
        <f>(AM209-AG209)/(RevBuild!AM13-RevBuild!AG13)</f>
        <v>0.23230252102234092</v>
      </c>
      <c r="AN211" s="824">
        <f>(AN209-AH209)/(RevBuild!AN13-RevBuild!AH13)</f>
        <v>0.2650100863327855</v>
      </c>
      <c r="AO211" s="824">
        <f>(AO209-AI209)/(RevBuild!AO13-RevBuild!AI13)</f>
        <v>0.22206019400111951</v>
      </c>
      <c r="AP211" s="824">
        <f>(AP209-AJ209)/(RevBuild!AP13-RevBuild!AJ13)</f>
        <v>0.17392808193796061</v>
      </c>
      <c r="AQ211" s="921">
        <f>(AQ209-AK209)/(RevBuild!AQ13-RevBuild!AK13)</f>
        <v>0.2379145853868237</v>
      </c>
      <c r="AS211" s="1941">
        <f>(AS209-AM209)/(RevBuild!AS13-RevBuild!AM13)</f>
        <v>5.1863764207842777E-2</v>
      </c>
      <c r="AT211" s="824">
        <f>(AT209-AN209)/(RevBuild!AT13-RevBuild!AN13)</f>
        <v>-0.46336490107250294</v>
      </c>
      <c r="AU211" s="824">
        <f>(AU209-AO209)/(RevBuild!AU13-RevBuild!AO13)</f>
        <v>-0.37461342716347523</v>
      </c>
      <c r="AV211" s="824">
        <f>(AV209-AP209)/(RevBuild!AV13-RevBuild!AP13)</f>
        <v>-2.6112451107794143</v>
      </c>
      <c r="AW211" s="921">
        <f>(AW209-AQ209)/(RevBuild!AW13-RevBuild!AQ13)</f>
        <v>-0.66807357651982557</v>
      </c>
      <c r="AY211" s="1941">
        <f>(AY209-AS209)/(RevBuild!AY13-RevBuild!AS13)</f>
        <v>3.9828179012345677</v>
      </c>
      <c r="AZ211" s="824">
        <f>(AZ209-AT209)/(RevBuild!AZ13-RevBuild!AT13)</f>
        <v>-11.379595141700413</v>
      </c>
      <c r="BA211" s="824">
        <f>(BA209-AU209)/(RevBuild!BA13-RevBuild!AU13)</f>
        <v>-7.2681090188305006</v>
      </c>
      <c r="BB211" s="824">
        <f>(BB209-AV209)/(RevBuild!BB13-RevBuild!AV13)</f>
        <v>-0.20089549376798152</v>
      </c>
      <c r="BC211" s="921">
        <f>(BC209-AW209)/(RevBuild!BC13-RevBuild!AW13)</f>
        <v>55.698438234249892</v>
      </c>
      <c r="BE211" s="1941">
        <f>(BE209-AY209)/(RevBuild!BE13-RevBuild!AY13)</f>
        <v>1.4428000000000012</v>
      </c>
      <c r="BF211" s="824">
        <f>(BF209-AZ209)/(RevBuild!BF13-RevBuild!AZ13)</f>
        <v>0.14999999999999858</v>
      </c>
      <c r="BG211" s="824">
        <f>(BG209-BA209)/(RevBuild!BG13-RevBuild!BA13)</f>
        <v>0.44492307692307631</v>
      </c>
      <c r="BH211" s="824">
        <f>(BH209-BB209)/(RevBuild!BH13-RevBuild!BB13)</f>
        <v>0.24732666666666603</v>
      </c>
      <c r="BI211" s="921">
        <f>(BI209-BC209)/(RevBuild!BI13-RevBuild!BC13)</f>
        <v>0.53769999999999918</v>
      </c>
      <c r="BK211" s="1941">
        <f>(BK209-BE209)/(RevBuild!BK13-RevBuild!BE13)</f>
        <v>1.3806666666666665</v>
      </c>
      <c r="BL211" s="824">
        <f>(BL209-BF209)/(RevBuild!BL13-RevBuild!BF13)</f>
        <v>0.95399999999999996</v>
      </c>
      <c r="BM211" s="824">
        <f>(BM209-BG209)/(RevBuild!BM13-RevBuild!BG13)</f>
        <v>-3.7970588235294027E-2</v>
      </c>
      <c r="BN211" s="824">
        <f>(BN209-BH209)/(RevBuild!BN13-RevBuild!BH13)</f>
        <v>0.34082941176470671</v>
      </c>
      <c r="BO211" s="921">
        <f>(BO209-BI209)/(RevBuild!BO13-RevBuild!BI13)</f>
        <v>0.5615015873015875</v>
      </c>
      <c r="BQ211" s="1941">
        <f>(BQ209-BK209)/(RevBuild!BQ13-RevBuild!BK13)</f>
        <v>-8.957142857142994E-2</v>
      </c>
      <c r="BR211" s="824">
        <f>(BR209-BL209)/(RevBuild!BR13-RevBuild!BL13)</f>
        <v>0.41186891364873846</v>
      </c>
      <c r="BS211" s="824">
        <f>(BS209-BM209)/(RevBuild!BS13-RevBuild!BM13)</f>
        <v>0.32149353372600531</v>
      </c>
      <c r="BT211" s="824">
        <f>(BT209-BN209)/(RevBuild!BT13-RevBuild!BN13)</f>
        <v>0.36026511363396529</v>
      </c>
      <c r="BU211" s="921">
        <f>(BU209-BO209)/(RevBuild!BU13-RevBuild!BO13)</f>
        <v>0.25687813689136441</v>
      </c>
      <c r="BW211" s="1941">
        <f>(BW209-BQ209)/(RevBuild!BW13-RevBuild!BQ13)</f>
        <v>0.2410321276521398</v>
      </c>
      <c r="BX211" s="824">
        <f>(BX209-BR209)/(RevBuild!BX13-RevBuild!BR13)</f>
        <v>0.38364367316397446</v>
      </c>
      <c r="BY211" s="824">
        <f>(BY209-BS209)/(RevBuild!BY13-RevBuild!BS13)</f>
        <v>0.24643356092714991</v>
      </c>
      <c r="BZ211" s="824">
        <f>(BZ209-BT209)/(RevBuild!BZ13-RevBuild!BT13)</f>
        <v>0.29224557908729759</v>
      </c>
      <c r="CA211" s="921">
        <f>(CA209-BU209)/(RevBuild!CA13-RevBuild!BU13)</f>
        <v>0.28392879167251617</v>
      </c>
      <c r="CB211" s="824"/>
      <c r="CC211" s="1941">
        <f>(CC209-BW209)/(RevBuild!CC13-RevBuild!BW13)</f>
        <v>0.20900834226470877</v>
      </c>
      <c r="CD211" s="824">
        <f>(CD209-BX209)/(RevBuild!CD13-RevBuild!BX13)</f>
        <v>0.3489695292710922</v>
      </c>
      <c r="CE211" s="824">
        <f>(CE209-BY209)/(RevBuild!CE13-RevBuild!BY13)</f>
        <v>0.25787187921076071</v>
      </c>
      <c r="CF211" s="824">
        <f>(CF209-BZ209)/(RevBuild!CF13-RevBuild!BZ13)</f>
        <v>0.30457275466943884</v>
      </c>
      <c r="CG211" s="921">
        <f>(CG209-CA209)/(RevBuild!CG13-RevBuild!CA13)</f>
        <v>0.28267204804500751</v>
      </c>
      <c r="CI211" s="1941">
        <f>(CI209-CC209)/(RevBuild!CI13-RevBuild!CC13)</f>
        <v>0.18308052105016401</v>
      </c>
      <c r="CJ211" s="824">
        <f>(CJ209-CD209)/(RevBuild!CJ13-RevBuild!CD13)</f>
        <v>0.32359867029831707</v>
      </c>
      <c r="CK211" s="824">
        <f>(CK209-CE209)/(RevBuild!CK13-RevBuild!CE13)</f>
        <v>0.23989482869113815</v>
      </c>
      <c r="CL211" s="824">
        <f>(CL209-CF209)/(RevBuild!CL13-RevBuild!CF13)</f>
        <v>0.28350033352676152</v>
      </c>
      <c r="CM211" s="921">
        <f>(CM209-CG209)/(RevBuild!CM13-RevBuild!CG13)</f>
        <v>0.26068136938882031</v>
      </c>
      <c r="CQ211"/>
      <c r="CR211"/>
      <c r="CS211"/>
      <c r="CT211"/>
      <c r="CU211"/>
      <c r="CV211"/>
    </row>
    <row r="212" spans="1:119" s="149" customFormat="1" outlineLevel="1">
      <c r="A212" s="1934" t="s">
        <v>107</v>
      </c>
      <c r="C212" s="1935"/>
      <c r="D212" s="1936"/>
      <c r="E212" s="1936"/>
      <c r="F212" s="1936"/>
      <c r="G212" s="1937"/>
      <c r="I212" s="1935"/>
      <c r="J212" s="1936"/>
      <c r="K212" s="1936"/>
      <c r="L212" s="1936"/>
      <c r="M212" s="1937"/>
      <c r="O212" s="1935"/>
      <c r="P212" s="1936"/>
      <c r="Q212" s="1936"/>
      <c r="R212" s="1936"/>
      <c r="S212" s="1937"/>
      <c r="U212" s="1935"/>
      <c r="V212" s="1936"/>
      <c r="W212" s="1936"/>
      <c r="X212" s="1936"/>
      <c r="Y212" s="1937"/>
      <c r="AA212" s="1935"/>
      <c r="AB212" s="1936"/>
      <c r="AC212" s="1936"/>
      <c r="AD212" s="1936"/>
      <c r="AE212" s="1937"/>
      <c r="AG212" s="1938">
        <f>AG70-AG87-AG104</f>
        <v>35.817827304550761</v>
      </c>
      <c r="AH212" s="1870">
        <f>AH70-AH87-AH104</f>
        <v>32.205862310385058</v>
      </c>
      <c r="AI212" s="1870">
        <f>AI70-AI87-AI104</f>
        <v>38.066651480637802</v>
      </c>
      <c r="AJ212" s="1870">
        <f>AJ70-AJ87-AJ104</f>
        <v>42.768328075709803</v>
      </c>
      <c r="AK212" s="748">
        <f>SUM(AG212:AJ212)</f>
        <v>148.85866917128342</v>
      </c>
      <c r="AM212" s="1938">
        <f>AM70-AM87-AM104</f>
        <v>33.740643006263056</v>
      </c>
      <c r="AN212" s="1870">
        <f>AN70-AN87-AN104</f>
        <v>42.492337448559695</v>
      </c>
      <c r="AO212" s="1870">
        <f>AO70-AO87-AO104</f>
        <v>45.588038906414312</v>
      </c>
      <c r="AP212" s="1870">
        <f>AP70-AP87-AP104</f>
        <v>52.716740375123379</v>
      </c>
      <c r="AQ212" s="748">
        <f>SUM(AM212:AP212)</f>
        <v>174.53775973636044</v>
      </c>
      <c r="AS212" s="1938">
        <f>AS70-AS87-AS104</f>
        <v>42.555722222222215</v>
      </c>
      <c r="AT212" s="1870">
        <f>AT70-AT87-AT104</f>
        <v>38.879276315789454</v>
      </c>
      <c r="AU212" s="1870">
        <f>AU70-AU87-AU104</f>
        <v>49.323401387512376</v>
      </c>
      <c r="AV212" s="1870">
        <f>AV70-AV87-AV104</f>
        <v>50.034278044103587</v>
      </c>
      <c r="AW212" s="748">
        <f>SUM(AS212:AV212)</f>
        <v>180.79267796962762</v>
      </c>
      <c r="AY212" s="1938">
        <f>AY70-AY87-AY104</f>
        <v>68.51700000000001</v>
      </c>
      <c r="AZ212" s="1870">
        <f>AZ70-AZ87-AZ104</f>
        <v>69.015000000000001</v>
      </c>
      <c r="BA212" s="1870">
        <f>BA70-BA87-BA104</f>
        <v>75.936000000000007</v>
      </c>
      <c r="BB212" s="1870">
        <f>BB70-BB87-BB104</f>
        <v>85.842000000000013</v>
      </c>
      <c r="BC212" s="748">
        <f>SUM(AY212:BB212)</f>
        <v>299.31000000000006</v>
      </c>
      <c r="BE212" s="1938">
        <f>BE70-BE87-BE104</f>
        <v>76.023999999999987</v>
      </c>
      <c r="BF212" s="1870">
        <f>BF70-BF87-BF104</f>
        <v>74.390000000000015</v>
      </c>
      <c r="BG212" s="1870">
        <f>BG70-BG87-BG104</f>
        <v>81.719999999999985</v>
      </c>
      <c r="BH212" s="1870">
        <f>BH70-BH87-BH104</f>
        <v>84.100999999999999</v>
      </c>
      <c r="BI212" s="748">
        <f>SUM(BE212:BH212)</f>
        <v>316.23499999999996</v>
      </c>
      <c r="BK212" s="1938">
        <f>BK70-BK87-BK104</f>
        <v>73.689000000000021</v>
      </c>
      <c r="BL212" s="1870">
        <f>BL70-BL87-BL104</f>
        <v>81.647999999999996</v>
      </c>
      <c r="BM212" s="1870">
        <f>BM70-BM87-BM104</f>
        <v>90.131000000000014</v>
      </c>
      <c r="BN212" s="1870">
        <f>BN70-BN87-BN104</f>
        <v>92.516000000000005</v>
      </c>
      <c r="BO212" s="748">
        <f>SUM(BK212:BN212)</f>
        <v>337.98400000000004</v>
      </c>
      <c r="BQ212" s="1938">
        <f>BQ70-BQ87-BQ104</f>
        <v>87.964800000000011</v>
      </c>
      <c r="BR212" s="1870">
        <f>BR70-BR87-BR104</f>
        <v>102.09747600000004</v>
      </c>
      <c r="BS212" s="1870">
        <f>BS70-BS87-BS104</f>
        <v>111.932087</v>
      </c>
      <c r="BT212" s="1870">
        <f>BT70-BT87-BT104</f>
        <v>114.85598800000002</v>
      </c>
      <c r="BU212" s="748">
        <f>SUM(BQ212:BT212)</f>
        <v>416.85035100000005</v>
      </c>
      <c r="BW212" s="1938">
        <f>BW70-BW87-BW104</f>
        <v>98.306783999999993</v>
      </c>
      <c r="BX212" s="1870">
        <f>BX70-BX87-BX104</f>
        <v>113.79941748000005</v>
      </c>
      <c r="BY212" s="1870">
        <f>BY70-BY87-BY104</f>
        <v>124.49162376000004</v>
      </c>
      <c r="BZ212" s="1870">
        <f>BZ70-BZ87-BZ104</f>
        <v>127.81099944000003</v>
      </c>
      <c r="CA212" s="748">
        <f>SUM(BW212:BZ212)</f>
        <v>464.40882468000012</v>
      </c>
      <c r="CB212" s="204"/>
      <c r="CC212" s="1938">
        <f>CC70-CC87-CC104</f>
        <v>108.5219208</v>
      </c>
      <c r="CD212" s="1870">
        <f>CD70-CD87-CD104</f>
        <v>125.37373711500004</v>
      </c>
      <c r="CE212" s="1870">
        <f>CE70-CE87-CE104</f>
        <v>136.92876957000007</v>
      </c>
      <c r="CF212" s="1870">
        <f>CF70-CF87-CF104</f>
        <v>140.63604226200002</v>
      </c>
      <c r="CG212" s="748">
        <f>SUM(CC212:CF212)</f>
        <v>511.46046974700016</v>
      </c>
      <c r="CI212" s="1938">
        <f>CI70-CI87-CI104</f>
        <v>119.48720589000003</v>
      </c>
      <c r="CJ212" s="1870">
        <f>CJ70-CJ87-CJ104</f>
        <v>137.79903430392756</v>
      </c>
      <c r="CK212" s="1870">
        <f>CK70-CK87-CK104</f>
        <v>150.28126227434254</v>
      </c>
      <c r="CL212" s="1870">
        <f>CL70-CL87-CL104</f>
        <v>154.404742695165</v>
      </c>
      <c r="CM212" s="748">
        <f>SUM(CI212:CL212)</f>
        <v>561.97224516343522</v>
      </c>
      <c r="CQ212"/>
      <c r="CR212"/>
      <c r="CS212"/>
      <c r="CT212"/>
      <c r="CU212"/>
      <c r="CV212"/>
    </row>
    <row r="213" spans="1:119" s="149" customFormat="1" outlineLevel="1">
      <c r="A213" s="1939" t="s">
        <v>153</v>
      </c>
      <c r="C213" s="1940"/>
      <c r="D213" s="154"/>
      <c r="E213" s="154"/>
      <c r="F213" s="154"/>
      <c r="G213" s="1316"/>
      <c r="I213" s="1940"/>
      <c r="J213" s="154"/>
      <c r="K213" s="154"/>
      <c r="L213" s="154"/>
      <c r="M213" s="1316"/>
      <c r="O213" s="1940"/>
      <c r="P213" s="154"/>
      <c r="Q213" s="154"/>
      <c r="R213" s="154"/>
      <c r="S213" s="1316"/>
      <c r="U213" s="1940"/>
      <c r="V213" s="154"/>
      <c r="W213" s="154"/>
      <c r="X213" s="154"/>
      <c r="Y213" s="1316"/>
      <c r="AA213" s="1940"/>
      <c r="AB213" s="154"/>
      <c r="AC213" s="154"/>
      <c r="AD213" s="154"/>
      <c r="AE213" s="1316"/>
      <c r="AG213" s="1941">
        <f>AG212/RevBuild!AG17</f>
        <v>0.12746557759626606</v>
      </c>
      <c r="AH213" s="824">
        <f>AH212/RevBuild!AH17</f>
        <v>0.11029404900816801</v>
      </c>
      <c r="AI213" s="824">
        <f>AI212/RevBuild!AI17</f>
        <v>0.13356719817767651</v>
      </c>
      <c r="AJ213" s="824">
        <f>AJ212/RevBuild!AJ17</f>
        <v>0.14646687697160893</v>
      </c>
      <c r="AK213" s="921">
        <f>AK212/RevBuild!AK17</f>
        <v>0.12944232101850733</v>
      </c>
      <c r="AM213" s="1941">
        <f>AM212/RevBuild!AM17</f>
        <v>0.11476409185803761</v>
      </c>
      <c r="AN213" s="824">
        <f>AN212/RevBuild!AN17</f>
        <v>0.13841152263374493</v>
      </c>
      <c r="AO213" s="824">
        <f>AO212/RevBuild!AO17</f>
        <v>0.14946898002103054</v>
      </c>
      <c r="AP213" s="824">
        <f>AP212/RevBuild!AP17</f>
        <v>0.1657759131293188</v>
      </c>
      <c r="AQ213" s="921">
        <f>AQ212/RevBuild!AQ17</f>
        <v>0.14259620893493499</v>
      </c>
      <c r="AS213" s="1941">
        <f>AS212/RevBuild!AS17</f>
        <v>0.13552777777777775</v>
      </c>
      <c r="AT213" s="824">
        <f>AT212/RevBuild!AT17</f>
        <v>0.11962854251012139</v>
      </c>
      <c r="AU213" s="824">
        <f>AU212/RevBuild!AU17</f>
        <v>0.14679583746283445</v>
      </c>
      <c r="AV213" s="824">
        <f>AV212/RevBuild!AV17</f>
        <v>0.15070565675934816</v>
      </c>
      <c r="AW213" s="921">
        <f>AW212/RevBuild!AW17</f>
        <v>0.13832645598288265</v>
      </c>
      <c r="AY213" s="1941">
        <f>AY212/RevBuild!AY17</f>
        <v>0.20700000000000002</v>
      </c>
      <c r="AZ213" s="824">
        <f>AZ212/RevBuild!AZ17</f>
        <v>0.215</v>
      </c>
      <c r="BA213" s="824">
        <f>BA212/RevBuild!BA17</f>
        <v>0.22600000000000003</v>
      </c>
      <c r="BB213" s="824">
        <f>BB212/RevBuild!BB17</f>
        <v>0.25100000000000006</v>
      </c>
      <c r="BC213" s="921">
        <f>BC212/RevBuild!BC17</f>
        <v>0.22504511278195494</v>
      </c>
      <c r="BE213" s="1941">
        <f>BE212/RevBuild!BE17</f>
        <v>0.22099999999999997</v>
      </c>
      <c r="BF213" s="824">
        <f>BF212/RevBuild!BF17</f>
        <v>0.21500000000000005</v>
      </c>
      <c r="BG213" s="824">
        <f>BG212/RevBuild!BG17</f>
        <v>0.22699999999999995</v>
      </c>
      <c r="BH213" s="824">
        <f>BH212/RevBuild!BH17</f>
        <v>0.2273</v>
      </c>
      <c r="BI213" s="921">
        <f>BI212/RevBuild!BI17</f>
        <v>0.22270070422535207</v>
      </c>
      <c r="BK213" s="1941">
        <f>BK212/RevBuild!BK17</f>
        <v>0.20300000000000007</v>
      </c>
      <c r="BL213" s="824">
        <f>BL212/RevBuild!BL17</f>
        <v>0.216</v>
      </c>
      <c r="BM213" s="824">
        <f>BM212/RevBuild!BM17</f>
        <v>0.23350000000000004</v>
      </c>
      <c r="BN213" s="824">
        <f>BN212/RevBuild!BN17</f>
        <v>0.22900000000000001</v>
      </c>
      <c r="BO213" s="921">
        <f>BO212/RevBuild!BO17</f>
        <v>0.22076028739386025</v>
      </c>
      <c r="BQ213" s="1941">
        <f>BQ212/RevBuild!BQ17</f>
        <v>0.21560000000000001</v>
      </c>
      <c r="BR213" s="824">
        <f>BR212/RevBuild!BR17</f>
        <v>0.2340000000000001</v>
      </c>
      <c r="BS213" s="824">
        <f>BS212/RevBuild!BS17</f>
        <v>0.2515</v>
      </c>
      <c r="BT213" s="824">
        <f>BT212/RevBuild!BT17</f>
        <v>0.24700000000000005</v>
      </c>
      <c r="BU213" s="921">
        <f>BU212/RevBuild!BU17</f>
        <v>0.23760604967236212</v>
      </c>
      <c r="BW213" s="1941">
        <f>BW212/RevBuild!BW17</f>
        <v>0.22309999999999997</v>
      </c>
      <c r="BX213" s="824">
        <f>BX212/RevBuild!BX17</f>
        <v>0.24150000000000008</v>
      </c>
      <c r="BY213" s="824">
        <f>BY212/RevBuild!BY17</f>
        <v>0.25900000000000006</v>
      </c>
      <c r="BZ213" s="824">
        <f>BZ212/RevBuild!BZ17</f>
        <v>0.25450000000000006</v>
      </c>
      <c r="CA213" s="921">
        <f>CA212/RevBuild!CA17</f>
        <v>0.24510604967236219</v>
      </c>
      <c r="CB213" s="824"/>
      <c r="CC213" s="1941">
        <f>CC212/RevBuild!CC17</f>
        <v>0.2291</v>
      </c>
      <c r="CD213" s="824">
        <f>CD212/RevBuild!CD17</f>
        <v>0.24750000000000005</v>
      </c>
      <c r="CE213" s="824">
        <f>CE212/RevBuild!CE17</f>
        <v>0.26500000000000012</v>
      </c>
      <c r="CF213" s="824">
        <f>CF212/RevBuild!CF17</f>
        <v>0.26050000000000001</v>
      </c>
      <c r="CG213" s="921">
        <f>CG212/RevBuild!CG17</f>
        <v>0.25110604967236222</v>
      </c>
      <c r="CI213" s="1941">
        <f>CI212/RevBuild!CI17</f>
        <v>0.23465000000000005</v>
      </c>
      <c r="CJ213" s="824">
        <f>CJ212/RevBuild!CJ17</f>
        <v>0.25305000000000011</v>
      </c>
      <c r="CK213" s="824">
        <f>CK212/RevBuild!CK17</f>
        <v>0.27055000000000007</v>
      </c>
      <c r="CL213" s="824">
        <f>CL212/RevBuild!CL17</f>
        <v>0.26605000000000001</v>
      </c>
      <c r="CM213" s="921">
        <f>CM212/RevBuild!CM17</f>
        <v>0.25665604967236222</v>
      </c>
      <c r="CQ213"/>
      <c r="CR213"/>
      <c r="CS213"/>
      <c r="CT213"/>
      <c r="CU213"/>
      <c r="CV213"/>
    </row>
    <row r="214" spans="1:119" s="149" customFormat="1" outlineLevel="1">
      <c r="A214" s="1939" t="s">
        <v>154</v>
      </c>
      <c r="C214" s="1940"/>
      <c r="D214" s="154"/>
      <c r="E214" s="154"/>
      <c r="F214" s="154"/>
      <c r="G214" s="1316"/>
      <c r="I214" s="1940"/>
      <c r="J214" s="154"/>
      <c r="K214" s="154"/>
      <c r="L214" s="154"/>
      <c r="M214" s="1316"/>
      <c r="O214" s="1940"/>
      <c r="P214" s="154"/>
      <c r="Q214" s="154"/>
      <c r="R214" s="154"/>
      <c r="S214" s="1316"/>
      <c r="U214" s="1940"/>
      <c r="V214" s="154"/>
      <c r="W214" s="154"/>
      <c r="X214" s="154"/>
      <c r="Y214" s="1316"/>
      <c r="AA214" s="1940"/>
      <c r="AB214" s="154"/>
      <c r="AC214" s="154"/>
      <c r="AD214" s="154"/>
      <c r="AE214" s="1316"/>
      <c r="AG214" s="1941"/>
      <c r="AH214" s="824"/>
      <c r="AI214" s="824"/>
      <c r="AJ214" s="824"/>
      <c r="AK214" s="921"/>
      <c r="AM214" s="1941">
        <f>(AM212-AG212)/(RevBuild!AM17-RevBuild!AG17)</f>
        <v>-0.15978340756059267</v>
      </c>
      <c r="AN214" s="824">
        <f>(AN212-AH212)/(RevBuild!AN17-RevBuild!AH17)</f>
        <v>0.68576500921164252</v>
      </c>
      <c r="AO214" s="824">
        <f>(AO212-AI212)/(RevBuild!AO17-RevBuild!AI17)</f>
        <v>0.3760693712888255</v>
      </c>
      <c r="AP214" s="824">
        <f>(AP212-AJ212)/(RevBuild!AP17-RevBuild!AJ17)</f>
        <v>0.38263124228513756</v>
      </c>
      <c r="AQ214" s="921">
        <f>(AQ212-AK212)/(RevBuild!AQ17-RevBuild!AK17)</f>
        <v>0.34701473736590566</v>
      </c>
      <c r="AS214" s="1941">
        <f>(AS212-AM212)/(RevBuild!AS17-RevBuild!AM17)</f>
        <v>0.44075396079795792</v>
      </c>
      <c r="AT214" s="824">
        <f>(AT212-AN212)/(RevBuild!AT17-RevBuild!AN17)</f>
        <v>-0.20072561848723561</v>
      </c>
      <c r="AU214" s="824">
        <f>(AU212-AO212)/(RevBuild!AU17-RevBuild!AO17)</f>
        <v>0.12049556390638919</v>
      </c>
      <c r="AV214" s="824">
        <f>(AV212-AP212)/(RevBuild!AV17-RevBuild!AP17)</f>
        <v>-0.19160445221569944</v>
      </c>
      <c r="AW214" s="921">
        <f>(AW212-AQ212)/(RevBuild!AW17-RevBuild!AQ17)</f>
        <v>7.5360460641773208E-2</v>
      </c>
      <c r="AY214" s="1941">
        <f>(AY212-AS212)/(RevBuild!AY17-RevBuild!AS17)</f>
        <v>1.5271339869281055</v>
      </c>
      <c r="AZ214" s="824">
        <f>(AZ212-AT212)/(RevBuild!AZ17-RevBuild!AT17)</f>
        <v>-7.5339309210526366</v>
      </c>
      <c r="BA214" s="824" t="str">
        <f>IFERROR((BA212-AU212)/(RevBuild!BA17-RevBuild!AU17),"NM")</f>
        <v>NM</v>
      </c>
      <c r="BB214" s="824">
        <f>(BB212-AV212)/(RevBuild!BB17-RevBuild!AV17)</f>
        <v>3.5807721955896428</v>
      </c>
      <c r="BC214" s="921">
        <f>(BC212-AW212)/(RevBuild!BC17-RevBuild!AW17)</f>
        <v>5.152927044798802</v>
      </c>
      <c r="BE214" s="1941">
        <f>(BE212-AY212)/(RevBuild!BE17-RevBuild!AY17)</f>
        <v>0.57746153846153669</v>
      </c>
      <c r="BF214" s="824">
        <f>(BF212-AZ212)/(RevBuild!BF17-RevBuild!AZ17)</f>
        <v>0.21500000000000058</v>
      </c>
      <c r="BG214" s="824">
        <f>(BG212-BA212)/(RevBuild!BG17-RevBuild!BA17)</f>
        <v>0.24099999999999908</v>
      </c>
      <c r="BH214" s="824">
        <f>(BH212-BB212)/(RevBuild!BH17-RevBuild!BB17)</f>
        <v>-6.2178571428571923E-2</v>
      </c>
      <c r="BI214" s="921">
        <f>(BI212-BC212)/(RevBuild!BI17-RevBuild!BC17)</f>
        <v>0.18805555555555442</v>
      </c>
      <c r="BK214" s="1941">
        <f>(BK212-BE212)/(RevBuild!BK17-RevBuild!BE17)</f>
        <v>-0.12289473684210343</v>
      </c>
      <c r="BL214" s="824">
        <f>(BL212-BF212)/(RevBuild!BL17-RevBuild!BF17)</f>
        <v>0.22681249999999942</v>
      </c>
      <c r="BM214" s="824">
        <f>(BM212-BG212)/(RevBuild!BM17-RevBuild!BG17)</f>
        <v>0.32350000000000112</v>
      </c>
      <c r="BN214" s="824">
        <f>(BN212-BH212)/(RevBuild!BN17-RevBuild!BH17)</f>
        <v>0.24750000000000019</v>
      </c>
      <c r="BO214" s="921">
        <f>(BO212-BI212)/(RevBuild!BO17-RevBuild!BI17)</f>
        <v>0.19593693693693767</v>
      </c>
      <c r="BQ214" s="1941">
        <f>(BQ212-BK212)/(RevBuild!BQ17-RevBuild!BK17)</f>
        <v>0.31723999999999974</v>
      </c>
      <c r="BR214" s="824">
        <f>(BR212-BL212)/(RevBuild!BR17-RevBuild!BL17)</f>
        <v>0.35067867064512875</v>
      </c>
      <c r="BS214" s="824">
        <f>(BS212-BM212)/(RevBuild!BS17-RevBuild!BM17)</f>
        <v>0.36914705882352916</v>
      </c>
      <c r="BT214" s="824">
        <f>(BT212-BN212)/(RevBuild!BT17-RevBuild!BN17)</f>
        <v>0.36620529801324525</v>
      </c>
      <c r="BU214" s="921">
        <f>(BU212-BO212)/(RevBuild!BU17-RevBuild!BO17)</f>
        <v>0.3530654636129214</v>
      </c>
      <c r="BW214" s="1941">
        <f>(BW212-BQ212)/(RevBuild!BW17-RevBuild!BQ17)</f>
        <v>0.31684999999999902</v>
      </c>
      <c r="BX214" s="824">
        <f>(BX212-BR212)/(RevBuild!BX17-RevBuild!BR17)</f>
        <v>0.33524999999999994</v>
      </c>
      <c r="BY214" s="824">
        <f>(BY212-BS212)/(RevBuild!BY17-RevBuild!BS17)</f>
        <v>0.35275000000000101</v>
      </c>
      <c r="BZ214" s="824">
        <f>(BZ212-BT212)/(RevBuild!BZ17-RevBuild!BT17)</f>
        <v>0.34824999999999989</v>
      </c>
      <c r="CA214" s="921">
        <f>(CA212-BU212)/(RevBuild!CA17-RevBuild!BU17)</f>
        <v>0.33885604967236282</v>
      </c>
      <c r="CB214" s="824"/>
      <c r="CC214" s="1941">
        <f>(CC212-BW212)/(RevBuild!CC17-RevBuild!BW17)</f>
        <v>0.30910000000000032</v>
      </c>
      <c r="CD214" s="824">
        <f>(CD212-BX212)/(RevBuild!CD17-RevBuild!BX17)</f>
        <v>0.3274999999999999</v>
      </c>
      <c r="CE214" s="824">
        <f>(CE212-BY212)/(RevBuild!CE17-RevBuild!BY17)</f>
        <v>0.34500000000000058</v>
      </c>
      <c r="CF214" s="824">
        <f>(CF212-BZ212)/(RevBuild!CF17-RevBuild!BZ17)</f>
        <v>0.34050000000000014</v>
      </c>
      <c r="CG214" s="921">
        <f>(CG212-CA212)/(RevBuild!CG17-RevBuild!CA17)</f>
        <v>0.3311060496723629</v>
      </c>
      <c r="CI214" s="1941">
        <f>(CI212-CC212)/(RevBuild!CI17-RevBuild!CC17)</f>
        <v>0.30865000000000087</v>
      </c>
      <c r="CJ214" s="824">
        <f>(CJ212-CD212)/(RevBuild!CJ17-RevBuild!CD17)</f>
        <v>0.32705000000000084</v>
      </c>
      <c r="CK214" s="824">
        <f>(CK212-CE212)/(RevBuild!CK17-RevBuild!CE17)</f>
        <v>0.34454999999999975</v>
      </c>
      <c r="CL214" s="824">
        <f>(CL212-CF212)/(RevBuild!CL17-RevBuild!CF17)</f>
        <v>0.3400499999999993</v>
      </c>
      <c r="CM214" s="921">
        <f>(CM212-CG212)/(RevBuild!CM17-RevBuild!CG17)</f>
        <v>0.3306560496723619</v>
      </c>
      <c r="CQ214"/>
      <c r="CR214"/>
      <c r="CS214"/>
      <c r="CT214"/>
      <c r="CU214"/>
      <c r="CV214"/>
    </row>
    <row r="215" spans="1:119" s="154" customFormat="1">
      <c r="A215" s="2053" t="s">
        <v>155</v>
      </c>
      <c r="B215" s="4"/>
      <c r="C215" s="2054">
        <f>C200+C194</f>
        <v>75</v>
      </c>
      <c r="D215" s="2055">
        <f>D200+D194</f>
        <v>54</v>
      </c>
      <c r="E215" s="2055">
        <f>E200+E194</f>
        <v>77</v>
      </c>
      <c r="F215" s="2055">
        <f>F200+F194</f>
        <v>101</v>
      </c>
      <c r="G215" s="2056">
        <f>G200+G194</f>
        <v>307</v>
      </c>
      <c r="H215" s="4"/>
      <c r="I215" s="2054">
        <f>I200+I194</f>
        <v>87</v>
      </c>
      <c r="J215" s="2055">
        <f>J200+J194</f>
        <v>85</v>
      </c>
      <c r="K215" s="2055">
        <f>K200+K194</f>
        <v>102</v>
      </c>
      <c r="L215" s="2055">
        <f>L200+L194</f>
        <v>136</v>
      </c>
      <c r="M215" s="2056">
        <f>M200+M194</f>
        <v>410</v>
      </c>
      <c r="N215" s="4"/>
      <c r="O215" s="2054">
        <f>O200+O194</f>
        <v>100</v>
      </c>
      <c r="P215" s="2055">
        <f>P200+P194</f>
        <v>81</v>
      </c>
      <c r="Q215" s="2055">
        <f>Q200+Q194</f>
        <v>87</v>
      </c>
      <c r="R215" s="2055">
        <f>R200+R194</f>
        <v>108</v>
      </c>
      <c r="S215" s="2056">
        <f>S200+S194</f>
        <v>376</v>
      </c>
      <c r="T215" s="315"/>
      <c r="U215" s="2054">
        <f>U200+U194</f>
        <v>119</v>
      </c>
      <c r="V215" s="2055">
        <f>V200+V194</f>
        <v>98</v>
      </c>
      <c r="W215" s="2055">
        <f>W200+W194</f>
        <v>121</v>
      </c>
      <c r="X215" s="2055">
        <f>X200+X194</f>
        <v>144</v>
      </c>
      <c r="Y215" s="2056">
        <f>Y200+Y194</f>
        <v>482</v>
      </c>
      <c r="Z215" s="316"/>
      <c r="AA215" s="2054">
        <f>AA200+AA194+AA197</f>
        <v>113</v>
      </c>
      <c r="AB215" s="2055">
        <f>AB200+AB194+AB197</f>
        <v>133</v>
      </c>
      <c r="AC215" s="2055">
        <f>AC200+AC194+AC197</f>
        <v>139</v>
      </c>
      <c r="AD215" s="2055">
        <f>AD200+AD194+AD197</f>
        <v>165</v>
      </c>
      <c r="AE215" s="2056">
        <f>AE200+AE194</f>
        <v>515</v>
      </c>
      <c r="AF215" s="316"/>
      <c r="AG215" s="2054">
        <f>AG212+AG206+AG209</f>
        <v>153.99999999999997</v>
      </c>
      <c r="AH215" s="2055">
        <f t="shared" ref="AH215:BO215" si="95">AH212+AH206+AH209</f>
        <v>132</v>
      </c>
      <c r="AI215" s="2055">
        <f t="shared" si="95"/>
        <v>153.00000000000003</v>
      </c>
      <c r="AJ215" s="2055">
        <f t="shared" si="95"/>
        <v>194.00000000000006</v>
      </c>
      <c r="AK215" s="2057">
        <f t="shared" si="95"/>
        <v>633.00000000000011</v>
      </c>
      <c r="AL215" s="1785"/>
      <c r="AM215" s="2058">
        <f t="shared" si="95"/>
        <v>163.00000000000006</v>
      </c>
      <c r="AN215" s="2059">
        <f t="shared" si="95"/>
        <v>178.00000000000009</v>
      </c>
      <c r="AO215" s="2059">
        <f t="shared" si="95"/>
        <v>174</v>
      </c>
      <c r="AP215" s="2059">
        <f t="shared" si="95"/>
        <v>217</v>
      </c>
      <c r="AQ215" s="2057">
        <f t="shared" si="95"/>
        <v>732.00000000000023</v>
      </c>
      <c r="AR215" s="1785"/>
      <c r="AS215" s="2058">
        <f t="shared" si="95"/>
        <v>193</v>
      </c>
      <c r="AT215" s="2059">
        <f t="shared" si="95"/>
        <v>167.00000000000006</v>
      </c>
      <c r="AU215" s="2059">
        <f t="shared" si="95"/>
        <v>190</v>
      </c>
      <c r="AV215" s="2059">
        <f t="shared" si="95"/>
        <v>213.00000000000006</v>
      </c>
      <c r="AW215" s="2057">
        <f t="shared" si="95"/>
        <v>763</v>
      </c>
      <c r="AX215" s="1785"/>
      <c r="AY215" s="2058">
        <f t="shared" si="95"/>
        <v>176.46900000000005</v>
      </c>
      <c r="AZ215" s="2059">
        <f t="shared" si="95"/>
        <v>169.09899999999996</v>
      </c>
      <c r="BA215" s="2059">
        <f t="shared" si="95"/>
        <v>199.54900000000004</v>
      </c>
      <c r="BB215" s="2059">
        <f t="shared" si="95"/>
        <v>223.01800000000003</v>
      </c>
      <c r="BC215" s="2057">
        <f t="shared" si="95"/>
        <v>768.1350000000001</v>
      </c>
      <c r="BD215" s="1785"/>
      <c r="BE215" s="2058">
        <f>BE212+BE206+BE209</f>
        <v>205.33399999999995</v>
      </c>
      <c r="BF215" s="2059">
        <f t="shared" si="95"/>
        <v>195.14</v>
      </c>
      <c r="BG215" s="2059">
        <f t="shared" si="95"/>
        <v>211.82399999999998</v>
      </c>
      <c r="BH215" s="2059">
        <f t="shared" si="95"/>
        <v>247.09529999999992</v>
      </c>
      <c r="BI215" s="2057">
        <f t="shared" si="95"/>
        <v>859.39329999999984</v>
      </c>
      <c r="BJ215" s="1785"/>
      <c r="BK215" s="2058">
        <f t="shared" si="95"/>
        <v>223.23100000000005</v>
      </c>
      <c r="BL215" s="2059">
        <f t="shared" si="95"/>
        <v>241.16599999999997</v>
      </c>
      <c r="BM215" s="2059">
        <f t="shared" si="95"/>
        <v>236.21610000000004</v>
      </c>
      <c r="BN215" s="2059">
        <f t="shared" si="95"/>
        <v>273.62099999999998</v>
      </c>
      <c r="BO215" s="2057">
        <f t="shared" si="95"/>
        <v>974.2340999999999</v>
      </c>
      <c r="BP215" s="1785"/>
      <c r="BQ215" s="2058">
        <f>BQ212+BQ206+BQ209</f>
        <v>268.73259999999993</v>
      </c>
      <c r="BR215" s="2059">
        <f>BR212+BR206+BR209</f>
        <v>296.17289125019659</v>
      </c>
      <c r="BS215" s="2059">
        <f>BS212+BS206+BS209</f>
        <v>285.20327487764615</v>
      </c>
      <c r="BT215" s="2059">
        <f>BT212+BT206+BT209</f>
        <v>325.80653862092078</v>
      </c>
      <c r="BU215" s="2057">
        <f>BU212+BU206+BU209</f>
        <v>1175.9153047487634</v>
      </c>
      <c r="BV215" s="1785"/>
      <c r="BW215" s="2058">
        <f>BW212+BW206+BW209</f>
        <v>296.3995449540713</v>
      </c>
      <c r="BX215" s="2059">
        <f>BX212+BX206+BX209</f>
        <v>326.23865003331269</v>
      </c>
      <c r="BY215" s="2059">
        <f>BY212+BY206+BY209</f>
        <v>317.78790407427289</v>
      </c>
      <c r="BZ215" s="2059">
        <f>BZ212+BZ206+BZ209</f>
        <v>361.65044706428279</v>
      </c>
      <c r="CA215" s="2057">
        <f>CA212+CA206+CA209</f>
        <v>1302.0765461259396</v>
      </c>
      <c r="CB215" s="2059"/>
      <c r="CC215" s="2058">
        <f>CC212+CC206+CC209</f>
        <v>321.76353405068039</v>
      </c>
      <c r="CD215" s="2059">
        <f>CD212+CD206+CD209</f>
        <v>357.15173766408537</v>
      </c>
      <c r="CE215" s="2059">
        <f>CE212+CE206+CE209</f>
        <v>349.52921188333153</v>
      </c>
      <c r="CF215" s="2059">
        <f>CF212+CF206+CF209</f>
        <v>396.00458358855684</v>
      </c>
      <c r="CG215" s="2057">
        <f>CG212+CG206+CG209</f>
        <v>1424.4490671866542</v>
      </c>
      <c r="CI215" s="2058">
        <f>CI212+CI206+CI209</f>
        <v>349.22480293066542</v>
      </c>
      <c r="CJ215" s="2059">
        <f>CJ212+CJ206+CJ209</f>
        <v>391.00543048968007</v>
      </c>
      <c r="CK215" s="2059">
        <f>CK212+CK206+CK209</f>
        <v>384.64436362932042</v>
      </c>
      <c r="CL215" s="2059">
        <f>CL212+CL206+CL209</f>
        <v>433.84570824167224</v>
      </c>
      <c r="CM215" s="2057">
        <f>CM212+CM206+CM209</f>
        <v>1558.7203052913383</v>
      </c>
      <c r="CQ215"/>
      <c r="CR215"/>
      <c r="CS215"/>
      <c r="CT215"/>
      <c r="CU215"/>
      <c r="CV215"/>
    </row>
    <row r="216" spans="1:119" s="149" customFormat="1">
      <c r="A216" s="2042" t="s">
        <v>156</v>
      </c>
      <c r="B216" s="317"/>
      <c r="C216" s="2043"/>
      <c r="D216" s="2044"/>
      <c r="E216" s="2044"/>
      <c r="F216" s="2044"/>
      <c r="G216" s="2045"/>
      <c r="H216" s="317"/>
      <c r="I216" s="2043">
        <f>I215/C215-1</f>
        <v>0.15999999999999992</v>
      </c>
      <c r="J216" s="2044">
        <f>J215/D215-1</f>
        <v>0.57407407407407418</v>
      </c>
      <c r="K216" s="2044">
        <f>K215/E215-1</f>
        <v>0.32467532467532467</v>
      </c>
      <c r="L216" s="2044">
        <f>L215/F215-1</f>
        <v>0.34653465346534662</v>
      </c>
      <c r="M216" s="2045">
        <f>M215/G215-1</f>
        <v>0.33550488599348527</v>
      </c>
      <c r="N216" s="317"/>
      <c r="O216" s="2043">
        <f>O215/I215-1</f>
        <v>0.14942528735632177</v>
      </c>
      <c r="P216" s="2044">
        <f>P215/J215-1</f>
        <v>-4.705882352941182E-2</v>
      </c>
      <c r="Q216" s="2044">
        <f>Q215/K215-1</f>
        <v>-0.1470588235294118</v>
      </c>
      <c r="R216" s="2044">
        <f>R215/L215-1</f>
        <v>-0.20588235294117652</v>
      </c>
      <c r="S216" s="2045">
        <f>S215/M215-1</f>
        <v>-8.2926829268292646E-2</v>
      </c>
      <c r="T216" s="178"/>
      <c r="U216" s="2043">
        <f>U215/O215-1</f>
        <v>0.18999999999999995</v>
      </c>
      <c r="V216" s="2044">
        <f>V215/P215-1</f>
        <v>0.20987654320987659</v>
      </c>
      <c r="W216" s="2044">
        <f>W215/Q215-1</f>
        <v>0.39080459770114939</v>
      </c>
      <c r="X216" s="2044">
        <f>X215/R215-1</f>
        <v>0.33333333333333326</v>
      </c>
      <c r="Y216" s="2045">
        <f>Y215/S215-1</f>
        <v>0.28191489361702127</v>
      </c>
      <c r="Z216" s="318"/>
      <c r="AA216" s="2043">
        <f>AA215/U215-1</f>
        <v>-5.0420168067226934E-2</v>
      </c>
      <c r="AB216" s="2044">
        <f>AB215/V215-1</f>
        <v>0.35714285714285721</v>
      </c>
      <c r="AC216" s="2044">
        <f>AC215/W215-1</f>
        <v>0.14876033057851235</v>
      </c>
      <c r="AD216" s="2044">
        <f>AD215/X215-1</f>
        <v>0.14583333333333326</v>
      </c>
      <c r="AE216" s="2045">
        <f>AE215/Y215-1</f>
        <v>6.846473029045641E-2</v>
      </c>
      <c r="AF216" s="318"/>
      <c r="AG216" s="2043"/>
      <c r="AH216" s="2044"/>
      <c r="AI216" s="2044"/>
      <c r="AJ216" s="2044"/>
      <c r="AK216" s="2045"/>
      <c r="AL216" s="318"/>
      <c r="AM216" s="2043">
        <f>AM215/AG215-1</f>
        <v>5.8441558441558961E-2</v>
      </c>
      <c r="AN216" s="2044">
        <f>AN215/AH215-1</f>
        <v>0.34848484848484906</v>
      </c>
      <c r="AO216" s="2044">
        <f>AO215/AI215-1</f>
        <v>0.13725490196078405</v>
      </c>
      <c r="AP216" s="2044">
        <f>AP215/AJ215-1</f>
        <v>0.11855670103092741</v>
      </c>
      <c r="AQ216" s="2046">
        <f>AQ215/AK215-1</f>
        <v>0.15639810426540302</v>
      </c>
      <c r="AR216" s="178"/>
      <c r="AS216" s="2047">
        <f>AS215/AM215-1</f>
        <v>0.18404907975460083</v>
      </c>
      <c r="AT216" s="2048">
        <f>AT215/AN215-1</f>
        <v>-6.1797752808988915E-2</v>
      </c>
      <c r="AU216" s="2048">
        <f>AU215/AO215-1</f>
        <v>9.1954022988505857E-2</v>
      </c>
      <c r="AV216" s="2048">
        <f>AV215/AP215-1</f>
        <v>-1.8433179723502002E-2</v>
      </c>
      <c r="AW216" s="2046">
        <f>AW215/AQ215-1</f>
        <v>4.2349726775956054E-2</v>
      </c>
      <c r="AX216" s="313"/>
      <c r="AY216" s="2047">
        <f>AY215/AS215-1</f>
        <v>-8.5652849740932346E-2</v>
      </c>
      <c r="AZ216" s="2048">
        <f>AZ215/AT215-1</f>
        <v>1.2568862275448511E-2</v>
      </c>
      <c r="BA216" s="2048">
        <f>BA215/AU215-1</f>
        <v>5.025789473684239E-2</v>
      </c>
      <c r="BB216" s="2048">
        <f>BB215/AV215-1</f>
        <v>4.7032863849765016E-2</v>
      </c>
      <c r="BC216" s="2046">
        <f>BC215/AW215-1</f>
        <v>6.7300131061600599E-3</v>
      </c>
      <c r="BD216" s="313"/>
      <c r="BE216" s="2047">
        <f>BE215/AY215-1</f>
        <v>0.16356980546158195</v>
      </c>
      <c r="BF216" s="1238">
        <f>BF215/AZ215-1</f>
        <v>0.15399854523090051</v>
      </c>
      <c r="BG216" s="1238">
        <f>BG215/BA215-1</f>
        <v>6.1513713423770433E-2</v>
      </c>
      <c r="BH216" s="1238">
        <f>BH215/BB215-1</f>
        <v>0.10796124079670655</v>
      </c>
      <c r="BI216" s="1239">
        <f>BI215/BC215-1</f>
        <v>0.11880502776204671</v>
      </c>
      <c r="BJ216" s="313"/>
      <c r="BK216" s="1237">
        <f>BK215/BE215-1</f>
        <v>8.7160431297301555E-2</v>
      </c>
      <c r="BL216" s="1238">
        <f>BL215/BF215-1</f>
        <v>0.23586143281746441</v>
      </c>
      <c r="BM216" s="1238">
        <f>BM215/BG215-1</f>
        <v>0.11515267391797002</v>
      </c>
      <c r="BN216" s="1238">
        <f>BN215/BH215-1</f>
        <v>0.10735007909903604</v>
      </c>
      <c r="BO216" s="1239">
        <f>BO215/BI215-1</f>
        <v>0.13363008531716503</v>
      </c>
      <c r="BP216" s="313"/>
      <c r="BQ216" s="1237">
        <f>BQ215/BK215-1</f>
        <v>0.20383190506694793</v>
      </c>
      <c r="BR216" s="1238">
        <f>BR215/BL215-1</f>
        <v>0.22808725628901505</v>
      </c>
      <c r="BS216" s="1238">
        <f>BS215/BM215-1</f>
        <v>0.20738287897245833</v>
      </c>
      <c r="BT216" s="1238">
        <f>BT215/BN215-1</f>
        <v>0.19072197901813381</v>
      </c>
      <c r="BU216" s="1239">
        <f>BU215/BO215-1</f>
        <v>0.20701513604252164</v>
      </c>
      <c r="BV216" s="313"/>
      <c r="BW216" s="1237">
        <f>BW215/BQ215-1</f>
        <v>0.10295343755864139</v>
      </c>
      <c r="BX216" s="1238">
        <f>BX215/BR215-1</f>
        <v>0.10151421575487007</v>
      </c>
      <c r="BY216" s="1238">
        <f>BY215/BS215-1</f>
        <v>0.11425054361877773</v>
      </c>
      <c r="BZ216" s="1238">
        <f>BZ215/BT215-1</f>
        <v>0.11001592722811115</v>
      </c>
      <c r="CA216" s="1239">
        <f>CA215/BU215-1</f>
        <v>0.10728769399266436</v>
      </c>
      <c r="CB216" s="2112"/>
      <c r="CC216" s="1237">
        <f>CC215/BW215-1</f>
        <v>8.5573643848000369E-2</v>
      </c>
      <c r="CD216" s="1238">
        <f>CD215/BX215-1</f>
        <v>9.4756055506041603E-2</v>
      </c>
      <c r="CE216" s="1238">
        <f>CE215/BY215-1</f>
        <v>9.9882051525913784E-2</v>
      </c>
      <c r="CF216" s="1238">
        <f>CF215/BZ215-1</f>
        <v>9.4992656038850765E-2</v>
      </c>
      <c r="CG216" s="1239">
        <f>CG215/CA215-1</f>
        <v>9.3982586065933571E-2</v>
      </c>
      <c r="CH216" s="319"/>
      <c r="CI216" s="1237">
        <f>CI215/CC215-1</f>
        <v>8.534611904051137E-2</v>
      </c>
      <c r="CJ216" s="1238">
        <f>CJ215/CD215-1</f>
        <v>9.4787982964919415E-2</v>
      </c>
      <c r="CK216" s="1238">
        <f>CK215/CE215-1</f>
        <v>0.10046414019812988</v>
      </c>
      <c r="CL216" s="1238">
        <f>CL215/CF215-1</f>
        <v>9.5557289539940804E-2</v>
      </c>
      <c r="CM216" s="1239">
        <f>CM215/CG215-1</f>
        <v>9.4261873729100998E-2</v>
      </c>
      <c r="CN216" s="319"/>
      <c r="CO216" s="319"/>
      <c r="CP216" s="319"/>
      <c r="CQ216"/>
      <c r="CR216"/>
      <c r="CS216"/>
      <c r="CT216"/>
      <c r="CU216"/>
      <c r="CV216"/>
      <c r="CW216" s="319"/>
    </row>
    <row r="217" spans="1:119" s="149" customFormat="1">
      <c r="A217" s="1946"/>
      <c r="B217" s="17"/>
      <c r="C217" s="1252"/>
      <c r="D217" s="1252"/>
      <c r="E217" s="1252"/>
      <c r="F217" s="1252"/>
      <c r="G217" s="1947"/>
      <c r="H217" s="17"/>
      <c r="I217" s="1252"/>
      <c r="J217" s="1252"/>
      <c r="K217" s="1252"/>
      <c r="L217" s="1252"/>
      <c r="M217" s="1947"/>
      <c r="N217" s="17"/>
      <c r="O217" s="1252"/>
      <c r="P217" s="1252"/>
      <c r="Q217" s="1252"/>
      <c r="R217" s="1252"/>
      <c r="S217" s="1947"/>
      <c r="T217" s="320"/>
      <c r="U217" s="1252"/>
      <c r="V217" s="1252"/>
      <c r="W217" s="1252"/>
      <c r="X217" s="1252"/>
      <c r="Y217" s="1947"/>
      <c r="Z217" s="321"/>
      <c r="AA217" s="1252"/>
      <c r="AB217" s="1252"/>
      <c r="AC217" s="1252"/>
      <c r="AD217" s="1252"/>
      <c r="AE217" s="1947"/>
      <c r="AF217" s="321"/>
      <c r="AG217" s="1252"/>
      <c r="AH217" s="1252"/>
      <c r="AI217" s="1252"/>
      <c r="AJ217" s="1252"/>
      <c r="AK217" s="1947"/>
      <c r="AL217" s="321"/>
      <c r="AM217" s="1252"/>
      <c r="AN217" s="1252"/>
      <c r="AO217" s="1252"/>
      <c r="AP217" s="1252"/>
      <c r="AQ217" s="1947"/>
      <c r="AR217" s="320"/>
      <c r="AS217" s="1948"/>
      <c r="AT217" s="1871"/>
      <c r="AU217" s="1871"/>
      <c r="AV217" s="1871"/>
      <c r="AW217" s="1949"/>
      <c r="AX217" s="320"/>
      <c r="AY217" s="1948"/>
      <c r="AZ217" s="1871"/>
      <c r="BA217" s="1871"/>
      <c r="BB217" s="1871"/>
      <c r="BC217" s="1948"/>
      <c r="BD217" s="320"/>
      <c r="BE217" s="1948"/>
      <c r="BF217" s="1871"/>
      <c r="BG217" s="1871"/>
      <c r="BH217" s="1871"/>
      <c r="BI217" s="1948"/>
      <c r="BJ217" s="320"/>
      <c r="BK217" s="1948"/>
      <c r="BL217" s="1871"/>
      <c r="BM217" s="1871"/>
      <c r="BN217" s="1871"/>
      <c r="BO217" s="1948"/>
      <c r="BP217" s="320"/>
      <c r="BQ217" s="1948"/>
      <c r="BR217" s="1871"/>
      <c r="BS217" s="1871"/>
      <c r="BT217" s="1871"/>
      <c r="BU217" s="1948"/>
      <c r="BV217" s="320"/>
      <c r="BW217" s="1948"/>
      <c r="BX217" s="1871"/>
      <c r="BY217" s="1871"/>
      <c r="BZ217" s="1871"/>
      <c r="CA217" s="1948"/>
      <c r="CB217" s="1948"/>
      <c r="CC217" s="1948"/>
      <c r="CD217" s="1871"/>
      <c r="CE217" s="1871"/>
      <c r="CF217" s="1871"/>
      <c r="CG217" s="1948"/>
      <c r="CI217" s="1948"/>
      <c r="CJ217" s="1871"/>
      <c r="CK217" s="1871"/>
      <c r="CL217" s="1871"/>
      <c r="CM217" s="1948"/>
      <c r="CQ217"/>
      <c r="CR217"/>
      <c r="CS217"/>
      <c r="CT217"/>
      <c r="CU217"/>
      <c r="CV217"/>
    </row>
    <row r="218" spans="1:119" s="149" customFormat="1" outlineLevel="1">
      <c r="A218" s="322" t="s">
        <v>157</v>
      </c>
      <c r="B218" s="4"/>
      <c r="C218" s="323"/>
      <c r="D218" s="324"/>
      <c r="E218" s="324"/>
      <c r="F218" s="324"/>
      <c r="G218" s="325"/>
      <c r="H218" s="4"/>
      <c r="I218" s="323"/>
      <c r="J218" s="324"/>
      <c r="K218" s="324"/>
      <c r="L218" s="324"/>
      <c r="M218" s="325"/>
      <c r="N218" s="4"/>
      <c r="O218" s="323"/>
      <c r="P218" s="324"/>
      <c r="Q218" s="324"/>
      <c r="R218" s="324"/>
      <c r="S218" s="325"/>
      <c r="T218" s="41"/>
      <c r="U218" s="323"/>
      <c r="V218" s="324"/>
      <c r="W218" s="324"/>
      <c r="X218" s="324"/>
      <c r="Y218" s="325"/>
      <c r="Z218" s="38"/>
      <c r="AA218" s="323"/>
      <c r="AB218" s="324"/>
      <c r="AC218" s="324"/>
      <c r="AD218" s="324"/>
      <c r="AE218" s="325"/>
      <c r="AF218" s="38"/>
      <c r="AG218" s="323"/>
      <c r="AH218" s="324"/>
      <c r="AI218" s="324"/>
      <c r="AJ218" s="324"/>
      <c r="AK218" s="325"/>
      <c r="AL218" s="38"/>
      <c r="AM218" s="323"/>
      <c r="AN218" s="324"/>
      <c r="AO218" s="324"/>
      <c r="AP218" s="324"/>
      <c r="AQ218" s="325"/>
      <c r="AR218" s="41"/>
      <c r="AS218" s="323"/>
      <c r="AT218" s="324"/>
      <c r="AU218" s="324"/>
      <c r="AV218" s="324"/>
      <c r="AW218" s="325"/>
      <c r="AX218" s="41"/>
      <c r="AY218" s="323"/>
      <c r="AZ218" s="324"/>
      <c r="BA218" s="324"/>
      <c r="BB218" s="324"/>
      <c r="BC218" s="325"/>
      <c r="BD218" s="41"/>
      <c r="BE218" s="323"/>
      <c r="BF218" s="324"/>
      <c r="BG218" s="324"/>
      <c r="BH218" s="324"/>
      <c r="BI218" s="325"/>
      <c r="BJ218" s="41"/>
      <c r="BK218" s="323"/>
      <c r="BL218" s="324"/>
      <c r="BM218" s="324"/>
      <c r="BN218" s="324"/>
      <c r="BO218" s="325"/>
      <c r="BP218" s="41"/>
      <c r="BQ218" s="323"/>
      <c r="BR218" s="324"/>
      <c r="BS218" s="324"/>
      <c r="BT218" s="324"/>
      <c r="BU218" s="325"/>
      <c r="BV218" s="41"/>
      <c r="BW218" s="323"/>
      <c r="BX218" s="324"/>
      <c r="BY218" s="324"/>
      <c r="BZ218" s="324"/>
      <c r="CA218" s="325"/>
      <c r="CB218" s="41"/>
      <c r="CC218" s="323"/>
      <c r="CD218" s="324"/>
      <c r="CE218" s="324"/>
      <c r="CF218" s="324"/>
      <c r="CG218" s="325"/>
      <c r="CI218" s="323"/>
      <c r="CJ218" s="324"/>
      <c r="CK218" s="324"/>
      <c r="CL218" s="324"/>
      <c r="CM218" s="325"/>
      <c r="CQ218"/>
      <c r="CR218"/>
      <c r="CS218"/>
      <c r="CT218"/>
      <c r="CU218"/>
      <c r="CV218"/>
    </row>
    <row r="219" spans="1:119" s="149" customFormat="1" outlineLevel="1">
      <c r="A219" s="326" t="s">
        <v>158</v>
      </c>
      <c r="B219" s="327"/>
      <c r="C219" s="1598">
        <f>SUM(C220:C222)</f>
        <v>0.19199999999999998</v>
      </c>
      <c r="D219" s="1599">
        <f>SUM(D220:D222)</f>
        <v>0.19199999999999998</v>
      </c>
      <c r="E219" s="1599">
        <f>SUM(E220:E222)</f>
        <v>0.19199999999999998</v>
      </c>
      <c r="F219" s="1599">
        <f>SUM(F220:F222)</f>
        <v>0.19199999999999998</v>
      </c>
      <c r="G219" s="1600">
        <f>SUM(G220:G222)</f>
        <v>0.19199999999999998</v>
      </c>
      <c r="H219" s="1601"/>
      <c r="I219" s="1598">
        <f>SUM(I220:I222)</f>
        <v>0.21104294478527608</v>
      </c>
      <c r="J219" s="1599">
        <f>SUM(J220:J222)</f>
        <v>0.21104294478527608</v>
      </c>
      <c r="K219" s="1599">
        <f>SUM(K220:K222)</f>
        <v>0.21104294478527608</v>
      </c>
      <c r="L219" s="1599">
        <f>SUM(L220:L222)</f>
        <v>0.21104294478527608</v>
      </c>
      <c r="M219" s="1600">
        <f>SUM(M220:M222)</f>
        <v>0.21104294478527608</v>
      </c>
      <c r="N219" s="1602"/>
      <c r="O219" s="1598">
        <f>SUM(O220:O222)</f>
        <v>0.2857142857142857</v>
      </c>
      <c r="P219" s="1599">
        <f>SUM(P220:P222)</f>
        <v>0.2857142857142857</v>
      </c>
      <c r="Q219" s="1599">
        <f>SUM(Q220:Q222)</f>
        <v>0.2857142857142857</v>
      </c>
      <c r="R219" s="1599">
        <f>SUM(R220:R222)</f>
        <v>0.2857142857142857</v>
      </c>
      <c r="S219" s="1600">
        <f>SUM(S220:S222)</f>
        <v>0.2857142857142857</v>
      </c>
      <c r="T219" s="1599"/>
      <c r="U219" s="1598">
        <f>SUM(U220:U222)</f>
        <v>0.2138728323699422</v>
      </c>
      <c r="V219" s="1599">
        <f>SUM(V220:V222)</f>
        <v>0.2138728323699422</v>
      </c>
      <c r="W219" s="1599">
        <f>SUM(W220:W222)</f>
        <v>0.2138728323699422</v>
      </c>
      <c r="X219" s="1599">
        <f>SUM(X220:X222)</f>
        <v>0.2138728323699422</v>
      </c>
      <c r="Y219" s="1600">
        <f>SUM(Y220:Y222)</f>
        <v>0.2138728323699422</v>
      </c>
      <c r="Z219" s="1599"/>
      <c r="AA219" s="1598">
        <f>SUM(AA220:AA222)</f>
        <v>0.2005813953488372</v>
      </c>
      <c r="AB219" s="1599">
        <f>SUM(AB220:AB222)</f>
        <v>0.2005813953488372</v>
      </c>
      <c r="AC219" s="1599">
        <f>SUM(AC220:AC222)</f>
        <v>0.2005813953488372</v>
      </c>
      <c r="AD219" s="1599">
        <f>SUM(AD220:AD222)</f>
        <v>0.2005813953488372</v>
      </c>
      <c r="AE219" s="1600">
        <f>SUM(AE220:AE222)</f>
        <v>0.2005813953488372</v>
      </c>
      <c r="AF219" s="1599"/>
      <c r="AG219" s="1598">
        <f>SUM(AG220:AG222)</f>
        <v>0.2005813953488372</v>
      </c>
      <c r="AH219" s="1599">
        <f>SUM(AH220:AH222)</f>
        <v>0.2005813953488372</v>
      </c>
      <c r="AI219" s="1599">
        <f>AI116</f>
        <v>0.2</v>
      </c>
      <c r="AJ219" s="1599">
        <f>AJ116</f>
        <v>0.2</v>
      </c>
      <c r="AK219" s="1600">
        <f>AK116</f>
        <v>0.2</v>
      </c>
      <c r="AL219" s="1599"/>
      <c r="AM219" s="1598">
        <f>AM116</f>
        <v>0.2</v>
      </c>
      <c r="AN219" s="1599">
        <f>AN116</f>
        <v>0.2</v>
      </c>
      <c r="AO219" s="1599">
        <f>AO116</f>
        <v>0.2</v>
      </c>
      <c r="AP219" s="1599">
        <f>AP116</f>
        <v>0.2</v>
      </c>
      <c r="AQ219" s="1600">
        <f>AQ116</f>
        <v>0.19999999999999998</v>
      </c>
      <c r="AR219" s="1599"/>
      <c r="AS219" s="1598">
        <f>AS116</f>
        <v>0.16</v>
      </c>
      <c r="AT219" s="1599">
        <f>AT116</f>
        <v>0.16</v>
      </c>
      <c r="AU219" s="1599">
        <f>AU116</f>
        <v>0.16</v>
      </c>
      <c r="AV219" s="1599">
        <f>AV116</f>
        <v>0.16</v>
      </c>
      <c r="AW219" s="1600">
        <f>AW116</f>
        <v>0.16</v>
      </c>
      <c r="AX219" s="1599"/>
      <c r="AY219" s="1598">
        <f>AY116</f>
        <v>0.20060870412508808</v>
      </c>
      <c r="AZ219" s="1599">
        <f>AZ116</f>
        <v>0.19863562157431139</v>
      </c>
      <c r="BA219" s="1599">
        <f>BA116</f>
        <v>0.2004887590829536</v>
      </c>
      <c r="BB219" s="1599">
        <f>BB116</f>
        <v>0.19998285861211892</v>
      </c>
      <c r="BC219" s="1600">
        <f>BC116</f>
        <v>0.19996302053729786</v>
      </c>
      <c r="BD219" s="1599"/>
      <c r="BE219" s="1598">
        <f>BE116</f>
        <v>0.19860557977149898</v>
      </c>
      <c r="BF219" s="1599">
        <f>BF116</f>
        <v>0.19874130506790316</v>
      </c>
      <c r="BG219" s="1599">
        <f>BG116</f>
        <v>0.2001761550164145</v>
      </c>
      <c r="BH219" s="1599">
        <f>BH116</f>
        <v>0.16803442379057226</v>
      </c>
      <c r="BI219" s="1600">
        <f>BI116</f>
        <v>0.19020546292466631</v>
      </c>
      <c r="BJ219" s="1599"/>
      <c r="BK219" s="1598">
        <f>BK116</f>
        <v>0.18847387987617267</v>
      </c>
      <c r="BL219" s="1599">
        <f>BL116</f>
        <v>0.19033940977479391</v>
      </c>
      <c r="BM219" s="1599">
        <f>BM116</f>
        <v>0.16212703661135214</v>
      </c>
      <c r="BN219" s="1599">
        <f>BN116</f>
        <v>0.18003083027968542</v>
      </c>
      <c r="BO219" s="1600">
        <f>BO116</f>
        <v>0.18012562110032029</v>
      </c>
      <c r="BP219" s="1599"/>
      <c r="BQ219" s="1598">
        <f>BQ116</f>
        <v>0.18269525745948548</v>
      </c>
      <c r="BR219" s="1599">
        <f>BR116</f>
        <v>0.18269525745948548</v>
      </c>
      <c r="BS219" s="1599">
        <f>BS116</f>
        <v>0.18269525745948548</v>
      </c>
      <c r="BT219" s="1599">
        <f>BT116</f>
        <v>0.18269525745948548</v>
      </c>
      <c r="BU219" s="1600">
        <f>BU116</f>
        <v>0.18269525745948545</v>
      </c>
      <c r="BV219" s="1599"/>
      <c r="BW219" s="1598">
        <f>BW116</f>
        <v>0.18</v>
      </c>
      <c r="BX219" s="1599">
        <f>BX116</f>
        <v>0.18</v>
      </c>
      <c r="BY219" s="1599">
        <f>BY116</f>
        <v>0.18</v>
      </c>
      <c r="BZ219" s="1599">
        <f>BZ116</f>
        <v>0.18</v>
      </c>
      <c r="CA219" s="1600">
        <f>CA116</f>
        <v>0.18</v>
      </c>
      <c r="CB219" s="1599"/>
      <c r="CC219" s="1598">
        <f>CC116</f>
        <v>0.18</v>
      </c>
      <c r="CD219" s="1599">
        <f>CD116</f>
        <v>0.18</v>
      </c>
      <c r="CE219" s="1599">
        <f>CE116</f>
        <v>0.18</v>
      </c>
      <c r="CF219" s="1599">
        <f>CF116</f>
        <v>0.18</v>
      </c>
      <c r="CG219" s="1600">
        <f>CG116</f>
        <v>0.18</v>
      </c>
      <c r="CH219" s="58"/>
      <c r="CI219" s="1598">
        <f>CI116</f>
        <v>0.18</v>
      </c>
      <c r="CJ219" s="1599">
        <f>CJ116</f>
        <v>0.18</v>
      </c>
      <c r="CK219" s="1599">
        <f>CK116</f>
        <v>0.18</v>
      </c>
      <c r="CL219" s="1599">
        <f>CL116</f>
        <v>0.18</v>
      </c>
      <c r="CM219" s="1600">
        <f>CM116</f>
        <v>0.18</v>
      </c>
      <c r="CN219" s="58"/>
      <c r="CO219" s="58"/>
      <c r="CP219" s="58"/>
      <c r="CQ219"/>
      <c r="CR219"/>
      <c r="CS219"/>
      <c r="CT219"/>
      <c r="CU219"/>
      <c r="CV219"/>
      <c r="CW219" s="58"/>
      <c r="CX219" s="58"/>
      <c r="CY219" s="58"/>
      <c r="CZ219" s="58"/>
      <c r="DA219" s="58"/>
      <c r="DB219" s="58"/>
      <c r="DC219" s="58"/>
      <c r="DD219" s="58"/>
      <c r="DE219" s="58"/>
      <c r="DF219" s="58"/>
      <c r="DG219" s="58"/>
      <c r="DH219" s="58"/>
      <c r="DI219" s="58"/>
      <c r="DJ219" s="58"/>
      <c r="DK219" s="58"/>
      <c r="DL219" s="58"/>
      <c r="DM219" s="58"/>
      <c r="DN219" s="58"/>
      <c r="DO219" s="58"/>
    </row>
    <row r="220" spans="1:119" s="149" customFormat="1" outlineLevel="1">
      <c r="A220" s="329" t="s">
        <v>159</v>
      </c>
      <c r="B220" s="4"/>
      <c r="C220" s="330">
        <f t="shared" ref="C220:F222" si="96">$G220</f>
        <v>0.35</v>
      </c>
      <c r="D220" s="5">
        <f t="shared" si="96"/>
        <v>0.35</v>
      </c>
      <c r="E220" s="5">
        <f t="shared" si="96"/>
        <v>0.35</v>
      </c>
      <c r="F220" s="5">
        <f t="shared" si="96"/>
        <v>0.35</v>
      </c>
      <c r="G220" s="331">
        <v>0.35</v>
      </c>
      <c r="H220" s="332"/>
      <c r="I220" s="330">
        <f t="shared" ref="I220:L222" si="97">$M220</f>
        <v>0.34969325153374231</v>
      </c>
      <c r="J220" s="5">
        <f t="shared" si="97"/>
        <v>0.34969325153374231</v>
      </c>
      <c r="K220" s="5">
        <f t="shared" si="97"/>
        <v>0.34969325153374231</v>
      </c>
      <c r="L220" s="5">
        <f t="shared" si="97"/>
        <v>0.34969325153374231</v>
      </c>
      <c r="M220" s="331">
        <f>285/815</f>
        <v>0.34969325153374231</v>
      </c>
      <c r="N220" s="4"/>
      <c r="O220" s="330">
        <f t="shared" ref="O220:R222" si="98">$S220</f>
        <v>0.2857142857142857</v>
      </c>
      <c r="P220" s="5">
        <f t="shared" si="98"/>
        <v>0.2857142857142857</v>
      </c>
      <c r="Q220" s="5">
        <f t="shared" si="98"/>
        <v>0.2857142857142857</v>
      </c>
      <c r="R220" s="5">
        <f t="shared" si="98"/>
        <v>0.2857142857142857</v>
      </c>
      <c r="S220" s="331">
        <f>2/7</f>
        <v>0.2857142857142857</v>
      </c>
      <c r="T220" s="5"/>
      <c r="U220" s="330">
        <f t="shared" ref="U220:X222" si="99">$Y220</f>
        <v>0.34971098265895956</v>
      </c>
      <c r="V220" s="5">
        <f t="shared" si="99"/>
        <v>0.34971098265895956</v>
      </c>
      <c r="W220" s="5">
        <f t="shared" si="99"/>
        <v>0.34971098265895956</v>
      </c>
      <c r="X220" s="5">
        <f t="shared" si="99"/>
        <v>0.34971098265895956</v>
      </c>
      <c r="Y220" s="331">
        <f>242/692</f>
        <v>0.34971098265895956</v>
      </c>
      <c r="Z220" s="333"/>
      <c r="AA220" s="330">
        <f t="shared" ref="AA220:AD222" si="100">$AE220</f>
        <v>0.34980620155038761</v>
      </c>
      <c r="AB220" s="5">
        <f t="shared" si="100"/>
        <v>0.34980620155038761</v>
      </c>
      <c r="AC220" s="5">
        <f t="shared" si="100"/>
        <v>0.34980620155038761</v>
      </c>
      <c r="AD220" s="5">
        <f t="shared" si="100"/>
        <v>0.34980620155038761</v>
      </c>
      <c r="AE220" s="331">
        <f>361/1032</f>
        <v>0.34980620155038761</v>
      </c>
      <c r="AF220" s="333"/>
      <c r="AG220" s="330">
        <f t="shared" ref="AG220:AH222" si="101">$AE220</f>
        <v>0.34980620155038761</v>
      </c>
      <c r="AH220" s="5">
        <f t="shared" si="101"/>
        <v>0.34980620155038761</v>
      </c>
      <c r="AI220" s="5"/>
      <c r="AJ220" s="5"/>
      <c r="AK220" s="331"/>
      <c r="AL220" s="333"/>
      <c r="AM220" s="330"/>
      <c r="AN220" s="5"/>
      <c r="AO220" s="5"/>
      <c r="AP220" s="5"/>
      <c r="AQ220" s="331"/>
      <c r="AR220" s="5"/>
      <c r="AS220" s="330"/>
      <c r="AT220" s="5"/>
      <c r="AU220" s="5"/>
      <c r="AV220" s="5"/>
      <c r="AW220" s="331"/>
      <c r="AX220" s="5"/>
      <c r="AY220" s="330"/>
      <c r="AZ220" s="5"/>
      <c r="BA220" s="5"/>
      <c r="BB220" s="5"/>
      <c r="BC220" s="331"/>
      <c r="BD220" s="5"/>
      <c r="BE220" s="330"/>
      <c r="BF220" s="5"/>
      <c r="BG220" s="5"/>
      <c r="BH220" s="5"/>
      <c r="BI220" s="331"/>
      <c r="BJ220" s="5"/>
      <c r="BK220" s="330"/>
      <c r="BL220" s="5"/>
      <c r="BM220" s="5"/>
      <c r="BN220" s="5"/>
      <c r="BO220" s="331"/>
      <c r="BP220" s="5"/>
      <c r="BQ220" s="330"/>
      <c r="BR220" s="5"/>
      <c r="BS220" s="5"/>
      <c r="BT220" s="5"/>
      <c r="BU220" s="331"/>
      <c r="BV220" s="5"/>
      <c r="BW220" s="330"/>
      <c r="BX220" s="5"/>
      <c r="BY220" s="5"/>
      <c r="BZ220" s="5"/>
      <c r="CA220" s="331"/>
      <c r="CB220" s="5"/>
      <c r="CC220" s="330"/>
      <c r="CD220" s="5"/>
      <c r="CE220" s="5"/>
      <c r="CF220" s="5"/>
      <c r="CG220" s="331"/>
      <c r="CI220" s="330"/>
      <c r="CJ220" s="5"/>
      <c r="CK220" s="5"/>
      <c r="CL220" s="5"/>
      <c r="CM220" s="331"/>
      <c r="CQ220"/>
      <c r="CR220"/>
      <c r="CS220"/>
      <c r="CT220"/>
      <c r="CU220"/>
      <c r="CV220"/>
    </row>
    <row r="221" spans="1:119" s="149" customFormat="1" outlineLevel="1">
      <c r="A221" s="329" t="s">
        <v>160</v>
      </c>
      <c r="B221" s="4"/>
      <c r="C221" s="330">
        <f t="shared" si="96"/>
        <v>5.0000000000000001E-3</v>
      </c>
      <c r="D221" s="5">
        <f t="shared" si="96"/>
        <v>5.0000000000000001E-3</v>
      </c>
      <c r="E221" s="5">
        <f t="shared" si="96"/>
        <v>5.0000000000000001E-3</v>
      </c>
      <c r="F221" s="5">
        <f t="shared" si="96"/>
        <v>5.0000000000000001E-3</v>
      </c>
      <c r="G221" s="331">
        <v>5.0000000000000001E-3</v>
      </c>
      <c r="H221" s="332"/>
      <c r="I221" s="330">
        <f t="shared" si="97"/>
        <v>6.1349693251533744E-3</v>
      </c>
      <c r="J221" s="5">
        <f t="shared" si="97"/>
        <v>6.1349693251533744E-3</v>
      </c>
      <c r="K221" s="5">
        <f t="shared" si="97"/>
        <v>6.1349693251533744E-3</v>
      </c>
      <c r="L221" s="5">
        <f t="shared" si="97"/>
        <v>6.1349693251533744E-3</v>
      </c>
      <c r="M221" s="331">
        <f>5/815</f>
        <v>6.1349693251533744E-3</v>
      </c>
      <c r="N221" s="4"/>
      <c r="O221" s="330">
        <f t="shared" si="98"/>
        <v>0</v>
      </c>
      <c r="P221" s="5">
        <f t="shared" si="98"/>
        <v>0</v>
      </c>
      <c r="Q221" s="5">
        <f t="shared" si="98"/>
        <v>0</v>
      </c>
      <c r="R221" s="5">
        <f t="shared" si="98"/>
        <v>0</v>
      </c>
      <c r="S221" s="331">
        <v>0</v>
      </c>
      <c r="T221" s="5"/>
      <c r="U221" s="330">
        <f t="shared" si="99"/>
        <v>5.7803468208092483E-3</v>
      </c>
      <c r="V221" s="5">
        <f t="shared" si="99"/>
        <v>5.7803468208092483E-3</v>
      </c>
      <c r="W221" s="5">
        <f t="shared" si="99"/>
        <v>5.7803468208092483E-3</v>
      </c>
      <c r="X221" s="5">
        <f t="shared" si="99"/>
        <v>5.7803468208092483E-3</v>
      </c>
      <c r="Y221" s="331">
        <f>4/692</f>
        <v>5.7803468208092483E-3</v>
      </c>
      <c r="Z221" s="333"/>
      <c r="AA221" s="330">
        <f t="shared" si="100"/>
        <v>-9.6899224806201549E-4</v>
      </c>
      <c r="AB221" s="5">
        <f t="shared" si="100"/>
        <v>-9.6899224806201549E-4</v>
      </c>
      <c r="AC221" s="5">
        <f t="shared" si="100"/>
        <v>-9.6899224806201549E-4</v>
      </c>
      <c r="AD221" s="5">
        <f t="shared" si="100"/>
        <v>-9.6899224806201549E-4</v>
      </c>
      <c r="AE221" s="331">
        <f>-1/1032</f>
        <v>-9.6899224806201549E-4</v>
      </c>
      <c r="AF221" s="333"/>
      <c r="AG221" s="330">
        <f t="shared" si="101"/>
        <v>-9.6899224806201549E-4</v>
      </c>
      <c r="AH221" s="5">
        <f t="shared" si="101"/>
        <v>-9.6899224806201549E-4</v>
      </c>
      <c r="AI221" s="5"/>
      <c r="AJ221" s="5"/>
      <c r="AK221" s="331"/>
      <c r="AL221" s="333"/>
      <c r="AM221" s="330"/>
      <c r="AN221" s="5"/>
      <c r="AO221" s="5"/>
      <c r="AP221" s="5"/>
      <c r="AQ221" s="331"/>
      <c r="AR221" s="5"/>
      <c r="AS221" s="330"/>
      <c r="AT221" s="5"/>
      <c r="AU221" s="5"/>
      <c r="AV221" s="5"/>
      <c r="AW221" s="331"/>
      <c r="AX221" s="5"/>
      <c r="AY221" s="330"/>
      <c r="AZ221" s="5"/>
      <c r="BA221" s="5"/>
      <c r="BB221" s="5"/>
      <c r="BC221" s="331"/>
      <c r="BD221" s="5"/>
      <c r="BE221" s="330"/>
      <c r="BF221" s="5"/>
      <c r="BG221" s="5"/>
      <c r="BH221" s="5"/>
      <c r="BI221" s="331"/>
      <c r="BJ221" s="5"/>
      <c r="BK221" s="330"/>
      <c r="BL221" s="5"/>
      <c r="BM221" s="5"/>
      <c r="BN221" s="5"/>
      <c r="BO221" s="331"/>
      <c r="BP221" s="5"/>
      <c r="BQ221" s="330"/>
      <c r="BR221" s="5"/>
      <c r="BS221" s="5"/>
      <c r="BT221" s="5"/>
      <c r="BU221" s="331"/>
      <c r="BV221" s="5"/>
      <c r="BW221" s="330"/>
      <c r="BX221" s="5"/>
      <c r="BY221" s="5"/>
      <c r="BZ221" s="5"/>
      <c r="CA221" s="331"/>
      <c r="CB221" s="5"/>
      <c r="CC221" s="330"/>
      <c r="CD221" s="5"/>
      <c r="CE221" s="5"/>
      <c r="CF221" s="5"/>
      <c r="CG221" s="331"/>
      <c r="CI221" s="330"/>
      <c r="CJ221" s="5"/>
      <c r="CK221" s="5"/>
      <c r="CL221" s="5"/>
      <c r="CM221" s="331"/>
      <c r="CQ221"/>
      <c r="CR221"/>
      <c r="CS221"/>
      <c r="CT221"/>
      <c r="CU221"/>
      <c r="CV221"/>
    </row>
    <row r="222" spans="1:119" s="149" customFormat="1" outlineLevel="1">
      <c r="A222" s="329" t="s">
        <v>161</v>
      </c>
      <c r="B222" s="4"/>
      <c r="C222" s="330">
        <f t="shared" si="96"/>
        <v>-0.16300000000000001</v>
      </c>
      <c r="D222" s="5">
        <f t="shared" si="96"/>
        <v>-0.16300000000000001</v>
      </c>
      <c r="E222" s="5">
        <f t="shared" si="96"/>
        <v>-0.16300000000000001</v>
      </c>
      <c r="F222" s="5">
        <f t="shared" si="96"/>
        <v>-0.16300000000000001</v>
      </c>
      <c r="G222" s="331">
        <v>-0.16300000000000001</v>
      </c>
      <c r="H222" s="332"/>
      <c r="I222" s="330">
        <f t="shared" si="97"/>
        <v>-0.14478527607361963</v>
      </c>
      <c r="J222" s="5">
        <f t="shared" si="97"/>
        <v>-0.14478527607361963</v>
      </c>
      <c r="K222" s="5">
        <f t="shared" si="97"/>
        <v>-0.14478527607361963</v>
      </c>
      <c r="L222" s="5">
        <f t="shared" si="97"/>
        <v>-0.14478527607361963</v>
      </c>
      <c r="M222" s="331">
        <f>-118/815</f>
        <v>-0.14478527607361963</v>
      </c>
      <c r="N222" s="4"/>
      <c r="O222" s="330">
        <f t="shared" si="98"/>
        <v>0</v>
      </c>
      <c r="P222" s="5">
        <f t="shared" si="98"/>
        <v>0</v>
      </c>
      <c r="Q222" s="5">
        <f t="shared" si="98"/>
        <v>0</v>
      </c>
      <c r="R222" s="5">
        <f t="shared" si="98"/>
        <v>0</v>
      </c>
      <c r="S222" s="331">
        <v>0</v>
      </c>
      <c r="T222" s="5"/>
      <c r="U222" s="330">
        <f t="shared" si="99"/>
        <v>-0.1416184971098266</v>
      </c>
      <c r="V222" s="5">
        <f t="shared" si="99"/>
        <v>-0.1416184971098266</v>
      </c>
      <c r="W222" s="5">
        <f t="shared" si="99"/>
        <v>-0.1416184971098266</v>
      </c>
      <c r="X222" s="5">
        <f t="shared" si="99"/>
        <v>-0.1416184971098266</v>
      </c>
      <c r="Y222" s="331">
        <f>-98/692</f>
        <v>-0.1416184971098266</v>
      </c>
      <c r="Z222" s="333"/>
      <c r="AA222" s="330">
        <f t="shared" si="100"/>
        <v>-0.14825581395348839</v>
      </c>
      <c r="AB222" s="5">
        <f t="shared" si="100"/>
        <v>-0.14825581395348839</v>
      </c>
      <c r="AC222" s="5">
        <f t="shared" si="100"/>
        <v>-0.14825581395348839</v>
      </c>
      <c r="AD222" s="5">
        <f t="shared" si="100"/>
        <v>-0.14825581395348839</v>
      </c>
      <c r="AE222" s="331">
        <f>-153/1032</f>
        <v>-0.14825581395348839</v>
      </c>
      <c r="AF222" s="333"/>
      <c r="AG222" s="330">
        <f t="shared" si="101"/>
        <v>-0.14825581395348839</v>
      </c>
      <c r="AH222" s="5">
        <f t="shared" si="101"/>
        <v>-0.14825581395348839</v>
      </c>
      <c r="AI222" s="5"/>
      <c r="AJ222" s="5"/>
      <c r="AK222" s="331"/>
      <c r="AL222" s="333"/>
      <c r="AM222" s="330"/>
      <c r="AN222" s="5"/>
      <c r="AO222" s="5"/>
      <c r="AP222" s="5"/>
      <c r="AQ222" s="331"/>
      <c r="AR222" s="5"/>
      <c r="AS222" s="330"/>
      <c r="AT222" s="5"/>
      <c r="AU222" s="5"/>
      <c r="AV222" s="5"/>
      <c r="AW222" s="331"/>
      <c r="AX222" s="5"/>
      <c r="AY222" s="330"/>
      <c r="AZ222" s="5"/>
      <c r="BA222" s="5"/>
      <c r="BB222" s="5"/>
      <c r="BC222" s="331"/>
      <c r="BD222" s="5"/>
      <c r="BE222" s="330"/>
      <c r="BF222" s="5"/>
      <c r="BG222" s="5"/>
      <c r="BH222" s="5"/>
      <c r="BI222" s="331"/>
      <c r="BJ222" s="5"/>
      <c r="BK222" s="330"/>
      <c r="BL222" s="5"/>
      <c r="BM222" s="5"/>
      <c r="BN222" s="5"/>
      <c r="BO222" s="331"/>
      <c r="BP222" s="5"/>
      <c r="BQ222" s="330"/>
      <c r="BR222" s="5"/>
      <c r="BS222" s="5"/>
      <c r="BT222" s="5"/>
      <c r="BU222" s="331"/>
      <c r="BV222" s="5"/>
      <c r="BW222" s="330"/>
      <c r="BX222" s="5"/>
      <c r="BY222" s="5"/>
      <c r="BZ222" s="5"/>
      <c r="CA222" s="331"/>
      <c r="CB222" s="5"/>
      <c r="CC222" s="330"/>
      <c r="CD222" s="5"/>
      <c r="CE222" s="5"/>
      <c r="CF222" s="5"/>
      <c r="CG222" s="331"/>
      <c r="CI222" s="330"/>
      <c r="CJ222" s="5"/>
      <c r="CK222" s="5"/>
      <c r="CL222" s="5"/>
      <c r="CM222" s="331"/>
      <c r="CQ222"/>
      <c r="CR222"/>
      <c r="CS222"/>
      <c r="CT222"/>
      <c r="CU222"/>
      <c r="CV222"/>
    </row>
    <row r="223" spans="1:119" s="149" customFormat="1" outlineLevel="1">
      <c r="A223" s="329" t="s">
        <v>162</v>
      </c>
      <c r="B223" s="4"/>
      <c r="C223" s="1603">
        <v>0</v>
      </c>
      <c r="D223" s="1602">
        <v>0</v>
      </c>
      <c r="E223" s="1602">
        <v>0</v>
      </c>
      <c r="F223" s="1602">
        <v>0</v>
      </c>
      <c r="G223" s="1604">
        <v>0</v>
      </c>
      <c r="H223" s="1605"/>
      <c r="I223" s="1603">
        <v>0</v>
      </c>
      <c r="J223" s="1602">
        <v>0</v>
      </c>
      <c r="K223" s="1602">
        <v>0</v>
      </c>
      <c r="L223" s="1602">
        <v>0</v>
      </c>
      <c r="M223" s="1604">
        <v>0</v>
      </c>
      <c r="N223" s="1606"/>
      <c r="O223" s="1603">
        <v>0</v>
      </c>
      <c r="P223" s="1602">
        <v>0</v>
      </c>
      <c r="Q223" s="1602">
        <v>0</v>
      </c>
      <c r="R223" s="1602">
        <v>0</v>
      </c>
      <c r="S223" s="1604">
        <v>0</v>
      </c>
      <c r="T223" s="1602"/>
      <c r="U223" s="1603">
        <v>0</v>
      </c>
      <c r="V223" s="1602">
        <v>0</v>
      </c>
      <c r="W223" s="1602">
        <v>0</v>
      </c>
      <c r="X223" s="1602">
        <v>0</v>
      </c>
      <c r="Y223" s="1604">
        <v>0</v>
      </c>
      <c r="Z223" s="1602">
        <v>0</v>
      </c>
      <c r="AA223" s="1603">
        <v>0</v>
      </c>
      <c r="AB223" s="1602">
        <v>0</v>
      </c>
      <c r="AC223" s="1602">
        <v>0</v>
      </c>
      <c r="AD223" s="1602">
        <v>0</v>
      </c>
      <c r="AE223" s="1604">
        <v>0</v>
      </c>
      <c r="AF223" s="1602">
        <v>0</v>
      </c>
      <c r="AG223" s="1603">
        <v>0</v>
      </c>
      <c r="AH223" s="1602">
        <v>0</v>
      </c>
      <c r="AI223" s="1602">
        <v>0</v>
      </c>
      <c r="AJ223" s="1602">
        <v>0</v>
      </c>
      <c r="AK223" s="1604">
        <v>0</v>
      </c>
      <c r="AL223" s="1602">
        <v>0</v>
      </c>
      <c r="AM223" s="1603">
        <v>0</v>
      </c>
      <c r="AN223" s="1602">
        <v>0</v>
      </c>
      <c r="AO223" s="1602">
        <v>0</v>
      </c>
      <c r="AP223" s="1602">
        <v>0</v>
      </c>
      <c r="AQ223" s="1604">
        <v>0</v>
      </c>
      <c r="AR223" s="1602"/>
      <c r="AS223" s="1603">
        <v>0</v>
      </c>
      <c r="AT223" s="1602">
        <v>0</v>
      </c>
      <c r="AU223" s="1602">
        <v>0</v>
      </c>
      <c r="AV223" s="1602">
        <v>0</v>
      </c>
      <c r="AW223" s="1604">
        <v>0</v>
      </c>
      <c r="AX223" s="1602"/>
      <c r="AY223" s="1603">
        <v>0</v>
      </c>
      <c r="AZ223" s="1602">
        <v>0</v>
      </c>
      <c r="BA223" s="1602">
        <v>0</v>
      </c>
      <c r="BB223" s="1602">
        <v>0</v>
      </c>
      <c r="BC223" s="1604">
        <v>0</v>
      </c>
      <c r="BD223" s="1602"/>
      <c r="BE223" s="1603">
        <v>0</v>
      </c>
      <c r="BF223" s="1602">
        <v>0</v>
      </c>
      <c r="BG223" s="1602">
        <v>0</v>
      </c>
      <c r="BH223" s="1602">
        <v>0</v>
      </c>
      <c r="BI223" s="1604">
        <v>0</v>
      </c>
      <c r="BJ223" s="1602"/>
      <c r="BK223" s="1603">
        <v>0</v>
      </c>
      <c r="BL223" s="1602">
        <v>0</v>
      </c>
      <c r="BM223" s="1602">
        <v>0</v>
      </c>
      <c r="BN223" s="1602">
        <v>0</v>
      </c>
      <c r="BO223" s="1604">
        <v>0</v>
      </c>
      <c r="BP223" s="1602"/>
      <c r="BQ223" s="1603">
        <v>0</v>
      </c>
      <c r="BR223" s="1602">
        <v>0</v>
      </c>
      <c r="BS223" s="1602">
        <v>0</v>
      </c>
      <c r="BT223" s="1602">
        <v>0</v>
      </c>
      <c r="BU223" s="1604">
        <v>0</v>
      </c>
      <c r="BV223" s="1602"/>
      <c r="BW223" s="1603">
        <v>0</v>
      </c>
      <c r="BX223" s="1602">
        <v>0</v>
      </c>
      <c r="BY223" s="1602">
        <v>0</v>
      </c>
      <c r="BZ223" s="1602">
        <v>0</v>
      </c>
      <c r="CA223" s="1604">
        <v>0</v>
      </c>
      <c r="CB223" s="1602"/>
      <c r="CC223" s="1603">
        <v>0</v>
      </c>
      <c r="CD223" s="1602">
        <v>0</v>
      </c>
      <c r="CE223" s="1602">
        <v>0</v>
      </c>
      <c r="CF223" s="1602">
        <v>0</v>
      </c>
      <c r="CG223" s="1604">
        <v>0</v>
      </c>
      <c r="CI223" s="1603">
        <v>0</v>
      </c>
      <c r="CJ223" s="1602">
        <v>0</v>
      </c>
      <c r="CK223" s="1602">
        <v>0</v>
      </c>
      <c r="CL223" s="1602">
        <v>0</v>
      </c>
      <c r="CM223" s="1604">
        <v>0</v>
      </c>
      <c r="CQ223"/>
      <c r="CR223"/>
      <c r="CS223"/>
      <c r="CT223"/>
      <c r="CU223"/>
      <c r="CV223"/>
    </row>
    <row r="224" spans="1:119" s="149" customFormat="1" outlineLevel="1">
      <c r="A224" s="329" t="s">
        <v>163</v>
      </c>
      <c r="B224" s="4"/>
      <c r="C224" s="336">
        <f>539-134</f>
        <v>405</v>
      </c>
      <c r="D224" s="337">
        <f>542-146</f>
        <v>396</v>
      </c>
      <c r="E224" s="337">
        <f>550-163</f>
        <v>387</v>
      </c>
      <c r="F224" s="337">
        <f>551-181</f>
        <v>370</v>
      </c>
      <c r="G224" s="338">
        <f>F224</f>
        <v>370</v>
      </c>
      <c r="H224" s="339"/>
      <c r="I224" s="336">
        <f>555-187</f>
        <v>368</v>
      </c>
      <c r="J224" s="337">
        <f>556-196</f>
        <v>360</v>
      </c>
      <c r="K224" s="337">
        <f>560-203</f>
        <v>357</v>
      </c>
      <c r="L224" s="337">
        <f>561-211</f>
        <v>350</v>
      </c>
      <c r="M224" s="338">
        <f>L224</f>
        <v>350</v>
      </c>
      <c r="N224" s="4"/>
      <c r="O224" s="336">
        <f>563-218</f>
        <v>345</v>
      </c>
      <c r="P224" s="337">
        <f>563-220</f>
        <v>343</v>
      </c>
      <c r="Q224" s="337">
        <f>565-220</f>
        <v>345</v>
      </c>
      <c r="R224" s="337">
        <f>566-220</f>
        <v>346</v>
      </c>
      <c r="S224" s="338">
        <f>R224</f>
        <v>346</v>
      </c>
      <c r="T224" s="337"/>
      <c r="U224" s="336">
        <f>571-223</f>
        <v>348</v>
      </c>
      <c r="V224" s="337">
        <f>576-228</f>
        <v>348</v>
      </c>
      <c r="W224" s="337">
        <f>577-231</f>
        <v>346</v>
      </c>
      <c r="X224" s="337">
        <f>579-233</f>
        <v>346</v>
      </c>
      <c r="Y224" s="338">
        <f>X224</f>
        <v>346</v>
      </c>
      <c r="Z224" s="337"/>
      <c r="AA224" s="336">
        <f>584-239</f>
        <v>345</v>
      </c>
      <c r="AB224" s="337">
        <f>587-239</f>
        <v>348</v>
      </c>
      <c r="AC224" s="337">
        <f>590-243</f>
        <v>347</v>
      </c>
      <c r="AD224" s="337">
        <f>579-244</f>
        <v>335</v>
      </c>
      <c r="AE224" s="338">
        <f>AD224</f>
        <v>335</v>
      </c>
      <c r="AF224" s="327"/>
      <c r="AG224" s="336">
        <f>584-239</f>
        <v>345</v>
      </c>
      <c r="AH224" s="337">
        <f>594-246</f>
        <v>348</v>
      </c>
      <c r="AI224" s="337">
        <f>AI34</f>
        <v>348</v>
      </c>
      <c r="AJ224" s="337">
        <f>AJ34</f>
        <v>348</v>
      </c>
      <c r="AK224" s="338">
        <f>AJ224</f>
        <v>348</v>
      </c>
      <c r="AL224" s="327"/>
      <c r="AM224" s="336">
        <f>AM34</f>
        <v>347</v>
      </c>
      <c r="AN224" s="337">
        <f>AN34</f>
        <v>345</v>
      </c>
      <c r="AO224" s="337">
        <f>AO34</f>
        <v>339</v>
      </c>
      <c r="AP224" s="337">
        <f>AP34</f>
        <v>331</v>
      </c>
      <c r="AQ224" s="338">
        <f>AP224</f>
        <v>331</v>
      </c>
      <c r="AR224" s="327"/>
      <c r="AS224" s="336">
        <f>AS34</f>
        <v>333</v>
      </c>
      <c r="AT224" s="337">
        <f>AT34</f>
        <v>333</v>
      </c>
      <c r="AU224" s="337">
        <f>AU34</f>
        <v>334</v>
      </c>
      <c r="AV224" s="337">
        <f>AV34</f>
        <v>334</v>
      </c>
      <c r="AW224" s="338">
        <f>AV224</f>
        <v>334</v>
      </c>
      <c r="AX224" s="327"/>
      <c r="AY224" s="336">
        <f>AY34</f>
        <v>336</v>
      </c>
      <c r="AZ224" s="337">
        <f>AZ34</f>
        <v>334</v>
      </c>
      <c r="BA224" s="337">
        <f>BA34</f>
        <v>334</v>
      </c>
      <c r="BB224" s="337">
        <f>BB34</f>
        <v>333</v>
      </c>
      <c r="BC224" s="338">
        <f>BB224</f>
        <v>333</v>
      </c>
      <c r="BD224" s="327"/>
      <c r="BE224" s="336">
        <f>BE34</f>
        <v>329</v>
      </c>
      <c r="BF224" s="337">
        <f>BF34</f>
        <v>326</v>
      </c>
      <c r="BG224" s="337">
        <f>BG34</f>
        <v>325</v>
      </c>
      <c r="BH224" s="337">
        <f>BH34</f>
        <v>324</v>
      </c>
      <c r="BI224" s="338">
        <f>BH224</f>
        <v>324</v>
      </c>
      <c r="BJ224" s="327"/>
      <c r="BK224" s="336">
        <f>BK34</f>
        <v>322</v>
      </c>
      <c r="BL224" s="337">
        <f>BL34</f>
        <v>321</v>
      </c>
      <c r="BM224" s="337">
        <f>BM34</f>
        <v>321</v>
      </c>
      <c r="BN224" s="337">
        <f>BN34</f>
        <v>322</v>
      </c>
      <c r="BO224" s="338">
        <f>BN224</f>
        <v>322</v>
      </c>
      <c r="BP224" s="327"/>
      <c r="BQ224" s="336">
        <f>BQ34</f>
        <v>323</v>
      </c>
      <c r="BR224" s="337">
        <f>BR34</f>
        <v>321.42646603989886</v>
      </c>
      <c r="BS224" s="337">
        <f>BS34</f>
        <v>319.88291789033048</v>
      </c>
      <c r="BT224" s="337">
        <f>BT34</f>
        <v>318.36878413125811</v>
      </c>
      <c r="BU224" s="338">
        <f>BT224</f>
        <v>318.36878413125811</v>
      </c>
      <c r="BV224" s="327"/>
      <c r="BW224" s="336">
        <f>BW34</f>
        <v>316.93033738180617</v>
      </c>
      <c r="BX224" s="337">
        <f>BX34</f>
        <v>315.51930217400775</v>
      </c>
      <c r="BY224" s="337">
        <f>BY34</f>
        <v>314.13515614398938</v>
      </c>
      <c r="BZ224" s="337">
        <f>BZ34</f>
        <v>312.7773868822253</v>
      </c>
      <c r="CA224" s="338">
        <f>BZ224</f>
        <v>312.7773868822253</v>
      </c>
      <c r="CB224" s="337"/>
      <c r="CC224" s="336">
        <f>CC34</f>
        <v>311.44549174384389</v>
      </c>
      <c r="CD224" s="337">
        <f>CD34</f>
        <v>310.13897766254905</v>
      </c>
      <c r="CE224" s="337">
        <f>CE34</f>
        <v>308.85736096808762</v>
      </c>
      <c r="CF224" s="337">
        <f>CF34</f>
        <v>307.60016720719494</v>
      </c>
      <c r="CG224" s="338">
        <f>CF224</f>
        <v>307.60016720719494</v>
      </c>
      <c r="CI224" s="336">
        <f>CI34</f>
        <v>306.3669309679529</v>
      </c>
      <c r="CJ224" s="337">
        <f>CJ34</f>
        <v>305.15719570749474</v>
      </c>
      <c r="CK224" s="337">
        <f>CK34</f>
        <v>303.97051358299342</v>
      </c>
      <c r="CL224" s="337">
        <f>CL34</f>
        <v>302.80644528587061</v>
      </c>
      <c r="CM224" s="338">
        <f>CL224</f>
        <v>302.80644528587061</v>
      </c>
      <c r="CQ224"/>
      <c r="CR224"/>
      <c r="CS224"/>
      <c r="CT224"/>
      <c r="CU224"/>
      <c r="CV224"/>
    </row>
    <row r="225" spans="1:113" s="149" customFormat="1" outlineLevel="1">
      <c r="A225" s="329"/>
      <c r="B225" s="4"/>
      <c r="C225" s="340"/>
      <c r="D225" s="341"/>
      <c r="E225" s="341"/>
      <c r="F225" s="341"/>
      <c r="G225" s="342"/>
      <c r="H225" s="343"/>
      <c r="I225" s="340"/>
      <c r="J225" s="341"/>
      <c r="K225" s="341"/>
      <c r="L225" s="341"/>
      <c r="M225" s="342"/>
      <c r="N225" s="4"/>
      <c r="O225" s="340"/>
      <c r="P225" s="341"/>
      <c r="Q225" s="341"/>
      <c r="R225" s="341"/>
      <c r="S225" s="342"/>
      <c r="T225" s="341"/>
      <c r="U225" s="340"/>
      <c r="V225" s="341"/>
      <c r="W225" s="341"/>
      <c r="X225" s="341"/>
      <c r="Y225" s="342"/>
      <c r="Z225" s="344"/>
      <c r="AA225" s="340"/>
      <c r="AB225" s="341"/>
      <c r="AC225" s="341"/>
      <c r="AD225" s="341"/>
      <c r="AE225" s="342"/>
      <c r="AF225" s="344"/>
      <c r="AG225" s="340"/>
      <c r="AH225" s="341"/>
      <c r="AI225" s="341"/>
      <c r="AJ225" s="341"/>
      <c r="AK225" s="342"/>
      <c r="AL225" s="344"/>
      <c r="AM225" s="340"/>
      <c r="AN225" s="341"/>
      <c r="AO225" s="341"/>
      <c r="AP225" s="341"/>
      <c r="AQ225" s="342"/>
      <c r="AR225" s="341"/>
      <c r="AS225" s="340"/>
      <c r="AT225" s="341"/>
      <c r="AU225" s="341"/>
      <c r="AV225" s="341"/>
      <c r="AW225" s="342"/>
      <c r="AX225" s="341"/>
      <c r="AY225" s="340"/>
      <c r="AZ225" s="341"/>
      <c r="BA225" s="341"/>
      <c r="BB225" s="341"/>
      <c r="BC225" s="342"/>
      <c r="BD225" s="341"/>
      <c r="BE225" s="340"/>
      <c r="BF225" s="341"/>
      <c r="BG225" s="341"/>
      <c r="BH225" s="341"/>
      <c r="BI225" s="342"/>
      <c r="BJ225" s="341"/>
      <c r="BK225" s="340"/>
      <c r="BL225" s="341"/>
      <c r="BM225" s="341"/>
      <c r="BN225" s="341"/>
      <c r="BO225" s="342"/>
      <c r="BP225" s="341"/>
      <c r="BQ225" s="340"/>
      <c r="BR225" s="341"/>
      <c r="BS225" s="341"/>
      <c r="BT225" s="341"/>
      <c r="BU225" s="342"/>
      <c r="BV225" s="341"/>
      <c r="BW225" s="340"/>
      <c r="BX225" s="341"/>
      <c r="BY225" s="341"/>
      <c r="BZ225" s="341"/>
      <c r="CA225" s="342"/>
      <c r="CB225" s="341"/>
      <c r="CC225" s="340"/>
      <c r="CD225" s="341"/>
      <c r="CE225" s="341"/>
      <c r="CF225" s="341"/>
      <c r="CG225" s="342"/>
      <c r="CI225" s="340"/>
      <c r="CJ225" s="341"/>
      <c r="CK225" s="341"/>
      <c r="CL225" s="341"/>
      <c r="CM225" s="342"/>
      <c r="CQ225"/>
      <c r="CR225"/>
      <c r="CS225"/>
      <c r="CT225"/>
      <c r="CU225"/>
      <c r="CV225"/>
    </row>
    <row r="226" spans="1:113" s="149" customFormat="1" outlineLevel="1">
      <c r="A226" s="265" t="s">
        <v>158</v>
      </c>
      <c r="B226" s="4"/>
      <c r="C226" s="345">
        <f>SUM(C220:C222)</f>
        <v>0.19199999999999998</v>
      </c>
      <c r="D226" s="346">
        <f>SUM(D220:D222)</f>
        <v>0.19199999999999998</v>
      </c>
      <c r="E226" s="346">
        <f>SUM(E220:E222)</f>
        <v>0.19199999999999998</v>
      </c>
      <c r="F226" s="346">
        <f>SUM(F220:F222)</f>
        <v>0.19199999999999998</v>
      </c>
      <c r="G226" s="347">
        <f>SUM(G220:G222)</f>
        <v>0.19199999999999998</v>
      </c>
      <c r="H226" s="348"/>
      <c r="I226" s="345">
        <f>SUM(I220:I222)</f>
        <v>0.21104294478527608</v>
      </c>
      <c r="J226" s="346">
        <f>SUM(J220:J222)</f>
        <v>0.21104294478527608</v>
      </c>
      <c r="K226" s="346">
        <f>SUM(K220:K222)</f>
        <v>0.21104294478527608</v>
      </c>
      <c r="L226" s="346">
        <f>SUM(L220:L222)</f>
        <v>0.21104294478527608</v>
      </c>
      <c r="M226" s="347">
        <f>SUM(M220:M222)</f>
        <v>0.21104294478527608</v>
      </c>
      <c r="N226" s="4"/>
      <c r="O226" s="345">
        <f>SUM(O220:O222)</f>
        <v>0.2857142857142857</v>
      </c>
      <c r="P226" s="346">
        <f>SUM(P220:P222)</f>
        <v>0.2857142857142857</v>
      </c>
      <c r="Q226" s="346">
        <f>SUM(Q220:Q222)</f>
        <v>0.2857142857142857</v>
      </c>
      <c r="R226" s="346">
        <f>SUM(R220:R222)</f>
        <v>0.2857142857142857</v>
      </c>
      <c r="S226" s="347">
        <f>SUM(S220:S222)</f>
        <v>0.2857142857142857</v>
      </c>
      <c r="T226" s="333"/>
      <c r="U226" s="345">
        <f>SUM(U220:U222)</f>
        <v>0.2138728323699422</v>
      </c>
      <c r="V226" s="346">
        <f>SUM(V220:V222)</f>
        <v>0.2138728323699422</v>
      </c>
      <c r="W226" s="346">
        <f>SUM(W220:W222)</f>
        <v>0.2138728323699422</v>
      </c>
      <c r="X226" s="346">
        <f>SUM(X220:X222)</f>
        <v>0.2138728323699422</v>
      </c>
      <c r="Y226" s="347">
        <f>SUM(Y220:Y222)</f>
        <v>0.2138728323699422</v>
      </c>
      <c r="Z226" s="333"/>
      <c r="AA226" s="345">
        <f>SUM(AA220:AA222)</f>
        <v>0.2005813953488372</v>
      </c>
      <c r="AB226" s="346">
        <f>SUM(AB220:AB222)</f>
        <v>0.2005813953488372</v>
      </c>
      <c r="AC226" s="346">
        <f>SUM(AC220:AC222)</f>
        <v>0.2005813953488372</v>
      </c>
      <c r="AD226" s="346">
        <f>SUM(AD220:AD222)</f>
        <v>0.2005813953488372</v>
      </c>
      <c r="AE226" s="347">
        <f>SUM(AE220:AE222)</f>
        <v>0.2005813953488372</v>
      </c>
      <c r="AF226" s="333"/>
      <c r="AG226" s="345">
        <f>SUM(AG220:AG222)</f>
        <v>0.2005813953488372</v>
      </c>
      <c r="AH226" s="346">
        <f>SUM(AH220:AH222)</f>
        <v>0.2005813953488372</v>
      </c>
      <c r="AI226" s="346">
        <f t="shared" ref="AI226:BC226" si="102">AI116</f>
        <v>0.2</v>
      </c>
      <c r="AJ226" s="346">
        <f t="shared" si="102"/>
        <v>0.2</v>
      </c>
      <c r="AK226" s="347">
        <f t="shared" si="102"/>
        <v>0.2</v>
      </c>
      <c r="AL226" s="333"/>
      <c r="AM226" s="345">
        <f t="shared" si="102"/>
        <v>0.2</v>
      </c>
      <c r="AN226" s="346">
        <f t="shared" si="102"/>
        <v>0.2</v>
      </c>
      <c r="AO226" s="346">
        <f t="shared" si="102"/>
        <v>0.2</v>
      </c>
      <c r="AP226" s="346">
        <f t="shared" si="102"/>
        <v>0.2</v>
      </c>
      <c r="AQ226" s="347">
        <f t="shared" si="102"/>
        <v>0.19999999999999998</v>
      </c>
      <c r="AR226" s="333"/>
      <c r="AS226" s="345">
        <f t="shared" si="102"/>
        <v>0.16</v>
      </c>
      <c r="AT226" s="346">
        <f t="shared" si="102"/>
        <v>0.16</v>
      </c>
      <c r="AU226" s="346">
        <f t="shared" si="102"/>
        <v>0.16</v>
      </c>
      <c r="AV226" s="346">
        <f t="shared" si="102"/>
        <v>0.16</v>
      </c>
      <c r="AW226" s="347">
        <f t="shared" si="102"/>
        <v>0.16</v>
      </c>
      <c r="AX226" s="333"/>
      <c r="AY226" s="345">
        <f t="shared" si="102"/>
        <v>0.20060870412508808</v>
      </c>
      <c r="AZ226" s="346">
        <f t="shared" si="102"/>
        <v>0.19863562157431139</v>
      </c>
      <c r="BA226" s="346">
        <f t="shared" si="102"/>
        <v>0.2004887590829536</v>
      </c>
      <c r="BB226" s="346">
        <f t="shared" si="102"/>
        <v>0.19998285861211892</v>
      </c>
      <c r="BC226" s="347">
        <f t="shared" si="102"/>
        <v>0.19996302053729786</v>
      </c>
      <c r="BD226" s="333"/>
      <c r="BE226" s="345">
        <f>BE116</f>
        <v>0.19860557977149898</v>
      </c>
      <c r="BF226" s="346">
        <f>BF116</f>
        <v>0.19874130506790316</v>
      </c>
      <c r="BG226" s="346">
        <f>BG116</f>
        <v>0.2001761550164145</v>
      </c>
      <c r="BH226" s="346">
        <f>BH116</f>
        <v>0.16803442379057226</v>
      </c>
      <c r="BI226" s="347">
        <f>BI116</f>
        <v>0.19020546292466631</v>
      </c>
      <c r="BJ226" s="333"/>
      <c r="BK226" s="345">
        <f>BK116</f>
        <v>0.18847387987617267</v>
      </c>
      <c r="BL226" s="346">
        <f>BL116</f>
        <v>0.19033940977479391</v>
      </c>
      <c r="BM226" s="346">
        <f>BM116</f>
        <v>0.16212703661135214</v>
      </c>
      <c r="BN226" s="346">
        <f>BN116</f>
        <v>0.18003083027968542</v>
      </c>
      <c r="BO226" s="347">
        <f>BO116</f>
        <v>0.18012562110032029</v>
      </c>
      <c r="BP226" s="333"/>
      <c r="BQ226" s="345">
        <f>BQ116</f>
        <v>0.18269525745948548</v>
      </c>
      <c r="BR226" s="346">
        <f>BR116</f>
        <v>0.18269525745948548</v>
      </c>
      <c r="BS226" s="346">
        <f>BS116</f>
        <v>0.18269525745948548</v>
      </c>
      <c r="BT226" s="346">
        <f>BT116</f>
        <v>0.18269525745948548</v>
      </c>
      <c r="BU226" s="347">
        <f>BU116</f>
        <v>0.18269525745948545</v>
      </c>
      <c r="BV226" s="333"/>
      <c r="BW226" s="345">
        <f>BW116</f>
        <v>0.18</v>
      </c>
      <c r="BX226" s="346">
        <f>BX116</f>
        <v>0.18</v>
      </c>
      <c r="BY226" s="346">
        <f>BY116</f>
        <v>0.18</v>
      </c>
      <c r="BZ226" s="346">
        <f>BZ116</f>
        <v>0.18</v>
      </c>
      <c r="CA226" s="347">
        <f>CA116</f>
        <v>0.18</v>
      </c>
      <c r="CB226" s="333"/>
      <c r="CC226" s="345">
        <f>CC116</f>
        <v>0.18</v>
      </c>
      <c r="CD226" s="346">
        <f>CD116</f>
        <v>0.18</v>
      </c>
      <c r="CE226" s="346">
        <f>CE116</f>
        <v>0.18</v>
      </c>
      <c r="CF226" s="346">
        <f>CF116</f>
        <v>0.18</v>
      </c>
      <c r="CG226" s="347">
        <f>CG116</f>
        <v>0.18</v>
      </c>
      <c r="CI226" s="345">
        <f>CI116</f>
        <v>0.18</v>
      </c>
      <c r="CJ226" s="346">
        <f>CJ116</f>
        <v>0.18</v>
      </c>
      <c r="CK226" s="346">
        <f>CK116</f>
        <v>0.18</v>
      </c>
      <c r="CL226" s="346">
        <f>CL116</f>
        <v>0.18</v>
      </c>
      <c r="CM226" s="347">
        <f>CM116</f>
        <v>0.18</v>
      </c>
      <c r="CQ226"/>
      <c r="CR226"/>
      <c r="CS226"/>
      <c r="CT226"/>
      <c r="CU226"/>
      <c r="CV226"/>
    </row>
    <row r="227" spans="1:113" customFormat="1" outlineLevel="1"/>
    <row r="228" spans="1:113" s="149" customFormat="1">
      <c r="A228" s="1"/>
      <c r="C228" s="1"/>
      <c r="D228" s="1"/>
      <c r="E228" s="1"/>
      <c r="F228" s="1"/>
      <c r="G228" s="1"/>
      <c r="I228" s="1"/>
      <c r="J228" s="1"/>
      <c r="K228" s="1"/>
      <c r="L228" s="1"/>
      <c r="M228" s="1"/>
      <c r="O228" s="1"/>
      <c r="P228" s="1"/>
      <c r="Q228" s="1"/>
      <c r="R228" s="1"/>
      <c r="S228" s="1"/>
      <c r="U228" s="1"/>
      <c r="V228" s="1"/>
      <c r="W228" s="1"/>
      <c r="X228" s="1"/>
      <c r="Y228" s="1"/>
      <c r="AA228" s="1"/>
      <c r="AB228" s="1"/>
      <c r="AC228" s="1"/>
      <c r="AD228" s="1"/>
      <c r="AE228" s="1"/>
      <c r="AG228" s="1"/>
      <c r="AH228" s="1"/>
      <c r="AI228" s="1"/>
      <c r="AJ228" s="1"/>
      <c r="AK228" s="1"/>
      <c r="AM228" s="1"/>
      <c r="AN228" s="1"/>
      <c r="AO228" s="1"/>
      <c r="AP228" s="1"/>
      <c r="AQ228" s="1"/>
      <c r="AS228" s="1"/>
      <c r="AT228" s="1"/>
      <c r="AU228" s="1"/>
      <c r="AV228" s="1"/>
      <c r="AW228" s="1"/>
      <c r="AY228" s="1"/>
      <c r="AZ228" s="1"/>
      <c r="BA228" s="1"/>
      <c r="BB228" s="1"/>
      <c r="BC228" s="1"/>
      <c r="BE228" s="1"/>
      <c r="BF228" s="1"/>
      <c r="BG228" s="1"/>
      <c r="BH228" s="1"/>
      <c r="BI228" s="1"/>
      <c r="BK228" s="1"/>
      <c r="BL228" s="1"/>
      <c r="BM228" s="1"/>
      <c r="BN228" s="1"/>
      <c r="BO228" s="1"/>
      <c r="BQ228" s="1"/>
      <c r="BR228" s="1"/>
      <c r="BS228" s="1"/>
      <c r="BT228" s="1"/>
      <c r="BU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I228" s="1"/>
      <c r="CJ228" s="1"/>
      <c r="CK228" s="1"/>
      <c r="CL228" s="1"/>
      <c r="CM228" s="1"/>
      <c r="CQ228"/>
      <c r="CR228"/>
      <c r="CS228"/>
      <c r="CT228"/>
      <c r="CU228"/>
      <c r="CV228"/>
    </row>
    <row r="229" spans="1:113" s="149" customFormat="1">
      <c r="A229" s="246" t="s">
        <v>519</v>
      </c>
      <c r="B229" s="17"/>
      <c r="C229" s="247"/>
      <c r="D229" s="247"/>
      <c r="E229" s="247"/>
      <c r="F229" s="247"/>
      <c r="G229" s="247"/>
      <c r="H229" s="17"/>
      <c r="I229" s="247"/>
      <c r="J229" s="247"/>
      <c r="K229" s="247"/>
      <c r="L229" s="247"/>
      <c r="M229" s="247"/>
      <c r="N229" s="17"/>
      <c r="O229" s="247"/>
      <c r="P229" s="247"/>
      <c r="Q229" s="247"/>
      <c r="R229" s="247"/>
      <c r="S229" s="247"/>
      <c r="T229" s="129"/>
      <c r="U229" s="247"/>
      <c r="V229" s="247"/>
      <c r="W229" s="247"/>
      <c r="X229" s="247"/>
      <c r="Y229" s="247"/>
      <c r="Z229" s="129"/>
      <c r="AA229" s="247"/>
      <c r="AB229" s="247"/>
      <c r="AC229" s="247"/>
      <c r="AD229" s="247"/>
      <c r="AE229" s="247"/>
      <c r="AF229" s="129"/>
      <c r="AG229" s="247"/>
      <c r="AH229" s="247"/>
      <c r="AI229" s="247"/>
      <c r="AJ229" s="247"/>
      <c r="AK229" s="247"/>
      <c r="AL229" s="129"/>
      <c r="AM229" s="247"/>
      <c r="AN229" s="247"/>
      <c r="AO229" s="247"/>
      <c r="AP229" s="247"/>
      <c r="AQ229" s="247"/>
      <c r="AR229" s="129"/>
      <c r="AS229" s="247"/>
      <c r="AT229" s="247"/>
      <c r="AU229" s="247"/>
      <c r="AV229" s="247"/>
      <c r="AW229" s="247"/>
      <c r="AX229" s="129"/>
      <c r="AY229" s="247"/>
      <c r="AZ229" s="247"/>
      <c r="BA229" s="247"/>
      <c r="BB229" s="247"/>
      <c r="BC229" s="247"/>
      <c r="BE229" s="247"/>
      <c r="BF229" s="247"/>
      <c r="BG229" s="247"/>
      <c r="BH229" s="247"/>
      <c r="BI229" s="247"/>
      <c r="BJ229" s="129"/>
      <c r="BK229" s="247"/>
      <c r="BL229" s="247"/>
      <c r="BM229" s="247"/>
      <c r="BN229" s="247"/>
      <c r="BO229" s="247"/>
      <c r="BQ229" s="1"/>
      <c r="BR229" s="1"/>
      <c r="BS229" s="1"/>
      <c r="BT229" s="1"/>
      <c r="BU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I229" s="1"/>
      <c r="CJ229" s="1"/>
      <c r="CK229" s="1"/>
      <c r="CL229" s="1"/>
      <c r="CM229" s="1"/>
      <c r="CQ229"/>
      <c r="CR229"/>
      <c r="CS229"/>
      <c r="CT229"/>
      <c r="CU229"/>
      <c r="CV229"/>
      <c r="CW229" s="154"/>
      <c r="CX229" s="154"/>
      <c r="CY229" s="154"/>
      <c r="CZ229" s="154"/>
      <c r="DA229" s="154"/>
      <c r="DB229" s="154"/>
      <c r="DC229" s="154"/>
      <c r="DD229" s="154"/>
      <c r="DE229" s="154"/>
      <c r="DF229" s="154"/>
      <c r="DG229" s="154"/>
      <c r="DH229" s="154"/>
      <c r="DI229" s="154"/>
    </row>
    <row r="230" spans="1:113" s="149" customFormat="1">
      <c r="A230" s="249" t="s">
        <v>520</v>
      </c>
      <c r="B230" s="250"/>
      <c r="C230" s="1318"/>
      <c r="D230" s="1319"/>
      <c r="E230" s="1319"/>
      <c r="F230" s="1319"/>
      <c r="G230" s="251"/>
      <c r="H230" s="250"/>
      <c r="I230" s="1318"/>
      <c r="J230" s="1319"/>
      <c r="K230" s="1319"/>
      <c r="L230" s="1319"/>
      <c r="M230" s="251"/>
      <c r="N230" s="250"/>
      <c r="O230" s="1318"/>
      <c r="P230" s="1319"/>
      <c r="Q230" s="1319"/>
      <c r="R230" s="1319"/>
      <c r="S230" s="251"/>
      <c r="T230" s="155"/>
      <c r="U230" s="1318"/>
      <c r="V230" s="1319"/>
      <c r="W230" s="1319"/>
      <c r="X230" s="1319"/>
      <c r="Y230" s="251"/>
      <c r="Z230" s="155"/>
      <c r="AA230" s="1318"/>
      <c r="AB230" s="1319"/>
      <c r="AC230" s="1319"/>
      <c r="AD230" s="1319"/>
      <c r="AE230" s="251"/>
      <c r="AF230" s="155"/>
      <c r="AG230" s="1318"/>
      <c r="AH230" s="1319"/>
      <c r="AI230" s="1319"/>
      <c r="AJ230" s="1319"/>
      <c r="AK230" s="251"/>
      <c r="AL230" s="155"/>
      <c r="AM230" s="1850">
        <f>+AM19</f>
        <v>163.00000000000011</v>
      </c>
      <c r="AN230" s="1851">
        <f>+AN19</f>
        <v>178</v>
      </c>
      <c r="AO230" s="1851">
        <f>+AO19</f>
        <v>174</v>
      </c>
      <c r="AP230" s="1852">
        <f>+AP19</f>
        <v>217</v>
      </c>
      <c r="AQ230" s="251">
        <f>SUM(AM230:AP230)</f>
        <v>732.00000000000011</v>
      </c>
      <c r="AR230" s="155"/>
      <c r="AS230" s="1850">
        <f>+AS19</f>
        <v>193</v>
      </c>
      <c r="AT230" s="1851">
        <f>+AT19</f>
        <v>166.94100000000003</v>
      </c>
      <c r="AU230" s="1851">
        <f>+AU19</f>
        <v>190.69799999999998</v>
      </c>
      <c r="AV230" s="1852">
        <f>+AV19</f>
        <v>212.33100000000013</v>
      </c>
      <c r="AW230" s="251">
        <f t="shared" ref="AW230:AW236" si="103">SUM(AS230:AV230)</f>
        <v>762.97000000000014</v>
      </c>
      <c r="AX230" s="155"/>
      <c r="AY230" s="1850">
        <f>+AY19</f>
        <v>176.46900000000005</v>
      </c>
      <c r="AZ230" s="1851">
        <f>+AZ19</f>
        <v>169.09900000000005</v>
      </c>
      <c r="BA230" s="1851">
        <f>+BA19</f>
        <v>199.54899999999998</v>
      </c>
      <c r="BB230" s="1852">
        <f>+BB19</f>
        <v>223.01800000000003</v>
      </c>
      <c r="BC230" s="251">
        <f t="shared" ref="BC230:BC236" si="104">SUM(AY230:BB230)</f>
        <v>768.1350000000001</v>
      </c>
      <c r="BD230" s="155"/>
      <c r="BE230" s="1850">
        <f>+BE19</f>
        <v>205.33400000000006</v>
      </c>
      <c r="BF230" s="1851">
        <f>+BF19</f>
        <v>195.1400000000001</v>
      </c>
      <c r="BG230" s="1851">
        <f>+BG19</f>
        <v>211.82399999999996</v>
      </c>
      <c r="BH230" s="1852">
        <f>+BH19</f>
        <v>247.09529999999995</v>
      </c>
      <c r="BI230" s="251">
        <f t="shared" ref="BI230:BI236" si="105">SUM(BE230:BH230)</f>
        <v>859.39330000000007</v>
      </c>
      <c r="BJ230" s="155"/>
      <c r="BK230" s="1850">
        <f>+BK19</f>
        <v>223.23099999999999</v>
      </c>
      <c r="BL230" s="1851">
        <f>+BL19</f>
        <v>241.16599999999994</v>
      </c>
      <c r="BM230" s="1851">
        <f>+BM19</f>
        <v>236.21609999999998</v>
      </c>
      <c r="BN230" s="1852">
        <f>+BN19</f>
        <v>273.62099999999998</v>
      </c>
      <c r="BO230" s="251">
        <f t="shared" ref="BO230:BO236" si="106">SUM(BK230:BN230)</f>
        <v>974.2340999999999</v>
      </c>
      <c r="BP230" s="155"/>
      <c r="BQ230" s="1850">
        <f>+BQ19</f>
        <v>268.73259999999993</v>
      </c>
      <c r="BR230" s="1851">
        <f>+BR19</f>
        <v>296.17289125019647</v>
      </c>
      <c r="BS230" s="1851">
        <f>+BS19</f>
        <v>285.20327487764621</v>
      </c>
      <c r="BT230" s="1852">
        <f>+BT19</f>
        <v>325.80653862092072</v>
      </c>
      <c r="BU230" s="1976">
        <f t="shared" ref="BU230:BU236" si="107">SUM(BQ230:BT230)</f>
        <v>1175.9153047487634</v>
      </c>
      <c r="BV230" s="155"/>
      <c r="BW230" s="1850">
        <f>+BW19</f>
        <v>296.39954495407142</v>
      </c>
      <c r="BX230" s="1851">
        <f>+BX19</f>
        <v>326.23865003331252</v>
      </c>
      <c r="BY230" s="1851">
        <f>+BY19</f>
        <v>317.787904074273</v>
      </c>
      <c r="BZ230" s="1852">
        <f>+BZ19</f>
        <v>361.65044706428284</v>
      </c>
      <c r="CA230" s="1976">
        <f t="shared" ref="CA230:CA236" si="108">SUM(BW230:BZ230)</f>
        <v>1302.0765461259398</v>
      </c>
      <c r="CB230" s="177"/>
      <c r="CC230" s="1850">
        <f>+CC19</f>
        <v>321.76353405068039</v>
      </c>
      <c r="CD230" s="1851">
        <f>+CD19</f>
        <v>357.15173766408543</v>
      </c>
      <c r="CE230" s="1851">
        <f>+CE19</f>
        <v>349.52921188333153</v>
      </c>
      <c r="CF230" s="1852">
        <f>+CF19</f>
        <v>396.0045835885569</v>
      </c>
      <c r="CG230" s="1976">
        <f>SUM(CC230:CF230)</f>
        <v>1424.4490671866542</v>
      </c>
      <c r="CI230" s="1850">
        <f>+CI19</f>
        <v>349.22480293066542</v>
      </c>
      <c r="CJ230" s="1851">
        <f>+CJ19</f>
        <v>391.00543048968007</v>
      </c>
      <c r="CK230" s="1851">
        <f>+CK19</f>
        <v>384.64436362932065</v>
      </c>
      <c r="CL230" s="1852">
        <f>+CL19</f>
        <v>433.84570824167213</v>
      </c>
      <c r="CM230" s="1976">
        <f>SUM(CI230:CL230)</f>
        <v>1558.7203052913383</v>
      </c>
      <c r="CN230" s="1879"/>
      <c r="CO230" s="1879"/>
      <c r="CP230" s="1879"/>
      <c r="CQ230"/>
      <c r="CR230"/>
      <c r="CS230"/>
      <c r="CT230"/>
      <c r="CU230"/>
      <c r="CV230"/>
    </row>
    <row r="231" spans="1:113" s="149" customFormat="1">
      <c r="A231" s="249" t="s">
        <v>566</v>
      </c>
      <c r="B231" s="250"/>
      <c r="C231" s="1318"/>
      <c r="D231" s="1319"/>
      <c r="E231" s="1319"/>
      <c r="F231" s="1319"/>
      <c r="G231" s="251"/>
      <c r="H231" s="250"/>
      <c r="I231" s="1318"/>
      <c r="J231" s="1319"/>
      <c r="K231" s="1319"/>
      <c r="L231" s="1319"/>
      <c r="M231" s="251"/>
      <c r="N231" s="250"/>
      <c r="O231" s="1318"/>
      <c r="P231" s="1319"/>
      <c r="Q231" s="1319"/>
      <c r="R231" s="1319"/>
      <c r="S231" s="251"/>
      <c r="T231" s="155"/>
      <c r="U231" s="1318"/>
      <c r="V231" s="1319"/>
      <c r="W231" s="1319"/>
      <c r="X231" s="1319"/>
      <c r="Y231" s="251"/>
      <c r="Z231" s="155"/>
      <c r="AA231" s="1318"/>
      <c r="AB231" s="1319"/>
      <c r="AC231" s="1319"/>
      <c r="AD231" s="1319"/>
      <c r="AE231" s="251"/>
      <c r="AF231" s="155"/>
      <c r="AG231" s="1318"/>
      <c r="AH231" s="1319"/>
      <c r="AI231" s="1319"/>
      <c r="AJ231" s="1319"/>
      <c r="AK231" s="251"/>
      <c r="AL231" s="155"/>
      <c r="AM231" s="238">
        <f>AM230/AM10</f>
        <v>0.17014613778705648</v>
      </c>
      <c r="AN231" s="219">
        <f>AN230/AN10</f>
        <v>0.1831275720164609</v>
      </c>
      <c r="AO231" s="219">
        <f>AO230/AO10</f>
        <v>0.18296529968454259</v>
      </c>
      <c r="AP231" s="219">
        <f>AP230/AP10</f>
        <v>0.21421520236920039</v>
      </c>
      <c r="AQ231" s="146">
        <f>AQ230/AQ10</f>
        <v>0.18798151001540836</v>
      </c>
      <c r="AR231" s="155"/>
      <c r="AS231" s="238">
        <f>AS230/AS10</f>
        <v>0.19146825396825398</v>
      </c>
      <c r="AT231" s="219">
        <f>AT230/AT10</f>
        <v>0.1689686234817814</v>
      </c>
      <c r="AU231" s="219">
        <f>AU230/AU10</f>
        <v>0.18899702675916746</v>
      </c>
      <c r="AV231" s="219">
        <f>AV230/AV10</f>
        <v>0.20357718120805382</v>
      </c>
      <c r="AW231" s="146">
        <f>AW230/AW10</f>
        <v>0.18848073122529649</v>
      </c>
      <c r="AX231" s="155"/>
      <c r="AY231" s="238">
        <f>AY230/AY10</f>
        <v>0.17199707602339187</v>
      </c>
      <c r="AZ231" s="219">
        <f>AZ230/AZ10</f>
        <v>0.17559605399792322</v>
      </c>
      <c r="BA231" s="219">
        <f>BA230/BA10</f>
        <v>0.1967938856015779</v>
      </c>
      <c r="BB231" s="219">
        <f>BB230/BB10</f>
        <v>0.21547632850241549</v>
      </c>
      <c r="BC231" s="146">
        <f>BC230/BC10</f>
        <v>0.19022659732540864</v>
      </c>
      <c r="BD231" s="155"/>
      <c r="BE231" s="238">
        <f>BE230/BE10</f>
        <v>0.19974124513618682</v>
      </c>
      <c r="BF231" s="219">
        <f>BF230/BF10</f>
        <v>0.19150147203140344</v>
      </c>
      <c r="BG231" s="219">
        <f>BG230/BG10</f>
        <v>0.2028965517241379</v>
      </c>
      <c r="BH231" s="219">
        <f>BH230/BH10</f>
        <v>0.22240801080108005</v>
      </c>
      <c r="BI231" s="146">
        <f>BI230/BI10</f>
        <v>0.2045200618752975</v>
      </c>
      <c r="BJ231" s="155"/>
      <c r="BK231" s="238">
        <f>BK230/BK10</f>
        <v>0.2092136832239925</v>
      </c>
      <c r="BL231" s="219">
        <f>BL230/BL10</f>
        <v>0.2188439201451905</v>
      </c>
      <c r="BM231" s="219">
        <f>BM230/BM10</f>
        <v>0.21204317773788151</v>
      </c>
      <c r="BN231" s="219">
        <f>BN230/BN10</f>
        <v>0.23012699747687129</v>
      </c>
      <c r="BO231" s="146">
        <f>BO230/BO10</f>
        <v>0.21785199016100176</v>
      </c>
      <c r="BP231" s="155"/>
      <c r="BQ231" s="238">
        <f>BQ230/BQ10</f>
        <v>0.22190966143682903</v>
      </c>
      <c r="BR231" s="219">
        <f>BR230/BR10</f>
        <v>0.23586204468738142</v>
      </c>
      <c r="BS231" s="219">
        <f>BS230/BS10</f>
        <v>0.22945871557646302</v>
      </c>
      <c r="BT231" s="219">
        <f>BT230/BT10</f>
        <v>0.24712983556316773</v>
      </c>
      <c r="BU231" s="146">
        <f>BU230/BU10</f>
        <v>0.2338731324615119</v>
      </c>
      <c r="BV231" s="155"/>
      <c r="BW231" s="238">
        <f>BW230/BW10</f>
        <v>0.22930743297511491</v>
      </c>
      <c r="BX231" s="219">
        <f>BX230/BX10</f>
        <v>0.24336268361041383</v>
      </c>
      <c r="BY231" s="219">
        <f>BY230/BY10</f>
        <v>0.23653209454636595</v>
      </c>
      <c r="BZ231" s="219">
        <f>BZ230/BZ10</f>
        <v>0.2543866867091823</v>
      </c>
      <c r="CA231" s="146">
        <f>CA230/CA10</f>
        <v>0.24120045902250084</v>
      </c>
      <c r="CB231" s="219"/>
      <c r="CC231" s="238">
        <f>CC230/CC10</f>
        <v>0.23509942706457795</v>
      </c>
      <c r="CD231" s="219">
        <f>CD230/CD10</f>
        <v>0.25091330901775688</v>
      </c>
      <c r="CE231" s="219">
        <f>CE230/CE10</f>
        <v>0.24313903044764076</v>
      </c>
      <c r="CF231" s="219">
        <f>CF230/CF10</f>
        <v>0.26121205643653755</v>
      </c>
      <c r="CG231" s="146">
        <f>CG230/CG10</f>
        <v>0.24791865157033185</v>
      </c>
      <c r="CI231" s="238">
        <f>CI230/CI10</f>
        <v>0.24052901524278977</v>
      </c>
      <c r="CJ231" s="219">
        <f>CJ230/CJ10</f>
        <v>0.25814409846008157</v>
      </c>
      <c r="CK231" s="219">
        <f>CK230/CK10</f>
        <v>0.24920140932230303</v>
      </c>
      <c r="CL231" s="219">
        <f>CL230/CL10</f>
        <v>0.26758479704144944</v>
      </c>
      <c r="CM231" s="146">
        <f>CM230/CM10</f>
        <v>0.25421810830402913</v>
      </c>
      <c r="CN231" s="1879"/>
      <c r="CO231" s="1879"/>
      <c r="CP231" s="1879"/>
      <c r="CQ231"/>
      <c r="CR231"/>
      <c r="CS231"/>
      <c r="CT231"/>
      <c r="CU231"/>
      <c r="CV231"/>
    </row>
    <row r="232" spans="1:113" s="149" customFormat="1">
      <c r="A232" s="309" t="s">
        <v>524</v>
      </c>
      <c r="B232" s="250"/>
      <c r="C232" s="1318"/>
      <c r="D232" s="1319"/>
      <c r="E232" s="1319"/>
      <c r="F232" s="1319"/>
      <c r="G232" s="251"/>
      <c r="H232" s="250"/>
      <c r="I232" s="1318"/>
      <c r="J232" s="1319"/>
      <c r="K232" s="1319"/>
      <c r="L232" s="1319"/>
      <c r="M232" s="251"/>
      <c r="N232" s="250"/>
      <c r="O232" s="1318"/>
      <c r="P232" s="1319"/>
      <c r="Q232" s="1319"/>
      <c r="R232" s="1319"/>
      <c r="S232" s="251"/>
      <c r="T232" s="155"/>
      <c r="U232" s="1318"/>
      <c r="V232" s="1319"/>
      <c r="W232" s="1319"/>
      <c r="X232" s="1319"/>
      <c r="Y232" s="251"/>
      <c r="Z232" s="155"/>
      <c r="AA232" s="1318"/>
      <c r="AB232" s="1319"/>
      <c r="AC232" s="1319"/>
      <c r="AD232" s="1319"/>
      <c r="AE232" s="251"/>
      <c r="AF232" s="155"/>
      <c r="AG232" s="1318"/>
      <c r="AH232" s="1319"/>
      <c r="AI232" s="1319"/>
      <c r="AJ232" s="1319"/>
      <c r="AK232" s="251"/>
      <c r="AL232" s="155"/>
      <c r="AM232" s="1318"/>
      <c r="AN232" s="1319"/>
      <c r="AO232" s="1319"/>
      <c r="AP232" s="1319"/>
      <c r="AQ232" s="251"/>
      <c r="AR232" s="155"/>
      <c r="AS232" s="1853">
        <v>0</v>
      </c>
      <c r="AT232" s="1854">
        <v>0</v>
      </c>
      <c r="AU232" s="1854">
        <v>9</v>
      </c>
      <c r="AV232" s="1855">
        <v>9</v>
      </c>
      <c r="AW232" s="1856">
        <f t="shared" si="103"/>
        <v>18</v>
      </c>
      <c r="AX232" s="1581"/>
      <c r="AY232" s="1853">
        <v>9</v>
      </c>
      <c r="AZ232" s="1854">
        <v>1.5</v>
      </c>
      <c r="BA232" s="1854">
        <v>2.5</v>
      </c>
      <c r="BB232" s="1855">
        <v>2</v>
      </c>
      <c r="BC232" s="1856">
        <f t="shared" si="104"/>
        <v>15</v>
      </c>
      <c r="BD232" s="155"/>
      <c r="BE232" s="1853">
        <v>0</v>
      </c>
      <c r="BF232" s="1854">
        <v>0</v>
      </c>
      <c r="BG232" s="1854">
        <v>0</v>
      </c>
      <c r="BH232" s="1854">
        <v>0</v>
      </c>
      <c r="BI232" s="1856">
        <f t="shared" si="105"/>
        <v>0</v>
      </c>
      <c r="BJ232" s="155"/>
      <c r="BK232" s="1853">
        <v>0</v>
      </c>
      <c r="BL232" s="1854">
        <v>0</v>
      </c>
      <c r="BM232" s="1854">
        <v>0</v>
      </c>
      <c r="BN232" s="1854">
        <v>0</v>
      </c>
      <c r="BO232" s="1856">
        <f t="shared" si="106"/>
        <v>0</v>
      </c>
      <c r="BP232" s="155"/>
      <c r="BQ232" s="1853">
        <v>0</v>
      </c>
      <c r="BR232" s="1854">
        <v>0</v>
      </c>
      <c r="BS232" s="1854">
        <v>0</v>
      </c>
      <c r="BT232" s="1854">
        <v>0</v>
      </c>
      <c r="BU232" s="1856">
        <f t="shared" si="107"/>
        <v>0</v>
      </c>
      <c r="BV232" s="155"/>
      <c r="BW232" s="1853">
        <v>0</v>
      </c>
      <c r="BX232" s="1854">
        <v>0</v>
      </c>
      <c r="BY232" s="1854">
        <v>0</v>
      </c>
      <c r="BZ232" s="1854">
        <v>0</v>
      </c>
      <c r="CA232" s="1856">
        <f t="shared" si="108"/>
        <v>0</v>
      </c>
      <c r="CB232" s="2113"/>
      <c r="CC232" s="1853">
        <v>0</v>
      </c>
      <c r="CD232" s="1854">
        <v>0</v>
      </c>
      <c r="CE232" s="1854">
        <v>0</v>
      </c>
      <c r="CF232" s="1854">
        <v>0</v>
      </c>
      <c r="CG232" s="1856">
        <f>SUM(CC232:CF232)</f>
        <v>0</v>
      </c>
      <c r="CI232" s="1853">
        <v>0</v>
      </c>
      <c r="CJ232" s="1854">
        <v>0</v>
      </c>
      <c r="CK232" s="1854">
        <v>0</v>
      </c>
      <c r="CL232" s="1854">
        <v>0</v>
      </c>
      <c r="CM232" s="1856">
        <f>SUM(CI232:CL232)</f>
        <v>0</v>
      </c>
      <c r="CN232" s="1879"/>
      <c r="CO232" s="1879"/>
      <c r="CP232" s="1879"/>
      <c r="CQ232"/>
      <c r="CR232"/>
      <c r="CS232"/>
      <c r="CT232"/>
      <c r="CU232"/>
      <c r="CV232"/>
    </row>
    <row r="233" spans="1:113" s="149" customFormat="1">
      <c r="A233" s="309" t="s">
        <v>525</v>
      </c>
      <c r="B233" s="150"/>
      <c r="C233" s="159"/>
      <c r="D233" s="1320"/>
      <c r="E233" s="1320"/>
      <c r="F233" s="156"/>
      <c r="G233" s="160"/>
      <c r="H233" s="150"/>
      <c r="I233" s="159"/>
      <c r="J233" s="1320"/>
      <c r="K233" s="1320"/>
      <c r="L233" s="156"/>
      <c r="M233" s="160"/>
      <c r="N233" s="150"/>
      <c r="O233" s="159"/>
      <c r="P233" s="1320"/>
      <c r="Q233" s="1320"/>
      <c r="R233" s="156"/>
      <c r="S233" s="160"/>
      <c r="T233" s="179"/>
      <c r="U233" s="159"/>
      <c r="V233" s="1320"/>
      <c r="W233" s="1320"/>
      <c r="X233" s="156"/>
      <c r="Y233" s="160"/>
      <c r="Z233" s="179"/>
      <c r="AA233" s="159"/>
      <c r="AB233" s="1320"/>
      <c r="AC233" s="1320"/>
      <c r="AD233" s="156"/>
      <c r="AE233" s="160"/>
      <c r="AF233" s="179"/>
      <c r="AG233" s="159"/>
      <c r="AH233" s="1320"/>
      <c r="AI233" s="1320"/>
      <c r="AJ233" s="156"/>
      <c r="AK233" s="160"/>
      <c r="AL233" s="179"/>
      <c r="AM233" s="159"/>
      <c r="AN233" s="1320"/>
      <c r="AO233" s="1320"/>
      <c r="AP233" s="156"/>
      <c r="AQ233" s="160"/>
      <c r="AR233" s="179"/>
      <c r="AS233" s="1853">
        <v>3.75</v>
      </c>
      <c r="AT233" s="1854">
        <v>3.75</v>
      </c>
      <c r="AU233" s="1854">
        <v>3.75</v>
      </c>
      <c r="AV233" s="1855">
        <v>3.75</v>
      </c>
      <c r="AW233" s="1856">
        <f t="shared" si="103"/>
        <v>15</v>
      </c>
      <c r="AX233" s="1581"/>
      <c r="AY233" s="1853">
        <v>2.5</v>
      </c>
      <c r="AZ233" s="1854">
        <v>2.5</v>
      </c>
      <c r="BA233" s="1854">
        <v>0</v>
      </c>
      <c r="BB233" s="1855">
        <v>0</v>
      </c>
      <c r="BC233" s="1856">
        <f t="shared" si="104"/>
        <v>5</v>
      </c>
      <c r="BD233" s="179"/>
      <c r="BE233" s="1853">
        <v>0</v>
      </c>
      <c r="BF233" s="1854">
        <v>0</v>
      </c>
      <c r="BG233" s="1854">
        <v>0</v>
      </c>
      <c r="BH233" s="1854">
        <v>0</v>
      </c>
      <c r="BI233" s="1856">
        <f t="shared" si="105"/>
        <v>0</v>
      </c>
      <c r="BJ233" s="179"/>
      <c r="BK233" s="1853">
        <v>0</v>
      </c>
      <c r="BL233" s="1854">
        <v>0</v>
      </c>
      <c r="BM233" s="1854">
        <v>0</v>
      </c>
      <c r="BN233" s="1854">
        <v>0</v>
      </c>
      <c r="BO233" s="1856">
        <f t="shared" si="106"/>
        <v>0</v>
      </c>
      <c r="BP233" s="179"/>
      <c r="BQ233" s="1853">
        <v>0</v>
      </c>
      <c r="BR233" s="1854">
        <v>0</v>
      </c>
      <c r="BS233" s="1854">
        <v>0</v>
      </c>
      <c r="BT233" s="1854">
        <v>0</v>
      </c>
      <c r="BU233" s="1856">
        <f t="shared" si="107"/>
        <v>0</v>
      </c>
      <c r="BV233" s="179"/>
      <c r="BW233" s="1853">
        <v>0</v>
      </c>
      <c r="BX233" s="1854">
        <v>0</v>
      </c>
      <c r="BY233" s="1854">
        <v>0</v>
      </c>
      <c r="BZ233" s="1854">
        <v>0</v>
      </c>
      <c r="CA233" s="1856">
        <f t="shared" si="108"/>
        <v>0</v>
      </c>
      <c r="CB233" s="2113"/>
      <c r="CC233" s="1853">
        <v>0</v>
      </c>
      <c r="CD233" s="1854">
        <v>0</v>
      </c>
      <c r="CE233" s="1854">
        <v>0</v>
      </c>
      <c r="CF233" s="1854">
        <v>0</v>
      </c>
      <c r="CG233" s="1856">
        <f>SUM(CC233:CF233)</f>
        <v>0</v>
      </c>
      <c r="CI233" s="1853">
        <v>0</v>
      </c>
      <c r="CJ233" s="1854">
        <v>0</v>
      </c>
      <c r="CK233" s="1854">
        <v>0</v>
      </c>
      <c r="CL233" s="1854">
        <v>0</v>
      </c>
      <c r="CM233" s="1856">
        <f>SUM(CI233:CL233)</f>
        <v>0</v>
      </c>
      <c r="CN233" s="1879"/>
      <c r="CO233" s="1879"/>
      <c r="CP233" s="1879"/>
      <c r="CQ233"/>
      <c r="CR233"/>
      <c r="CS233"/>
      <c r="CT233"/>
      <c r="CU233"/>
      <c r="CV233"/>
    </row>
    <row r="234" spans="1:113" s="149" customFormat="1">
      <c r="A234" s="309" t="s">
        <v>521</v>
      </c>
      <c r="B234" s="250"/>
      <c r="C234" s="76"/>
      <c r="D234" s="77"/>
      <c r="E234" s="254"/>
      <c r="F234" s="77"/>
      <c r="G234" s="78"/>
      <c r="H234" s="250"/>
      <c r="I234" s="76"/>
      <c r="J234" s="77"/>
      <c r="K234" s="254"/>
      <c r="L234" s="77"/>
      <c r="M234" s="78"/>
      <c r="N234" s="250"/>
      <c r="O234" s="76"/>
      <c r="P234" s="77"/>
      <c r="Q234" s="254"/>
      <c r="R234" s="77"/>
      <c r="S234" s="78"/>
      <c r="T234" s="155"/>
      <c r="U234" s="76"/>
      <c r="V234" s="77"/>
      <c r="W234" s="254"/>
      <c r="X234" s="77"/>
      <c r="Y234" s="78"/>
      <c r="Z234" s="155"/>
      <c r="AA234" s="76"/>
      <c r="AB234" s="77"/>
      <c r="AC234" s="254"/>
      <c r="AD234" s="77"/>
      <c r="AE234" s="78"/>
      <c r="AF234" s="155"/>
      <c r="AG234" s="76"/>
      <c r="AH234" s="77"/>
      <c r="AI234" s="254"/>
      <c r="AJ234" s="77"/>
      <c r="AK234" s="78"/>
      <c r="AL234" s="155"/>
      <c r="AM234" s="76"/>
      <c r="AN234" s="77"/>
      <c r="AO234" s="254"/>
      <c r="AP234" s="77"/>
      <c r="AQ234" s="78"/>
      <c r="AR234" s="155"/>
      <c r="AS234" s="1853">
        <f>+(0.0029*AS35)/(1-AS116)</f>
        <v>1.1669047619047619</v>
      </c>
      <c r="AT234" s="1854">
        <f>+(0.0016*AT35)/(1-AT116)</f>
        <v>0.64190476190476198</v>
      </c>
      <c r="AU234" s="1854">
        <f>+(-0.0026*AU35)/(1-AU116)</f>
        <v>-1.0461904761904761</v>
      </c>
      <c r="AV234" s="1855">
        <f>+(0.0022*AV35)/(1-AV116)</f>
        <v>0.88523809523809527</v>
      </c>
      <c r="AW234" s="1856">
        <f t="shared" si="103"/>
        <v>1.6478571428571431</v>
      </c>
      <c r="AX234" s="1581"/>
      <c r="AY234" s="1853">
        <v>10</v>
      </c>
      <c r="AZ234" s="1854">
        <v>10</v>
      </c>
      <c r="BA234" s="1854">
        <v>15</v>
      </c>
      <c r="BB234" s="1855">
        <v>5</v>
      </c>
      <c r="BC234" s="1856">
        <f t="shared" si="104"/>
        <v>40</v>
      </c>
      <c r="BD234" s="155"/>
      <c r="BE234" s="1853">
        <v>13.6</v>
      </c>
      <c r="BF234" s="1854">
        <v>7</v>
      </c>
      <c r="BG234" s="1854">
        <v>1</v>
      </c>
      <c r="BH234" s="1854">
        <v>0</v>
      </c>
      <c r="BI234" s="1856">
        <f t="shared" si="105"/>
        <v>21.6</v>
      </c>
      <c r="BJ234" s="155"/>
      <c r="BK234" s="1853">
        <v>4</v>
      </c>
      <c r="BL234" s="1854">
        <v>0.5</v>
      </c>
      <c r="BM234" s="1854">
        <f>2-0.6</f>
        <v>1.4</v>
      </c>
      <c r="BN234" s="1854">
        <v>0</v>
      </c>
      <c r="BO234" s="1856">
        <f t="shared" si="106"/>
        <v>5.9</v>
      </c>
      <c r="BP234" s="155"/>
      <c r="BQ234" s="1853">
        <v>-8</v>
      </c>
      <c r="BR234" s="1854">
        <v>-10</v>
      </c>
      <c r="BS234" s="1854">
        <v>-7</v>
      </c>
      <c r="BT234" s="1854">
        <v>-5</v>
      </c>
      <c r="BU234" s="1856">
        <f t="shared" si="107"/>
        <v>-30</v>
      </c>
      <c r="BV234" s="155"/>
      <c r="BW234" s="1853">
        <v>0</v>
      </c>
      <c r="BX234" s="1854">
        <v>0</v>
      </c>
      <c r="BY234" s="1854">
        <v>0</v>
      </c>
      <c r="BZ234" s="1854">
        <v>0</v>
      </c>
      <c r="CA234" s="1856">
        <f t="shared" si="108"/>
        <v>0</v>
      </c>
      <c r="CB234" s="2113"/>
      <c r="CC234" s="1853">
        <v>0</v>
      </c>
      <c r="CD234" s="1854">
        <v>0</v>
      </c>
      <c r="CE234" s="1854">
        <v>0</v>
      </c>
      <c r="CF234" s="1854">
        <v>0</v>
      </c>
      <c r="CG234" s="1856">
        <f>SUM(CC234:CF234)</f>
        <v>0</v>
      </c>
      <c r="CI234" s="1853">
        <v>0</v>
      </c>
      <c r="CJ234" s="1854">
        <v>0</v>
      </c>
      <c r="CK234" s="1854">
        <v>0</v>
      </c>
      <c r="CL234" s="1854">
        <v>0</v>
      </c>
      <c r="CM234" s="1856">
        <f>SUM(CI234:CL234)</f>
        <v>0</v>
      </c>
      <c r="CO234" s="174"/>
      <c r="CQ234"/>
      <c r="CR234"/>
      <c r="CS234"/>
      <c r="CT234"/>
      <c r="CU234"/>
      <c r="CV234"/>
    </row>
    <row r="235" spans="1:113" s="149" customFormat="1">
      <c r="A235" s="309" t="s">
        <v>522</v>
      </c>
      <c r="B235" s="99"/>
      <c r="C235" s="100"/>
      <c r="D235" s="101"/>
      <c r="E235" s="1321"/>
      <c r="F235" s="101"/>
      <c r="G235" s="102"/>
      <c r="H235" s="99"/>
      <c r="I235" s="100"/>
      <c r="J235" s="101"/>
      <c r="K235" s="1321"/>
      <c r="L235" s="101"/>
      <c r="M235" s="102"/>
      <c r="N235" s="99"/>
      <c r="O235" s="100"/>
      <c r="P235" s="101"/>
      <c r="Q235" s="1321"/>
      <c r="R235" s="101"/>
      <c r="S235" s="102"/>
      <c r="T235" s="103"/>
      <c r="U235" s="100"/>
      <c r="V235" s="101"/>
      <c r="W235" s="1321"/>
      <c r="X235" s="101"/>
      <c r="Y235" s="102"/>
      <c r="Z235" s="103"/>
      <c r="AA235" s="100"/>
      <c r="AB235" s="101"/>
      <c r="AC235" s="1321"/>
      <c r="AD235" s="101"/>
      <c r="AE235" s="102"/>
      <c r="AF235" s="103"/>
      <c r="AG235" s="100"/>
      <c r="AH235" s="101"/>
      <c r="AI235" s="1321"/>
      <c r="AJ235" s="101"/>
      <c r="AK235" s="102"/>
      <c r="AL235" s="103"/>
      <c r="AM235" s="100"/>
      <c r="AN235" s="101"/>
      <c r="AO235" s="1321"/>
      <c r="AP235" s="101"/>
      <c r="AQ235" s="102"/>
      <c r="AR235" s="103"/>
      <c r="AS235" s="1853">
        <v>0</v>
      </c>
      <c r="AT235" s="1854">
        <v>0</v>
      </c>
      <c r="AU235" s="1854">
        <v>0</v>
      </c>
      <c r="AV235" s="1855">
        <v>0</v>
      </c>
      <c r="AW235" s="1856">
        <f t="shared" si="103"/>
        <v>0</v>
      </c>
      <c r="AX235" s="1581"/>
      <c r="AY235" s="1853">
        <v>10.5</v>
      </c>
      <c r="AZ235" s="1854">
        <f>+AZ23</f>
        <v>7</v>
      </c>
      <c r="BA235" s="1854">
        <v>2</v>
      </c>
      <c r="BB235" s="1855">
        <f>+BB23</f>
        <v>2</v>
      </c>
      <c r="BC235" s="1856">
        <f t="shared" si="104"/>
        <v>21.5</v>
      </c>
      <c r="BD235" s="103"/>
      <c r="BE235" s="1853">
        <v>3</v>
      </c>
      <c r="BF235" s="1854">
        <v>3</v>
      </c>
      <c r="BG235" s="1854">
        <v>3</v>
      </c>
      <c r="BH235" s="1854">
        <v>3</v>
      </c>
      <c r="BI235" s="1856">
        <f t="shared" si="105"/>
        <v>12</v>
      </c>
      <c r="BJ235" s="103"/>
      <c r="BK235" s="1853">
        <v>0</v>
      </c>
      <c r="BL235" s="1854">
        <v>0</v>
      </c>
      <c r="BM235" s="1854">
        <v>0</v>
      </c>
      <c r="BN235" s="1854">
        <v>0</v>
      </c>
      <c r="BO235" s="1856">
        <f t="shared" si="106"/>
        <v>0</v>
      </c>
      <c r="BP235" s="103"/>
      <c r="BQ235" s="1853">
        <v>0</v>
      </c>
      <c r="BR235" s="1854">
        <v>0</v>
      </c>
      <c r="BS235" s="1854">
        <v>0</v>
      </c>
      <c r="BT235" s="1854">
        <v>0</v>
      </c>
      <c r="BU235" s="1856">
        <f t="shared" si="107"/>
        <v>0</v>
      </c>
      <c r="BV235" s="103"/>
      <c r="BW235" s="1853">
        <v>0</v>
      </c>
      <c r="BX235" s="1854">
        <v>0</v>
      </c>
      <c r="BY235" s="1854">
        <v>0</v>
      </c>
      <c r="BZ235" s="1854">
        <v>0</v>
      </c>
      <c r="CA235" s="1856">
        <f t="shared" si="108"/>
        <v>0</v>
      </c>
      <c r="CB235" s="2113"/>
      <c r="CC235" s="1853">
        <v>0</v>
      </c>
      <c r="CD235" s="1854">
        <v>0</v>
      </c>
      <c r="CE235" s="1854">
        <v>0</v>
      </c>
      <c r="CF235" s="1854">
        <v>0</v>
      </c>
      <c r="CG235" s="1856">
        <f>SUM(CC235:CF235)</f>
        <v>0</v>
      </c>
      <c r="CI235" s="1853">
        <v>0</v>
      </c>
      <c r="CJ235" s="1854">
        <v>0</v>
      </c>
      <c r="CK235" s="1854">
        <v>0</v>
      </c>
      <c r="CL235" s="1854">
        <v>0</v>
      </c>
      <c r="CM235" s="1856">
        <f>SUM(CI235:CL235)</f>
        <v>0</v>
      </c>
      <c r="CQ235"/>
      <c r="CR235"/>
      <c r="CS235"/>
      <c r="CT235"/>
      <c r="CU235"/>
      <c r="CV235"/>
    </row>
    <row r="236" spans="1:113" s="149" customFormat="1">
      <c r="A236" s="309" t="s">
        <v>138</v>
      </c>
      <c r="B236" s="61"/>
      <c r="C236" s="370"/>
      <c r="D236" s="260"/>
      <c r="E236" s="260"/>
      <c r="F236" s="260"/>
      <c r="G236" s="62"/>
      <c r="H236" s="61"/>
      <c r="I236" s="370"/>
      <c r="J236" s="260"/>
      <c r="K236" s="260"/>
      <c r="L236" s="260"/>
      <c r="M236" s="62"/>
      <c r="N236" s="61"/>
      <c r="O236" s="370"/>
      <c r="P236" s="260"/>
      <c r="Q236" s="260"/>
      <c r="R236" s="260"/>
      <c r="S236" s="62"/>
      <c r="T236" s="63"/>
      <c r="U236" s="370"/>
      <c r="V236" s="260"/>
      <c r="W236" s="260"/>
      <c r="X236" s="260"/>
      <c r="Y236" s="62"/>
      <c r="Z236" s="63"/>
      <c r="AA236" s="370"/>
      <c r="AB236" s="260"/>
      <c r="AC236" s="260"/>
      <c r="AD236" s="260"/>
      <c r="AE236" s="62"/>
      <c r="AF236" s="63"/>
      <c r="AG236" s="370"/>
      <c r="AH236" s="260"/>
      <c r="AI236" s="260"/>
      <c r="AJ236" s="260"/>
      <c r="AK236" s="62"/>
      <c r="AL236" s="63"/>
      <c r="AM236" s="370"/>
      <c r="AN236" s="260"/>
      <c r="AO236" s="260"/>
      <c r="AP236" s="260"/>
      <c r="AQ236" s="62"/>
      <c r="AR236" s="63"/>
      <c r="AS236" s="1853">
        <v>0</v>
      </c>
      <c r="AT236" s="1854">
        <v>0</v>
      </c>
      <c r="AU236" s="1854">
        <v>0</v>
      </c>
      <c r="AV236" s="1855">
        <v>3</v>
      </c>
      <c r="AW236" s="1856">
        <f t="shared" si="103"/>
        <v>3</v>
      </c>
      <c r="AX236" s="1581"/>
      <c r="AY236" s="1853">
        <v>0</v>
      </c>
      <c r="AZ236" s="1854">
        <v>0</v>
      </c>
      <c r="BA236" s="1854">
        <v>0</v>
      </c>
      <c r="BB236" s="1855">
        <v>0</v>
      </c>
      <c r="BC236" s="1856">
        <f t="shared" si="104"/>
        <v>0</v>
      </c>
      <c r="BD236" s="63"/>
      <c r="BE236" s="1853">
        <v>0</v>
      </c>
      <c r="BF236" s="1854">
        <v>0</v>
      </c>
      <c r="BG236" s="1854">
        <v>0</v>
      </c>
      <c r="BH236" s="1854">
        <v>5</v>
      </c>
      <c r="BI236" s="1856">
        <f t="shared" si="105"/>
        <v>5</v>
      </c>
      <c r="BJ236" s="63"/>
      <c r="BK236" s="1853">
        <f>1+3+0.5</f>
        <v>4.5</v>
      </c>
      <c r="BL236" s="1854">
        <f>1+2+0.5</f>
        <v>3.5</v>
      </c>
      <c r="BM236" s="1854">
        <f>1-3+0.5</f>
        <v>-1.5</v>
      </c>
      <c r="BN236" s="1854">
        <f>1-3+0.5</f>
        <v>-1.5</v>
      </c>
      <c r="BO236" s="1856">
        <f t="shared" si="106"/>
        <v>5</v>
      </c>
      <c r="BP236" s="63"/>
      <c r="BQ236" s="1853">
        <f>(-32.5*0.65)</f>
        <v>-21.125</v>
      </c>
      <c r="BR236" s="1854">
        <v>0</v>
      </c>
      <c r="BS236" s="1854">
        <v>0</v>
      </c>
      <c r="BT236" s="1854">
        <v>0</v>
      </c>
      <c r="BU236" s="1856">
        <f t="shared" si="107"/>
        <v>-21.125</v>
      </c>
      <c r="BV236" s="63"/>
      <c r="BW236" s="1853">
        <v>0</v>
      </c>
      <c r="BX236" s="1854">
        <v>0</v>
      </c>
      <c r="BY236" s="1854">
        <v>0</v>
      </c>
      <c r="BZ236" s="1854">
        <v>0</v>
      </c>
      <c r="CA236" s="1856">
        <f t="shared" si="108"/>
        <v>0</v>
      </c>
      <c r="CB236" s="2113"/>
      <c r="CC236" s="1853">
        <v>0</v>
      </c>
      <c r="CD236" s="1854">
        <v>0</v>
      </c>
      <c r="CE236" s="1854">
        <v>0</v>
      </c>
      <c r="CF236" s="1854">
        <v>0</v>
      </c>
      <c r="CG236" s="1856">
        <f>SUM(CC236:CF236)</f>
        <v>0</v>
      </c>
      <c r="CI236" s="1853">
        <v>0</v>
      </c>
      <c r="CJ236" s="1854">
        <v>0</v>
      </c>
      <c r="CK236" s="1854">
        <v>0</v>
      </c>
      <c r="CL236" s="1854">
        <v>0</v>
      </c>
      <c r="CM236" s="1856">
        <f>SUM(CI236:CL236)</f>
        <v>0</v>
      </c>
      <c r="CQ236"/>
      <c r="CR236"/>
      <c r="CS236"/>
      <c r="CT236"/>
      <c r="CU236"/>
      <c r="CV236"/>
    </row>
    <row r="237" spans="1:113" s="149" customFormat="1">
      <c r="A237" s="1857" t="s">
        <v>121</v>
      </c>
      <c r="B237" s="261"/>
      <c r="C237" s="262"/>
      <c r="D237" s="77"/>
      <c r="E237" s="254"/>
      <c r="F237" s="263"/>
      <c r="G237" s="264"/>
      <c r="H237" s="261"/>
      <c r="I237" s="262"/>
      <c r="J237" s="77"/>
      <c r="K237" s="254"/>
      <c r="L237" s="263"/>
      <c r="M237" s="264"/>
      <c r="N237" s="261"/>
      <c r="O237" s="262"/>
      <c r="P237" s="77"/>
      <c r="Q237" s="254"/>
      <c r="R237" s="263"/>
      <c r="S237" s="264"/>
      <c r="T237" s="72"/>
      <c r="U237" s="262"/>
      <c r="V237" s="77"/>
      <c r="W237" s="254"/>
      <c r="X237" s="263"/>
      <c r="Y237" s="264"/>
      <c r="Z237" s="72"/>
      <c r="AA237" s="262"/>
      <c r="AB237" s="77"/>
      <c r="AC237" s="254"/>
      <c r="AD237" s="263"/>
      <c r="AE237" s="264"/>
      <c r="AF237" s="72"/>
      <c r="AG237" s="262"/>
      <c r="AH237" s="77"/>
      <c r="AI237" s="254"/>
      <c r="AJ237" s="263"/>
      <c r="AK237" s="264"/>
      <c r="AL237" s="72"/>
      <c r="AM237" s="262">
        <f>SUM(AM230,AM232:AM236)</f>
        <v>163.00000000000011</v>
      </c>
      <c r="AN237" s="1858">
        <f t="shared" ref="AN237:AQ237" si="109">SUM(AN230,AN232:AN236)</f>
        <v>178</v>
      </c>
      <c r="AO237" s="1858">
        <f t="shared" si="109"/>
        <v>174</v>
      </c>
      <c r="AP237" s="1859">
        <f t="shared" si="109"/>
        <v>217</v>
      </c>
      <c r="AQ237" s="1860">
        <f t="shared" si="109"/>
        <v>732.00000000000011</v>
      </c>
      <c r="AR237" s="72"/>
      <c r="AS237" s="262">
        <f>SUM(AS230,AS232:AS236)</f>
        <v>197.91690476190476</v>
      </c>
      <c r="AT237" s="1858">
        <f t="shared" ref="AT237" si="110">SUM(AT230,AT232:AT236)</f>
        <v>171.33290476190479</v>
      </c>
      <c r="AU237" s="1858">
        <f t="shared" ref="AU237" si="111">SUM(AU230,AU232:AU236)</f>
        <v>202.4018095238095</v>
      </c>
      <c r="AV237" s="1859">
        <f t="shared" ref="AV237" si="112">SUM(AV230,AV232:AV236)</f>
        <v>228.96623809523823</v>
      </c>
      <c r="AW237" s="1860">
        <f t="shared" ref="AW237" si="113">SUM(AW230,AW232:AW236)</f>
        <v>800.61785714285725</v>
      </c>
      <c r="AX237" s="72"/>
      <c r="AY237" s="262">
        <f>SUM(AY230,AY232:AY236)</f>
        <v>208.46900000000005</v>
      </c>
      <c r="AZ237" s="1858">
        <f t="shared" ref="AZ237" si="114">SUM(AZ230,AZ232:AZ236)</f>
        <v>190.09900000000005</v>
      </c>
      <c r="BA237" s="1858">
        <f t="shared" ref="BA237" si="115">SUM(BA230,BA232:BA236)</f>
        <v>219.04899999999998</v>
      </c>
      <c r="BB237" s="1859">
        <f t="shared" ref="BB237" si="116">SUM(BB230,BB232:BB236)</f>
        <v>232.01800000000003</v>
      </c>
      <c r="BC237" s="1860">
        <f t="shared" ref="BC237" si="117">SUM(BC230,BC232:BC236)</f>
        <v>849.6350000000001</v>
      </c>
      <c r="BD237" s="72"/>
      <c r="BE237" s="262">
        <f>SUM(BE230,BE232:BE236)</f>
        <v>221.93400000000005</v>
      </c>
      <c r="BF237" s="1858">
        <f t="shared" ref="BF237" si="118">SUM(BF230,BF232:BF236)</f>
        <v>205.1400000000001</v>
      </c>
      <c r="BG237" s="1858">
        <f t="shared" ref="BG237" si="119">SUM(BG230,BG232:BG236)</f>
        <v>215.82399999999996</v>
      </c>
      <c r="BH237" s="1859">
        <f t="shared" ref="BH237" si="120">SUM(BH230,BH232:BH236)</f>
        <v>255.09529999999995</v>
      </c>
      <c r="BI237" s="1860">
        <f t="shared" ref="BI237" si="121">SUM(BI230,BI232:BI236)</f>
        <v>897.99330000000009</v>
      </c>
      <c r="BJ237" s="72"/>
      <c r="BK237" s="262">
        <f>SUM(BK230,BK232:BK236)</f>
        <v>231.73099999999999</v>
      </c>
      <c r="BL237" s="1858">
        <f t="shared" ref="BL237" si="122">SUM(BL230,BL232:BL236)</f>
        <v>245.16599999999994</v>
      </c>
      <c r="BM237" s="1858">
        <f t="shared" ref="BM237" si="123">SUM(BM230,BM232:BM236)</f>
        <v>236.11609999999999</v>
      </c>
      <c r="BN237" s="1859">
        <f t="shared" ref="BN237" si="124">SUM(BN230,BN232:BN236)</f>
        <v>272.12099999999998</v>
      </c>
      <c r="BO237" s="1860">
        <f t="shared" ref="BO237" si="125">SUM(BO230,BO232:BO236)</f>
        <v>985.13409999999988</v>
      </c>
      <c r="BP237" s="72"/>
      <c r="BQ237" s="262">
        <f>SUM(BQ230,BQ232:BQ236)</f>
        <v>239.60759999999993</v>
      </c>
      <c r="BR237" s="1858">
        <f t="shared" ref="BR237" si="126">SUM(BR230,BR232:BR236)</f>
        <v>286.17289125019647</v>
      </c>
      <c r="BS237" s="1858">
        <f t="shared" ref="BS237" si="127">SUM(BS230,BS232:BS236)</f>
        <v>278.20327487764621</v>
      </c>
      <c r="BT237" s="1859">
        <f t="shared" ref="BT237" si="128">SUM(BT230,BT232:BT236)</f>
        <v>320.80653862092072</v>
      </c>
      <c r="BU237" s="1860">
        <f t="shared" ref="BU237" si="129">SUM(BU230,BU232:BU236)</f>
        <v>1124.7903047487634</v>
      </c>
      <c r="BV237" s="72"/>
      <c r="BW237" s="262">
        <f>SUM(BW230,BW232:BW236)</f>
        <v>296.39954495407142</v>
      </c>
      <c r="BX237" s="1858">
        <f t="shared" ref="BX237" si="130">SUM(BX230,BX232:BX236)</f>
        <v>326.23865003331252</v>
      </c>
      <c r="BY237" s="1858">
        <f t="shared" ref="BY237" si="131">SUM(BY230,BY232:BY236)</f>
        <v>317.787904074273</v>
      </c>
      <c r="BZ237" s="1859">
        <f t="shared" ref="BZ237" si="132">SUM(BZ230,BZ232:BZ236)</f>
        <v>361.65044706428284</v>
      </c>
      <c r="CA237" s="1860">
        <f t="shared" ref="CA237" si="133">SUM(CA230,CA232:CA236)</f>
        <v>1302.0765461259398</v>
      </c>
      <c r="CB237" s="2114"/>
      <c r="CC237" s="262">
        <f>SUM(CC230,CC232:CC236)</f>
        <v>321.76353405068039</v>
      </c>
      <c r="CD237" s="1858">
        <f t="shared" ref="CD237" si="134">SUM(CD230,CD232:CD236)</f>
        <v>357.15173766408543</v>
      </c>
      <c r="CE237" s="1858">
        <f t="shared" ref="CE237" si="135">SUM(CE230,CE232:CE236)</f>
        <v>349.52921188333153</v>
      </c>
      <c r="CF237" s="1859">
        <f t="shared" ref="CF237" si="136">SUM(CF230,CF232:CF236)</f>
        <v>396.0045835885569</v>
      </c>
      <c r="CG237" s="1860">
        <f t="shared" ref="CG237" si="137">SUM(CG230,CG232:CG236)</f>
        <v>1424.4490671866542</v>
      </c>
      <c r="CI237" s="262">
        <f>SUM(CI230,CI232:CI236)</f>
        <v>349.22480293066542</v>
      </c>
      <c r="CJ237" s="1858">
        <f t="shared" ref="CJ237" si="138">SUM(CJ230,CJ232:CJ236)</f>
        <v>391.00543048968007</v>
      </c>
      <c r="CK237" s="1858">
        <f t="shared" ref="CK237" si="139">SUM(CK230,CK232:CK236)</f>
        <v>384.64436362932065</v>
      </c>
      <c r="CL237" s="1859">
        <f t="shared" ref="CL237" si="140">SUM(CL230,CL232:CL236)</f>
        <v>433.84570824167213</v>
      </c>
      <c r="CM237" s="1860">
        <f t="shared" ref="CM237" si="141">SUM(CM230,CM232:CM236)</f>
        <v>1558.7203052913383</v>
      </c>
      <c r="CQ237"/>
      <c r="CR237"/>
      <c r="CS237"/>
      <c r="CT237"/>
      <c r="CU237"/>
      <c r="CV237"/>
    </row>
    <row r="238" spans="1:113" s="149" customFormat="1">
      <c r="A238" s="329" t="s">
        <v>523</v>
      </c>
      <c r="B238" s="17"/>
      <c r="C238" s="1977"/>
      <c r="D238" s="267"/>
      <c r="E238" s="267"/>
      <c r="F238" s="267"/>
      <c r="G238" s="1978"/>
      <c r="H238" s="17"/>
      <c r="I238" s="1977"/>
      <c r="J238" s="267"/>
      <c r="K238" s="267"/>
      <c r="L238" s="267"/>
      <c r="M238" s="1978"/>
      <c r="N238" s="17"/>
      <c r="O238" s="1977"/>
      <c r="P238" s="267"/>
      <c r="Q238" s="267"/>
      <c r="R238" s="267"/>
      <c r="S238" s="1978"/>
      <c r="T238" s="129"/>
      <c r="U238" s="1977"/>
      <c r="V238" s="267"/>
      <c r="W238" s="267"/>
      <c r="X238" s="267"/>
      <c r="Y238" s="1978"/>
      <c r="Z238" s="129"/>
      <c r="AA238" s="1977"/>
      <c r="AB238" s="267"/>
      <c r="AC238" s="267"/>
      <c r="AD238" s="267"/>
      <c r="AE238" s="1978"/>
      <c r="AF238" s="129"/>
      <c r="AG238" s="1977"/>
      <c r="AH238" s="267"/>
      <c r="AI238" s="267"/>
      <c r="AJ238" s="267"/>
      <c r="AK238" s="1978"/>
      <c r="AL238" s="129"/>
      <c r="AM238" s="238">
        <f>+AM237/AM10</f>
        <v>0.17014613778705648</v>
      </c>
      <c r="AN238" s="219">
        <f>+AN237/AN10</f>
        <v>0.1831275720164609</v>
      </c>
      <c r="AO238" s="219">
        <f>+AO237/AO10</f>
        <v>0.18296529968454259</v>
      </c>
      <c r="AP238" s="220">
        <f>+AP237/AP10</f>
        <v>0.21421520236920039</v>
      </c>
      <c r="AQ238" s="146">
        <f>+AQ237/AQ10</f>
        <v>0.18798151001540836</v>
      </c>
      <c r="AR238" s="129"/>
      <c r="AS238" s="238">
        <f>+AS237/AS10</f>
        <v>0.19634613567649281</v>
      </c>
      <c r="AT238" s="219">
        <f>+AT237/AT10</f>
        <v>0.17341387121650281</v>
      </c>
      <c r="AU238" s="219">
        <f>+AU237/AU10</f>
        <v>0.20059644154986075</v>
      </c>
      <c r="AV238" s="220">
        <f>+AV237/AV10</f>
        <v>0.21952659453042975</v>
      </c>
      <c r="AW238" s="146">
        <f>+AW237/AW10</f>
        <v>0.19778109119141729</v>
      </c>
      <c r="AX238" s="129"/>
      <c r="AY238" s="238">
        <f>+AY237/AY10</f>
        <v>0.20318615984405464</v>
      </c>
      <c r="AZ238" s="219">
        <f>+AZ237/AZ10</f>
        <v>0.19740290758047771</v>
      </c>
      <c r="BA238" s="219">
        <f>+BA237/BA10</f>
        <v>0.21602465483234712</v>
      </c>
      <c r="BB238" s="220">
        <f>+BB237/BB10</f>
        <v>0.22417198067632854</v>
      </c>
      <c r="BC238" s="146">
        <f>+BC237/BC10</f>
        <v>0.21040985636453693</v>
      </c>
      <c r="BD238" s="129"/>
      <c r="BE238" s="238">
        <f>+BE237/BE10</f>
        <v>0.21588910505836581</v>
      </c>
      <c r="BF238" s="219">
        <f>+BF237/BF10</f>
        <v>0.20131501472031413</v>
      </c>
      <c r="BG238" s="219">
        <f>+BG237/BG10</f>
        <v>0.20672796934865897</v>
      </c>
      <c r="BH238" s="220">
        <f>+BH237/BH10</f>
        <v>0.22960873087308725</v>
      </c>
      <c r="BI238" s="146">
        <f>+BI237/BI10</f>
        <v>0.21370616373155643</v>
      </c>
      <c r="BJ238" s="129"/>
      <c r="BK238" s="238">
        <f>+BK237/BK10</f>
        <v>0.21717994376757263</v>
      </c>
      <c r="BL238" s="219">
        <f>+BL237/BL10</f>
        <v>0.22247368421052627</v>
      </c>
      <c r="BM238" s="219">
        <f>+BM237/BM10</f>
        <v>0.21195341113105923</v>
      </c>
      <c r="BN238" s="220">
        <f>+BN237/BN10</f>
        <v>0.22886543313708999</v>
      </c>
      <c r="BO238" s="146">
        <f>+BO237/BO10</f>
        <v>0.2202893783542039</v>
      </c>
      <c r="BP238" s="129"/>
      <c r="BQ238" s="238">
        <f>+BQ237/BQ10</f>
        <v>0.19785928984310483</v>
      </c>
      <c r="BR238" s="219">
        <f>+BR237/BR10</f>
        <v>0.22789838387792088</v>
      </c>
      <c r="BS238" s="219">
        <f>+BS237/BS10</f>
        <v>0.22382690433683294</v>
      </c>
      <c r="BT238" s="220">
        <f>+BT237/BT10</f>
        <v>0.24333724999061873</v>
      </c>
      <c r="BU238" s="146">
        <f>+BU237/BU10</f>
        <v>0.22370508392195371</v>
      </c>
      <c r="BV238" s="129"/>
      <c r="BW238" s="238">
        <f>+BW237/BW10</f>
        <v>0.22930743297511491</v>
      </c>
      <c r="BX238" s="219">
        <f>+BX237/BX10</f>
        <v>0.24336268361041383</v>
      </c>
      <c r="BY238" s="219">
        <f>+BY237/BY10</f>
        <v>0.23653209454636595</v>
      </c>
      <c r="BZ238" s="220">
        <f>+BZ237/BZ10</f>
        <v>0.2543866867091823</v>
      </c>
      <c r="CA238" s="146">
        <f>+CA237/CA10</f>
        <v>0.24120045902250084</v>
      </c>
      <c r="CB238" s="219"/>
      <c r="CC238" s="238">
        <f>+CC237/CC10</f>
        <v>0.23509942706457795</v>
      </c>
      <c r="CD238" s="219">
        <f>+CD237/CD10</f>
        <v>0.25091330901775688</v>
      </c>
      <c r="CE238" s="219">
        <f>+CE237/CE10</f>
        <v>0.24313903044764076</v>
      </c>
      <c r="CF238" s="220">
        <f>+CF237/CF10</f>
        <v>0.26121205643653755</v>
      </c>
      <c r="CG238" s="146">
        <f>+CG237/CG10</f>
        <v>0.24791865157033185</v>
      </c>
      <c r="CI238" s="238">
        <f>+CI237/CI10</f>
        <v>0.24052901524278977</v>
      </c>
      <c r="CJ238" s="219">
        <f>+CJ237/CJ10</f>
        <v>0.25814409846008157</v>
      </c>
      <c r="CK238" s="219">
        <f>+CK237/CK10</f>
        <v>0.24920140932230303</v>
      </c>
      <c r="CL238" s="220">
        <f>+CL237/CL10</f>
        <v>0.26758479704144944</v>
      </c>
      <c r="CM238" s="146">
        <f>+CM237/CM10</f>
        <v>0.25421810830402913</v>
      </c>
      <c r="CQ238"/>
      <c r="CR238"/>
      <c r="CS238"/>
      <c r="CT238"/>
      <c r="CU238"/>
      <c r="CV238"/>
    </row>
    <row r="239" spans="1:113" s="154" customFormat="1">
      <c r="A239" s="329"/>
      <c r="B239" s="17"/>
      <c r="C239" s="1977"/>
      <c r="D239" s="267"/>
      <c r="E239" s="267"/>
      <c r="F239" s="267"/>
      <c r="G239" s="1978"/>
      <c r="H239" s="17"/>
      <c r="I239" s="1977"/>
      <c r="J239" s="267"/>
      <c r="K239" s="267"/>
      <c r="L239" s="267"/>
      <c r="M239" s="1978"/>
      <c r="N239" s="17"/>
      <c r="O239" s="1977"/>
      <c r="P239" s="267"/>
      <c r="Q239" s="267"/>
      <c r="R239" s="267"/>
      <c r="S239" s="1978"/>
      <c r="T239" s="129"/>
      <c r="U239" s="1977"/>
      <c r="V239" s="267"/>
      <c r="W239" s="267"/>
      <c r="X239" s="267"/>
      <c r="Y239" s="1978"/>
      <c r="Z239" s="129"/>
      <c r="AA239" s="1977"/>
      <c r="AB239" s="267"/>
      <c r="AC239" s="267"/>
      <c r="AD239" s="267"/>
      <c r="AE239" s="1978"/>
      <c r="AF239" s="129"/>
      <c r="AG239" s="1977"/>
      <c r="AH239" s="267"/>
      <c r="AI239" s="267"/>
      <c r="AJ239" s="267"/>
      <c r="AK239" s="1978"/>
      <c r="AL239" s="129"/>
      <c r="AM239" s="238"/>
      <c r="AN239" s="219"/>
      <c r="AO239" s="219"/>
      <c r="AP239" s="220"/>
      <c r="AQ239" s="146"/>
      <c r="AR239" s="129"/>
      <c r="AS239" s="238"/>
      <c r="AT239" s="219"/>
      <c r="AU239" s="219"/>
      <c r="AV239" s="220"/>
      <c r="AW239" s="146"/>
      <c r="AX239" s="129"/>
      <c r="AY239" s="238"/>
      <c r="AZ239" s="219"/>
      <c r="BA239" s="219"/>
      <c r="BB239" s="220"/>
      <c r="BC239" s="146"/>
      <c r="BD239" s="129"/>
      <c r="BE239" s="1990"/>
      <c r="BF239" s="219"/>
      <c r="BG239" s="219"/>
      <c r="BH239" s="220"/>
      <c r="BI239" s="146"/>
      <c r="BJ239" s="129"/>
      <c r="BK239" s="238"/>
      <c r="BL239" s="219"/>
      <c r="BM239" s="219"/>
      <c r="BN239" s="220"/>
      <c r="BO239" s="146"/>
      <c r="BP239" s="129"/>
      <c r="BQ239" s="238"/>
      <c r="BR239" s="219"/>
      <c r="BS239" s="219"/>
      <c r="BT239" s="220"/>
      <c r="BU239" s="146"/>
      <c r="BV239" s="129"/>
      <c r="BW239" s="238"/>
      <c r="BX239" s="219"/>
      <c r="BY239" s="219"/>
      <c r="BZ239" s="220"/>
      <c r="CA239" s="146"/>
      <c r="CB239" s="219"/>
      <c r="CC239" s="238"/>
      <c r="CD239" s="219"/>
      <c r="CE239" s="219"/>
      <c r="CF239" s="220"/>
      <c r="CG239" s="146"/>
      <c r="CI239" s="238"/>
      <c r="CJ239" s="219"/>
      <c r="CK239" s="219"/>
      <c r="CL239" s="220"/>
      <c r="CM239" s="146"/>
      <c r="CQ239"/>
      <c r="CR239"/>
      <c r="CS239"/>
      <c r="CT239"/>
      <c r="CU239"/>
      <c r="CV239"/>
    </row>
    <row r="240" spans="1:113" s="154" customFormat="1">
      <c r="A240" s="329" t="s">
        <v>545</v>
      </c>
      <c r="B240" s="17"/>
      <c r="C240" s="1977"/>
      <c r="D240" s="267"/>
      <c r="E240" s="267"/>
      <c r="F240" s="267"/>
      <c r="G240" s="1978"/>
      <c r="H240" s="17"/>
      <c r="I240" s="1977"/>
      <c r="J240" s="267"/>
      <c r="K240" s="267"/>
      <c r="L240" s="267"/>
      <c r="M240" s="1978"/>
      <c r="N240" s="17"/>
      <c r="O240" s="1977"/>
      <c r="P240" s="267"/>
      <c r="Q240" s="267"/>
      <c r="R240" s="267"/>
      <c r="S240" s="1978"/>
      <c r="T240" s="129"/>
      <c r="U240" s="1977"/>
      <c r="V240" s="267"/>
      <c r="W240" s="267"/>
      <c r="X240" s="267"/>
      <c r="Y240" s="1978"/>
      <c r="Z240" s="129"/>
      <c r="AA240" s="1977"/>
      <c r="AB240" s="267"/>
      <c r="AC240" s="267"/>
      <c r="AD240" s="267"/>
      <c r="AE240" s="1978"/>
      <c r="AF240" s="129"/>
      <c r="AG240" s="1977"/>
      <c r="AH240" s="267"/>
      <c r="AI240" s="267"/>
      <c r="AJ240" s="267"/>
      <c r="AK240" s="1978"/>
      <c r="AL240" s="1865"/>
      <c r="AM240" s="238">
        <f>AM238-AG231</f>
        <v>0.17014613778705648</v>
      </c>
      <c r="AN240" s="219">
        <f>AN238-AH231</f>
        <v>0.1831275720164609</v>
      </c>
      <c r="AO240" s="219">
        <f>AO238-AI231</f>
        <v>0.18296529968454259</v>
      </c>
      <c r="AP240" s="220">
        <f>AP238-AJ231</f>
        <v>0.21421520236920039</v>
      </c>
      <c r="AQ240" s="146"/>
      <c r="AR240" s="1865"/>
      <c r="AS240" s="238">
        <f>AS238-AM231</f>
        <v>2.6199997889436333E-2</v>
      </c>
      <c r="AT240" s="219">
        <f>AT238-AN231</f>
        <v>-9.7137007999580915E-3</v>
      </c>
      <c r="AU240" s="219">
        <f>AU238-AO231</f>
        <v>1.7631141865318167E-2</v>
      </c>
      <c r="AV240" s="220">
        <f>AV238-AP231</f>
        <v>5.3113921612293613E-3</v>
      </c>
      <c r="AW240" s="146">
        <f>AW238-AQ231</f>
        <v>9.7995811760089313E-3</v>
      </c>
      <c r="AX240" s="1865"/>
      <c r="AY240" s="238">
        <f>AY238-AS231</f>
        <v>1.1717905875800655E-2</v>
      </c>
      <c r="AZ240" s="219">
        <f>AZ238-AT231</f>
        <v>2.8434284098696305E-2</v>
      </c>
      <c r="BA240" s="219">
        <f>BA238-AU231</f>
        <v>2.7027628073179655E-2</v>
      </c>
      <c r="BB240" s="220">
        <f>BB238-AV231</f>
        <v>2.0594799468274722E-2</v>
      </c>
      <c r="BC240" s="146">
        <f>BC238-AW231</f>
        <v>2.1929125139240446E-2</v>
      </c>
      <c r="BD240" s="1865"/>
      <c r="BE240" s="238">
        <f>BE238-AY231</f>
        <v>4.3892029034973939E-2</v>
      </c>
      <c r="BF240" s="219">
        <f>BF238-AZ231</f>
        <v>2.571896072239091E-2</v>
      </c>
      <c r="BG240" s="219">
        <f>BG238-BA231</f>
        <v>9.9340837470810739E-3</v>
      </c>
      <c r="BH240" s="220">
        <f>BH238-BB231</f>
        <v>1.4132402370671759E-2</v>
      </c>
      <c r="BI240" s="146">
        <f>BI238-BC231</f>
        <v>2.3479566406147789E-2</v>
      </c>
      <c r="BJ240" s="1865"/>
      <c r="BK240" s="238">
        <f>BK238-BE231</f>
        <v>1.7438698631385807E-2</v>
      </c>
      <c r="BL240" s="219">
        <f>BL238-BF231</f>
        <v>3.0972212179122827E-2</v>
      </c>
      <c r="BM240" s="219">
        <f>BM238-BG231</f>
        <v>9.0568594069213304E-3</v>
      </c>
      <c r="BN240" s="220">
        <f>BN238-BH231</f>
        <v>6.4574223360099325E-3</v>
      </c>
      <c r="BO240" s="146">
        <f>BO238-BI231</f>
        <v>1.5769316478906392E-2</v>
      </c>
      <c r="BP240" s="1865"/>
      <c r="BQ240" s="238">
        <f>BQ238-BK231</f>
        <v>-1.1354393380887673E-2</v>
      </c>
      <c r="BR240" s="219">
        <f>BR238-BL231</f>
        <v>9.054463732730389E-3</v>
      </c>
      <c r="BS240" s="219">
        <f>BS238-BM231</f>
        <v>1.1783726598951438E-2</v>
      </c>
      <c r="BT240" s="220">
        <f>BT238-BN231</f>
        <v>1.3210252513747439E-2</v>
      </c>
      <c r="BU240" s="146">
        <f>BU238-BO231</f>
        <v>5.853093760951944E-3</v>
      </c>
      <c r="BV240" s="1865"/>
      <c r="BW240" s="238">
        <f>BW238-BQ231</f>
        <v>7.3977715382858855E-3</v>
      </c>
      <c r="BX240" s="219">
        <f>BX238-BR231</f>
        <v>7.5006389230324044E-3</v>
      </c>
      <c r="BY240" s="219">
        <f>BY238-BS231</f>
        <v>7.073378969902927E-3</v>
      </c>
      <c r="BZ240" s="220">
        <f>BZ238-BT231</f>
        <v>7.2568511460145702E-3</v>
      </c>
      <c r="CA240" s="146">
        <f>CA238-BU231</f>
        <v>7.3273265609889449E-3</v>
      </c>
      <c r="CB240" s="219"/>
      <c r="CC240" s="238">
        <f>CC238-BW231</f>
        <v>5.7919940894630428E-3</v>
      </c>
      <c r="CD240" s="219">
        <f>CD238-BX231</f>
        <v>7.5506254073430534E-3</v>
      </c>
      <c r="CE240" s="219">
        <f>CE238-BY231</f>
        <v>6.606935901274813E-3</v>
      </c>
      <c r="CF240" s="220">
        <f>CF238-BZ231</f>
        <v>6.8253697273552572E-3</v>
      </c>
      <c r="CG240" s="146">
        <f>CG238-CA231</f>
        <v>6.7181925478310145E-3</v>
      </c>
      <c r="CI240" s="238">
        <f>CI238-CC231</f>
        <v>5.4295881782118194E-3</v>
      </c>
      <c r="CJ240" s="219">
        <f>CJ238-CD231</f>
        <v>7.2307894423246921E-3</v>
      </c>
      <c r="CK240" s="219">
        <f>CK238-CE231</f>
        <v>6.0623788746622664E-3</v>
      </c>
      <c r="CL240" s="220">
        <f>CL238-CF231</f>
        <v>6.3727406049118862E-3</v>
      </c>
      <c r="CM240" s="146">
        <f>CM238-CG231</f>
        <v>6.2994567336972784E-3</v>
      </c>
      <c r="CQ240"/>
      <c r="CR240"/>
      <c r="CS240"/>
      <c r="CT240"/>
      <c r="CU240"/>
      <c r="CV240"/>
    </row>
    <row r="241" spans="1:100" s="154" customFormat="1">
      <c r="A241" s="329" t="s">
        <v>546</v>
      </c>
      <c r="B241" s="17"/>
      <c r="C241" s="1977"/>
      <c r="D241" s="267"/>
      <c r="E241" s="267"/>
      <c r="F241" s="267"/>
      <c r="G241" s="1978"/>
      <c r="H241" s="17"/>
      <c r="I241" s="1977"/>
      <c r="J241" s="267"/>
      <c r="K241" s="267"/>
      <c r="L241" s="267"/>
      <c r="M241" s="1978"/>
      <c r="N241" s="17"/>
      <c r="O241" s="1977"/>
      <c r="P241" s="267"/>
      <c r="Q241" s="267"/>
      <c r="R241" s="267"/>
      <c r="S241" s="1978"/>
      <c r="T241" s="129"/>
      <c r="U241" s="1977"/>
      <c r="V241" s="267"/>
      <c r="W241" s="267"/>
      <c r="X241" s="267"/>
      <c r="Y241" s="1978"/>
      <c r="Z241" s="129"/>
      <c r="AA241" s="1977"/>
      <c r="AB241" s="267"/>
      <c r="AC241" s="267"/>
      <c r="AD241" s="267"/>
      <c r="AE241" s="1978"/>
      <c r="AF241" s="129"/>
      <c r="AG241" s="1977"/>
      <c r="AH241" s="267"/>
      <c r="AI241" s="267"/>
      <c r="AJ241" s="267"/>
      <c r="AK241" s="1978"/>
      <c r="AL241" s="129"/>
      <c r="AM241" s="1977"/>
      <c r="AN241" s="267"/>
      <c r="AO241" s="267"/>
      <c r="AP241" s="267"/>
      <c r="AQ241" s="1978"/>
      <c r="AR241" s="1865"/>
      <c r="AS241" s="238">
        <f>SUM(AS232:AS236)/AS10-SUM(AM232:AM236)/AM10</f>
        <v>4.877881708238851E-3</v>
      </c>
      <c r="AT241" s="219">
        <f>SUM(AT232:AT236)/AT10-SUM(AN232:AN236)/AN10</f>
        <v>4.4452477347214185E-3</v>
      </c>
      <c r="AU241" s="219">
        <f>SUM(AU232:AU236)/AU10-SUM(AO232:AO236)/AO10</f>
        <v>1.1599414790693284E-2</v>
      </c>
      <c r="AV241" s="220">
        <f>SUM(AV232:AV236)/AV10-SUM(AP232:AP236)/AP10</f>
        <v>1.5949413322375931E-2</v>
      </c>
      <c r="AW241" s="146">
        <f>SUM(AW232:AW236)/AW10-SUM(AQ232:AQ236)/AQ10</f>
        <v>9.3003599661208355E-3</v>
      </c>
      <c r="AX241" s="1865"/>
      <c r="AY241" s="238">
        <f>SUM(AY232:AY236)/AY10-SUM(AS232:AS236)/AS10</f>
        <v>2.6311202112423916E-2</v>
      </c>
      <c r="AZ241" s="219">
        <f>SUM(AZ232:AZ236)/AZ10-SUM(AT232:AT236)/AT10</f>
        <v>1.7361605847833098E-2</v>
      </c>
      <c r="BA241" s="219">
        <f>SUM(BA232:BA236)/BA10-SUM(AU232:AU236)/AU10</f>
        <v>7.6313544400759478E-3</v>
      </c>
      <c r="BB241" s="220">
        <f>SUM(BB232:BB236)/BB10-SUM(AV232:AV236)/AV10</f>
        <v>-7.253761148462887E-3</v>
      </c>
      <c r="BC241" s="146">
        <f>SUM(BC232:BC236)/BC10-SUM(AW232:AW236)/AW10</f>
        <v>1.0882899073007447E-2</v>
      </c>
      <c r="BD241" s="1865"/>
      <c r="BE241" s="238">
        <f>SUM(BE232:BE236)/BE10-SUM(AY232:AY236)/AY10</f>
        <v>-1.5041223898483776E-2</v>
      </c>
      <c r="BF241" s="219">
        <f>SUM(BF232:BF236)/BF10-SUM(AZ232:AZ236)/AZ10</f>
        <v>-1.1993310893643819E-2</v>
      </c>
      <c r="BG241" s="219">
        <f>SUM(BG232:BG236)/BG10-SUM(BA232:BA236)/BA10</f>
        <v>-1.539935160624816E-2</v>
      </c>
      <c r="BH241" s="220">
        <f>SUM(BH232:BH236)/BH10-SUM(BB232:BB236)/BB10</f>
        <v>-1.4949321019058432E-3</v>
      </c>
      <c r="BI241" s="146">
        <f>SUM(BI232:BI236)/BI10-SUM(BC232:BC236)/BC10</f>
        <v>-1.0997157182869357E-2</v>
      </c>
      <c r="BJ241" s="1865"/>
      <c r="BK241" s="238">
        <f>SUM(BK232:BK236)/BK10-SUM(BE232:BE236)/BE10</f>
        <v>-8.1815993785988583E-3</v>
      </c>
      <c r="BL241" s="219">
        <f>SUM(BL232:BL236)/BL10-SUM(BF232:BF236)/BF10</f>
        <v>-6.1837786235749443E-3</v>
      </c>
      <c r="BM241" s="219">
        <f>SUM(BM232:BM236)/BM10-SUM(BG232:BG236)/BG10</f>
        <v>-3.9211842313433345E-3</v>
      </c>
      <c r="BN241" s="220">
        <f>SUM(BN232:BN236)/BN10-SUM(BH232:BH236)/BH10</f>
        <v>-8.4622844117885291E-3</v>
      </c>
      <c r="BO241" s="146">
        <f>SUM(BO232:BO236)/BO10-SUM(BI232:BI236)/BI10</f>
        <v>-6.7487136630567778E-3</v>
      </c>
      <c r="BP241" s="1865"/>
      <c r="BQ241" s="238">
        <f>SUM(BQ232:BQ236)/BQ10-SUM(BK232:BK236)/BK10</f>
        <v>-3.2016632137304324E-2</v>
      </c>
      <c r="BR241" s="219">
        <f>SUM(BR232:BR236)/BR10-SUM(BL232:BL236)/BL10</f>
        <v>-1.1593424874796313E-2</v>
      </c>
      <c r="BS241" s="219">
        <f>SUM(BS232:BS236)/BS10-SUM(BM232:BM236)/BM10</f>
        <v>-5.5420446328078386E-3</v>
      </c>
      <c r="BT241" s="220">
        <f>SUM(BT232:BT236)/BT10-SUM(BN232:BN236)/BN10</f>
        <v>-2.5310212327676902E-3</v>
      </c>
      <c r="BU241" s="146">
        <f>SUM(BU232:BU236)/BU10-SUM(BO232:BO236)/BO10</f>
        <v>-1.2605436732760345E-2</v>
      </c>
      <c r="BV241" s="1865"/>
      <c r="BW241" s="238">
        <f>SUM(BW232:BW236)/BW10-SUM(BQ232:BQ236)/BQ10</f>
        <v>2.4050371593724196E-2</v>
      </c>
      <c r="BX241" s="219">
        <f>SUM(BX232:BX236)/BX10-SUM(BR232:BR236)/BR10</f>
        <v>7.9636608094605602E-3</v>
      </c>
      <c r="BY241" s="219">
        <f>SUM(BY232:BY236)/BY10-SUM(BS232:BS236)/BS10</f>
        <v>5.6318112396301009E-3</v>
      </c>
      <c r="BZ241" s="220">
        <f>SUM(BZ232:BZ236)/BZ10-SUM(BT232:BT236)/BT10</f>
        <v>3.7925855725490193E-3</v>
      </c>
      <c r="CA241" s="146">
        <f>SUM(CA232:CA236)/CA10-SUM(BU232:BU236)/BU10</f>
        <v>1.0168048539558197E-2</v>
      </c>
      <c r="CB241" s="219"/>
      <c r="CC241" s="238">
        <f>SUM(CC232:CC236)/CC10-SUM(BW232:BW236)/BW10</f>
        <v>0</v>
      </c>
      <c r="CD241" s="219">
        <f>SUM(CD232:CD236)/CD10-SUM(BX232:BX236)/BX10</f>
        <v>0</v>
      </c>
      <c r="CE241" s="219">
        <f>SUM(CE232:CE236)/CE10-SUM(BY232:BY236)/BY10</f>
        <v>0</v>
      </c>
      <c r="CF241" s="220">
        <f>SUM(CF232:CF236)/CF10-SUM(BZ232:BZ236)/BZ10</f>
        <v>0</v>
      </c>
      <c r="CG241" s="146">
        <f>SUM(CG232:CG236)/CG10-SUM(CA232:CA236)/CA10</f>
        <v>0</v>
      </c>
      <c r="CI241" s="238">
        <f>SUM(CI232:CI236)/CI10-SUM(CC232:CC236)/CC10</f>
        <v>0</v>
      </c>
      <c r="CJ241" s="219">
        <f>SUM(CJ232:CJ236)/CJ10-SUM(CD232:CD236)/CD10</f>
        <v>0</v>
      </c>
      <c r="CK241" s="219">
        <f>SUM(CK232:CK236)/CK10-SUM(CE232:CE236)/CE10</f>
        <v>0</v>
      </c>
      <c r="CL241" s="220">
        <f>SUM(CL232:CL236)/CL10-SUM(CF232:CF236)/CF10</f>
        <v>0</v>
      </c>
      <c r="CM241" s="146">
        <f>SUM(CM232:CM236)/CM10-SUM(CG232:CG236)/CG10</f>
        <v>0</v>
      </c>
      <c r="CQ241"/>
      <c r="CR241"/>
      <c r="CS241"/>
      <c r="CT241"/>
      <c r="CU241"/>
      <c r="CV241"/>
    </row>
    <row r="242" spans="1:100" s="154" customFormat="1">
      <c r="A242" s="265" t="s">
        <v>543</v>
      </c>
      <c r="B242" s="17"/>
      <c r="C242" s="1322"/>
      <c r="D242" s="247"/>
      <c r="E242" s="247"/>
      <c r="F242" s="247"/>
      <c r="G242" s="266"/>
      <c r="H242" s="17"/>
      <c r="I242" s="1322"/>
      <c r="J242" s="247"/>
      <c r="K242" s="247"/>
      <c r="L242" s="247"/>
      <c r="M242" s="266"/>
      <c r="N242" s="17"/>
      <c r="O242" s="1322"/>
      <c r="P242" s="247"/>
      <c r="Q242" s="247"/>
      <c r="R242" s="247"/>
      <c r="S242" s="266"/>
      <c r="T242" s="129"/>
      <c r="U242" s="1322"/>
      <c r="V242" s="247"/>
      <c r="W242" s="247"/>
      <c r="X242" s="247"/>
      <c r="Y242" s="266"/>
      <c r="Z242" s="129"/>
      <c r="AA242" s="1322"/>
      <c r="AB242" s="247"/>
      <c r="AC242" s="247"/>
      <c r="AD242" s="247"/>
      <c r="AE242" s="266"/>
      <c r="AF242" s="129"/>
      <c r="AG242" s="1322"/>
      <c r="AH242" s="247"/>
      <c r="AI242" s="247"/>
      <c r="AJ242" s="247"/>
      <c r="AK242" s="266"/>
      <c r="AL242" s="129"/>
      <c r="AM242" s="1322"/>
      <c r="AN242" s="247"/>
      <c r="AO242" s="247"/>
      <c r="AP242" s="247"/>
      <c r="AQ242" s="266"/>
      <c r="AR242" s="129"/>
      <c r="AS242" s="1861">
        <f>+(AS237-AM230)/((AM10*(1+AS40))-AM10)</f>
        <v>0.57240827478532319</v>
      </c>
      <c r="AT242" s="1862">
        <f>+(AT237-AN230)/((AN10*(1+AT40))-AN10)</f>
        <v>-0.30304978354978246</v>
      </c>
      <c r="AU242" s="1862">
        <f>+(AU237-AO230)/((AO10*(1+AU40))-AO10)</f>
        <v>0.5917043650793633</v>
      </c>
      <c r="AV242" s="1863">
        <f>+(AV237-AP230)/((AP10*(1+AV40))-AP10)</f>
        <v>0.30682661782662296</v>
      </c>
      <c r="AW242" s="1864">
        <f>+(AW237-AQ230)/((AQ10*(1+AW40))-AQ10)</f>
        <v>0.40363445378151253</v>
      </c>
      <c r="AX242" s="1865"/>
      <c r="AY242" s="1861">
        <f>+(AY237-AS230)/((AS10*(1+AY40))-AS10)</f>
        <v>0.22503636892639001</v>
      </c>
      <c r="AZ242" s="1862">
        <f>+(AZ237-AT230)/((AT10*(1+AZ40))-AT10)</f>
        <v>0.36212666145426115</v>
      </c>
      <c r="BA242" s="1862">
        <f>+(BA237-AU230)/((AU10*(1+BA40))-AU10)</f>
        <v>0.39852403710992351</v>
      </c>
      <c r="BB242" s="1863">
        <f>+(BB237-AV230)/((AV10*(1+BB40))-AV10)</f>
        <v>0.30537631072780208</v>
      </c>
      <c r="BC242" s="1864">
        <f>+(BC237-AW230)/((AW10*(1+BC40))-AW10)</f>
        <v>0.32021902117879297</v>
      </c>
      <c r="BD242" s="129"/>
      <c r="BE242" s="1861">
        <f>+(BE237-AY230)/((AY10*(1+BE40))-AY10)</f>
        <v>0.69525790222195005</v>
      </c>
      <c r="BF242" s="1862">
        <f>+(BF237-AZ230)/((AZ10*(1+BF40))-AZ10)</f>
        <v>0.91953857308743181</v>
      </c>
      <c r="BG242" s="1862">
        <f>+(BG237-BA230)/((BA10*(1+BG40))-BA10)</f>
        <v>0.52499999999999925</v>
      </c>
      <c r="BH242" s="1863">
        <f>+(BH237-BB230)/((BB10*(1+BH40))-BB10)</f>
        <v>0.48370378189275615</v>
      </c>
      <c r="BI242" s="1864">
        <f>+(BI237-BC230)/((BC10*(1+BI40))-BC10)</f>
        <v>0.64061864511413202</v>
      </c>
      <c r="BJ242" s="129"/>
      <c r="BK242" s="1861">
        <f>+(BK237-BE230)/((BE10*(1+BK40))-BE10)</f>
        <v>0.48580731176980663</v>
      </c>
      <c r="BL242" s="1862">
        <f>+(BL237-BF230)/((BF10*(1+BL40))-BF10)</f>
        <v>0.56717534749778731</v>
      </c>
      <c r="BM242" s="1862">
        <f>+(BM237-BG230)/((BG10*(1+BM40))-BG10)</f>
        <v>0.31072013302635054</v>
      </c>
      <c r="BN242" s="1863">
        <f>+(BN237-BH230)/((BH10*(1+BN40))-BH10)</f>
        <v>0.29549769748494603</v>
      </c>
      <c r="BO242" s="1864">
        <f>+(BO237-BI230)/((BI10*(1+BO40))-BI10)</f>
        <v>0.41041047682599052</v>
      </c>
      <c r="BP242" s="129"/>
      <c r="BQ242" s="1861">
        <f>+(BQ237-BK230)/((BK10*(1+BQ40))-BK10)</f>
        <v>0.23042266996848218</v>
      </c>
      <c r="BR242" s="1862">
        <f>+(BR237-BL230)/((BL10*(1+BR40))-BL10)</f>
        <v>0.44168611659649998</v>
      </c>
      <c r="BS242" s="1862">
        <f>+(BS237-BM230)/((BM10*(1+BS40))-BM10)</f>
        <v>0.47188591530508844</v>
      </c>
      <c r="BT242" s="1863">
        <f>+(BT237-BN230)/((BN10*(1+BT40))-BN10)</f>
        <v>0.51287059511642707</v>
      </c>
      <c r="BU242" s="1864">
        <f>+(BU237-BO230)/((BO10*(1+BU40))-BO10)</f>
        <v>0.424106042177822</v>
      </c>
      <c r="BV242" s="1862"/>
      <c r="BW242" s="1861">
        <f>+(BW237-BQ230)/((BQ10*(1+BW40))-BQ10)</f>
        <v>0.33911447029106739</v>
      </c>
      <c r="BX242" s="1862">
        <f>+(BX237-BR230)/((BR10*(1+BX40))-BR10)</f>
        <v>0.35437695332857744</v>
      </c>
      <c r="BY242" s="1862">
        <f>+(BY237-BS230)/((BS10*(1+BY40))-BS10)</f>
        <v>0.32393392460286291</v>
      </c>
      <c r="BZ242" s="1863">
        <f>+(BZ237-BT230)/((BT10*(1+BZ40))-BT10)</f>
        <v>0.34700684327031844</v>
      </c>
      <c r="CA242" s="1864">
        <f>+(CA237-BU230)/((BU10*(1+CA40))-BU10)</f>
        <v>0.3398738798011291</v>
      </c>
      <c r="CB242" s="219"/>
      <c r="CC242" s="1861">
        <f>+(CC237-BW230)/((BW10*(1+CC40))-BW10)</f>
        <v>0.33355406837861989</v>
      </c>
      <c r="CD242" s="1862">
        <f>+(CD237-BX230)/((BX10*(1+CD40))-BX10)</f>
        <v>0.37306792270157374</v>
      </c>
      <c r="CE242" s="1862">
        <f>+(CE237-BY230)/((BY10*(1+CE40))-BY10)</f>
        <v>0.33753135601529899</v>
      </c>
      <c r="CF242" s="1863">
        <f>+(CF237-BZ230)/((BZ10*(1+CF40))-BZ10)</f>
        <v>0.36403331077609402</v>
      </c>
      <c r="CG242" s="1864">
        <f>+(CG237-CA230)/((CA10*(1+CG40))-CA10)</f>
        <v>0.35212284859217763</v>
      </c>
      <c r="CI242" s="1861">
        <f>+(CI237-CC230)/((CC10*(1+CI40))-CC10)</f>
        <v>0.32976389614042395</v>
      </c>
      <c r="CJ242" s="1862">
        <f>+(CJ237-CD230)/((CD10*(1+CJ40))-CD10)</f>
        <v>0.37090980657389011</v>
      </c>
      <c r="CK242" s="1862">
        <f>+(CK237-CE230)/((CE10*(1+CK40))-CE10)</f>
        <v>0.33146684871286802</v>
      </c>
      <c r="CL242" s="1863">
        <f>+(CL237-CF230)/((CF10*(1+CL40))-CF10)</f>
        <v>0.35932413148692582</v>
      </c>
      <c r="CM242" s="1864">
        <f>+(CM237-CG230)/((CG10*(1+CM40))-CG10)</f>
        <v>0.34779564581549821</v>
      </c>
      <c r="CQ242"/>
      <c r="CR242"/>
      <c r="CS242"/>
      <c r="CT242"/>
      <c r="CU242"/>
      <c r="CV242"/>
    </row>
    <row r="243" spans="1:100" s="149" customFormat="1">
      <c r="A243" s="1"/>
      <c r="C243" s="1"/>
      <c r="D243" s="1"/>
      <c r="E243" s="1"/>
      <c r="F243" s="1"/>
      <c r="G243" s="1"/>
      <c r="I243" s="1"/>
      <c r="J243" s="1"/>
      <c r="K243" s="1"/>
      <c r="L243" s="1"/>
      <c r="M243" s="1"/>
      <c r="O243" s="1"/>
      <c r="P243" s="1"/>
      <c r="Q243" s="1"/>
      <c r="R243" s="1"/>
      <c r="S243" s="1"/>
      <c r="U243" s="1"/>
      <c r="V243" s="1"/>
      <c r="W243" s="1"/>
      <c r="X243" s="1"/>
      <c r="Y243" s="1"/>
      <c r="AA243" s="1"/>
      <c r="AB243" s="1"/>
      <c r="AC243" s="1"/>
      <c r="AD243" s="1"/>
      <c r="AE243" s="1"/>
      <c r="AG243" s="1"/>
      <c r="AH243" s="1"/>
      <c r="AI243" s="1"/>
      <c r="AJ243" s="1"/>
      <c r="AK243" s="1"/>
      <c r="AM243" s="1"/>
      <c r="AN243" s="1"/>
      <c r="AO243" s="1"/>
      <c r="AP243" s="1"/>
      <c r="AQ243" s="1"/>
      <c r="AS243" s="1"/>
      <c r="AT243" s="1"/>
      <c r="AU243" s="1"/>
      <c r="AV243" s="1"/>
      <c r="AW243" s="2006"/>
      <c r="AY243" s="1"/>
      <c r="AZ243" s="1879"/>
      <c r="BA243" s="1"/>
      <c r="BB243" s="1"/>
      <c r="BC243" s="2006"/>
      <c r="BE243" s="1"/>
      <c r="BF243" s="1"/>
      <c r="BG243" s="1"/>
      <c r="BH243" s="1"/>
      <c r="BI243" s="2006"/>
      <c r="BK243" s="1"/>
      <c r="BL243" s="1"/>
      <c r="BM243" s="1"/>
      <c r="BN243" s="1"/>
      <c r="BO243" s="2006"/>
      <c r="BQ243" s="1"/>
      <c r="BR243" s="1"/>
      <c r="BS243" s="1"/>
      <c r="BT243" s="1"/>
      <c r="BU243" s="2006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I243" s="1"/>
      <c r="CJ243" s="1"/>
      <c r="CK243" s="1"/>
      <c r="CL243" s="1"/>
      <c r="CM243" s="1"/>
      <c r="CQ243"/>
      <c r="CR243"/>
      <c r="CS243"/>
      <c r="CT243"/>
      <c r="CU243"/>
      <c r="CV243"/>
    </row>
    <row r="244" spans="1:100" s="149" customFormat="1">
      <c r="A244" s="1"/>
      <c r="C244" s="1"/>
      <c r="D244" s="1"/>
      <c r="E244" s="1"/>
      <c r="F244" s="1"/>
      <c r="G244" s="1"/>
      <c r="I244" s="1"/>
      <c r="J244" s="1"/>
      <c r="K244" s="1"/>
      <c r="L244" s="1"/>
      <c r="M244" s="1"/>
      <c r="O244" s="1"/>
      <c r="P244" s="1"/>
      <c r="Q244" s="1"/>
      <c r="R244" s="1"/>
      <c r="S244" s="1"/>
      <c r="U244" s="1"/>
      <c r="V244" s="1"/>
      <c r="W244" s="1"/>
      <c r="X244" s="1"/>
      <c r="Y244" s="1"/>
      <c r="AA244" s="1"/>
      <c r="AB244" s="1"/>
      <c r="AC244" s="1"/>
      <c r="AD244" s="1"/>
      <c r="AE244" s="1"/>
      <c r="AG244" s="1"/>
      <c r="AH244" s="1"/>
      <c r="AI244" s="1"/>
      <c r="AJ244" s="1"/>
      <c r="AK244" s="1"/>
      <c r="AM244" s="1"/>
      <c r="AN244" s="1"/>
      <c r="AO244" s="1"/>
      <c r="AP244" s="1"/>
      <c r="AQ244" s="1"/>
      <c r="AS244" s="1"/>
      <c r="AT244" s="1"/>
      <c r="AU244" s="1"/>
      <c r="AV244" s="1"/>
      <c r="AW244" s="1"/>
      <c r="AY244" s="1"/>
      <c r="AZ244" s="1879"/>
      <c r="BA244" s="1"/>
      <c r="BB244" s="1"/>
      <c r="BC244" s="1879"/>
      <c r="BE244" s="1"/>
      <c r="BF244" s="2006"/>
      <c r="BG244" s="1"/>
      <c r="BH244" s="1"/>
      <c r="BI244" s="1879"/>
      <c r="BN244" s="1879"/>
      <c r="BO244" s="1879"/>
      <c r="BQ244" s="1879"/>
      <c r="BR244" s="1879"/>
      <c r="BS244" s="1879"/>
      <c r="BT244" s="1879"/>
      <c r="BU244" s="1879"/>
      <c r="BW244" s="1879"/>
      <c r="BX244" s="1879"/>
      <c r="BY244" s="1879"/>
      <c r="BZ244" s="1879"/>
      <c r="CA244" s="1879"/>
      <c r="CB244" s="1"/>
      <c r="CC244" s="1879"/>
      <c r="CD244" s="1879"/>
      <c r="CE244" s="1879"/>
      <c r="CF244" s="1879"/>
      <c r="CG244" s="1879"/>
      <c r="CI244" s="1879"/>
      <c r="CJ244" s="1879"/>
      <c r="CK244" s="1879"/>
      <c r="CL244" s="1879"/>
      <c r="CM244" s="1879"/>
      <c r="CQ244"/>
      <c r="CR244"/>
      <c r="CS244"/>
      <c r="CT244"/>
      <c r="CU244"/>
      <c r="CV244"/>
    </row>
    <row r="245" spans="1:100" s="149" customFormat="1">
      <c r="A245" s="1"/>
      <c r="C245" s="1"/>
      <c r="D245" s="1"/>
      <c r="E245" s="1"/>
      <c r="F245" s="1"/>
      <c r="G245" s="1"/>
      <c r="I245" s="1"/>
      <c r="J245" s="1"/>
      <c r="K245" s="1"/>
      <c r="L245" s="1"/>
      <c r="M245" s="1"/>
      <c r="O245" s="1"/>
      <c r="P245" s="1"/>
      <c r="Q245" s="1"/>
      <c r="R245" s="1"/>
      <c r="S245" s="1"/>
      <c r="U245" s="1"/>
      <c r="V245" s="1"/>
      <c r="W245" s="1"/>
      <c r="X245" s="1"/>
      <c r="Y245" s="1"/>
      <c r="AA245" s="1"/>
      <c r="AB245" s="1"/>
      <c r="AC245" s="1"/>
      <c r="AD245" s="1"/>
      <c r="AE245" s="1"/>
      <c r="AG245" s="1"/>
      <c r="AH245" s="1"/>
      <c r="AI245" s="1"/>
      <c r="AJ245" s="1"/>
      <c r="AK245" s="1"/>
      <c r="AM245" s="1"/>
      <c r="AN245" s="1"/>
      <c r="AO245" s="1"/>
      <c r="AP245" s="1"/>
      <c r="AQ245" s="1"/>
      <c r="AS245" s="1"/>
      <c r="AT245" s="1"/>
      <c r="AU245" s="1"/>
      <c r="AV245" s="1"/>
      <c r="AW245" s="1"/>
      <c r="AY245" s="1"/>
      <c r="AZ245" s="1879"/>
      <c r="BA245" s="1"/>
      <c r="BB245" s="1"/>
      <c r="BC245" s="1880"/>
      <c r="BE245" s="1"/>
      <c r="BF245" s="2006"/>
      <c r="BG245" s="1"/>
      <c r="BH245" s="1"/>
      <c r="BI245" s="1"/>
      <c r="BN245" s="1879"/>
      <c r="BO245" s="1879"/>
      <c r="BQ245" s="1879"/>
      <c r="BR245" s="1879"/>
      <c r="BS245" s="1879"/>
      <c r="BT245" s="1879"/>
      <c r="BU245" s="1879"/>
      <c r="BW245" s="1879"/>
      <c r="BX245" s="1879"/>
      <c r="BY245" s="1879"/>
      <c r="BZ245" s="1879"/>
      <c r="CA245" s="1879"/>
      <c r="CB245" s="1"/>
      <c r="CC245" s="1879"/>
      <c r="CD245" s="1879"/>
      <c r="CE245" s="1879"/>
      <c r="CF245" s="1879"/>
      <c r="CG245" s="1879"/>
      <c r="CI245" s="1879"/>
      <c r="CJ245" s="1879"/>
      <c r="CK245" s="1879"/>
      <c r="CL245" s="1879"/>
      <c r="CM245" s="1879"/>
      <c r="CQ245"/>
      <c r="CR245"/>
      <c r="CS245"/>
      <c r="CT245"/>
      <c r="CU245"/>
      <c r="CV245"/>
    </row>
    <row r="246" spans="1:100" s="149" customFormat="1">
      <c r="A246" s="1"/>
      <c r="C246" s="1"/>
      <c r="D246" s="1"/>
      <c r="E246" s="1"/>
      <c r="F246" s="1"/>
      <c r="G246" s="1"/>
      <c r="I246" s="1"/>
      <c r="J246" s="1"/>
      <c r="K246" s="1"/>
      <c r="L246" s="1"/>
      <c r="M246" s="1"/>
      <c r="O246" s="1"/>
      <c r="P246" s="1"/>
      <c r="Q246" s="1"/>
      <c r="R246" s="1"/>
      <c r="S246" s="1"/>
      <c r="U246" s="1"/>
      <c r="V246" s="1"/>
      <c r="W246" s="1"/>
      <c r="X246" s="1"/>
      <c r="Y246" s="1"/>
      <c r="AA246" s="1"/>
      <c r="AB246" s="1"/>
      <c r="AC246" s="1"/>
      <c r="AD246" s="1"/>
      <c r="AE246" s="1"/>
      <c r="AG246" s="1"/>
      <c r="AH246" s="1"/>
      <c r="AI246" s="1"/>
      <c r="AJ246" s="1"/>
      <c r="AK246" s="1"/>
      <c r="AM246" s="1"/>
      <c r="AN246" s="1"/>
      <c r="AO246" s="1"/>
      <c r="AP246" s="1"/>
      <c r="AQ246" s="1"/>
      <c r="AS246" s="1"/>
      <c r="AT246" s="1"/>
      <c r="AU246" s="1"/>
      <c r="AV246" s="1"/>
      <c r="AW246" s="1"/>
      <c r="AY246" s="1"/>
      <c r="AZ246" s="1879"/>
      <c r="BA246" s="1"/>
      <c r="BB246" s="1"/>
      <c r="BC246" s="1880"/>
      <c r="BE246" s="1"/>
      <c r="BF246" s="1"/>
      <c r="BG246" s="1"/>
      <c r="BH246" s="1"/>
      <c r="BI246" s="1"/>
      <c r="BK246" s="1879"/>
      <c r="BL246" s="1879"/>
      <c r="BM246" s="1879"/>
      <c r="BN246" s="1879"/>
      <c r="BO246" s="1879"/>
      <c r="BQ246" s="1879"/>
      <c r="BR246" s="1879"/>
      <c r="BS246" s="1879"/>
      <c r="BT246" s="1879"/>
      <c r="BU246" s="1879"/>
      <c r="BW246" s="1879"/>
      <c r="BX246" s="1879"/>
      <c r="BY246" s="1879"/>
      <c r="BZ246" s="1879"/>
      <c r="CA246" s="1879"/>
      <c r="CB246" s="1"/>
      <c r="CC246" s="1879"/>
      <c r="CD246" s="1879"/>
      <c r="CE246" s="1879"/>
      <c r="CF246" s="1879"/>
      <c r="CG246" s="1879"/>
      <c r="CI246" s="1879"/>
      <c r="CJ246" s="1879"/>
      <c r="CK246" s="1879"/>
      <c r="CL246" s="1879"/>
      <c r="CM246" s="1879"/>
      <c r="CQ246"/>
      <c r="CR246"/>
      <c r="CS246"/>
      <c r="CT246"/>
      <c r="CU246"/>
      <c r="CV246"/>
    </row>
    <row r="247" spans="1:100" s="149" customFormat="1">
      <c r="A247" s="1"/>
      <c r="C247" s="1"/>
      <c r="D247" s="1"/>
      <c r="E247" s="1"/>
      <c r="F247" s="1"/>
      <c r="G247" s="1"/>
      <c r="I247" s="1"/>
      <c r="J247" s="1"/>
      <c r="K247" s="1"/>
      <c r="L247" s="1"/>
      <c r="M247" s="1"/>
      <c r="O247" s="1"/>
      <c r="P247" s="1"/>
      <c r="Q247" s="1"/>
      <c r="R247" s="1"/>
      <c r="S247" s="1"/>
      <c r="U247" s="1"/>
      <c r="V247" s="1"/>
      <c r="W247" s="1"/>
      <c r="X247" s="1"/>
      <c r="Y247" s="1"/>
      <c r="AA247" s="1"/>
      <c r="AB247" s="1"/>
      <c r="AC247" s="1"/>
      <c r="AD247" s="1"/>
      <c r="AE247" s="1"/>
      <c r="AG247" s="1"/>
      <c r="AH247" s="1"/>
      <c r="AI247" s="1"/>
      <c r="AJ247" s="1"/>
      <c r="AK247" s="1"/>
      <c r="AM247" s="1"/>
      <c r="AN247" s="1"/>
      <c r="AO247" s="1"/>
      <c r="AP247" s="1"/>
      <c r="AQ247" s="1"/>
      <c r="AS247" s="1"/>
      <c r="AT247" s="1"/>
      <c r="AU247" s="1"/>
      <c r="AV247" s="1"/>
      <c r="AW247" s="1"/>
      <c r="AY247" s="1"/>
      <c r="AZ247" s="1879"/>
      <c r="BA247" s="1"/>
      <c r="BB247" s="1"/>
      <c r="BC247" s="1880"/>
      <c r="BE247" s="1"/>
      <c r="BF247" s="1"/>
      <c r="BG247" s="1"/>
      <c r="BH247" s="1"/>
      <c r="BI247" s="1879"/>
      <c r="BK247" s="1879"/>
      <c r="BL247" s="1879"/>
      <c r="BM247" s="1879"/>
      <c r="BN247" s="1879"/>
      <c r="BO247" s="1879"/>
      <c r="BQ247" s="1879"/>
      <c r="BR247" s="1879"/>
      <c r="BS247" s="1879"/>
      <c r="BT247" s="1879"/>
      <c r="BU247" s="1879"/>
      <c r="BW247" s="1879"/>
      <c r="BX247" s="1879"/>
      <c r="BY247" s="1879"/>
      <c r="BZ247" s="1879"/>
      <c r="CA247" s="1879"/>
      <c r="CB247" s="1"/>
      <c r="CC247" s="1879"/>
      <c r="CD247" s="1879"/>
      <c r="CE247" s="1879"/>
      <c r="CF247" s="1879"/>
      <c r="CG247" s="1879"/>
      <c r="CI247" s="1879"/>
      <c r="CJ247" s="1879"/>
      <c r="CK247" s="1879"/>
      <c r="CL247" s="1879"/>
      <c r="CM247" s="1879"/>
      <c r="CQ247"/>
      <c r="CR247"/>
      <c r="CS247"/>
      <c r="CT247"/>
      <c r="CU247"/>
      <c r="CV247"/>
    </row>
    <row r="248" spans="1:100">
      <c r="AY248" s="1878"/>
      <c r="AZ248" s="1878"/>
      <c r="BA248" s="1878"/>
      <c r="BB248" s="1878"/>
      <c r="BC248" s="1878"/>
      <c r="BK248" s="1879"/>
      <c r="BL248" s="1879"/>
      <c r="BM248" s="1879"/>
      <c r="BN248" s="1879"/>
      <c r="BO248" s="1879"/>
      <c r="BQ248" s="1879"/>
      <c r="BR248" s="1879"/>
      <c r="BS248" s="1879"/>
      <c r="BT248" s="1879"/>
      <c r="BU248" s="1879"/>
      <c r="BW248" s="1879"/>
      <c r="BX248" s="1879"/>
      <c r="BY248" s="1879"/>
      <c r="BZ248" s="1879"/>
      <c r="CA248" s="1879"/>
      <c r="CC248" s="1879"/>
      <c r="CD248" s="1879"/>
      <c r="CE248" s="1879"/>
      <c r="CF248" s="1879"/>
      <c r="CG248" s="1879"/>
      <c r="CH248" s="2"/>
      <c r="CI248" s="1879"/>
      <c r="CJ248" s="1879"/>
      <c r="CK248" s="1879"/>
      <c r="CL248" s="1879"/>
      <c r="CM248" s="1879"/>
      <c r="CN248" s="2"/>
      <c r="CO248" s="2"/>
      <c r="CP248" s="2"/>
    </row>
    <row r="249" spans="1:100">
      <c r="AT249" s="1868"/>
      <c r="AZ249" s="1878"/>
      <c r="BC249" s="1878"/>
      <c r="BK249" s="1879"/>
      <c r="BQ249" s="6"/>
      <c r="BR249" s="6"/>
      <c r="BS249" s="6"/>
      <c r="BW249" s="6"/>
      <c r="BX249" s="6"/>
      <c r="BY249" s="6"/>
      <c r="CC249" s="6"/>
      <c r="CD249" s="6"/>
      <c r="CE249" s="6"/>
      <c r="CH249" s="2"/>
      <c r="CI249" s="6"/>
      <c r="CJ249" s="6"/>
      <c r="CK249" s="6"/>
      <c r="CN249" s="2"/>
      <c r="CO249" s="2"/>
      <c r="CP249" s="2"/>
    </row>
    <row r="250" spans="1:100">
      <c r="AZ250" s="1878"/>
      <c r="BC250" s="1878"/>
      <c r="BI250" s="1878"/>
      <c r="BQ250" s="6"/>
      <c r="BR250" s="6"/>
      <c r="BS250" s="6"/>
      <c r="BW250" s="6"/>
      <c r="BX250" s="6"/>
      <c r="BY250" s="6"/>
      <c r="CC250" s="6"/>
      <c r="CD250" s="6"/>
      <c r="CE250" s="6"/>
      <c r="CH250" s="2"/>
      <c r="CI250" s="6"/>
      <c r="CJ250" s="6"/>
      <c r="CK250" s="6"/>
      <c r="CN250" s="2"/>
      <c r="CO250" s="2"/>
      <c r="CP250" s="2"/>
    </row>
    <row r="251" spans="1:100">
      <c r="AZ251" s="1878"/>
      <c r="BC251" s="1953"/>
      <c r="BQ251" s="6"/>
      <c r="BR251" s="6"/>
      <c r="BS251" s="6"/>
      <c r="BW251" s="6"/>
      <c r="BX251" s="6"/>
      <c r="BY251" s="6"/>
      <c r="CC251" s="6"/>
      <c r="CD251" s="6"/>
      <c r="CE251" s="6"/>
      <c r="CH251" s="2"/>
      <c r="CI251" s="6"/>
      <c r="CJ251" s="6"/>
      <c r="CK251" s="6"/>
      <c r="CN251" s="2"/>
      <c r="CO251" s="2"/>
      <c r="CP251" s="2"/>
    </row>
    <row r="252" spans="1:100">
      <c r="A252" s="107"/>
      <c r="AS252" s="1866"/>
      <c r="AT252" s="1866"/>
      <c r="AU252" s="1866"/>
      <c r="AV252" s="1866"/>
      <c r="AY252" s="1866"/>
      <c r="AZ252" s="1866"/>
      <c r="BA252" s="1866"/>
      <c r="BB252" s="1866"/>
      <c r="BE252" s="1866"/>
      <c r="BF252" s="1866"/>
      <c r="BG252" s="1866"/>
      <c r="BH252" s="1866"/>
      <c r="BQ252" s="6"/>
      <c r="BR252" s="6"/>
      <c r="BS252" s="6"/>
      <c r="BW252" s="6"/>
      <c r="BX252" s="6"/>
      <c r="BY252" s="6"/>
      <c r="CC252" s="6"/>
      <c r="CD252" s="6"/>
      <c r="CE252" s="6"/>
      <c r="CH252" s="2"/>
      <c r="CI252" s="6"/>
      <c r="CJ252" s="6"/>
      <c r="CK252" s="6"/>
      <c r="CN252" s="2"/>
      <c r="CO252" s="2"/>
      <c r="CP252" s="2"/>
    </row>
    <row r="253" spans="1:100">
      <c r="A253" s="107"/>
      <c r="AS253" s="1867"/>
      <c r="AT253" s="1867"/>
      <c r="AU253" s="1867"/>
      <c r="AV253" s="1867"/>
      <c r="AY253" s="107"/>
      <c r="AZ253" s="1867"/>
      <c r="BA253" s="1867"/>
      <c r="BB253" s="1867"/>
      <c r="BQ253" s="6"/>
      <c r="BR253" s="6"/>
      <c r="BS253" s="6"/>
      <c r="BW253" s="6"/>
      <c r="BX253" s="6"/>
      <c r="BY253" s="6"/>
      <c r="CC253" s="6"/>
      <c r="CD253" s="6"/>
      <c r="CE253" s="6"/>
      <c r="CH253" s="2"/>
      <c r="CI253" s="6"/>
      <c r="CJ253" s="6"/>
      <c r="CK253" s="6"/>
      <c r="CN253" s="2"/>
      <c r="CO253" s="2"/>
      <c r="CP253" s="2"/>
    </row>
    <row r="254" spans="1:100">
      <c r="BE254" s="1974"/>
      <c r="BF254" s="1974"/>
      <c r="BG254" s="1974"/>
      <c r="BH254" s="1974"/>
      <c r="BI254" s="1974"/>
      <c r="BQ254" s="6"/>
      <c r="BR254" s="6"/>
      <c r="BS254" s="6"/>
      <c r="BW254" s="6"/>
      <c r="BX254" s="6"/>
      <c r="BY254" s="6"/>
      <c r="CC254" s="6"/>
      <c r="CD254" s="6"/>
      <c r="CE254" s="6"/>
      <c r="CH254" s="2"/>
      <c r="CI254" s="6"/>
      <c r="CJ254" s="6"/>
      <c r="CK254" s="6"/>
      <c r="CN254" s="2"/>
      <c r="CO254" s="2"/>
      <c r="CP254" s="2"/>
    </row>
    <row r="255" spans="1:100">
      <c r="BE255" s="1975"/>
      <c r="BF255" s="1975"/>
      <c r="BG255" s="1975"/>
      <c r="BH255" s="1975"/>
      <c r="BQ255" s="6"/>
      <c r="BR255" s="6"/>
      <c r="BS255" s="6"/>
      <c r="BW255" s="6"/>
      <c r="BX255" s="6"/>
      <c r="BY255" s="6"/>
      <c r="CC255" s="6"/>
      <c r="CD255" s="6"/>
      <c r="CE255" s="6"/>
      <c r="CH255" s="2"/>
      <c r="CI255" s="6"/>
      <c r="CJ255" s="6"/>
      <c r="CK255" s="6"/>
      <c r="CN255" s="2"/>
      <c r="CO255" s="2"/>
      <c r="CP255" s="2"/>
    </row>
    <row r="257" spans="52:60">
      <c r="AZ257" s="2">
        <f>0.7*AZ256</f>
        <v>0</v>
      </c>
      <c r="BE257" s="2">
        <f>14.5*BE255</f>
        <v>0</v>
      </c>
      <c r="BF257" s="2">
        <f>14.5*BF255</f>
        <v>0</v>
      </c>
      <c r="BG257" s="2">
        <f>14.5*BG255</f>
        <v>0</v>
      </c>
      <c r="BH257" s="2">
        <f>14.5*BH255</f>
        <v>0</v>
      </c>
    </row>
  </sheetData>
  <pageMargins left="0" right="0" top="0" bottom="0" header="0" footer="0"/>
  <pageSetup paperSize="5" scale="23" orientation="landscape" r:id="rId1"/>
  <ignoredErrors>
    <ignoredError sqref="BC84:BC86 BC12 BC24:BC26 AK15:CA16 AK28:CA28 AK24:BB26 BD24:CA24 AK12:BB12 BD12:BM12 AK35:BJ35 AK33:BK33 BM33:CA33 AK23:BJ23 AK19:CA19 AK18:BJ18 BO18:BP18 AK22:BM22 AK20:BJ20 BO20:BP20 AK21:BJ21 BO21:BP21 BO23 BD26:CA26 BD25:BJ25 BO25:BP25 AK34:BJ34 BO34:BP34 BO35:BP35 AK17:BJ17 BN17:CA17 BO22:CA22 AK27:BM27 BO27:CA27 BU18:CA18 BO12:CA12 AK30:CA32 AK29:BM29 BO29:CA29 AK13:BP13 BR13:CA13 AK14:BP14 BR14:CA14 BR20:CA20 BR21:CA21 BR25:CA25 BR34:CA34 BS35:CA35 BS18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DF189"/>
  <sheetViews>
    <sheetView zoomScaleNormal="100" zoomScaleSheetLayoutView="130" workbookViewId="0">
      <pane xSplit="2" ySplit="6" topLeftCell="AL7" activePane="bottomRight" state="frozen"/>
      <selection pane="topRight" activeCell="C1" sqref="C1"/>
      <selection pane="bottomLeft" activeCell="A7" sqref="A7"/>
      <selection pane="bottomRight"/>
    </sheetView>
  </sheetViews>
  <sheetFormatPr defaultRowHeight="12.75" outlineLevelRow="3" outlineLevelCol="1"/>
  <cols>
    <col min="1" max="1" width="29.5703125" style="2" customWidth="1"/>
    <col min="2" max="2" width="0.85546875" style="6" hidden="1" customWidth="1"/>
    <col min="3" max="7" width="6.7109375" style="2" hidden="1" customWidth="1" outlineLevel="1"/>
    <col min="8" max="8" width="0.85546875" style="6" hidden="1" customWidth="1" outlineLevel="1"/>
    <col min="9" max="13" width="6.7109375" style="2" hidden="1" customWidth="1" outlineLevel="1"/>
    <col min="14" max="14" width="0.85546875" style="6" hidden="1" customWidth="1" outlineLevel="1"/>
    <col min="15" max="19" width="6.7109375" style="2" hidden="1" customWidth="1" outlineLevel="1"/>
    <col min="20" max="20" width="0.85546875" style="6" hidden="1" customWidth="1" outlineLevel="1"/>
    <col min="21" max="24" width="6.7109375" style="2" hidden="1" customWidth="1" outlineLevel="1"/>
    <col min="25" max="25" width="6.7109375" style="2" hidden="1" customWidth="1" outlineLevel="1" collapsed="1"/>
    <col min="26" max="26" width="0.85546875" style="6" hidden="1" customWidth="1" outlineLevel="1"/>
    <col min="27" max="31" width="6.7109375" style="2" hidden="1" customWidth="1" outlineLevel="1"/>
    <col min="32" max="32" width="0.85546875" style="6" hidden="1" customWidth="1" outlineLevel="1"/>
    <col min="33" max="36" width="6.7109375" style="2" hidden="1" customWidth="1" outlineLevel="1"/>
    <col min="37" max="37" width="6.7109375" style="2" hidden="1" customWidth="1" collapsed="1"/>
    <col min="38" max="38" width="0.85546875" style="6" customWidth="1"/>
    <col min="39" max="42" width="6.7109375" style="2" hidden="1" customWidth="1" outlineLevel="1"/>
    <col min="43" max="43" width="6.7109375" style="2" customWidth="1" collapsed="1"/>
    <col min="44" max="44" width="0.85546875" style="6" customWidth="1"/>
    <col min="45" max="48" width="6.7109375" style="2" hidden="1" customWidth="1" outlineLevel="1"/>
    <col min="49" max="49" width="6.7109375" style="2" customWidth="1" collapsed="1"/>
    <col min="50" max="50" width="0.85546875" style="6" customWidth="1"/>
    <col min="51" max="54" width="6.7109375" style="2" hidden="1" customWidth="1" outlineLevel="1"/>
    <col min="55" max="55" width="6.7109375" style="2" customWidth="1" collapsed="1"/>
    <col min="56" max="56" width="0.85546875" style="6" customWidth="1"/>
    <col min="57" max="60" width="6.7109375" style="2" hidden="1" customWidth="1" outlineLevel="1"/>
    <col min="61" max="61" width="6.7109375" style="2" customWidth="1" collapsed="1"/>
    <col min="62" max="62" width="0.85546875" style="6" customWidth="1"/>
    <col min="63" max="66" width="6.7109375" style="2" hidden="1" customWidth="1" outlineLevel="1"/>
    <col min="67" max="67" width="6.7109375" style="2" customWidth="1" collapsed="1"/>
    <col min="68" max="68" width="0.85546875" style="6" customWidth="1"/>
    <col min="69" max="72" width="6.7109375" style="2" customWidth="1" outlineLevel="1"/>
    <col min="73" max="73" width="6.7109375" style="2" customWidth="1"/>
    <col min="74" max="74" width="0.85546875" style="6" customWidth="1"/>
    <col min="75" max="78" width="6.7109375" style="2" customWidth="1" outlineLevel="1"/>
    <col min="79" max="79" width="6.7109375" style="2" customWidth="1"/>
    <col min="80" max="80" width="0.85546875" style="2" customWidth="1"/>
    <col min="81" max="84" width="6.7109375" style="2" hidden="1" customWidth="1" outlineLevel="1"/>
    <col min="85" max="85" width="6.7109375" style="2" customWidth="1" collapsed="1"/>
    <col min="86" max="86" width="0.85546875" style="6" customWidth="1"/>
    <col min="87" max="90" width="6.7109375" style="2" hidden="1" customWidth="1" outlineLevel="1"/>
    <col min="91" max="91" width="6.7109375" style="2" customWidth="1" collapsed="1"/>
    <col min="92" max="95" width="9.42578125" style="6" customWidth="1"/>
    <col min="96" max="16384" width="9.140625" style="6"/>
  </cols>
  <sheetData>
    <row r="1" spans="1:110">
      <c r="A1" s="3" t="s">
        <v>0</v>
      </c>
      <c r="C1" s="4"/>
      <c r="D1" s="4"/>
      <c r="E1" s="4"/>
      <c r="F1" s="4"/>
      <c r="G1" s="5"/>
      <c r="H1" s="4"/>
      <c r="I1" s="4"/>
      <c r="J1" s="4"/>
      <c r="K1" s="4"/>
      <c r="L1" s="4"/>
      <c r="M1" s="5"/>
      <c r="N1" s="4"/>
      <c r="O1" s="4"/>
      <c r="P1" s="4"/>
      <c r="Q1" s="4"/>
      <c r="R1" s="4"/>
      <c r="S1" s="5"/>
      <c r="T1" s="4"/>
      <c r="U1" s="4"/>
      <c r="V1" s="350"/>
      <c r="W1" s="350"/>
      <c r="X1" s="350"/>
      <c r="Y1" s="350"/>
      <c r="Z1" s="4"/>
      <c r="AA1" s="4"/>
      <c r="AB1" s="4"/>
      <c r="AC1" s="4"/>
      <c r="AD1" s="4"/>
      <c r="AE1" s="5"/>
      <c r="AF1" s="4"/>
      <c r="AG1" s="302"/>
      <c r="AH1" s="302"/>
      <c r="AI1" s="302"/>
      <c r="AJ1" s="302"/>
      <c r="AK1" s="5"/>
      <c r="AL1" s="4"/>
      <c r="AM1" s="302"/>
      <c r="AN1" s="302"/>
      <c r="AO1" s="302"/>
      <c r="AP1" s="302"/>
      <c r="AQ1" s="61"/>
      <c r="AR1" s="4"/>
      <c r="AS1" s="302"/>
      <c r="AT1" s="1933"/>
      <c r="AU1" s="302"/>
      <c r="AV1" s="302"/>
      <c r="AW1" s="280"/>
      <c r="AX1" s="4"/>
      <c r="AY1" s="280"/>
      <c r="AZ1" s="280"/>
      <c r="BA1" s="280"/>
      <c r="BB1" s="280"/>
      <c r="BC1" s="280"/>
      <c r="BD1" s="280"/>
      <c r="BE1" s="61"/>
      <c r="BF1" s="61"/>
      <c r="BG1" s="2010"/>
      <c r="BH1" s="2010"/>
      <c r="BI1" s="1966"/>
      <c r="BJ1" s="1966"/>
      <c r="BK1" s="1966"/>
      <c r="BL1" s="1966"/>
      <c r="BM1" s="1966"/>
      <c r="BN1" s="1966"/>
      <c r="BO1" s="1966"/>
      <c r="BP1" s="1966"/>
      <c r="BQ1" s="1966"/>
      <c r="BR1" s="1966"/>
      <c r="BS1" s="1966"/>
      <c r="BT1" s="1966"/>
      <c r="BU1" s="1966"/>
      <c r="BV1" s="1966"/>
      <c r="BW1" s="1966"/>
      <c r="BX1" s="1966"/>
      <c r="BY1" s="1966"/>
      <c r="BZ1" s="1966"/>
      <c r="CA1" s="1966"/>
      <c r="CB1" s="1966"/>
      <c r="CC1" s="1966"/>
      <c r="CD1" s="1966"/>
      <c r="CE1" s="1966"/>
      <c r="CF1" s="1966"/>
      <c r="CG1" s="1966"/>
      <c r="CH1" s="149"/>
      <c r="CI1" s="1966"/>
      <c r="CJ1" s="1966"/>
      <c r="CK1" s="1966"/>
      <c r="CL1" s="1966"/>
      <c r="CM1" s="1966"/>
      <c r="CN1" s="149"/>
      <c r="CO1" s="149"/>
      <c r="CP1" s="149"/>
      <c r="CQ1" s="149"/>
      <c r="CR1" s="149"/>
      <c r="CS1" s="149"/>
      <c r="CT1" s="149"/>
    </row>
    <row r="2" spans="1:110">
      <c r="A2" s="7" t="s">
        <v>164</v>
      </c>
      <c r="C2" s="8"/>
      <c r="D2" s="8"/>
      <c r="E2" s="8"/>
      <c r="F2" s="8"/>
      <c r="G2" s="351"/>
      <c r="H2" s="8"/>
      <c r="I2" s="8"/>
      <c r="J2" s="8"/>
      <c r="K2" s="8"/>
      <c r="L2" s="8"/>
      <c r="M2" s="351"/>
      <c r="N2" s="8"/>
      <c r="O2" s="8"/>
      <c r="P2" s="8"/>
      <c r="Q2" s="8"/>
      <c r="R2" s="8"/>
      <c r="S2" s="351"/>
      <c r="T2" s="8"/>
      <c r="U2" s="8"/>
      <c r="V2" s="352"/>
      <c r="W2" s="353"/>
      <c r="X2" s="352"/>
      <c r="Y2" s="9"/>
      <c r="Z2" s="8"/>
      <c r="AA2" s="8"/>
      <c r="AB2" s="9"/>
      <c r="AC2" s="9"/>
      <c r="AD2" s="352"/>
      <c r="AE2" s="354"/>
      <c r="AF2" s="8"/>
      <c r="AG2" s="8"/>
      <c r="AH2" s="9"/>
      <c r="AI2" s="9"/>
      <c r="AJ2" s="9"/>
      <c r="AK2" s="9"/>
      <c r="AL2" s="8"/>
      <c r="AM2" s="8"/>
      <c r="AN2" s="248"/>
      <c r="AO2" s="9"/>
      <c r="AP2" s="355"/>
      <c r="AQ2" s="355"/>
      <c r="AR2" s="8"/>
      <c r="AS2" s="8"/>
      <c r="AT2" s="356"/>
      <c r="AU2" s="9"/>
      <c r="AV2" s="9"/>
      <c r="AW2" s="9"/>
      <c r="AX2" s="8"/>
      <c r="AY2" s="357"/>
      <c r="AZ2" s="357"/>
      <c r="BA2" s="357"/>
      <c r="BB2" s="357"/>
      <c r="BC2" s="1991"/>
      <c r="BD2" s="1991"/>
      <c r="BE2" s="2007"/>
      <c r="BF2" s="2007"/>
      <c r="BG2" s="2007"/>
      <c r="BH2" s="1967"/>
      <c r="BI2" s="1967"/>
      <c r="BJ2" s="1967"/>
      <c r="BK2" s="1967"/>
      <c r="BL2" s="1967"/>
      <c r="BM2" s="1967"/>
      <c r="BN2" s="1967"/>
      <c r="BO2" s="1967"/>
      <c r="BP2" s="1967"/>
      <c r="BQ2" s="1967"/>
      <c r="BR2" s="1967"/>
      <c r="BS2" s="1967"/>
      <c r="BT2" s="1967"/>
      <c r="BU2" s="1967"/>
      <c r="BV2" s="1967"/>
      <c r="BW2" s="1967"/>
      <c r="BX2" s="1967"/>
      <c r="BY2" s="1967"/>
      <c r="BZ2" s="1967"/>
      <c r="CA2" s="1967"/>
      <c r="CB2" s="2115"/>
      <c r="CC2" s="1967"/>
      <c r="CD2" s="1967"/>
      <c r="CE2" s="1967"/>
      <c r="CF2" s="1967"/>
      <c r="CG2" s="1967"/>
      <c r="CH2" s="149"/>
      <c r="CI2" s="1967"/>
      <c r="CJ2" s="1967"/>
      <c r="CK2" s="1967"/>
      <c r="CL2" s="1967"/>
      <c r="CM2" s="1967"/>
      <c r="CN2" s="149"/>
      <c r="CO2" s="149"/>
      <c r="CP2" s="149"/>
      <c r="CQ2" s="149"/>
      <c r="CR2" s="149"/>
      <c r="CS2" s="149"/>
      <c r="CT2" s="149"/>
    </row>
    <row r="3" spans="1:110">
      <c r="A3" s="1824" t="s">
        <v>2</v>
      </c>
      <c r="B3" s="79"/>
      <c r="C3" s="4"/>
      <c r="D3" s="4"/>
      <c r="E3" s="4"/>
      <c r="F3" s="4"/>
      <c r="G3" s="250"/>
      <c r="H3" s="4"/>
      <c r="I3" s="4"/>
      <c r="J3" s="4"/>
      <c r="K3" s="4"/>
      <c r="L3" s="4"/>
      <c r="M3" s="250"/>
      <c r="N3" s="4"/>
      <c r="O3" s="4"/>
      <c r="P3" s="4"/>
      <c r="Q3" s="4"/>
      <c r="R3" s="4"/>
      <c r="S3" s="250"/>
      <c r="T3" s="4"/>
      <c r="U3" s="4"/>
      <c r="V3" s="4"/>
      <c r="W3" s="4"/>
      <c r="X3" s="4"/>
      <c r="Y3" s="250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11"/>
      <c r="AL3" s="4"/>
      <c r="AM3" s="4"/>
      <c r="AN3" s="302"/>
      <c r="AO3" s="61"/>
      <c r="AP3" s="302"/>
      <c r="AQ3" s="11"/>
      <c r="AR3" s="4"/>
      <c r="AS3" s="4"/>
      <c r="AT3" s="4"/>
      <c r="AU3" s="4"/>
      <c r="AV3" s="4"/>
      <c r="AW3" s="4"/>
      <c r="AX3" s="4"/>
      <c r="AY3" s="4"/>
      <c r="AZ3" s="4"/>
      <c r="BA3" s="4"/>
      <c r="BB3" s="1964"/>
      <c r="BC3" s="1981"/>
      <c r="BD3" s="1981"/>
      <c r="BE3" s="1981"/>
      <c r="BF3" s="1981"/>
      <c r="BG3" s="1981"/>
      <c r="BH3" s="1964"/>
      <c r="BI3" s="1965"/>
      <c r="BJ3" s="1965"/>
      <c r="BK3" s="1964"/>
      <c r="BL3" s="1964"/>
      <c r="BM3" s="1964"/>
      <c r="BN3" s="1964"/>
      <c r="BO3" s="2179"/>
      <c r="BP3" s="1965"/>
      <c r="BQ3" s="1964"/>
      <c r="BR3" s="1964"/>
      <c r="BS3" s="1964"/>
      <c r="BT3" s="1964"/>
      <c r="BU3" s="1965"/>
      <c r="BV3" s="1965"/>
      <c r="BW3" s="1964"/>
      <c r="BX3" s="1964"/>
      <c r="BY3" s="1964"/>
      <c r="BZ3" s="1964"/>
      <c r="CA3" s="1965"/>
      <c r="CB3" s="1965"/>
      <c r="CC3" s="1964"/>
      <c r="CD3" s="1964"/>
      <c r="CE3" s="1964"/>
      <c r="CF3" s="1964"/>
      <c r="CG3" s="1965"/>
      <c r="CH3" s="149"/>
      <c r="CI3" s="1964"/>
      <c r="CJ3" s="1964"/>
      <c r="CK3" s="1964"/>
      <c r="CL3" s="1964"/>
      <c r="CM3" s="1965"/>
      <c r="CN3" s="149"/>
      <c r="CO3" s="149"/>
      <c r="CP3" s="149"/>
      <c r="CQ3" s="149"/>
      <c r="CR3" s="149"/>
      <c r="CS3" s="149"/>
      <c r="CT3" s="149"/>
    </row>
    <row r="4" spans="1:110" collapsed="1">
      <c r="A4" s="1825" t="s">
        <v>3</v>
      </c>
      <c r="B4" s="79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61"/>
      <c r="AQ4" s="61"/>
      <c r="AR4" s="13"/>
      <c r="AS4" s="5"/>
      <c r="AT4" s="5"/>
      <c r="AU4" s="5"/>
      <c r="AV4" s="5"/>
      <c r="AW4" s="5"/>
      <c r="AX4" s="13"/>
      <c r="AY4" s="5"/>
      <c r="AZ4" s="5"/>
      <c r="BA4" s="5"/>
      <c r="BB4" s="5"/>
      <c r="BC4" s="5"/>
      <c r="BD4" s="13"/>
      <c r="BE4" s="13"/>
      <c r="BF4" s="2009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49"/>
      <c r="CI4" s="13"/>
      <c r="CJ4" s="13"/>
      <c r="CK4" s="13"/>
      <c r="CL4" s="13"/>
      <c r="CM4" s="13"/>
      <c r="CN4" s="149"/>
      <c r="CO4" s="149"/>
      <c r="CP4" s="149"/>
      <c r="CQ4" s="149"/>
      <c r="CR4" s="149"/>
      <c r="CS4" s="149"/>
      <c r="CT4" s="149"/>
    </row>
    <row r="5" spans="1:110">
      <c r="A5" s="12"/>
      <c r="C5" s="23" t="s">
        <v>59</v>
      </c>
      <c r="D5" s="24"/>
      <c r="E5" s="24"/>
      <c r="F5" s="24"/>
      <c r="G5" s="26" t="str">
        <f>C5</f>
        <v>2007A</v>
      </c>
      <c r="H5" s="18"/>
      <c r="I5" s="23" t="s">
        <v>60</v>
      </c>
      <c r="J5" s="24"/>
      <c r="K5" s="24"/>
      <c r="L5" s="24"/>
      <c r="M5" s="26" t="str">
        <f>I5</f>
        <v>2008A</v>
      </c>
      <c r="N5" s="18"/>
      <c r="O5" s="23" t="s">
        <v>61</v>
      </c>
      <c r="P5" s="24"/>
      <c r="Q5" s="24"/>
      <c r="R5" s="24"/>
      <c r="S5" s="26" t="str">
        <f>O5</f>
        <v>2009A</v>
      </c>
      <c r="T5" s="18"/>
      <c r="U5" s="23" t="s">
        <v>62</v>
      </c>
      <c r="V5" s="24"/>
      <c r="W5" s="24"/>
      <c r="X5" s="24"/>
      <c r="Y5" s="26" t="str">
        <f>U5</f>
        <v>2010A</v>
      </c>
      <c r="Z5" s="18"/>
      <c r="AA5" s="23" t="s">
        <v>63</v>
      </c>
      <c r="AB5" s="24"/>
      <c r="AC5" s="24"/>
      <c r="AD5" s="24"/>
      <c r="AE5" s="26" t="str">
        <f>AA5</f>
        <v>2011A</v>
      </c>
      <c r="AF5" s="18"/>
      <c r="AG5" s="23" t="s">
        <v>64</v>
      </c>
      <c r="AH5" s="24"/>
      <c r="AI5" s="24"/>
      <c r="AJ5" s="24"/>
      <c r="AK5" s="26" t="str">
        <f>AG5</f>
        <v>2012A</v>
      </c>
      <c r="AL5" s="18"/>
      <c r="AM5" s="23" t="s">
        <v>65</v>
      </c>
      <c r="AN5" s="24"/>
      <c r="AO5" s="24"/>
      <c r="AP5" s="24"/>
      <c r="AQ5" s="26" t="str">
        <f>AM5</f>
        <v>2013A</v>
      </c>
      <c r="AR5" s="18"/>
      <c r="AS5" s="23" t="s">
        <v>66</v>
      </c>
      <c r="AT5" s="24"/>
      <c r="AU5" s="24"/>
      <c r="AV5" s="24"/>
      <c r="AW5" s="26" t="str">
        <f>AS5</f>
        <v>2014A</v>
      </c>
      <c r="AX5" s="18"/>
      <c r="AY5" s="23" t="s">
        <v>536</v>
      </c>
      <c r="AZ5" s="24"/>
      <c r="BA5" s="24"/>
      <c r="BB5" s="24"/>
      <c r="BC5" s="26" t="str">
        <f>AY5</f>
        <v>2015A</v>
      </c>
      <c r="BD5" s="18"/>
      <c r="BE5" s="23" t="s">
        <v>562</v>
      </c>
      <c r="BF5" s="24"/>
      <c r="BG5" s="24"/>
      <c r="BH5" s="24"/>
      <c r="BI5" s="26" t="str">
        <f>BE5</f>
        <v>2016A</v>
      </c>
      <c r="BJ5" s="18"/>
      <c r="BK5" s="23" t="s">
        <v>544</v>
      </c>
      <c r="BL5" s="24"/>
      <c r="BM5" s="24"/>
      <c r="BN5" s="24"/>
      <c r="BO5" s="26" t="str">
        <f>BK5</f>
        <v>2017A</v>
      </c>
      <c r="BP5" s="18"/>
      <c r="BQ5" s="23" t="str">
        <f>+IS!BQ7</f>
        <v>2018E</v>
      </c>
      <c r="BR5" s="24"/>
      <c r="BS5" s="24"/>
      <c r="BT5" s="24"/>
      <c r="BU5" s="26" t="str">
        <f>BQ5</f>
        <v>2018E</v>
      </c>
      <c r="BV5" s="18"/>
      <c r="BW5" s="23" t="str">
        <f>+IS!BW7</f>
        <v>2019E</v>
      </c>
      <c r="BX5" s="24"/>
      <c r="BY5" s="24"/>
      <c r="BZ5" s="24"/>
      <c r="CA5" s="26" t="str">
        <f>BW5</f>
        <v>2019E</v>
      </c>
      <c r="CB5" s="18"/>
      <c r="CC5" s="23" t="str">
        <f>+IS!CC7</f>
        <v>2020E</v>
      </c>
      <c r="CD5" s="24"/>
      <c r="CE5" s="24"/>
      <c r="CF5" s="24"/>
      <c r="CG5" s="26" t="str">
        <f>CC5</f>
        <v>2020E</v>
      </c>
      <c r="CH5" s="149"/>
      <c r="CI5" s="23" t="str">
        <f>+IS!CI7</f>
        <v>2021E</v>
      </c>
      <c r="CJ5" s="24"/>
      <c r="CK5" s="24"/>
      <c r="CL5" s="24"/>
      <c r="CM5" s="26" t="str">
        <f>CI5</f>
        <v>2021E</v>
      </c>
      <c r="CN5" s="149"/>
      <c r="CO5" s="149"/>
      <c r="CP5" s="149"/>
      <c r="CQ5" s="149"/>
      <c r="CR5" s="149"/>
      <c r="CS5" s="149"/>
      <c r="CT5" s="149"/>
    </row>
    <row r="6" spans="1:110" ht="14.25" customHeight="1">
      <c r="A6" s="1830"/>
      <c r="C6" s="30">
        <f>IS!C8</f>
        <v>39113</v>
      </c>
      <c r="D6" s="28">
        <f>IS!D8</f>
        <v>39202</v>
      </c>
      <c r="E6" s="28">
        <f>IS!E8</f>
        <v>39293</v>
      </c>
      <c r="F6" s="28">
        <f>IS!F8</f>
        <v>39384</v>
      </c>
      <c r="G6" s="1826"/>
      <c r="H6" s="18"/>
      <c r="I6" s="30">
        <f>IS!I8</f>
        <v>39478</v>
      </c>
      <c r="J6" s="28">
        <f>IS!J8</f>
        <v>39567</v>
      </c>
      <c r="K6" s="28">
        <f>IS!K8</f>
        <v>39658</v>
      </c>
      <c r="L6" s="28">
        <f>IS!L8</f>
        <v>39749</v>
      </c>
      <c r="M6" s="1826"/>
      <c r="N6" s="18"/>
      <c r="O6" s="30">
        <f>IS!O8</f>
        <v>39843</v>
      </c>
      <c r="P6" s="28">
        <f>IS!P8</f>
        <v>39932</v>
      </c>
      <c r="Q6" s="28">
        <f>IS!Q8</f>
        <v>40023</v>
      </c>
      <c r="R6" s="28">
        <f>IS!R8</f>
        <v>40114</v>
      </c>
      <c r="S6" s="1826"/>
      <c r="T6" s="18"/>
      <c r="U6" s="30">
        <f>IS!U8</f>
        <v>40208</v>
      </c>
      <c r="V6" s="28">
        <f>IS!V8</f>
        <v>40297</v>
      </c>
      <c r="W6" s="28">
        <f>IS!W8</f>
        <v>40388</v>
      </c>
      <c r="X6" s="28">
        <f>IS!X8</f>
        <v>40479</v>
      </c>
      <c r="Y6" s="1827"/>
      <c r="Z6" s="18"/>
      <c r="AA6" s="30">
        <f>IS!AA8</f>
        <v>40573</v>
      </c>
      <c r="AB6" s="28">
        <f>IS!AB8</f>
        <v>40662</v>
      </c>
      <c r="AC6" s="28">
        <f>IS!AC8</f>
        <v>40753</v>
      </c>
      <c r="AD6" s="28">
        <f>IS!AD8</f>
        <v>40844</v>
      </c>
      <c r="AE6" s="1827"/>
      <c r="AF6" s="18"/>
      <c r="AG6" s="30">
        <f>IS!AG8</f>
        <v>40938</v>
      </c>
      <c r="AH6" s="28">
        <f>IS!AH8</f>
        <v>41027</v>
      </c>
      <c r="AI6" s="28">
        <f>IS!AI8</f>
        <v>41118</v>
      </c>
      <c r="AJ6" s="28">
        <f>IS!AJ8</f>
        <v>41209</v>
      </c>
      <c r="AK6" s="1828"/>
      <c r="AL6" s="18"/>
      <c r="AM6" s="30">
        <f>IS!AM8</f>
        <v>41303</v>
      </c>
      <c r="AN6" s="28">
        <f>IS!AN8</f>
        <v>41392</v>
      </c>
      <c r="AO6" s="28">
        <f>IS!AO8</f>
        <v>41483</v>
      </c>
      <c r="AP6" s="28">
        <f>IS!AP8</f>
        <v>41574</v>
      </c>
      <c r="AQ6" s="1828"/>
      <c r="AR6" s="18"/>
      <c r="AS6" s="30">
        <f>IS!AS8</f>
        <v>41668</v>
      </c>
      <c r="AT6" s="28">
        <f>IS!AT8</f>
        <v>41757</v>
      </c>
      <c r="AU6" s="28">
        <f>IS!AU8</f>
        <v>41846</v>
      </c>
      <c r="AV6" s="28">
        <f>IS!AV8</f>
        <v>41937</v>
      </c>
      <c r="AW6" s="1828"/>
      <c r="AX6" s="18"/>
      <c r="AY6" s="28">
        <f>IS!AY8</f>
        <v>42033</v>
      </c>
      <c r="AZ6" s="28">
        <f>IS!AZ8</f>
        <v>42122</v>
      </c>
      <c r="BA6" s="28">
        <f>IS!BA8</f>
        <v>42213</v>
      </c>
      <c r="BB6" s="28">
        <f>IS!BB8</f>
        <v>42304</v>
      </c>
      <c r="BC6" s="1828"/>
      <c r="BD6" s="18"/>
      <c r="BE6" s="28">
        <f>IS!BE8</f>
        <v>42398</v>
      </c>
      <c r="BF6" s="28">
        <f>IS!BF8</f>
        <v>42487</v>
      </c>
      <c r="BG6" s="28">
        <f>IS!BG8</f>
        <v>42578</v>
      </c>
      <c r="BH6" s="28">
        <f>IS!BH8</f>
        <v>42669</v>
      </c>
      <c r="BI6" s="1828"/>
      <c r="BJ6" s="18"/>
      <c r="BK6" s="28">
        <f>IS!BK8</f>
        <v>42763</v>
      </c>
      <c r="BL6" s="28">
        <f>IS!BL8</f>
        <v>42852</v>
      </c>
      <c r="BM6" s="28">
        <f>IS!BM8</f>
        <v>42943</v>
      </c>
      <c r="BN6" s="28">
        <f>IS!BN8</f>
        <v>43034</v>
      </c>
      <c r="BO6" s="1828"/>
      <c r="BP6" s="18"/>
      <c r="BQ6" s="28">
        <f>+IS!BQ8</f>
        <v>43128</v>
      </c>
      <c r="BR6" s="33">
        <f>+IS!BR8</f>
        <v>43217</v>
      </c>
      <c r="BS6" s="33">
        <f>+IS!BS8</f>
        <v>43308</v>
      </c>
      <c r="BT6" s="358">
        <f>+IS!BT8</f>
        <v>43399</v>
      </c>
      <c r="BU6" s="1828"/>
      <c r="BV6" s="18"/>
      <c r="BW6" s="35">
        <f>+IS!BW8</f>
        <v>43493</v>
      </c>
      <c r="BX6" s="33">
        <f>+IS!BX8</f>
        <v>43582</v>
      </c>
      <c r="BY6" s="33">
        <f>+IS!BY8</f>
        <v>43673</v>
      </c>
      <c r="BZ6" s="358">
        <f>+IS!BZ8</f>
        <v>43764</v>
      </c>
      <c r="CA6" s="1828"/>
      <c r="CB6" s="18"/>
      <c r="CC6" s="35">
        <f>+IS!CC8</f>
        <v>43858</v>
      </c>
      <c r="CD6" s="33">
        <f>+IS!CD8</f>
        <v>43947</v>
      </c>
      <c r="CE6" s="33">
        <f>+IS!CE8</f>
        <v>44038</v>
      </c>
      <c r="CF6" s="358">
        <f>+IS!CF8</f>
        <v>44129</v>
      </c>
      <c r="CG6" s="1828"/>
      <c r="CH6" s="359"/>
      <c r="CI6" s="35">
        <f>+IS!CI8</f>
        <v>44223</v>
      </c>
      <c r="CJ6" s="33">
        <f>+IS!CJ8</f>
        <v>44312</v>
      </c>
      <c r="CK6" s="33">
        <f>+IS!CK8</f>
        <v>44403</v>
      </c>
      <c r="CL6" s="358">
        <f>+IS!CL8</f>
        <v>44494</v>
      </c>
      <c r="CM6" s="1828"/>
      <c r="CN6" s="359"/>
      <c r="CO6" s="359"/>
      <c r="CP6" s="359"/>
      <c r="CQ6" s="359"/>
      <c r="CR6" s="359"/>
      <c r="CS6" s="359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</row>
    <row r="7" spans="1:110">
      <c r="A7" s="2180" t="s">
        <v>165</v>
      </c>
      <c r="B7" s="2181"/>
      <c r="C7" s="2182"/>
      <c r="D7" s="2183"/>
      <c r="E7" s="2183"/>
      <c r="F7" s="2183"/>
      <c r="G7" s="2184"/>
      <c r="H7" s="2185"/>
      <c r="I7" s="2182"/>
      <c r="J7" s="2183"/>
      <c r="K7" s="2183"/>
      <c r="L7" s="2183"/>
      <c r="M7" s="2184"/>
      <c r="N7" s="2185"/>
      <c r="O7" s="2182"/>
      <c r="P7" s="2183"/>
      <c r="Q7" s="2183"/>
      <c r="R7" s="2183"/>
      <c r="S7" s="2184"/>
      <c r="T7" s="2185"/>
      <c r="U7" s="2182"/>
      <c r="V7" s="2183"/>
      <c r="W7" s="2183"/>
      <c r="X7" s="2183"/>
      <c r="Y7" s="2184"/>
      <c r="Z7" s="2185"/>
      <c r="AA7" s="2182"/>
      <c r="AB7" s="2183"/>
      <c r="AC7" s="2183"/>
      <c r="AD7" s="2183"/>
      <c r="AE7" s="2183"/>
      <c r="AF7" s="2185"/>
      <c r="AG7" s="2182"/>
      <c r="AH7" s="2183"/>
      <c r="AI7" s="2183"/>
      <c r="AJ7" s="2183"/>
      <c r="AK7" s="2186"/>
      <c r="AL7" s="2185"/>
      <c r="AM7" s="2182"/>
      <c r="AN7" s="2187"/>
      <c r="AO7" s="2187"/>
      <c r="AP7" s="2187"/>
      <c r="AQ7" s="2188"/>
      <c r="AR7" s="2185"/>
      <c r="AS7" s="2189"/>
      <c r="AT7" s="2190"/>
      <c r="AU7" s="2187"/>
      <c r="AV7" s="2187"/>
      <c r="AW7" s="2188"/>
      <c r="AX7" s="2185"/>
      <c r="AY7" s="2189"/>
      <c r="AZ7" s="2187"/>
      <c r="BA7" s="2187"/>
      <c r="BB7" s="2187"/>
      <c r="BC7" s="2188"/>
      <c r="BD7" s="2185"/>
      <c r="BE7" s="2189"/>
      <c r="BF7" s="2187"/>
      <c r="BG7" s="2187"/>
      <c r="BH7" s="2191"/>
      <c r="BI7" s="2188"/>
      <c r="BJ7" s="2185"/>
      <c r="BK7" s="2189"/>
      <c r="BL7" s="2187"/>
      <c r="BM7" s="2187"/>
      <c r="BN7" s="2191"/>
      <c r="BO7" s="2188"/>
      <c r="BP7" s="2185"/>
      <c r="BQ7" s="2189"/>
      <c r="BR7" s="2187"/>
      <c r="BS7" s="2187"/>
      <c r="BT7" s="2191"/>
      <c r="BU7" s="2188"/>
      <c r="BV7" s="2185"/>
      <c r="BW7" s="2189"/>
      <c r="BX7" s="2187"/>
      <c r="BY7" s="2187"/>
      <c r="BZ7" s="2191"/>
      <c r="CA7" s="2188"/>
      <c r="CB7" s="2116"/>
      <c r="CC7" s="365"/>
      <c r="CD7" s="362"/>
      <c r="CE7" s="362"/>
      <c r="CF7" s="363"/>
      <c r="CG7" s="364"/>
      <c r="CH7" s="299"/>
      <c r="CI7" s="365"/>
      <c r="CJ7" s="362"/>
      <c r="CK7" s="362"/>
      <c r="CL7" s="363"/>
      <c r="CM7" s="364"/>
      <c r="CN7" s="299"/>
      <c r="CO7" s="299"/>
      <c r="CP7" s="299"/>
      <c r="CQ7" s="299"/>
      <c r="CR7" s="299"/>
      <c r="CS7" s="299"/>
    </row>
    <row r="8" spans="1:110" hidden="1" outlineLevel="2">
      <c r="A8" s="1332" t="s">
        <v>166</v>
      </c>
      <c r="B8" s="260"/>
      <c r="C8" s="1932">
        <v>250</v>
      </c>
      <c r="D8" s="1610">
        <v>245</v>
      </c>
      <c r="E8" s="1610">
        <v>258</v>
      </c>
      <c r="F8" s="1610">
        <v>293</v>
      </c>
      <c r="G8" s="1333">
        <f>SUM(C8:F8)</f>
        <v>1046</v>
      </c>
      <c r="H8" s="260"/>
      <c r="I8" s="1611">
        <v>306</v>
      </c>
      <c r="J8" s="1610">
        <v>302</v>
      </c>
      <c r="K8" s="1610">
        <v>308</v>
      </c>
      <c r="L8" s="1610">
        <v>342</v>
      </c>
      <c r="M8" s="1333">
        <f>SUM(I8:L8)</f>
        <v>1258</v>
      </c>
      <c r="N8" s="260"/>
      <c r="O8" s="1611">
        <v>255</v>
      </c>
      <c r="P8" s="1610">
        <v>237</v>
      </c>
      <c r="Q8" s="1610">
        <v>235</v>
      </c>
      <c r="R8" s="1610">
        <v>261</v>
      </c>
      <c r="S8" s="1333">
        <f>SUM(O8:R8)</f>
        <v>988</v>
      </c>
      <c r="T8" s="260"/>
      <c r="U8" s="1611">
        <v>278</v>
      </c>
      <c r="V8" s="1610">
        <v>267</v>
      </c>
      <c r="W8" s="1610">
        <v>314</v>
      </c>
      <c r="X8" s="1610">
        <v>367</v>
      </c>
      <c r="Y8" s="1333">
        <f>SUM(U8:X8)</f>
        <v>1226</v>
      </c>
      <c r="Z8" s="260"/>
      <c r="AA8" s="1611">
        <v>338</v>
      </c>
      <c r="AB8" s="1610">
        <v>392</v>
      </c>
      <c r="AC8" s="1610">
        <v>383</v>
      </c>
      <c r="AD8" s="1610">
        <v>402</v>
      </c>
      <c r="AE8" s="1333">
        <f>SUM(AA8:AD8)</f>
        <v>1515</v>
      </c>
      <c r="AF8" s="260"/>
      <c r="AG8" s="1611">
        <v>395</v>
      </c>
      <c r="AH8" s="1610">
        <v>395</v>
      </c>
      <c r="AI8" s="1610">
        <v>391</v>
      </c>
      <c r="AJ8" s="1610">
        <v>401</v>
      </c>
      <c r="AK8" s="1333">
        <f t="shared" ref="AK8:AK17" si="0">SUM(AG8:AJ8)</f>
        <v>1582</v>
      </c>
      <c r="AL8" s="260"/>
      <c r="AM8" s="1611">
        <v>401</v>
      </c>
      <c r="AN8" s="1610">
        <v>405</v>
      </c>
      <c r="AO8" s="1610">
        <v>401</v>
      </c>
      <c r="AP8" s="1610">
        <v>420.42172450052573</v>
      </c>
      <c r="AQ8" s="1333">
        <f t="shared" ref="AQ8:AQ17" si="1">SUM(AM8:AP8)</f>
        <v>1627.4217245005257</v>
      </c>
      <c r="AR8" s="260"/>
      <c r="AS8" s="1611">
        <v>401</v>
      </c>
      <c r="AT8" s="1610">
        <v>405</v>
      </c>
      <c r="AU8" s="1610">
        <v>401</v>
      </c>
      <c r="AV8" s="1336"/>
      <c r="AW8" s="1333"/>
      <c r="AX8" s="260"/>
      <c r="AY8" s="1335"/>
      <c r="AZ8" s="1336"/>
      <c r="BA8" s="1336"/>
      <c r="BB8" s="1336"/>
      <c r="BC8" s="1333"/>
      <c r="BD8" s="260"/>
      <c r="BE8" s="1335"/>
      <c r="BF8" s="1336"/>
      <c r="BG8" s="1336"/>
      <c r="BH8" s="1334"/>
      <c r="BI8" s="1333"/>
      <c r="BJ8" s="260"/>
      <c r="BK8" s="1335"/>
      <c r="BL8" s="1336"/>
      <c r="BM8" s="1336"/>
      <c r="BN8" s="1334"/>
      <c r="BO8" s="1333"/>
      <c r="BP8" s="260"/>
      <c r="BQ8" s="1335"/>
      <c r="BR8" s="1336"/>
      <c r="BS8" s="1336"/>
      <c r="BT8" s="1334"/>
      <c r="BU8" s="1333"/>
      <c r="BV8" s="260"/>
      <c r="BW8" s="1335"/>
      <c r="BX8" s="1336"/>
      <c r="BY8" s="1336"/>
      <c r="BZ8" s="1334"/>
      <c r="CA8" s="1333"/>
      <c r="CB8" s="1336"/>
      <c r="CC8" s="1335"/>
      <c r="CD8" s="1336"/>
      <c r="CE8" s="1336"/>
      <c r="CF8" s="1334"/>
      <c r="CG8" s="1333"/>
      <c r="CH8" s="260"/>
      <c r="CI8" s="1335"/>
      <c r="CJ8" s="1336"/>
      <c r="CK8" s="1336"/>
      <c r="CL8" s="1334"/>
      <c r="CM8" s="1333"/>
      <c r="CN8" s="260"/>
      <c r="CO8" s="260"/>
      <c r="CP8" s="260"/>
      <c r="CQ8" s="260"/>
      <c r="CR8" s="260"/>
      <c r="CS8" s="260"/>
      <c r="CT8" s="366"/>
      <c r="CU8" s="366"/>
      <c r="CV8" s="366"/>
      <c r="CW8" s="366"/>
      <c r="CX8" s="366"/>
      <c r="CY8" s="366"/>
      <c r="CZ8" s="366"/>
      <c r="DA8" s="366"/>
      <c r="DB8" s="366"/>
      <c r="DC8" s="366"/>
      <c r="DD8" s="366"/>
      <c r="DE8" s="366"/>
      <c r="DF8" s="366"/>
    </row>
    <row r="9" spans="1:110" hidden="1" outlineLevel="2">
      <c r="A9" s="1332" t="s">
        <v>167</v>
      </c>
      <c r="B9" s="260"/>
      <c r="C9" s="1323"/>
      <c r="D9" s="1324"/>
      <c r="E9" s="1324"/>
      <c r="F9" s="1337"/>
      <c r="G9" s="1326">
        <f>SUM(C9:F9)</f>
        <v>0</v>
      </c>
      <c r="H9" s="260"/>
      <c r="I9" s="1323"/>
      <c r="J9" s="1324"/>
      <c r="K9" s="1324"/>
      <c r="L9" s="1337"/>
      <c r="M9" s="1338"/>
      <c r="N9" s="260"/>
      <c r="O9" s="1587">
        <v>54</v>
      </c>
      <c r="P9" s="1588">
        <v>61</v>
      </c>
      <c r="Q9" s="1588">
        <v>58</v>
      </c>
      <c r="R9" s="1612">
        <v>58</v>
      </c>
      <c r="S9" s="1338">
        <f>SUM(O9:R9)</f>
        <v>231</v>
      </c>
      <c r="T9" s="260"/>
      <c r="U9" s="1587">
        <v>62</v>
      </c>
      <c r="V9" s="1588">
        <v>67</v>
      </c>
      <c r="W9" s="1588">
        <v>60</v>
      </c>
      <c r="X9" s="1612">
        <v>64</v>
      </c>
      <c r="Y9" s="1338">
        <f>SUM(U9:X9)</f>
        <v>253</v>
      </c>
      <c r="Z9" s="260"/>
      <c r="AA9" s="1587">
        <v>66</v>
      </c>
      <c r="AB9" s="1588">
        <v>72</v>
      </c>
      <c r="AC9" s="1588">
        <v>70</v>
      </c>
      <c r="AD9" s="1612">
        <v>69</v>
      </c>
      <c r="AE9" s="1338">
        <f>SUM(AA9:AD9)</f>
        <v>277</v>
      </c>
      <c r="AF9" s="260"/>
      <c r="AG9" s="1587">
        <v>66</v>
      </c>
      <c r="AH9" s="1588">
        <v>74</v>
      </c>
      <c r="AI9" s="1588">
        <v>106</v>
      </c>
      <c r="AJ9" s="1588">
        <v>156</v>
      </c>
      <c r="AK9" s="1326">
        <f t="shared" si="0"/>
        <v>402</v>
      </c>
      <c r="AL9" s="260"/>
      <c r="AM9" s="1587">
        <v>163</v>
      </c>
      <c r="AN9" s="1588">
        <v>166</v>
      </c>
      <c r="AO9" s="1588">
        <v>163</v>
      </c>
      <c r="AP9" s="1588">
        <v>180.57827549947427</v>
      </c>
      <c r="AQ9" s="1326">
        <f t="shared" si="1"/>
        <v>672.57827549947433</v>
      </c>
      <c r="AR9" s="260"/>
      <c r="AS9" s="1587">
        <v>190</v>
      </c>
      <c r="AT9" s="1588">
        <v>172</v>
      </c>
      <c r="AU9" s="1588">
        <v>191</v>
      </c>
      <c r="AV9" s="1829"/>
      <c r="AW9" s="1326"/>
      <c r="AX9" s="260"/>
      <c r="AY9" s="1339"/>
      <c r="AZ9" s="1340"/>
      <c r="BA9" s="1340"/>
      <c r="BB9" s="1340"/>
      <c r="BC9" s="1326"/>
      <c r="BD9" s="260"/>
      <c r="BE9" s="1339"/>
      <c r="BF9" s="1340"/>
      <c r="BG9" s="1340"/>
      <c r="BH9" s="1338"/>
      <c r="BI9" s="1326"/>
      <c r="BJ9" s="260"/>
      <c r="BK9" s="1339"/>
      <c r="BL9" s="1340"/>
      <c r="BM9" s="1340"/>
      <c r="BN9" s="1338"/>
      <c r="BO9" s="1326"/>
      <c r="BP9" s="260"/>
      <c r="BQ9" s="1339"/>
      <c r="BR9" s="1340"/>
      <c r="BS9" s="1340"/>
      <c r="BT9" s="1338"/>
      <c r="BU9" s="1326"/>
      <c r="BV9" s="260"/>
      <c r="BW9" s="1339"/>
      <c r="BX9" s="1340"/>
      <c r="BY9" s="1340"/>
      <c r="BZ9" s="1338"/>
      <c r="CA9" s="1326"/>
      <c r="CB9" s="1340"/>
      <c r="CC9" s="1339"/>
      <c r="CD9" s="1340"/>
      <c r="CE9" s="1340"/>
      <c r="CF9" s="1338"/>
      <c r="CG9" s="1326"/>
      <c r="CH9" s="260"/>
      <c r="CI9" s="1339"/>
      <c r="CJ9" s="1340"/>
      <c r="CK9" s="1340"/>
      <c r="CL9" s="1338"/>
      <c r="CM9" s="1326"/>
      <c r="CN9" s="260"/>
      <c r="CO9" s="260"/>
      <c r="CP9" s="260"/>
      <c r="CQ9" s="260"/>
      <c r="CR9" s="260"/>
      <c r="CS9" s="260"/>
      <c r="CT9" s="366"/>
      <c r="CU9" s="366"/>
      <c r="CV9" s="366"/>
      <c r="CW9" s="366"/>
      <c r="CX9" s="366"/>
      <c r="CY9" s="366"/>
      <c r="CZ9" s="366"/>
      <c r="DA9" s="366"/>
      <c r="DB9" s="366"/>
      <c r="DC9" s="366"/>
      <c r="DD9" s="366"/>
      <c r="DE9" s="366"/>
      <c r="DF9" s="366"/>
    </row>
    <row r="10" spans="1:110" hidden="1" outlineLevel="2">
      <c r="A10" s="1341" t="s">
        <v>101</v>
      </c>
      <c r="B10" s="260"/>
      <c r="C10" s="1587">
        <v>205</v>
      </c>
      <c r="D10" s="1588">
        <v>183</v>
      </c>
      <c r="E10" s="1588">
        <v>211</v>
      </c>
      <c r="F10" s="1612">
        <v>231</v>
      </c>
      <c r="G10" s="1326">
        <f>SUM(C10:F10)</f>
        <v>830</v>
      </c>
      <c r="H10" s="260"/>
      <c r="I10" s="1587">
        <v>225</v>
      </c>
      <c r="J10" s="1588">
        <v>228</v>
      </c>
      <c r="K10" s="1588">
        <v>232</v>
      </c>
      <c r="L10" s="1612">
        <v>252</v>
      </c>
      <c r="M10" s="1338">
        <f>SUM(I10:L10)</f>
        <v>937</v>
      </c>
      <c r="N10" s="260"/>
      <c r="O10" s="1587">
        <v>216</v>
      </c>
      <c r="P10" s="1588">
        <v>200</v>
      </c>
      <c r="Q10" s="1588">
        <v>203</v>
      </c>
      <c r="R10" s="1612">
        <v>225</v>
      </c>
      <c r="S10" s="1326">
        <f>SUM(O10:R10)</f>
        <v>844</v>
      </c>
      <c r="T10" s="260"/>
      <c r="U10" s="1587">
        <v>244</v>
      </c>
      <c r="V10" s="1588">
        <v>238</v>
      </c>
      <c r="W10" s="1588">
        <v>329</v>
      </c>
      <c r="X10" s="1612">
        <v>389</v>
      </c>
      <c r="Y10" s="1338">
        <f>SUM(U10:X10)</f>
        <v>1200</v>
      </c>
      <c r="Z10" s="260"/>
      <c r="AA10" s="1587">
        <v>349</v>
      </c>
      <c r="AB10" s="1588">
        <v>381</v>
      </c>
      <c r="AC10" s="1588">
        <v>383</v>
      </c>
      <c r="AD10" s="1612">
        <v>405</v>
      </c>
      <c r="AE10" s="1326">
        <f>SUM(AA10:AD10)</f>
        <v>1518</v>
      </c>
      <c r="AF10" s="260"/>
      <c r="AG10" s="1587">
        <v>396</v>
      </c>
      <c r="AH10" s="1588">
        <v>388</v>
      </c>
      <c r="AI10" s="1588">
        <v>381</v>
      </c>
      <c r="AJ10" s="1588">
        <v>394</v>
      </c>
      <c r="AK10" s="1326">
        <f t="shared" si="0"/>
        <v>1559</v>
      </c>
      <c r="AL10" s="260"/>
      <c r="AM10" s="1587">
        <v>394</v>
      </c>
      <c r="AN10" s="1588">
        <v>401</v>
      </c>
      <c r="AO10" s="1588">
        <v>387</v>
      </c>
      <c r="AP10" s="1588">
        <v>412</v>
      </c>
      <c r="AQ10" s="1326">
        <f t="shared" si="1"/>
        <v>1594</v>
      </c>
      <c r="AR10" s="260"/>
      <c r="AS10" s="1587">
        <v>417</v>
      </c>
      <c r="AT10" s="1588">
        <v>411</v>
      </c>
      <c r="AU10" s="1588">
        <v>417</v>
      </c>
      <c r="AV10" s="1588">
        <v>431</v>
      </c>
      <c r="AW10" s="1326">
        <f t="shared" ref="AW10:AW17" si="2">SUM(AS10:AV10)</f>
        <v>1676</v>
      </c>
      <c r="AX10" s="260"/>
      <c r="AY10" s="1339"/>
      <c r="AZ10" s="1340"/>
      <c r="BA10" s="1340"/>
      <c r="BB10" s="1340"/>
      <c r="BC10" s="1326"/>
      <c r="BD10" s="260"/>
      <c r="BE10" s="1339"/>
      <c r="BF10" s="1340"/>
      <c r="BG10" s="1340"/>
      <c r="BH10" s="1338"/>
      <c r="BI10" s="1326"/>
      <c r="BJ10" s="260"/>
      <c r="BK10" s="1339"/>
      <c r="BL10" s="1340"/>
      <c r="BM10" s="1340"/>
      <c r="BN10" s="1338"/>
      <c r="BO10" s="1326"/>
      <c r="BP10" s="260"/>
      <c r="BQ10" s="1339"/>
      <c r="BR10" s="1340"/>
      <c r="BS10" s="1340"/>
      <c r="BT10" s="1338"/>
      <c r="BU10" s="1326"/>
      <c r="BV10" s="260"/>
      <c r="BW10" s="1339"/>
      <c r="BX10" s="1340"/>
      <c r="BY10" s="1340"/>
      <c r="BZ10" s="1338"/>
      <c r="CA10" s="1326"/>
      <c r="CB10" s="1340"/>
      <c r="CC10" s="1339"/>
      <c r="CD10" s="1340"/>
      <c r="CE10" s="1340"/>
      <c r="CF10" s="1338"/>
      <c r="CG10" s="1326"/>
      <c r="CH10" s="260"/>
      <c r="CI10" s="1339"/>
      <c r="CJ10" s="1340"/>
      <c r="CK10" s="1340"/>
      <c r="CL10" s="1338"/>
      <c r="CM10" s="1326"/>
      <c r="CN10" s="260"/>
      <c r="CO10" s="260"/>
      <c r="CP10" s="260"/>
      <c r="CQ10" s="260"/>
      <c r="CR10" s="260"/>
      <c r="CS10" s="260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</row>
    <row r="11" spans="1:110" hidden="1" outlineLevel="2">
      <c r="A11" s="1342" t="s">
        <v>103</v>
      </c>
      <c r="B11" s="258"/>
      <c r="C11" s="1339">
        <f>+C8+C9</f>
        <v>250</v>
      </c>
      <c r="D11" s="1340">
        <f>+D8+D9</f>
        <v>245</v>
      </c>
      <c r="E11" s="1340">
        <f>+E8+E9</f>
        <v>258</v>
      </c>
      <c r="F11" s="1340">
        <f>+F8+F9</f>
        <v>293</v>
      </c>
      <c r="G11" s="1326">
        <f>SUM(C11:F11)</f>
        <v>1046</v>
      </c>
      <c r="H11" s="258"/>
      <c r="I11" s="1339">
        <f>+I8+I9</f>
        <v>306</v>
      </c>
      <c r="J11" s="1340">
        <f>+J8+J9</f>
        <v>302</v>
      </c>
      <c r="K11" s="1340">
        <f>+K8+K9</f>
        <v>308</v>
      </c>
      <c r="L11" s="1340">
        <f>+L8+L9</f>
        <v>342</v>
      </c>
      <c r="M11" s="1326">
        <f>SUM(I11:L11)</f>
        <v>1258</v>
      </c>
      <c r="N11" s="258"/>
      <c r="O11" s="1339">
        <f>+O8+O9</f>
        <v>309</v>
      </c>
      <c r="P11" s="1340">
        <f>+P8+P9</f>
        <v>298</v>
      </c>
      <c r="Q11" s="1340">
        <f>+Q8+Q9</f>
        <v>293</v>
      </c>
      <c r="R11" s="1340">
        <f>+R8+R9</f>
        <v>319</v>
      </c>
      <c r="S11" s="1326">
        <f>SUM(O11:R11)</f>
        <v>1219</v>
      </c>
      <c r="T11" s="258"/>
      <c r="U11" s="1339">
        <f>+U8+U9</f>
        <v>340</v>
      </c>
      <c r="V11" s="1340">
        <f>+V8+V9</f>
        <v>334</v>
      </c>
      <c r="W11" s="1340">
        <f>+W8+W9</f>
        <v>374</v>
      </c>
      <c r="X11" s="1338">
        <f>+X8+X9</f>
        <v>431</v>
      </c>
      <c r="Y11" s="1338">
        <f>SUM(U11:X11)</f>
        <v>1479</v>
      </c>
      <c r="Z11" s="258"/>
      <c r="AA11" s="1339">
        <f>+AA8+AA9</f>
        <v>404</v>
      </c>
      <c r="AB11" s="1340">
        <f>+AB8+AB9</f>
        <v>464</v>
      </c>
      <c r="AC11" s="1340">
        <f>+AC8+AC9</f>
        <v>453</v>
      </c>
      <c r="AD11" s="1338">
        <f>+AD8+AD9</f>
        <v>471</v>
      </c>
      <c r="AE11" s="1338">
        <f>SUM(AA11:AD11)</f>
        <v>1792</v>
      </c>
      <c r="AF11" s="258"/>
      <c r="AG11" s="1339">
        <f>+AG8+AG9</f>
        <v>461</v>
      </c>
      <c r="AH11" s="1340">
        <f>+AH8+AH9</f>
        <v>469</v>
      </c>
      <c r="AI11" s="1340">
        <f>+AI8+AI9</f>
        <v>497</v>
      </c>
      <c r="AJ11" s="1340">
        <f>+AJ8+AJ9</f>
        <v>557</v>
      </c>
      <c r="AK11" s="1326">
        <f t="shared" si="0"/>
        <v>1984</v>
      </c>
      <c r="AL11" s="258"/>
      <c r="AM11" s="1339">
        <f>+AM8+AM9</f>
        <v>564</v>
      </c>
      <c r="AN11" s="1340">
        <f>+AN8+AN9</f>
        <v>571</v>
      </c>
      <c r="AO11" s="1340">
        <f>+AO8+AO9</f>
        <v>564</v>
      </c>
      <c r="AP11" s="1588">
        <v>601</v>
      </c>
      <c r="AQ11" s="1326">
        <f t="shared" si="1"/>
        <v>2300</v>
      </c>
      <c r="AR11" s="258"/>
      <c r="AS11" s="1587">
        <v>591</v>
      </c>
      <c r="AT11" s="1588">
        <v>577</v>
      </c>
      <c r="AU11" s="1588">
        <v>592</v>
      </c>
      <c r="AV11" s="1588">
        <v>612</v>
      </c>
      <c r="AW11" s="1326">
        <f t="shared" si="2"/>
        <v>2372</v>
      </c>
      <c r="AX11" s="258"/>
      <c r="AY11" s="1339"/>
      <c r="AZ11" s="1340"/>
      <c r="BA11" s="1340"/>
      <c r="BB11" s="1340"/>
      <c r="BC11" s="1326"/>
      <c r="BD11" s="258"/>
      <c r="BE11" s="1339"/>
      <c r="BF11" s="1340"/>
      <c r="BG11" s="1340"/>
      <c r="BH11" s="1338"/>
      <c r="BI11" s="1326"/>
      <c r="BJ11" s="258"/>
      <c r="BK11" s="1339"/>
      <c r="BL11" s="1340"/>
      <c r="BM11" s="1340"/>
      <c r="BN11" s="1338"/>
      <c r="BO11" s="1326"/>
      <c r="BP11" s="258"/>
      <c r="BQ11" s="1339"/>
      <c r="BR11" s="1340"/>
      <c r="BS11" s="1340"/>
      <c r="BT11" s="1338"/>
      <c r="BU11" s="1326"/>
      <c r="BV11" s="258"/>
      <c r="BW11" s="1339"/>
      <c r="BX11" s="1340"/>
      <c r="BY11" s="1340"/>
      <c r="BZ11" s="1338"/>
      <c r="CA11" s="1326"/>
      <c r="CB11" s="1340"/>
      <c r="CC11" s="1339"/>
      <c r="CD11" s="1340"/>
      <c r="CE11" s="1340"/>
      <c r="CF11" s="1338"/>
      <c r="CG11" s="1326"/>
      <c r="CH11" s="258"/>
      <c r="CI11" s="1339"/>
      <c r="CJ11" s="1340"/>
      <c r="CK11" s="1340"/>
      <c r="CL11" s="1338"/>
      <c r="CM11" s="1326"/>
      <c r="CN11" s="258"/>
      <c r="CO11" s="258"/>
      <c r="CP11" s="258"/>
      <c r="CQ11" s="258"/>
      <c r="CR11" s="258"/>
      <c r="CS11" s="258"/>
      <c r="CT11" s="367"/>
      <c r="CU11" s="367"/>
      <c r="CV11" s="367"/>
      <c r="CW11" s="367"/>
      <c r="CX11" s="367"/>
      <c r="CY11" s="367"/>
      <c r="CZ11" s="367"/>
      <c r="DA11" s="367"/>
      <c r="DB11" s="367"/>
      <c r="DC11" s="367"/>
      <c r="DD11" s="367"/>
      <c r="DE11" s="367"/>
      <c r="DF11" s="367"/>
    </row>
    <row r="12" spans="1:110" collapsed="1">
      <c r="A12" s="368" t="s">
        <v>105</v>
      </c>
      <c r="B12" s="258"/>
      <c r="C12" s="369"/>
      <c r="D12" s="258"/>
      <c r="E12" s="258"/>
      <c r="F12" s="258"/>
      <c r="G12" s="257"/>
      <c r="H12" s="258"/>
      <c r="I12" s="369"/>
      <c r="J12" s="258"/>
      <c r="K12" s="258"/>
      <c r="L12" s="258"/>
      <c r="M12" s="257"/>
      <c r="N12" s="258"/>
      <c r="O12" s="369"/>
      <c r="P12" s="258"/>
      <c r="Q12" s="258"/>
      <c r="R12" s="258"/>
      <c r="S12" s="257"/>
      <c r="T12" s="258"/>
      <c r="U12" s="369"/>
      <c r="V12" s="258"/>
      <c r="W12" s="258"/>
      <c r="X12" s="259"/>
      <c r="Y12" s="259"/>
      <c r="Z12" s="258"/>
      <c r="AA12" s="369"/>
      <c r="AB12" s="258"/>
      <c r="AC12" s="258"/>
      <c r="AD12" s="259"/>
      <c r="AE12" s="259"/>
      <c r="AF12" s="258"/>
      <c r="AG12" s="1583">
        <v>517</v>
      </c>
      <c r="AH12" s="1584">
        <v>498</v>
      </c>
      <c r="AI12" s="1584">
        <v>496</v>
      </c>
      <c r="AJ12" s="1584">
        <v>506</v>
      </c>
      <c r="AK12" s="257">
        <f t="shared" si="0"/>
        <v>2017</v>
      </c>
      <c r="AL12" s="258"/>
      <c r="AM12" s="1583">
        <v>511</v>
      </c>
      <c r="AN12" s="1584">
        <v>508</v>
      </c>
      <c r="AO12" s="1584">
        <v>489</v>
      </c>
      <c r="AP12" s="1584">
        <v>527</v>
      </c>
      <c r="AQ12" s="257">
        <f t="shared" si="1"/>
        <v>2035</v>
      </c>
      <c r="AR12" s="258"/>
      <c r="AS12" s="1583">
        <v>537</v>
      </c>
      <c r="AT12" s="1584">
        <v>495</v>
      </c>
      <c r="AU12" s="1584">
        <v>507</v>
      </c>
      <c r="AV12" s="1584">
        <v>539</v>
      </c>
      <c r="AW12" s="257">
        <f t="shared" si="2"/>
        <v>2078</v>
      </c>
      <c r="AX12" s="258"/>
      <c r="AY12" s="1583">
        <v>547</v>
      </c>
      <c r="AZ12" s="1584">
        <v>473</v>
      </c>
      <c r="BA12" s="1584">
        <v>511</v>
      </c>
      <c r="BB12" s="1584">
        <v>515</v>
      </c>
      <c r="BC12" s="257">
        <f t="shared" ref="BC12:BC17" si="3">SUM(AY12:BB12)</f>
        <v>2046</v>
      </c>
      <c r="BD12" s="258"/>
      <c r="BE12" s="1583">
        <v>526</v>
      </c>
      <c r="BF12" s="1584">
        <v>495</v>
      </c>
      <c r="BG12" s="1584">
        <v>504</v>
      </c>
      <c r="BH12" s="1584">
        <v>548</v>
      </c>
      <c r="BI12" s="257">
        <f t="shared" ref="BI12:BI17" si="4">SUM(BE12:BH12)</f>
        <v>2073</v>
      </c>
      <c r="BJ12" s="258"/>
      <c r="BK12" s="2144">
        <v>540</v>
      </c>
      <c r="BL12" s="2210">
        <v>523</v>
      </c>
      <c r="BM12" s="2210">
        <v>531</v>
      </c>
      <c r="BN12" s="2422">
        <v>575</v>
      </c>
      <c r="BO12" s="257">
        <f t="shared" ref="BO12:BO17" si="5">SUM(BK12:BN12)</f>
        <v>2169</v>
      </c>
      <c r="BP12" s="258"/>
      <c r="BQ12" s="2144">
        <v>618</v>
      </c>
      <c r="BR12" s="258">
        <f>BL12*(1+BR41)</f>
        <v>597.48899999999992</v>
      </c>
      <c r="BS12" s="258">
        <f>BM12*(1+BS41)</f>
        <v>577.87299999999993</v>
      </c>
      <c r="BT12" s="259">
        <f>BN12*(1+BT41)</f>
        <v>618.70000000000005</v>
      </c>
      <c r="BU12" s="257">
        <f t="shared" ref="BU12:BU17" si="6">SUM(BQ12:BT12)</f>
        <v>2412.0619999999999</v>
      </c>
      <c r="BV12" s="258"/>
      <c r="BW12" s="369">
        <f>BQ12*(1+BW41)</f>
        <v>655.08000000000004</v>
      </c>
      <c r="BX12" s="258">
        <f>BR12*(1+BX41)</f>
        <v>633.3383399999999</v>
      </c>
      <c r="BY12" s="258">
        <f>BS12*(1+BY41)</f>
        <v>612.54537999999991</v>
      </c>
      <c r="BZ12" s="259">
        <f>BT12*(1+BZ41)</f>
        <v>655.82200000000012</v>
      </c>
      <c r="CA12" s="257">
        <f t="shared" ref="CA12:CA17" si="7">SUM(BW12:BZ12)</f>
        <v>2556.7857199999999</v>
      </c>
      <c r="CB12" s="258"/>
      <c r="CC12" s="369">
        <f>BW12*(1+CC41)</f>
        <v>674.7324000000001</v>
      </c>
      <c r="CD12" s="258">
        <f>BX12*(1+CD41)</f>
        <v>652.33849019999991</v>
      </c>
      <c r="CE12" s="258">
        <f>BY12*(1+CE41)</f>
        <v>630.92174139999997</v>
      </c>
      <c r="CF12" s="259">
        <f>BZ12*(1+CF41)</f>
        <v>675.49666000000013</v>
      </c>
      <c r="CG12" s="257">
        <f t="shared" ref="CG12:CG17" si="8">SUM(CC12:CF12)</f>
        <v>2633.4892916000003</v>
      </c>
      <c r="CH12" s="258"/>
      <c r="CI12" s="369">
        <f>CC12*(1+CI41)</f>
        <v>694.97437200000013</v>
      </c>
      <c r="CJ12" s="258">
        <f>CD12*(1+CJ41)</f>
        <v>671.90864490599995</v>
      </c>
      <c r="CK12" s="258">
        <f>CE12*(1+CK41)</f>
        <v>649.849393642</v>
      </c>
      <c r="CL12" s="259">
        <f>CF12*(1+CL41)</f>
        <v>695.7615598000001</v>
      </c>
      <c r="CM12" s="257">
        <f t="shared" ref="CM12:CM17" si="9">SUM(CI12:CL12)</f>
        <v>2712.4939703480004</v>
      </c>
      <c r="CN12" s="258"/>
      <c r="CO12" s="258"/>
      <c r="CP12" s="258"/>
      <c r="CQ12" s="258"/>
      <c r="CR12" s="258"/>
      <c r="CS12" s="258"/>
      <c r="CT12" s="367"/>
      <c r="CU12" s="367"/>
      <c r="CV12" s="367"/>
      <c r="CW12" s="367"/>
      <c r="CX12" s="367"/>
      <c r="CY12" s="367"/>
      <c r="CZ12" s="367"/>
      <c r="DA12" s="367"/>
      <c r="DB12" s="367"/>
      <c r="DC12" s="367"/>
      <c r="DD12" s="367"/>
      <c r="DE12" s="367"/>
      <c r="DF12" s="367"/>
    </row>
    <row r="13" spans="1:110">
      <c r="A13" s="368" t="s">
        <v>99</v>
      </c>
      <c r="B13" s="258"/>
      <c r="C13" s="369"/>
      <c r="D13" s="258"/>
      <c r="E13" s="258"/>
      <c r="F13" s="258"/>
      <c r="G13" s="257"/>
      <c r="H13" s="258"/>
      <c r="I13" s="369"/>
      <c r="J13" s="258"/>
      <c r="K13" s="258"/>
      <c r="L13" s="258"/>
      <c r="M13" s="257"/>
      <c r="N13" s="258"/>
      <c r="O13" s="369"/>
      <c r="P13" s="258"/>
      <c r="Q13" s="258"/>
      <c r="R13" s="258"/>
      <c r="S13" s="257"/>
      <c r="T13" s="258"/>
      <c r="U13" s="369"/>
      <c r="V13" s="258"/>
      <c r="W13" s="258"/>
      <c r="X13" s="259"/>
      <c r="Y13" s="259"/>
      <c r="Z13" s="258"/>
      <c r="AA13" s="369"/>
      <c r="AB13" s="258"/>
      <c r="AC13" s="258"/>
      <c r="AD13" s="259"/>
      <c r="AE13" s="259"/>
      <c r="AF13" s="258"/>
      <c r="AG13" s="1583">
        <v>59</v>
      </c>
      <c r="AH13" s="1584">
        <v>67</v>
      </c>
      <c r="AI13" s="1584">
        <v>97</v>
      </c>
      <c r="AJ13" s="1584">
        <v>153</v>
      </c>
      <c r="AK13" s="257">
        <f t="shared" si="0"/>
        <v>376</v>
      </c>
      <c r="AL13" s="258"/>
      <c r="AM13" s="1583">
        <v>153</v>
      </c>
      <c r="AN13" s="1584">
        <v>157</v>
      </c>
      <c r="AO13" s="1584">
        <v>157</v>
      </c>
      <c r="AP13" s="1584">
        <v>168</v>
      </c>
      <c r="AQ13" s="257">
        <f t="shared" si="1"/>
        <v>635</v>
      </c>
      <c r="AR13" s="258"/>
      <c r="AS13" s="1583">
        <v>157</v>
      </c>
      <c r="AT13" s="1584">
        <v>168</v>
      </c>
      <c r="AU13" s="1584">
        <v>166</v>
      </c>
      <c r="AV13" s="1584">
        <v>172</v>
      </c>
      <c r="AW13" s="257">
        <f t="shared" si="2"/>
        <v>663</v>
      </c>
      <c r="AX13" s="258"/>
      <c r="AY13" s="1583">
        <v>148</v>
      </c>
      <c r="AZ13" s="1584">
        <v>169</v>
      </c>
      <c r="BA13" s="1584">
        <v>167</v>
      </c>
      <c r="BB13" s="1584">
        <v>178</v>
      </c>
      <c r="BC13" s="257">
        <f t="shared" si="3"/>
        <v>662</v>
      </c>
      <c r="BD13" s="258"/>
      <c r="BE13" s="1583">
        <v>158</v>
      </c>
      <c r="BF13" s="1584">
        <v>178</v>
      </c>
      <c r="BG13" s="1584">
        <v>180</v>
      </c>
      <c r="BH13" s="1584">
        <v>193</v>
      </c>
      <c r="BI13" s="257">
        <f t="shared" si="4"/>
        <v>709</v>
      </c>
      <c r="BJ13" s="258"/>
      <c r="BK13" s="2144">
        <v>164</v>
      </c>
      <c r="BL13" s="2210">
        <v>201</v>
      </c>
      <c r="BM13" s="2210">
        <v>197</v>
      </c>
      <c r="BN13" s="2422">
        <v>210</v>
      </c>
      <c r="BO13" s="257">
        <f t="shared" si="5"/>
        <v>772</v>
      </c>
      <c r="BP13" s="258"/>
      <c r="BQ13" s="2144">
        <v>185</v>
      </c>
      <c r="BR13" s="258">
        <f>SUM(BR14:BR16)</f>
        <v>221.90090794649836</v>
      </c>
      <c r="BS13" s="258">
        <f>SUM(BS14:BS16)</f>
        <v>220.00838524469472</v>
      </c>
      <c r="BT13" s="259">
        <f>SUM(BT14:BT16)</f>
        <v>234.65781527196759</v>
      </c>
      <c r="BU13" s="257">
        <f t="shared" si="6"/>
        <v>861.56710846316071</v>
      </c>
      <c r="BV13" s="258"/>
      <c r="BW13" s="369">
        <f>SUM(BW14:BW16)</f>
        <v>196.86585780879383</v>
      </c>
      <c r="BX13" s="258">
        <f>SUM(BX14:BX16)</f>
        <v>235.98762765842821</v>
      </c>
      <c r="BY13" s="258">
        <f>SUM(BY14:BY16)</f>
        <v>250.32172248058751</v>
      </c>
      <c r="BZ13" s="259">
        <f>SUM(BZ14:BZ16)</f>
        <v>263.63002429495771</v>
      </c>
      <c r="CA13" s="257">
        <f t="shared" si="7"/>
        <v>946.80523224276726</v>
      </c>
      <c r="CB13" s="258"/>
      <c r="CC13" s="369">
        <f>SUM(CC14:CC16)</f>
        <v>220.20706995251999</v>
      </c>
      <c r="CD13" s="258">
        <f>SUM(CD14:CD16)</f>
        <v>264.50786499193214</v>
      </c>
      <c r="CE13" s="258">
        <f>SUM(CE14:CE16)</f>
        <v>289.93524560642487</v>
      </c>
      <c r="CF13" s="259">
        <f>SUM(CF14:CF16)</f>
        <v>300.66090006884332</v>
      </c>
      <c r="CG13" s="257">
        <f t="shared" si="8"/>
        <v>1075.3110806197203</v>
      </c>
      <c r="CH13" s="258"/>
      <c r="CI13" s="369">
        <f>SUM(CI14:CI16)</f>
        <v>247.71404509819988</v>
      </c>
      <c r="CJ13" s="258">
        <f>SUM(CJ14:CJ16)</f>
        <v>298.21770367699423</v>
      </c>
      <c r="CK13" s="258">
        <f>SUM(CK14:CK16)</f>
        <v>338.19282185672046</v>
      </c>
      <c r="CL13" s="259">
        <f>SUM(CL14:CL16)</f>
        <v>345.21772608988931</v>
      </c>
      <c r="CM13" s="257">
        <f t="shared" si="9"/>
        <v>1229.3422967218039</v>
      </c>
      <c r="CN13" s="258"/>
      <c r="CO13" s="258"/>
      <c r="CP13" s="258"/>
      <c r="CQ13" s="258"/>
      <c r="CR13" s="258"/>
      <c r="CS13" s="258"/>
      <c r="CT13" s="367"/>
      <c r="CU13" s="367"/>
      <c r="CV13" s="367"/>
      <c r="CW13" s="367"/>
      <c r="CX13" s="367"/>
      <c r="CY13" s="367"/>
      <c r="CZ13" s="367"/>
      <c r="DA13" s="367"/>
      <c r="DB13" s="367"/>
      <c r="DC13" s="367"/>
      <c r="DD13" s="367"/>
      <c r="DE13" s="367"/>
      <c r="DF13" s="367"/>
    </row>
    <row r="14" spans="1:110" outlineLevel="1">
      <c r="A14" s="309" t="s">
        <v>538</v>
      </c>
      <c r="B14" s="258"/>
      <c r="C14" s="369"/>
      <c r="D14" s="258"/>
      <c r="E14" s="258"/>
      <c r="F14" s="258"/>
      <c r="G14" s="257"/>
      <c r="H14" s="258"/>
      <c r="I14" s="369"/>
      <c r="J14" s="258"/>
      <c r="K14" s="258"/>
      <c r="L14" s="258"/>
      <c r="M14" s="257"/>
      <c r="N14" s="258"/>
      <c r="O14" s="369"/>
      <c r="P14" s="258"/>
      <c r="Q14" s="258"/>
      <c r="R14" s="258"/>
      <c r="S14" s="257"/>
      <c r="T14" s="258"/>
      <c r="U14" s="369"/>
      <c r="V14" s="258"/>
      <c r="W14" s="258"/>
      <c r="X14" s="259"/>
      <c r="Y14" s="259"/>
      <c r="Z14" s="258"/>
      <c r="AA14" s="369"/>
      <c r="AB14" s="258"/>
      <c r="AC14" s="258"/>
      <c r="AD14" s="259"/>
      <c r="AE14" s="259"/>
      <c r="AF14" s="258"/>
      <c r="AG14" s="1583"/>
      <c r="AH14" s="1584"/>
      <c r="AI14" s="1584"/>
      <c r="AJ14" s="1584"/>
      <c r="AK14" s="257"/>
      <c r="AL14" s="258"/>
      <c r="AM14" s="1583"/>
      <c r="AN14" s="1584"/>
      <c r="AO14" s="1584">
        <f>AO13*60%</f>
        <v>94.2</v>
      </c>
      <c r="AP14" s="1584">
        <f>AP13*60%</f>
        <v>100.8</v>
      </c>
      <c r="AQ14" s="257"/>
      <c r="AR14" s="258"/>
      <c r="AS14" s="1583">
        <f>AS13*60%</f>
        <v>94.2</v>
      </c>
      <c r="AT14" s="1584">
        <f>AT13*60%</f>
        <v>100.8</v>
      </c>
      <c r="AU14" s="258">
        <f>AO14*(1+AU47+AU51)</f>
        <v>97.074536277602519</v>
      </c>
      <c r="AV14" s="258">
        <f>AP14*(1+AV47+AV51)</f>
        <v>100.91244225074038</v>
      </c>
      <c r="AW14" s="257">
        <f t="shared" si="2"/>
        <v>392.98697852834289</v>
      </c>
      <c r="AX14" s="258"/>
      <c r="AY14" s="369">
        <f>AS14*(1+AY47+AY51)</f>
        <v>84.69</v>
      </c>
      <c r="AZ14" s="258">
        <f>AT14*(1+AZ47+AZ51)</f>
        <v>96.240000000000009</v>
      </c>
      <c r="BA14" s="258">
        <f>AU14*(1+BA47+BA51)</f>
        <v>92.571681281593257</v>
      </c>
      <c r="BB14" s="258">
        <f>AV14*(1+BB47+BB51)</f>
        <v>97.908536993043924</v>
      </c>
      <c r="BC14" s="257">
        <f t="shared" si="3"/>
        <v>371.4102182746372</v>
      </c>
      <c r="BD14" s="258"/>
      <c r="BE14" s="369">
        <f>AY14*(1+BE47+BE51)</f>
        <v>88.008932432432445</v>
      </c>
      <c r="BF14" s="258">
        <f>AZ14*(1+BF47+BF51)</f>
        <v>100.65337278106509</v>
      </c>
      <c r="BG14" s="258">
        <f>BA14*(1+BG47+BG50+BG51)</f>
        <v>98.866001287296797</v>
      </c>
      <c r="BH14" s="258">
        <f>BB14*(1+BH47+BH50+BH51)</f>
        <v>106.39027654603683</v>
      </c>
      <c r="BI14" s="257">
        <f t="shared" si="4"/>
        <v>393.91858304683115</v>
      </c>
      <c r="BJ14" s="258"/>
      <c r="BK14" s="369">
        <f>BE14*(1+BK47+BK50+BK51)</f>
        <v>91.494705036712716</v>
      </c>
      <c r="BL14" s="258">
        <f>BF14*(1+BL47+BL50+BL51)</f>
        <v>116.24785994149325</v>
      </c>
      <c r="BM14" s="258">
        <f>BG14*(1+BM47+BM50+BM51)</f>
        <v>108.08055408825574</v>
      </c>
      <c r="BN14" s="258">
        <f>BH14*(1+BN47+BN50+BN51)</f>
        <v>118.66374549576486</v>
      </c>
      <c r="BO14" s="257">
        <f t="shared" si="5"/>
        <v>434.48686456222651</v>
      </c>
      <c r="BP14" s="258"/>
      <c r="BQ14" s="369">
        <f>BK14*(1+BQ47+BQ50+BQ51)</f>
        <v>104.18866514496797</v>
      </c>
      <c r="BR14" s="258">
        <f>BL14*(1+BR47+BR50+BR51)</f>
        <v>128.81130402860299</v>
      </c>
      <c r="BS14" s="258">
        <f>BM14*(1+BS47+BS50+BS51)</f>
        <v>122.67472068369578</v>
      </c>
      <c r="BT14" s="258">
        <f>BN14*(1+BT47+BT50+BT51)</f>
        <v>134.49122888308094</v>
      </c>
      <c r="BU14" s="257">
        <f t="shared" si="6"/>
        <v>490.16591874034771</v>
      </c>
      <c r="BV14" s="258"/>
      <c r="BW14" s="369">
        <f>BQ14*(1+BW47+BW50+BW51)</f>
        <v>110.96092837939088</v>
      </c>
      <c r="BX14" s="258">
        <f>BR14*(1+BX47+BX50+BX51)</f>
        <v>137.18403879046218</v>
      </c>
      <c r="BY14" s="258">
        <f>BS14*(1+BY47+BY50+BY51)</f>
        <v>130.648577528136</v>
      </c>
      <c r="BZ14" s="258">
        <f>BT14*(1+BZ47+BZ50+BZ51)</f>
        <v>143.23315876048119</v>
      </c>
      <c r="CA14" s="257">
        <f t="shared" si="7"/>
        <v>522.02670345847025</v>
      </c>
      <c r="CB14" s="258"/>
      <c r="CC14" s="369">
        <f>BW14*(1+CC47+CC50+CC51)</f>
        <v>118.17338872405128</v>
      </c>
      <c r="CD14" s="258">
        <f>BX14*(1+CD47+CD50+CD51)</f>
        <v>146.10100131184223</v>
      </c>
      <c r="CE14" s="258">
        <f>BY14*(1+CE47+CE50+CE51)</f>
        <v>139.14073506746485</v>
      </c>
      <c r="CF14" s="258">
        <f>BZ14*(1+CF47+CF50+CF51)</f>
        <v>152.54331407991245</v>
      </c>
      <c r="CG14" s="257">
        <f t="shared" si="8"/>
        <v>555.9584391832708</v>
      </c>
      <c r="CH14" s="258"/>
      <c r="CI14" s="369">
        <f>CC14*(1+CI47+CI50+CI51)</f>
        <v>125.8546589911146</v>
      </c>
      <c r="CJ14" s="258">
        <f>CD14*(1+CJ47+CJ50+CJ51)</f>
        <v>155.59756639711196</v>
      </c>
      <c r="CK14" s="258">
        <f>CE14*(1+CK47+CK50+CK51)</f>
        <v>148.18488284685006</v>
      </c>
      <c r="CL14" s="258">
        <f>CF14*(1+CL47+CL50+CL51)</f>
        <v>162.45862949510675</v>
      </c>
      <c r="CM14" s="257">
        <f t="shared" si="9"/>
        <v>592.09573773018337</v>
      </c>
      <c r="CN14" s="258"/>
      <c r="CO14" s="258"/>
      <c r="CP14" s="258"/>
      <c r="CQ14" s="258"/>
      <c r="CR14" s="258"/>
      <c r="CS14" s="258"/>
      <c r="CT14" s="367"/>
      <c r="CU14" s="367"/>
      <c r="CV14" s="367"/>
      <c r="CW14" s="367"/>
      <c r="CX14" s="367"/>
      <c r="CY14" s="367"/>
      <c r="CZ14" s="367"/>
      <c r="DA14" s="367"/>
      <c r="DB14" s="367"/>
      <c r="DC14" s="367"/>
      <c r="DD14" s="367"/>
      <c r="DE14" s="367"/>
      <c r="DF14" s="367"/>
    </row>
    <row r="15" spans="1:110" outlineLevel="1">
      <c r="A15" s="309" t="s">
        <v>534</v>
      </c>
      <c r="B15" s="258"/>
      <c r="C15" s="369"/>
      <c r="D15" s="258"/>
      <c r="E15" s="258"/>
      <c r="F15" s="258"/>
      <c r="G15" s="257"/>
      <c r="H15" s="258"/>
      <c r="I15" s="369"/>
      <c r="J15" s="258"/>
      <c r="K15" s="258"/>
      <c r="L15" s="258"/>
      <c r="M15" s="257"/>
      <c r="N15" s="258"/>
      <c r="O15" s="369"/>
      <c r="P15" s="258"/>
      <c r="Q15" s="258"/>
      <c r="R15" s="258"/>
      <c r="S15" s="257"/>
      <c r="T15" s="258"/>
      <c r="U15" s="369"/>
      <c r="V15" s="258"/>
      <c r="W15" s="258"/>
      <c r="X15" s="259"/>
      <c r="Y15" s="259"/>
      <c r="Z15" s="258"/>
      <c r="AA15" s="369"/>
      <c r="AB15" s="258"/>
      <c r="AC15" s="258"/>
      <c r="AD15" s="259"/>
      <c r="AE15" s="259"/>
      <c r="AF15" s="258"/>
      <c r="AG15" s="1583"/>
      <c r="AH15" s="1584"/>
      <c r="AI15" s="1584"/>
      <c r="AJ15" s="1584"/>
      <c r="AK15" s="257"/>
      <c r="AL15" s="258"/>
      <c r="AM15" s="1583"/>
      <c r="AN15" s="1584"/>
      <c r="AO15" s="1584">
        <f>AO13*31.5%</f>
        <v>49.454999999999998</v>
      </c>
      <c r="AP15" s="1584">
        <f>AP13*31.5%</f>
        <v>52.92</v>
      </c>
      <c r="AQ15" s="257"/>
      <c r="AR15" s="258"/>
      <c r="AS15" s="1583">
        <f>AS13*31.5%</f>
        <v>49.454999999999998</v>
      </c>
      <c r="AT15" s="1584">
        <f>AT13*31.5%</f>
        <v>52.92</v>
      </c>
      <c r="AU15" s="258">
        <f>AO15*(1+AU48+AU51)</f>
        <v>54.920531545741326</v>
      </c>
      <c r="AV15" s="258">
        <f>AP15*(1+AV48+AV51)</f>
        <v>56.154232181638704</v>
      </c>
      <c r="AW15" s="257">
        <f t="shared" si="2"/>
        <v>213.44976372738</v>
      </c>
      <c r="AX15" s="258"/>
      <c r="AY15" s="369">
        <f>AS15*(1+AY48+AY51)</f>
        <v>51.880500000000005</v>
      </c>
      <c r="AZ15" s="258">
        <f>AT15*(1+AZ48+AZ51)</f>
        <v>54.230400000000003</v>
      </c>
      <c r="BA15" s="258">
        <f>AU15*(1+BA48+BA51)</f>
        <v>57.315860752917033</v>
      </c>
      <c r="BB15" s="258">
        <f>AV15*(1+BB48+BB51)</f>
        <v>60.659629879932972</v>
      </c>
      <c r="BC15" s="257">
        <f t="shared" si="3"/>
        <v>224.08639063285003</v>
      </c>
      <c r="BD15" s="258"/>
      <c r="BE15" s="369">
        <f>AY15*(1+BE48+BE51)</f>
        <v>54.951264729729743</v>
      </c>
      <c r="BF15" s="258">
        <f>AZ15*(1+BF48+BF51)</f>
        <v>59.428817041420125</v>
      </c>
      <c r="BG15" s="258">
        <f>BA15*(1+BG48+BG50+BG51)</f>
        <v>61.786154682897532</v>
      </c>
      <c r="BH15" s="258">
        <f>BB15*(1+BH48+BH50+BH51)</f>
        <v>64.701333309011659</v>
      </c>
      <c r="BI15" s="257">
        <f t="shared" si="4"/>
        <v>240.86756976305907</v>
      </c>
      <c r="BJ15" s="258"/>
      <c r="BK15" s="369">
        <f>BE15*(1+BK48+BK50+BK51)</f>
        <v>56.452909602091204</v>
      </c>
      <c r="BL15" s="258">
        <f>BF15*(1+BL48+BL50+BL51)</f>
        <v>63.881971882422725</v>
      </c>
      <c r="BM15" s="258">
        <f>BG15*(1+BM48+BM50+BM51)</f>
        <v>66.241622948364267</v>
      </c>
      <c r="BN15" s="258">
        <f>BH15*(1+BN48+BN50+BN51)</f>
        <v>72.268009029888248</v>
      </c>
      <c r="BO15" s="257">
        <f t="shared" si="5"/>
        <v>258.84451346276649</v>
      </c>
      <c r="BP15" s="258"/>
      <c r="BQ15" s="369">
        <f>BK15*(1+BQ48+BQ50+BQ51)</f>
        <v>63.669932179636604</v>
      </c>
      <c r="BR15" s="258">
        <f>BL15*(1+BR48+BR50+BR51)</f>
        <v>71.424811875883108</v>
      </c>
      <c r="BS15" s="258">
        <f>BM15*(1+BS48+BS50+BS51)</f>
        <v>73.861427098784986</v>
      </c>
      <c r="BT15" s="258">
        <f>BN15*(1+BT48+BT50+BT51)</f>
        <v>80.461824720372249</v>
      </c>
      <c r="BU15" s="257">
        <f t="shared" si="6"/>
        <v>289.41799587467693</v>
      </c>
      <c r="BV15" s="258"/>
      <c r="BW15" s="369">
        <f>BQ15*(1+BW48+BW50+BW51)</f>
        <v>68.763526754007543</v>
      </c>
      <c r="BX15" s="258">
        <f>BR15*(1+BX48+BX50+BX51)</f>
        <v>77.138796825953762</v>
      </c>
      <c r="BY15" s="258">
        <f>BS15*(1+BY48+BY50+BY51)</f>
        <v>79.770341266687794</v>
      </c>
      <c r="BZ15" s="258">
        <f>BT15*(1+BZ48+BZ50+BZ51)</f>
        <v>86.898770698002039</v>
      </c>
      <c r="CA15" s="257">
        <f t="shared" si="7"/>
        <v>312.57143554465119</v>
      </c>
      <c r="CB15" s="258"/>
      <c r="CC15" s="369">
        <f>BW15*(1+CC48+CC50+CC51)</f>
        <v>74.264608894328148</v>
      </c>
      <c r="CD15" s="258">
        <f>BX15*(1+CD48+CD50+CD51)</f>
        <v>83.309900572030074</v>
      </c>
      <c r="CE15" s="258">
        <f>BY15*(1+CE48+CE50+CE51)</f>
        <v>86.151968568022824</v>
      </c>
      <c r="CF15" s="258">
        <f>BZ15*(1+CF48+CF50+CF51)</f>
        <v>93.850672353842214</v>
      </c>
      <c r="CG15" s="257">
        <f t="shared" si="8"/>
        <v>337.57715038822323</v>
      </c>
      <c r="CH15" s="258"/>
      <c r="CI15" s="369">
        <f>CC15*(1+CI48+CI50+CI51)</f>
        <v>80.205777605874403</v>
      </c>
      <c r="CJ15" s="258">
        <f>CD15*(1+CJ48+CJ50+CJ51)</f>
        <v>89.974692617792485</v>
      </c>
      <c r="CK15" s="258">
        <f>CE15*(1+CK48+CK50+CK51)</f>
        <v>93.044126053464652</v>
      </c>
      <c r="CL15" s="258">
        <f>CF15*(1+CL48+CL50+CL51)</f>
        <v>101.35872614214959</v>
      </c>
      <c r="CM15" s="257">
        <f t="shared" si="9"/>
        <v>364.5833224192811</v>
      </c>
      <c r="CN15" s="258"/>
      <c r="CO15" s="258"/>
      <c r="CP15" s="258"/>
      <c r="CQ15" s="258"/>
      <c r="CR15" s="258"/>
      <c r="CS15" s="258"/>
      <c r="CT15" s="367"/>
      <c r="CU15" s="367"/>
      <c r="CV15" s="367"/>
      <c r="CW15" s="367"/>
      <c r="CX15" s="367"/>
      <c r="CY15" s="367"/>
      <c r="CZ15" s="367"/>
      <c r="DA15" s="367"/>
      <c r="DB15" s="367"/>
      <c r="DC15" s="367"/>
      <c r="DD15" s="367"/>
      <c r="DE15" s="367"/>
      <c r="DF15" s="367"/>
    </row>
    <row r="16" spans="1:110" outlineLevel="1">
      <c r="A16" s="309" t="s">
        <v>539</v>
      </c>
      <c r="B16" s="258"/>
      <c r="C16" s="369"/>
      <c r="D16" s="258"/>
      <c r="E16" s="258"/>
      <c r="F16" s="258"/>
      <c r="G16" s="257"/>
      <c r="H16" s="258"/>
      <c r="I16" s="369"/>
      <c r="J16" s="258"/>
      <c r="K16" s="258"/>
      <c r="L16" s="258"/>
      <c r="M16" s="257"/>
      <c r="N16" s="258"/>
      <c r="O16" s="369"/>
      <c r="P16" s="258"/>
      <c r="Q16" s="258"/>
      <c r="R16" s="258"/>
      <c r="S16" s="257"/>
      <c r="T16" s="258"/>
      <c r="U16" s="369"/>
      <c r="V16" s="258"/>
      <c r="W16" s="258"/>
      <c r="X16" s="259"/>
      <c r="Y16" s="259"/>
      <c r="Z16" s="258"/>
      <c r="AA16" s="369"/>
      <c r="AB16" s="258"/>
      <c r="AC16" s="258"/>
      <c r="AD16" s="259"/>
      <c r="AE16" s="259"/>
      <c r="AF16" s="258"/>
      <c r="AG16" s="1583"/>
      <c r="AH16" s="1584"/>
      <c r="AI16" s="1584"/>
      <c r="AJ16" s="1584"/>
      <c r="AK16" s="257"/>
      <c r="AL16" s="258"/>
      <c r="AM16" s="1583"/>
      <c r="AN16" s="1584"/>
      <c r="AO16" s="1584">
        <f>AO13*8.5%</f>
        <v>13.345000000000001</v>
      </c>
      <c r="AP16" s="1584">
        <f>AP13*8.5%</f>
        <v>14.280000000000001</v>
      </c>
      <c r="AQ16" s="257"/>
      <c r="AR16" s="258"/>
      <c r="AS16" s="1583">
        <f>AS13*8.5%</f>
        <v>13.345000000000001</v>
      </c>
      <c r="AT16" s="1584">
        <f>AT13*8.5%</f>
        <v>14.280000000000001</v>
      </c>
      <c r="AU16" s="258">
        <f>AU13-AU14-AU15</f>
        <v>14.004932176656155</v>
      </c>
      <c r="AV16" s="258">
        <f>AV13-AV14-AV15</f>
        <v>14.933325567620912</v>
      </c>
      <c r="AW16" s="257">
        <f t="shared" si="2"/>
        <v>56.563257744277067</v>
      </c>
      <c r="AX16" s="258"/>
      <c r="AY16" s="369">
        <f>AY13-AY14-AY15</f>
        <v>11.429499999999997</v>
      </c>
      <c r="AZ16" s="258">
        <f>AZ13-AZ14-AZ15</f>
        <v>18.529599999999988</v>
      </c>
      <c r="BA16" s="258">
        <f>BA13-BA14-BA15</f>
        <v>17.11245796548971</v>
      </c>
      <c r="BB16" s="258">
        <f>BB13-BB14-BB15</f>
        <v>19.431833127023104</v>
      </c>
      <c r="BC16" s="257">
        <f t="shared" si="3"/>
        <v>66.5033910925128</v>
      </c>
      <c r="BD16" s="258"/>
      <c r="BE16" s="369">
        <f>BE13-BE14-BE15</f>
        <v>15.039802837837811</v>
      </c>
      <c r="BF16" s="258">
        <f>BF13-BF14-BF15</f>
        <v>17.917810177514788</v>
      </c>
      <c r="BG16" s="258">
        <f>BG13-BG14-BG15</f>
        <v>19.347844029805671</v>
      </c>
      <c r="BH16" s="258">
        <f>BB16*(1+BH49+BH50+BH51)</f>
        <v>21.908390144951504</v>
      </c>
      <c r="BI16" s="257">
        <f t="shared" si="4"/>
        <v>74.213847190109774</v>
      </c>
      <c r="BJ16" s="258"/>
      <c r="BK16" s="369">
        <f>BE16*(1+BK49+BK50+BK51)</f>
        <v>16.052385361196212</v>
      </c>
      <c r="BL16" s="258">
        <f>BF16*(1+BL49+BL50+BL51)</f>
        <v>20.870168176084047</v>
      </c>
      <c r="BM16" s="258">
        <f>BG16*(1+BM49+BM50+BM51)</f>
        <v>22.677822963380002</v>
      </c>
      <c r="BN16" s="258">
        <f>BH16*(1+BN49+BN50+BN51)</f>
        <v>19.068245474346909</v>
      </c>
      <c r="BO16" s="257">
        <f t="shared" si="5"/>
        <v>78.66862197500717</v>
      </c>
      <c r="BP16" s="258"/>
      <c r="BQ16" s="369">
        <f>BK16*(1+BQ49+BQ50+BQ51)</f>
        <v>17.141402675395415</v>
      </c>
      <c r="BR16" s="258">
        <f>BL16*(1+BR49+BR50+BR51)</f>
        <v>21.664792042012259</v>
      </c>
      <c r="BS16" s="258">
        <f>BM16*(1+BS49+BS50+BS51)</f>
        <v>23.472237462213936</v>
      </c>
      <c r="BT16" s="258">
        <f>BN16*(1+BT49+BT50+BT51)</f>
        <v>19.704761668514394</v>
      </c>
      <c r="BU16" s="257">
        <f t="shared" si="6"/>
        <v>81.983193848136011</v>
      </c>
      <c r="BV16" s="258"/>
      <c r="BW16" s="369">
        <f>BQ16*(1+BW49+BW50+BW51)</f>
        <v>17.141402675395415</v>
      </c>
      <c r="BX16" s="258">
        <f>BR16*(1+BX49+BX50+BX51)</f>
        <v>21.664792042012259</v>
      </c>
      <c r="BY16" s="258">
        <f>BS16*(1+BY49+BY50+BY51)</f>
        <v>39.902803685763693</v>
      </c>
      <c r="BZ16" s="258">
        <f>BT16*(1+BZ49+BZ50+BZ51)</f>
        <v>33.498094836474465</v>
      </c>
      <c r="CA16" s="257">
        <f t="shared" si="7"/>
        <v>112.20709323964583</v>
      </c>
      <c r="CB16" s="258"/>
      <c r="CC16" s="369">
        <f>BW16*(1+CC49+CC50+CC51)</f>
        <v>27.769072334140574</v>
      </c>
      <c r="CD16" s="258">
        <f>BX16*(1+CD49+CD50+CD51)</f>
        <v>35.09696310805986</v>
      </c>
      <c r="CE16" s="258">
        <f>BY16*(1+CE49+CE50+CE51)</f>
        <v>64.642541970937188</v>
      </c>
      <c r="CF16" s="258">
        <f>BZ16*(1+CF49+CF50+CF51)</f>
        <v>54.266913635088635</v>
      </c>
      <c r="CG16" s="257">
        <f t="shared" si="8"/>
        <v>181.77549104822626</v>
      </c>
      <c r="CH16" s="258"/>
      <c r="CI16" s="369">
        <f>CC16*(1+CI49+CI50+CI51)</f>
        <v>41.653608501210861</v>
      </c>
      <c r="CJ16" s="258">
        <f>CD16*(1+CJ49+CJ50+CJ51)</f>
        <v>52.645444662089787</v>
      </c>
      <c r="CK16" s="258">
        <f>CE16*(1+CK49+CK50+CK51)</f>
        <v>96.963812956405775</v>
      </c>
      <c r="CL16" s="258">
        <f>CF16*(1+CL49+CL50+CL51)</f>
        <v>81.400370452632956</v>
      </c>
      <c r="CM16" s="257">
        <f t="shared" si="9"/>
        <v>272.66323657233937</v>
      </c>
      <c r="CN16" s="258"/>
      <c r="CO16" s="258"/>
      <c r="CP16" s="258"/>
      <c r="CQ16" s="258"/>
      <c r="CR16" s="258"/>
      <c r="CS16" s="258"/>
      <c r="CT16" s="367"/>
      <c r="CU16" s="367"/>
      <c r="CV16" s="367"/>
      <c r="CW16" s="367"/>
      <c r="CX16" s="367"/>
      <c r="CY16" s="367"/>
      <c r="CZ16" s="367"/>
      <c r="DA16" s="367"/>
      <c r="DB16" s="367"/>
      <c r="DC16" s="367"/>
      <c r="DD16" s="367"/>
      <c r="DE16" s="367"/>
      <c r="DF16" s="367"/>
    </row>
    <row r="17" spans="1:110">
      <c r="A17" s="368" t="s">
        <v>107</v>
      </c>
      <c r="B17" s="258"/>
      <c r="C17" s="453"/>
      <c r="D17" s="258"/>
      <c r="E17" s="258"/>
      <c r="F17" s="258"/>
      <c r="G17" s="257"/>
      <c r="H17" s="258"/>
      <c r="I17" s="369"/>
      <c r="J17" s="258"/>
      <c r="K17" s="258"/>
      <c r="L17" s="258"/>
      <c r="M17" s="257"/>
      <c r="N17" s="258"/>
      <c r="O17" s="369"/>
      <c r="P17" s="258"/>
      <c r="Q17" s="258"/>
      <c r="R17" s="258"/>
      <c r="S17" s="257"/>
      <c r="T17" s="258"/>
      <c r="U17" s="369"/>
      <c r="V17" s="258"/>
      <c r="W17" s="258"/>
      <c r="X17" s="259"/>
      <c r="Y17" s="259"/>
      <c r="Z17" s="258"/>
      <c r="AA17" s="369"/>
      <c r="AB17" s="258"/>
      <c r="AC17" s="258"/>
      <c r="AD17" s="259"/>
      <c r="AE17" s="259"/>
      <c r="AF17" s="258"/>
      <c r="AG17" s="1583">
        <v>281</v>
      </c>
      <c r="AH17" s="1584">
        <v>292</v>
      </c>
      <c r="AI17" s="1584">
        <v>285</v>
      </c>
      <c r="AJ17" s="1584">
        <v>292</v>
      </c>
      <c r="AK17" s="257">
        <f t="shared" si="0"/>
        <v>1150</v>
      </c>
      <c r="AL17" s="258">
        <v>0</v>
      </c>
      <c r="AM17" s="1583">
        <v>294</v>
      </c>
      <c r="AN17" s="1584">
        <v>307</v>
      </c>
      <c r="AO17" s="1584">
        <v>305</v>
      </c>
      <c r="AP17" s="1584">
        <v>318</v>
      </c>
      <c r="AQ17" s="257">
        <f t="shared" si="1"/>
        <v>1224</v>
      </c>
      <c r="AR17" s="258"/>
      <c r="AS17" s="1583">
        <v>314</v>
      </c>
      <c r="AT17" s="1584">
        <v>325</v>
      </c>
      <c r="AU17" s="1584">
        <v>336</v>
      </c>
      <c r="AV17" s="1584">
        <v>332</v>
      </c>
      <c r="AW17" s="257">
        <f t="shared" si="2"/>
        <v>1307</v>
      </c>
      <c r="AX17" s="258"/>
      <c r="AY17" s="1583">
        <v>331</v>
      </c>
      <c r="AZ17" s="1584">
        <v>321</v>
      </c>
      <c r="BA17" s="1584">
        <v>336</v>
      </c>
      <c r="BB17" s="1584">
        <v>342</v>
      </c>
      <c r="BC17" s="257">
        <f t="shared" si="3"/>
        <v>1330</v>
      </c>
      <c r="BD17" s="258"/>
      <c r="BE17" s="1583">
        <v>344</v>
      </c>
      <c r="BF17" s="1584">
        <v>346</v>
      </c>
      <c r="BG17" s="1584">
        <v>360</v>
      </c>
      <c r="BH17" s="1584">
        <v>370</v>
      </c>
      <c r="BI17" s="257">
        <f t="shared" si="4"/>
        <v>1420</v>
      </c>
      <c r="BJ17" s="258"/>
      <c r="BK17" s="2144">
        <v>363</v>
      </c>
      <c r="BL17" s="2210">
        <v>378</v>
      </c>
      <c r="BM17" s="2210">
        <v>386</v>
      </c>
      <c r="BN17" s="2422">
        <v>404</v>
      </c>
      <c r="BO17" s="257">
        <f t="shared" si="5"/>
        <v>1531</v>
      </c>
      <c r="BP17" s="258"/>
      <c r="BQ17" s="2144">
        <v>408</v>
      </c>
      <c r="BR17" s="258">
        <f>BL17*(1+BR52)</f>
        <v>436.31400000000002</v>
      </c>
      <c r="BS17" s="258">
        <f>BM17*(1+BS52)</f>
        <v>445.05799999999999</v>
      </c>
      <c r="BT17" s="259">
        <f>BN17*(1+BT52)</f>
        <v>465.00400000000002</v>
      </c>
      <c r="BU17" s="257">
        <f t="shared" si="6"/>
        <v>1754.3760000000002</v>
      </c>
      <c r="BV17" s="258"/>
      <c r="BW17" s="369">
        <f>BQ17*(1+BW52)</f>
        <v>440.64000000000004</v>
      </c>
      <c r="BX17" s="258">
        <f>BR17*(1+BX52)</f>
        <v>471.21912000000003</v>
      </c>
      <c r="BY17" s="258">
        <f>BS17*(1+BY52)</f>
        <v>480.66264000000001</v>
      </c>
      <c r="BZ17" s="259">
        <f>BT17*(1+BZ52)</f>
        <v>502.20432000000005</v>
      </c>
      <c r="CA17" s="257">
        <f t="shared" si="7"/>
        <v>1894.7260800000001</v>
      </c>
      <c r="CB17" s="258"/>
      <c r="CC17" s="369">
        <f>BW17*(1+CC52)</f>
        <v>473.68800000000005</v>
      </c>
      <c r="CD17" s="258">
        <f>BX17*(1+CD52)</f>
        <v>506.56055400000002</v>
      </c>
      <c r="CE17" s="258">
        <f>BY17*(1+CE52)</f>
        <v>516.71233800000005</v>
      </c>
      <c r="CF17" s="259">
        <f>BZ17*(1+CF52)</f>
        <v>539.86964399999999</v>
      </c>
      <c r="CG17" s="257">
        <f t="shared" si="8"/>
        <v>2036.8305359999999</v>
      </c>
      <c r="CH17" s="258"/>
      <c r="CI17" s="369">
        <f>CC17*(1+CI52)</f>
        <v>509.21460000000002</v>
      </c>
      <c r="CJ17" s="258">
        <f>CD17*(1+CJ52)</f>
        <v>544.55259554999998</v>
      </c>
      <c r="CK17" s="258">
        <f>CE17*(1+CK52)</f>
        <v>555.46576334999997</v>
      </c>
      <c r="CL17" s="259">
        <f>CF17*(1+CL52)</f>
        <v>580.35986730000002</v>
      </c>
      <c r="CM17" s="257">
        <f t="shared" si="9"/>
        <v>2189.5928262000002</v>
      </c>
      <c r="CN17" s="258"/>
      <c r="CO17" s="258"/>
      <c r="CP17" s="258"/>
      <c r="CQ17" s="258"/>
      <c r="CR17" s="258"/>
      <c r="CS17" s="258"/>
      <c r="CT17" s="367"/>
      <c r="CU17" s="367"/>
      <c r="CV17" s="367"/>
      <c r="CW17" s="367"/>
      <c r="CX17" s="367"/>
      <c r="CY17" s="367"/>
      <c r="CZ17" s="367"/>
      <c r="DA17" s="367"/>
      <c r="DB17" s="367"/>
      <c r="DC17" s="367"/>
      <c r="DD17" s="367"/>
      <c r="DE17" s="367"/>
      <c r="DF17" s="367"/>
    </row>
    <row r="18" spans="1:110">
      <c r="A18" s="1343" t="s">
        <v>168</v>
      </c>
      <c r="C18" s="1344">
        <f>C10+C11</f>
        <v>455</v>
      </c>
      <c r="D18" s="1345">
        <f>D10+D11</f>
        <v>428</v>
      </c>
      <c r="E18" s="1345">
        <f>E10+E11</f>
        <v>469</v>
      </c>
      <c r="F18" s="1345">
        <f>F10+F11</f>
        <v>524</v>
      </c>
      <c r="G18" s="1346">
        <f>G10+G11</f>
        <v>1876</v>
      </c>
      <c r="H18" s="371"/>
      <c r="I18" s="1344">
        <f>I10+I11</f>
        <v>531</v>
      </c>
      <c r="J18" s="1345">
        <f>J10+J11</f>
        <v>530</v>
      </c>
      <c r="K18" s="1345">
        <f>K10+K11</f>
        <v>540</v>
      </c>
      <c r="L18" s="1345">
        <f>L10+L11</f>
        <v>594</v>
      </c>
      <c r="M18" s="1346">
        <f>M10+M11</f>
        <v>2195</v>
      </c>
      <c r="N18" s="371"/>
      <c r="O18" s="1344">
        <f>O10+O11</f>
        <v>525</v>
      </c>
      <c r="P18" s="1345">
        <f>P10+P11</f>
        <v>498</v>
      </c>
      <c r="Q18" s="1345">
        <f>Q10+Q11</f>
        <v>496</v>
      </c>
      <c r="R18" s="1345">
        <f>R10+R11</f>
        <v>544</v>
      </c>
      <c r="S18" s="1346">
        <f>S10+S11</f>
        <v>2063</v>
      </c>
      <c r="T18" s="371"/>
      <c r="U18" s="1344">
        <f>U10+U11</f>
        <v>584</v>
      </c>
      <c r="V18" s="1345">
        <f>V10+V11</f>
        <v>572</v>
      </c>
      <c r="W18" s="1345">
        <f>W10+W11</f>
        <v>703</v>
      </c>
      <c r="X18" s="1347">
        <f>X10+X11</f>
        <v>820</v>
      </c>
      <c r="Y18" s="1347">
        <f>Y10+Y11</f>
        <v>2679</v>
      </c>
      <c r="Z18" s="371"/>
      <c r="AA18" s="1344">
        <f>AA10+AA11</f>
        <v>753</v>
      </c>
      <c r="AB18" s="1345">
        <f>AB10+AB11</f>
        <v>845</v>
      </c>
      <c r="AC18" s="1345">
        <f>AC10+AC11</f>
        <v>836</v>
      </c>
      <c r="AD18" s="1347">
        <f>AD10+AD11</f>
        <v>876</v>
      </c>
      <c r="AE18" s="1347">
        <f>AE10+AE11</f>
        <v>3310</v>
      </c>
      <c r="AF18" s="371"/>
      <c r="AG18" s="1344">
        <f>SUM(AG12:AG13,AG17)</f>
        <v>857</v>
      </c>
      <c r="AH18" s="1345">
        <f>SUM(AH12:AH13,AH17)</f>
        <v>857</v>
      </c>
      <c r="AI18" s="1345">
        <f>SUM(AI12:AI13,AI17)</f>
        <v>878</v>
      </c>
      <c r="AJ18" s="1345">
        <f>SUM(AJ12:AJ13,AJ17)</f>
        <v>951</v>
      </c>
      <c r="AK18" s="1346">
        <f>SUM(AK12:AK13,AK17)</f>
        <v>3543</v>
      </c>
      <c r="AL18" s="371"/>
      <c r="AM18" s="1344">
        <f>SUM(AM12:AM13,AM17)</f>
        <v>958</v>
      </c>
      <c r="AN18" s="1345">
        <f>SUM(AN12:AN13,AN17)</f>
        <v>972</v>
      </c>
      <c r="AO18" s="1345">
        <f>SUM(AO12:AO13,AO17)</f>
        <v>951</v>
      </c>
      <c r="AP18" s="1345">
        <f>SUM(AP12:AP13,AP17)</f>
        <v>1013</v>
      </c>
      <c r="AQ18" s="1346">
        <f>SUM(AQ12:AQ13,AQ17)</f>
        <v>3894</v>
      </c>
      <c r="AR18" s="371"/>
      <c r="AS18" s="1344">
        <f>SUM(AS12:AS13,AS17)</f>
        <v>1008</v>
      </c>
      <c r="AT18" s="1345">
        <f>SUM(AT12:AT13,AT17)</f>
        <v>988</v>
      </c>
      <c r="AU18" s="1345">
        <f>SUM(AU12:AU13,AU17)</f>
        <v>1009</v>
      </c>
      <c r="AV18" s="1345">
        <f>SUM(AV12:AV13,AV17)</f>
        <v>1043</v>
      </c>
      <c r="AW18" s="1346">
        <f>SUM(AW12:AW13,AW17)</f>
        <v>4048</v>
      </c>
      <c r="AX18" s="371"/>
      <c r="AY18" s="1344">
        <f>SUM(AY12:AY13,AY17)</f>
        <v>1026</v>
      </c>
      <c r="AZ18" s="1345">
        <f>SUM(AZ12:AZ13,AZ17)</f>
        <v>963</v>
      </c>
      <c r="BA18" s="1345">
        <f>SUM(BA12:BA13,BA17)</f>
        <v>1014</v>
      </c>
      <c r="BB18" s="1345">
        <f>SUM(BB12:BB13,BB17)</f>
        <v>1035</v>
      </c>
      <c r="BC18" s="1346">
        <f>SUM(BC12:BC13,BC17)</f>
        <v>4038</v>
      </c>
      <c r="BD18" s="371"/>
      <c r="BE18" s="1344">
        <f>SUM(BE12:BE13,BE17)</f>
        <v>1028</v>
      </c>
      <c r="BF18" s="1345">
        <f>SUM(BF12:BF13,BF17)</f>
        <v>1019</v>
      </c>
      <c r="BG18" s="1345">
        <f>SUM(BG12:BG13,BG17)</f>
        <v>1044</v>
      </c>
      <c r="BH18" s="1345">
        <f>SUM(BH12:BH13,BH17)</f>
        <v>1111</v>
      </c>
      <c r="BI18" s="1346">
        <f>SUM(BI12:BI13,BI17)</f>
        <v>4202</v>
      </c>
      <c r="BJ18" s="371"/>
      <c r="BK18" s="1344">
        <f>SUM(BK12:BK13,BK17)</f>
        <v>1067</v>
      </c>
      <c r="BL18" s="1345">
        <f>SUM(BL12:BL13,BL17)</f>
        <v>1102</v>
      </c>
      <c r="BM18" s="1345">
        <f>SUM(BM12:BM13,BM17)</f>
        <v>1114</v>
      </c>
      <c r="BN18" s="1345">
        <f>SUM(BN12:BN13,BN17)</f>
        <v>1189</v>
      </c>
      <c r="BO18" s="1346">
        <f>SUM(BO12:BO13,BO17)</f>
        <v>4472</v>
      </c>
      <c r="BP18" s="371"/>
      <c r="BQ18" s="1344">
        <f>SUM(BQ12:BQ13,BQ17)</f>
        <v>1211</v>
      </c>
      <c r="BR18" s="1345">
        <f>SUM(BR12:BR13,BR17)</f>
        <v>1255.7039079464982</v>
      </c>
      <c r="BS18" s="1345">
        <f>SUM(BS12:BS13,BS17)</f>
        <v>1242.9393852446947</v>
      </c>
      <c r="BT18" s="1345">
        <f>SUM(BT12:BT13,BT17)</f>
        <v>1318.3618152719678</v>
      </c>
      <c r="BU18" s="1346">
        <f>SUM(BU12:BU13,BU17)</f>
        <v>5028.0051084631614</v>
      </c>
      <c r="BV18" s="371"/>
      <c r="BW18" s="1344">
        <f>SUM(BW12:BW13,BW17)</f>
        <v>1292.5858578087939</v>
      </c>
      <c r="BX18" s="1345">
        <f>SUM(BX12:BX13,BX17)</f>
        <v>1340.5450876584282</v>
      </c>
      <c r="BY18" s="1345">
        <f>SUM(BY12:BY13,BY17)</f>
        <v>1343.5297424805874</v>
      </c>
      <c r="BZ18" s="1345">
        <f>SUM(BZ12:BZ13,BZ17)</f>
        <v>1421.6563442949578</v>
      </c>
      <c r="CA18" s="1346">
        <f>SUM(CA12:CA13,CA17)</f>
        <v>5398.3170322427677</v>
      </c>
      <c r="CB18" s="1348"/>
      <c r="CC18" s="1344">
        <f>SUM(CC12:CC13,CC17)</f>
        <v>1368.6274699525202</v>
      </c>
      <c r="CD18" s="1345">
        <f>SUM(CD12:CD13,CD17)</f>
        <v>1423.4069091919321</v>
      </c>
      <c r="CE18" s="1345">
        <f>SUM(CE12:CE13,CE17)</f>
        <v>1437.5693250064248</v>
      </c>
      <c r="CF18" s="1345">
        <f>SUM(CF12:CF13,CF17)</f>
        <v>1516.0272040688433</v>
      </c>
      <c r="CG18" s="1346">
        <f>SUM(CG12:CG13,CG17)</f>
        <v>5745.6309082197204</v>
      </c>
      <c r="CH18" s="372"/>
      <c r="CI18" s="1344">
        <f>SUM(CI12:CI13,CI17)</f>
        <v>1451.9030170982001</v>
      </c>
      <c r="CJ18" s="1345">
        <f>SUM(CJ12:CJ13,CJ17)</f>
        <v>1514.6789441329943</v>
      </c>
      <c r="CK18" s="1345">
        <f>SUM(CK12:CK13,CK17)</f>
        <v>1543.5079788487205</v>
      </c>
      <c r="CL18" s="1345">
        <f>SUM(CL12:CL13,CL17)</f>
        <v>1621.3391531898897</v>
      </c>
      <c r="CM18" s="1346">
        <f>SUM(CM12:CM13,CM17)</f>
        <v>6131.4290932698041</v>
      </c>
      <c r="CN18" s="372"/>
      <c r="CO18" s="372"/>
      <c r="CP18" s="372"/>
      <c r="CQ18" s="372"/>
      <c r="CR18" s="372"/>
      <c r="CS18" s="372"/>
      <c r="CT18" s="373"/>
      <c r="CU18" s="373"/>
      <c r="CV18" s="373"/>
      <c r="CW18" s="373"/>
      <c r="CX18" s="373"/>
      <c r="CY18" s="373"/>
      <c r="CZ18" s="373"/>
      <c r="DA18" s="373"/>
      <c r="DB18" s="373"/>
      <c r="DC18" s="373"/>
      <c r="DD18" s="373"/>
      <c r="DE18" s="373"/>
      <c r="DF18" s="373"/>
    </row>
    <row r="19" spans="1:110" outlineLevel="1">
      <c r="A19" s="1349" t="s">
        <v>169</v>
      </c>
      <c r="C19" s="1350">
        <f>+C18-IS!C10</f>
        <v>0</v>
      </c>
      <c r="D19" s="1351">
        <f>+D18-IS!D10</f>
        <v>0</v>
      </c>
      <c r="E19" s="1351">
        <f>+E18-IS!E10</f>
        <v>0</v>
      </c>
      <c r="F19" s="1351">
        <f>+F18-IS!F10</f>
        <v>0</v>
      </c>
      <c r="G19" s="1352">
        <f>+G18-IS!G10</f>
        <v>0</v>
      </c>
      <c r="H19" s="374"/>
      <c r="I19" s="1350">
        <f>+I18-IS!I10</f>
        <v>0</v>
      </c>
      <c r="J19" s="1351">
        <f>+J18-IS!J10</f>
        <v>0</v>
      </c>
      <c r="K19" s="1351">
        <f>+K18-IS!K10</f>
        <v>0</v>
      </c>
      <c r="L19" s="1351">
        <f>+L18-IS!L10</f>
        <v>0</v>
      </c>
      <c r="M19" s="1352">
        <f>+M18-IS!M10</f>
        <v>0</v>
      </c>
      <c r="N19" s="374"/>
      <c r="O19" s="1350">
        <f>+O18-IS!O10</f>
        <v>0</v>
      </c>
      <c r="P19" s="1351">
        <f>+P18-IS!P10</f>
        <v>0</v>
      </c>
      <c r="Q19" s="1351">
        <f>+Q18-IS!Q10</f>
        <v>0</v>
      </c>
      <c r="R19" s="1351">
        <f>+R18-IS!R10</f>
        <v>0</v>
      </c>
      <c r="S19" s="1352">
        <f>+S18-IS!S10</f>
        <v>0</v>
      </c>
      <c r="T19" s="374"/>
      <c r="U19" s="1350">
        <f>+U18-IS!U10</f>
        <v>0</v>
      </c>
      <c r="V19" s="1351">
        <f>+V18-IS!V10</f>
        <v>0</v>
      </c>
      <c r="W19" s="1351">
        <f>+W18-IS!W10</f>
        <v>0</v>
      </c>
      <c r="X19" s="1353">
        <f>+X18-IS!X10</f>
        <v>0</v>
      </c>
      <c r="Y19" s="1352">
        <f>+Y18-IS!Y10</f>
        <v>0</v>
      </c>
      <c r="Z19" s="374"/>
      <c r="AA19" s="1350">
        <f>+AA18-IS!AA10</f>
        <v>0</v>
      </c>
      <c r="AB19" s="1351">
        <f>+AB18-IS!AB10</f>
        <v>0</v>
      </c>
      <c r="AC19" s="1351">
        <f>+AC18-IS!AC10</f>
        <v>0</v>
      </c>
      <c r="AD19" s="1353">
        <f>+AD18-IS!AD10</f>
        <v>0</v>
      </c>
      <c r="AE19" s="1352">
        <f>+AE18-IS!AE10</f>
        <v>0</v>
      </c>
      <c r="AF19" s="374"/>
      <c r="AG19" s="1350">
        <f>+AG18-IS!AG10</f>
        <v>0</v>
      </c>
      <c r="AH19" s="1351">
        <f>+AH18-IS!AH10</f>
        <v>0</v>
      </c>
      <c r="AI19" s="1351">
        <f>+AI18-IS!AI10</f>
        <v>0</v>
      </c>
      <c r="AJ19" s="1353">
        <f>+AJ18-IS!AJ10</f>
        <v>0</v>
      </c>
      <c r="AK19" s="1352">
        <f>+AK18-IS!AK10</f>
        <v>0</v>
      </c>
      <c r="AL19" s="374"/>
      <c r="AM19" s="1350">
        <f>+AM18-IS!AM10</f>
        <v>0</v>
      </c>
      <c r="AN19" s="1351">
        <f>+AN18-IS!AN10</f>
        <v>0</v>
      </c>
      <c r="AO19" s="1351">
        <f>+AO18-IS!AO10</f>
        <v>0</v>
      </c>
      <c r="AP19" s="1351">
        <f>+AP18-IS!AP10</f>
        <v>0</v>
      </c>
      <c r="AQ19" s="1351">
        <f>+AQ18-IS!AQ10</f>
        <v>0</v>
      </c>
      <c r="AR19" s="374"/>
      <c r="AS19" s="1350">
        <f>+AS18-IS!AS10</f>
        <v>0</v>
      </c>
      <c r="AT19" s="1351">
        <f>+AT18-IS!AT10</f>
        <v>0</v>
      </c>
      <c r="AU19" s="1351">
        <f>+AU18-IS!AU10</f>
        <v>0</v>
      </c>
      <c r="AV19" s="1351">
        <f>+AV18-IS!AV10</f>
        <v>0</v>
      </c>
      <c r="AW19" s="1351">
        <f>+AW18-IS!AW10</f>
        <v>0</v>
      </c>
      <c r="AX19" s="374"/>
      <c r="AY19" s="1350">
        <f>+AY18-IS!AY10</f>
        <v>0</v>
      </c>
      <c r="AZ19" s="1351">
        <f>+AZ18-IS!AZ10</f>
        <v>0</v>
      </c>
      <c r="BA19" s="1351">
        <f>+BA18-IS!BA10</f>
        <v>0</v>
      </c>
      <c r="BB19" s="1351">
        <f>+BB18-IS!BB10</f>
        <v>0</v>
      </c>
      <c r="BC19" s="1351">
        <f>+BC18-IS!BC10</f>
        <v>0</v>
      </c>
      <c r="BD19" s="374"/>
      <c r="BE19" s="1350">
        <f>+BE18-IS!BE10</f>
        <v>0</v>
      </c>
      <c r="BF19" s="1351">
        <f>+BF18-IS!BF10</f>
        <v>0</v>
      </c>
      <c r="BG19" s="1351">
        <f>+BG18-IS!BG10</f>
        <v>0</v>
      </c>
      <c r="BH19" s="1351">
        <f>+BH18-IS!BH10</f>
        <v>0</v>
      </c>
      <c r="BI19" s="1351">
        <f>+BI18-IS!BI10</f>
        <v>0</v>
      </c>
      <c r="BJ19" s="374"/>
      <c r="BK19" s="1350">
        <f>+BK18-IS!BK10</f>
        <v>0</v>
      </c>
      <c r="BL19" s="1351">
        <f>+BL18-IS!BL10</f>
        <v>0</v>
      </c>
      <c r="BM19" s="1351">
        <f>+BM18-IS!BM10</f>
        <v>0</v>
      </c>
      <c r="BN19" s="1351">
        <f>+BN18-IS!BN10</f>
        <v>0</v>
      </c>
      <c r="BO19" s="1351">
        <f>+BO18-IS!BO10</f>
        <v>0</v>
      </c>
      <c r="BP19" s="374"/>
      <c r="BQ19" s="1955">
        <f>+BQ18-IS!BQ10</f>
        <v>0</v>
      </c>
      <c r="BR19" s="1956">
        <f>+BR18-IS!BR10</f>
        <v>0</v>
      </c>
      <c r="BS19" s="1956">
        <f>+BS18-IS!BS10</f>
        <v>0</v>
      </c>
      <c r="BT19" s="1956">
        <f>+BT18-IS!BT10</f>
        <v>0</v>
      </c>
      <c r="BU19" s="1351">
        <f>+BU18-IS!BU10</f>
        <v>0</v>
      </c>
      <c r="BV19" s="374"/>
      <c r="BW19" s="1955">
        <f>+BW18-IS!BW10</f>
        <v>0</v>
      </c>
      <c r="BX19" s="1956">
        <f>+BX18-IS!BX10</f>
        <v>0</v>
      </c>
      <c r="BY19" s="1956">
        <f>+BY18-IS!BY10</f>
        <v>0</v>
      </c>
      <c r="BZ19" s="1956">
        <f>+BZ18-IS!BZ10</f>
        <v>0</v>
      </c>
      <c r="CA19" s="1351">
        <f>+CA18-IS!CA10</f>
        <v>0</v>
      </c>
      <c r="CB19" s="2117"/>
      <c r="CC19" s="1955">
        <f>+CC18-IS!CC10</f>
        <v>0</v>
      </c>
      <c r="CD19" s="1956">
        <f>+CD18-IS!CD10</f>
        <v>0</v>
      </c>
      <c r="CE19" s="1956">
        <f>+CE18-IS!CE10</f>
        <v>0</v>
      </c>
      <c r="CF19" s="1956">
        <f>+CF18-IS!CF10</f>
        <v>0</v>
      </c>
      <c r="CG19" s="1351">
        <f>+CG18-IS!CG10</f>
        <v>0</v>
      </c>
      <c r="CH19" s="374"/>
      <c r="CI19" s="1955">
        <f>+CI18-IS!CI10</f>
        <v>0</v>
      </c>
      <c r="CJ19" s="1956">
        <f>+CJ18-IS!CJ10</f>
        <v>0</v>
      </c>
      <c r="CK19" s="1956">
        <f>+CK18-IS!CK10</f>
        <v>0</v>
      </c>
      <c r="CL19" s="1956">
        <f>+CL18-IS!CL10</f>
        <v>0</v>
      </c>
      <c r="CM19" s="1351">
        <f>+CM18-IS!CM10</f>
        <v>0</v>
      </c>
      <c r="CN19" s="374"/>
      <c r="CO19" s="374"/>
      <c r="CP19" s="374"/>
      <c r="CQ19" s="374"/>
      <c r="CR19" s="374"/>
      <c r="CS19" s="374"/>
      <c r="CT19" s="375"/>
      <c r="CU19" s="375"/>
      <c r="CV19" s="375"/>
      <c r="CW19" s="375"/>
      <c r="CX19" s="375"/>
      <c r="CY19" s="375"/>
      <c r="CZ19" s="375"/>
      <c r="DA19" s="375"/>
      <c r="DB19" s="375"/>
      <c r="DC19" s="375"/>
      <c r="DD19" s="375"/>
      <c r="DE19" s="375"/>
      <c r="DF19" s="375"/>
    </row>
    <row r="20" spans="1:110" ht="6" customHeight="1">
      <c r="A20" s="375"/>
      <c r="C20" s="376"/>
      <c r="D20" s="376"/>
      <c r="E20" s="376"/>
      <c r="F20" s="376"/>
      <c r="G20" s="377"/>
      <c r="H20" s="378"/>
      <c r="I20" s="376"/>
      <c r="J20" s="376"/>
      <c r="K20" s="376"/>
      <c r="L20" s="376"/>
      <c r="M20" s="377"/>
      <c r="N20" s="378"/>
      <c r="O20" s="376"/>
      <c r="P20" s="376"/>
      <c r="Q20" s="376"/>
      <c r="R20" s="376"/>
      <c r="S20" s="377"/>
      <c r="T20" s="378"/>
      <c r="U20" s="376"/>
      <c r="V20" s="376"/>
      <c r="W20" s="376"/>
      <c r="X20" s="376"/>
      <c r="Y20" s="376"/>
      <c r="Z20" s="378"/>
      <c r="AA20" s="378"/>
      <c r="AB20" s="378"/>
      <c r="AC20" s="378"/>
      <c r="AD20" s="378"/>
      <c r="AE20" s="378"/>
      <c r="AF20" s="378"/>
      <c r="AG20" s="379"/>
      <c r="AH20" s="379"/>
      <c r="AI20" s="380"/>
      <c r="AJ20" s="378"/>
      <c r="AK20" s="381"/>
      <c r="AL20" s="378"/>
      <c r="AM20" s="378"/>
      <c r="AN20" s="378"/>
      <c r="AO20" s="378"/>
      <c r="AP20" s="378"/>
      <c r="AQ20" s="378"/>
      <c r="AR20" s="378"/>
      <c r="AS20" s="376"/>
      <c r="AT20" s="376"/>
      <c r="AU20" s="376"/>
      <c r="AV20" s="376"/>
      <c r="AW20" s="376"/>
      <c r="AX20" s="376"/>
      <c r="AY20" s="288"/>
      <c r="AZ20" s="288"/>
      <c r="BA20" s="288"/>
      <c r="BB20" s="288"/>
      <c r="BC20" s="184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8"/>
      <c r="CB20" s="288"/>
      <c r="CC20" s="288"/>
      <c r="CD20" s="288"/>
      <c r="CE20" s="288"/>
      <c r="CF20" s="288"/>
      <c r="CG20" s="288"/>
      <c r="CH20" s="374"/>
      <c r="CI20" s="288"/>
      <c r="CJ20" s="288"/>
      <c r="CK20" s="288"/>
      <c r="CL20" s="288"/>
      <c r="CM20" s="288"/>
      <c r="CN20" s="374"/>
      <c r="CO20" s="374"/>
      <c r="CP20" s="374"/>
      <c r="CQ20" s="374"/>
      <c r="CR20" s="374"/>
      <c r="CS20" s="374"/>
      <c r="CT20" s="375"/>
      <c r="CU20" s="375"/>
      <c r="CV20" s="375"/>
      <c r="CW20" s="375"/>
      <c r="CX20" s="375"/>
      <c r="CY20" s="375"/>
      <c r="CZ20" s="375"/>
      <c r="DA20" s="375"/>
      <c r="DB20" s="375"/>
      <c r="DC20" s="375"/>
      <c r="DD20" s="375"/>
      <c r="DE20" s="375"/>
      <c r="DF20" s="375"/>
    </row>
    <row r="21" spans="1:110">
      <c r="A21" s="2192" t="s">
        <v>170</v>
      </c>
      <c r="B21" s="2181"/>
      <c r="C21" s="2193"/>
      <c r="D21" s="2193"/>
      <c r="E21" s="2193"/>
      <c r="F21" s="2193"/>
      <c r="G21" s="2194"/>
      <c r="H21" s="2185"/>
      <c r="I21" s="2193"/>
      <c r="J21" s="2193"/>
      <c r="K21" s="2193"/>
      <c r="L21" s="2193"/>
      <c r="M21" s="2194"/>
      <c r="N21" s="2185"/>
      <c r="O21" s="2193"/>
      <c r="P21" s="2193"/>
      <c r="Q21" s="2193"/>
      <c r="R21" s="2193"/>
      <c r="S21" s="2194"/>
      <c r="T21" s="2185"/>
      <c r="U21" s="2195"/>
      <c r="V21" s="2193"/>
      <c r="W21" s="2193"/>
      <c r="X21" s="2193"/>
      <c r="Y21" s="2196"/>
      <c r="Z21" s="2185"/>
      <c r="AA21" s="2193"/>
      <c r="AB21" s="2193"/>
      <c r="AC21" s="2193"/>
      <c r="AD21" s="2193"/>
      <c r="AE21" s="2196"/>
      <c r="AF21" s="2185"/>
      <c r="AG21" s="2193"/>
      <c r="AH21" s="2193"/>
      <c r="AI21" s="2193"/>
      <c r="AJ21" s="2193"/>
      <c r="AK21" s="2196"/>
      <c r="AL21" s="2185"/>
      <c r="AM21" s="2197"/>
      <c r="AN21" s="2193"/>
      <c r="AO21" s="2193"/>
      <c r="AP21" s="2193"/>
      <c r="AQ21" s="2196"/>
      <c r="AR21" s="2185"/>
      <c r="AS21" s="2182"/>
      <c r="AT21" s="2183"/>
      <c r="AU21" s="2183"/>
      <c r="AV21" s="2183"/>
      <c r="AW21" s="2196"/>
      <c r="AX21" s="2185"/>
      <c r="AY21" s="2193"/>
      <c r="AZ21" s="2193"/>
      <c r="BA21" s="2193"/>
      <c r="BB21" s="2193"/>
      <c r="BC21" s="2196"/>
      <c r="BD21" s="2185"/>
      <c r="BE21" s="2193"/>
      <c r="BF21" s="2193"/>
      <c r="BG21" s="2193"/>
      <c r="BH21" s="2193"/>
      <c r="BI21" s="2196"/>
      <c r="BJ21" s="2185"/>
      <c r="BK21" s="2195"/>
      <c r="BL21" s="2193"/>
      <c r="BM21" s="2193"/>
      <c r="BN21" s="2193"/>
      <c r="BO21" s="2194"/>
      <c r="BP21" s="2185"/>
      <c r="BQ21" s="2195"/>
      <c r="BR21" s="2193"/>
      <c r="BS21" s="2193"/>
      <c r="BT21" s="2193"/>
      <c r="BU21" s="2194"/>
      <c r="BV21" s="2185"/>
      <c r="BW21" s="2195"/>
      <c r="BX21" s="2193"/>
      <c r="BY21" s="2193"/>
      <c r="BZ21" s="2193"/>
      <c r="CA21" s="2194"/>
      <c r="CB21" s="2108"/>
      <c r="CC21" s="385"/>
      <c r="CD21" s="383"/>
      <c r="CE21" s="383"/>
      <c r="CF21" s="383"/>
      <c r="CG21" s="384"/>
      <c r="CH21" s="273"/>
      <c r="CI21" s="385"/>
      <c r="CJ21" s="383"/>
      <c r="CK21" s="383"/>
      <c r="CL21" s="383"/>
      <c r="CM21" s="384"/>
      <c r="CN21" s="273"/>
      <c r="CO21" s="273"/>
      <c r="CP21" s="273"/>
      <c r="CQ21" s="273"/>
      <c r="CR21" s="273"/>
      <c r="CS21" s="273"/>
      <c r="CT21" s="149"/>
      <c r="CU21" s="149"/>
      <c r="CV21" s="149"/>
      <c r="CW21" s="149"/>
      <c r="CX21" s="149"/>
      <c r="CY21" s="149"/>
      <c r="CZ21" s="149"/>
      <c r="DA21" s="149"/>
      <c r="DB21" s="149"/>
      <c r="DC21" s="149"/>
      <c r="DD21" s="149"/>
      <c r="DE21" s="149"/>
      <c r="DF21" s="149"/>
    </row>
    <row r="22" spans="1:110" ht="15" hidden="1" outlineLevel="2">
      <c r="A22" s="1354" t="s">
        <v>97</v>
      </c>
      <c r="C22" s="1355"/>
      <c r="D22" s="1356"/>
      <c r="E22" s="1356"/>
      <c r="F22" s="1356"/>
      <c r="G22" s="1357"/>
      <c r="H22" s="387"/>
      <c r="I22" s="1355">
        <f>I11/C11-1</f>
        <v>0.22399999999999998</v>
      </c>
      <c r="J22" s="1356">
        <f>J11/D11-1</f>
        <v>0.2326530612244897</v>
      </c>
      <c r="K22" s="1356">
        <f>K11/E11-1</f>
        <v>0.193798449612403</v>
      </c>
      <c r="L22" s="1356">
        <f>L11/F11-1</f>
        <v>0.16723549488054612</v>
      </c>
      <c r="M22" s="1357">
        <f>M11/G11-1</f>
        <v>0.20267686424474185</v>
      </c>
      <c r="N22" s="387"/>
      <c r="O22" s="1355">
        <f>O11/I11-1</f>
        <v>9.8039215686274161E-3</v>
      </c>
      <c r="P22" s="1356">
        <f>P11/J11-1</f>
        <v>-1.3245033112582738E-2</v>
      </c>
      <c r="Q22" s="1356">
        <f>Q11/K11-1</f>
        <v>-4.870129870129869E-2</v>
      </c>
      <c r="R22" s="1356">
        <f>R11/L11-1</f>
        <v>-6.7251461988304118E-2</v>
      </c>
      <c r="S22" s="1357">
        <f>S11/M11-1</f>
        <v>-3.1001589825119247E-2</v>
      </c>
      <c r="T22" s="387"/>
      <c r="U22" s="1355">
        <f>U8/O8-1</f>
        <v>9.0196078431372451E-2</v>
      </c>
      <c r="V22" s="1356">
        <f>V8/P8-1</f>
        <v>0.12658227848101267</v>
      </c>
      <c r="W22" s="1356">
        <f>W8/Q8-1</f>
        <v>0.33617021276595738</v>
      </c>
      <c r="X22" s="1356">
        <f>X8/R8-1</f>
        <v>0.40613026819923381</v>
      </c>
      <c r="Y22" s="1357">
        <f>Y8/S8-1</f>
        <v>0.24089068825910931</v>
      </c>
      <c r="Z22" s="387"/>
      <c r="AA22" s="1355">
        <f>AA8/U8-1</f>
        <v>0.21582733812949639</v>
      </c>
      <c r="AB22" s="1356">
        <f>AB8/V8-1</f>
        <v>0.46816479400749067</v>
      </c>
      <c r="AC22" s="1356">
        <f>AC8/W8-1</f>
        <v>0.21974522292993637</v>
      </c>
      <c r="AD22" s="1356">
        <f>AD8/X8-1</f>
        <v>9.5367847411444107E-2</v>
      </c>
      <c r="AE22" s="1357">
        <f>AE8/Y8-1</f>
        <v>0.23572593800978803</v>
      </c>
      <c r="AF22" s="387"/>
      <c r="AG22" s="1355">
        <f>AG8/AA8-1</f>
        <v>0.16863905325443795</v>
      </c>
      <c r="AH22" s="1356">
        <f>AH8/AB8-1</f>
        <v>7.6530612244898322E-3</v>
      </c>
      <c r="AI22" s="1356">
        <f>AI8/AC8-1</f>
        <v>2.088772845953013E-2</v>
      </c>
      <c r="AJ22" s="1356">
        <f>AJ8/AD8-1</f>
        <v>-2.4875621890547706E-3</v>
      </c>
      <c r="AK22" s="1357">
        <f>AK8/AE8-1</f>
        <v>4.4224422442244116E-2</v>
      </c>
      <c r="AL22" s="387"/>
      <c r="AM22" s="1355">
        <f>AM8/AG8-1</f>
        <v>1.51898734177216E-2</v>
      </c>
      <c r="AN22" s="1356">
        <f>AN8/AH8-1</f>
        <v>2.5316455696202445E-2</v>
      </c>
      <c r="AO22" s="1356">
        <f>AO8/AI8-1</f>
        <v>2.5575447570332477E-2</v>
      </c>
      <c r="AP22" s="1356">
        <f>SUM(AP23:AP25)</f>
        <v>4.8433228180862251E-2</v>
      </c>
      <c r="AQ22" s="1357">
        <f>AQ8/AK8-1</f>
        <v>2.8711583122961848E-2</v>
      </c>
      <c r="AR22" s="387"/>
      <c r="AS22" s="1358"/>
      <c r="AT22" s="1359"/>
      <c r="AU22" s="1359"/>
      <c r="AV22" s="1359"/>
      <c r="AW22" s="1357"/>
      <c r="AX22" s="387"/>
      <c r="AY22" s="1355"/>
      <c r="AZ22" s="1356"/>
      <c r="BA22" s="1356"/>
      <c r="BB22" s="1356"/>
      <c r="BC22" s="1357"/>
      <c r="BD22" s="387"/>
      <c r="BE22" s="1355"/>
      <c r="BF22" s="1356"/>
      <c r="BG22" s="1356"/>
      <c r="BH22" s="1356"/>
      <c r="BI22" s="1357"/>
      <c r="BJ22" s="387"/>
      <c r="BK22" s="1355"/>
      <c r="BL22" s="1356"/>
      <c r="BM22" s="1356"/>
      <c r="BN22" s="1356"/>
      <c r="BO22" s="1357"/>
      <c r="BP22" s="387"/>
      <c r="BQ22" s="1355"/>
      <c r="BR22" s="1356"/>
      <c r="BS22" s="1356"/>
      <c r="BT22" s="1356"/>
      <c r="BU22" s="1357"/>
      <c r="BV22" s="387"/>
      <c r="BW22" s="1355"/>
      <c r="BX22" s="1356"/>
      <c r="BY22" s="1356"/>
      <c r="BZ22" s="1356"/>
      <c r="CA22" s="1357"/>
      <c r="CB22" s="1359"/>
      <c r="CC22" s="1355"/>
      <c r="CD22" s="1356"/>
      <c r="CE22" s="1356"/>
      <c r="CF22" s="1356"/>
      <c r="CG22" s="1357"/>
      <c r="CH22" s="388"/>
      <c r="CI22" s="1355"/>
      <c r="CJ22" s="1356"/>
      <c r="CK22" s="1356"/>
      <c r="CL22" s="1356"/>
      <c r="CM22" s="1357"/>
      <c r="CN22" s="388"/>
      <c r="CO22" s="388"/>
      <c r="CP22" s="388"/>
      <c r="CQ22" s="388"/>
      <c r="CR22" s="388"/>
      <c r="CS22" s="388"/>
      <c r="CT22" s="50"/>
      <c r="CU22" s="50"/>
      <c r="CV22" s="50"/>
      <c r="CW22" s="50"/>
      <c r="CX22" s="50"/>
      <c r="CY22" s="50"/>
      <c r="CZ22" s="50"/>
      <c r="DA22" s="50"/>
      <c r="DB22" s="50"/>
      <c r="DC22" s="50"/>
      <c r="DD22" s="50"/>
      <c r="DE22" s="50"/>
      <c r="DF22" s="50"/>
    </row>
    <row r="23" spans="1:110" hidden="1" outlineLevel="2">
      <c r="A23" s="1300" t="s">
        <v>171</v>
      </c>
      <c r="C23" s="1360"/>
      <c r="D23" s="1361"/>
      <c r="E23" s="1361"/>
      <c r="F23" s="1361"/>
      <c r="G23" s="1362"/>
      <c r="H23" s="236"/>
      <c r="I23" s="1360"/>
      <c r="J23" s="1361"/>
      <c r="K23" s="1361"/>
      <c r="L23" s="1361"/>
      <c r="M23" s="1362"/>
      <c r="N23" s="236"/>
      <c r="O23" s="1360"/>
      <c r="P23" s="1361"/>
      <c r="Q23" s="1361"/>
      <c r="R23" s="1361"/>
      <c r="S23" s="1362"/>
      <c r="T23" s="236"/>
      <c r="U23" s="1360">
        <f>U22-U25-U24</f>
        <v>4.0196078431372448E-2</v>
      </c>
      <c r="V23" s="1361">
        <f>V22-V25-V24</f>
        <v>8.6582278481012659E-2</v>
      </c>
      <c r="W23" s="1361">
        <f>W22-W25-W24</f>
        <v>0.21617021276595738</v>
      </c>
      <c r="X23" s="1361">
        <f>X22-X25-X24</f>
        <v>0.14172413793103467</v>
      </c>
      <c r="Y23" s="1615">
        <f>14%-Y25</f>
        <v>0.12000000000000001</v>
      </c>
      <c r="Z23" s="1581"/>
      <c r="AA23" s="1614">
        <f>7%-AA25</f>
        <v>0.08</v>
      </c>
      <c r="AB23" s="1613">
        <f>16%-AB25</f>
        <v>0.13</v>
      </c>
      <c r="AC23" s="1613">
        <f>18%-AC25</f>
        <v>0.12</v>
      </c>
      <c r="AD23" s="1361">
        <f>AD22-AD25-AD24</f>
        <v>6.0735694822888237E-2</v>
      </c>
      <c r="AE23" s="1615">
        <f>13%-AE25</f>
        <v>0.1</v>
      </c>
      <c r="AF23" s="236"/>
      <c r="AG23" s="1360">
        <f>AG22-AG25-AG24</f>
        <v>0.15863905325443795</v>
      </c>
      <c r="AH23" s="1361">
        <f>AH22-AH25-AH24</f>
        <v>1.7653061224489834E-2</v>
      </c>
      <c r="AI23" s="1361">
        <f>AI22-AI25-AI24-0.1%</f>
        <v>5.3830287206266425E-2</v>
      </c>
      <c r="AJ23" s="1361">
        <f>AJ22-AJ25-AJ24</f>
        <v>2.487562189054722E-2</v>
      </c>
      <c r="AK23" s="1362">
        <f>AK22-AK25-AK24</f>
        <v>6.422442244224412E-2</v>
      </c>
      <c r="AL23" s="236"/>
      <c r="AM23" s="1360">
        <f>AM22-AM25-AM24</f>
        <v>2.5316455696202611E-2</v>
      </c>
      <c r="AN23" s="1361">
        <f>AN22-AN25-AN24</f>
        <v>4.430379746835434E-2</v>
      </c>
      <c r="AO23" s="1361">
        <f>AO22-AO25-AO24</f>
        <v>3.8363171355498715E-2</v>
      </c>
      <c r="AP23" s="1613">
        <v>0.06</v>
      </c>
      <c r="AQ23" s="1362">
        <f>AM23*(AM8/AQ8)+AN23*(AN8/AQ8)+AO23*(AO8/AQ8)+AP23*(AP8/AQ8)</f>
        <v>4.2216391030132826E-2</v>
      </c>
      <c r="AR23" s="236"/>
      <c r="AS23" s="1360"/>
      <c r="AT23" s="1366"/>
      <c r="AU23" s="1365"/>
      <c r="AV23" s="1365"/>
      <c r="AW23" s="1362"/>
      <c r="AX23" s="236"/>
      <c r="AY23" s="1364"/>
      <c r="AZ23" s="1365"/>
      <c r="BA23" s="1365"/>
      <c r="BB23" s="1365"/>
      <c r="BC23" s="1362"/>
      <c r="BD23" s="236"/>
      <c r="BE23" s="1364"/>
      <c r="BF23" s="1365"/>
      <c r="BG23" s="1365"/>
      <c r="BH23" s="1365"/>
      <c r="BI23" s="1362"/>
      <c r="BJ23" s="236"/>
      <c r="BK23" s="1364"/>
      <c r="BL23" s="1365"/>
      <c r="BM23" s="1365"/>
      <c r="BN23" s="1365"/>
      <c r="BO23" s="1362"/>
      <c r="BP23" s="236"/>
      <c r="BQ23" s="1364"/>
      <c r="BR23" s="1365"/>
      <c r="BS23" s="1365"/>
      <c r="BT23" s="1365"/>
      <c r="BU23" s="1362"/>
      <c r="BV23" s="236"/>
      <c r="BW23" s="1364"/>
      <c r="BX23" s="1365"/>
      <c r="BY23" s="1365"/>
      <c r="BZ23" s="1365"/>
      <c r="CA23" s="1362"/>
      <c r="CB23" s="1361"/>
      <c r="CC23" s="1364"/>
      <c r="CD23" s="1365"/>
      <c r="CE23" s="1365"/>
      <c r="CF23" s="1365"/>
      <c r="CG23" s="1362"/>
      <c r="CH23" s="389"/>
      <c r="CI23" s="1364"/>
      <c r="CJ23" s="1365"/>
      <c r="CK23" s="1365"/>
      <c r="CL23" s="1365"/>
      <c r="CM23" s="1362"/>
      <c r="CN23" s="389"/>
      <c r="CO23" s="389"/>
      <c r="CP23" s="389"/>
      <c r="CQ23" s="389"/>
      <c r="CR23" s="389"/>
      <c r="CS23" s="389"/>
      <c r="CT23" s="201"/>
      <c r="CU23" s="201"/>
      <c r="CV23" s="201"/>
      <c r="CW23" s="201"/>
      <c r="CX23" s="201"/>
      <c r="CY23" s="201"/>
      <c r="CZ23" s="201"/>
      <c r="DA23" s="201"/>
      <c r="DB23" s="201"/>
      <c r="DC23" s="201"/>
      <c r="DD23" s="201"/>
      <c r="DE23" s="201"/>
      <c r="DF23" s="201"/>
    </row>
    <row r="24" spans="1:110" hidden="1" outlineLevel="2">
      <c r="A24" s="1300" t="s">
        <v>172</v>
      </c>
      <c r="C24" s="1360"/>
      <c r="D24" s="1361"/>
      <c r="E24" s="1361"/>
      <c r="F24" s="1361"/>
      <c r="G24" s="1362"/>
      <c r="H24" s="236"/>
      <c r="I24" s="1360"/>
      <c r="J24" s="1361"/>
      <c r="K24" s="1361"/>
      <c r="L24" s="1361"/>
      <c r="M24" s="1362"/>
      <c r="N24" s="236"/>
      <c r="O24" s="1360"/>
      <c r="P24" s="1361"/>
      <c r="Q24" s="1361"/>
      <c r="R24" s="1361"/>
      <c r="S24" s="1362"/>
      <c r="T24" s="236"/>
      <c r="U24" s="1614">
        <v>0</v>
      </c>
      <c r="V24" s="1613">
        <v>0</v>
      </c>
      <c r="W24" s="1613">
        <v>0.13</v>
      </c>
      <c r="X24" s="1361">
        <f>((S8*Y24)-(O8*U24)-(P8*V24)-(Q8*W24))/R8</f>
        <v>0.26486590038314167</v>
      </c>
      <c r="Y24" s="1362">
        <f>Y22-Y23-Y25</f>
        <v>0.1008906882591093</v>
      </c>
      <c r="Z24" s="236"/>
      <c r="AA24" s="1360">
        <f>AA22-AA23-AA25</f>
        <v>0.14582733812949639</v>
      </c>
      <c r="AB24" s="1361">
        <f>AB22-AB23-AB25</f>
        <v>0.30816479400749064</v>
      </c>
      <c r="AC24" s="1361">
        <f>AC22-AC23-AC25</f>
        <v>3.9745222929936375E-2</v>
      </c>
      <c r="AD24" s="1613">
        <v>0</v>
      </c>
      <c r="AE24" s="1362">
        <f>AE22-AE23-AE25</f>
        <v>0.10572593800978802</v>
      </c>
      <c r="AF24" s="236"/>
      <c r="AG24" s="1614">
        <v>0</v>
      </c>
      <c r="AH24" s="1613">
        <v>0</v>
      </c>
      <c r="AI24" s="1613">
        <v>0</v>
      </c>
      <c r="AJ24" s="1613">
        <v>0</v>
      </c>
      <c r="AK24" s="1615">
        <v>0</v>
      </c>
      <c r="AL24" s="236"/>
      <c r="AM24" s="1614">
        <v>0</v>
      </c>
      <c r="AN24" s="1613">
        <f>-0.5/AH8</f>
        <v>-1.2658227848101266E-3</v>
      </c>
      <c r="AO24" s="1613">
        <v>0</v>
      </c>
      <c r="AP24" s="1613">
        <v>0</v>
      </c>
      <c r="AQ24" s="1362">
        <f>AM24*(AM8/AQ8)+AN24*(AN8/AQ8)+AO24*(AO8/AQ8)+AP24*(AP8/AQ8)</f>
        <v>-3.1501252572097867E-4</v>
      </c>
      <c r="AR24" s="236"/>
      <c r="AS24" s="1367"/>
      <c r="AT24" s="1363"/>
      <c r="AU24" s="1365"/>
      <c r="AV24" s="1365"/>
      <c r="AW24" s="1362"/>
      <c r="AX24" s="236"/>
      <c r="AY24" s="1364"/>
      <c r="AZ24" s="1365"/>
      <c r="BA24" s="1365"/>
      <c r="BB24" s="1365"/>
      <c r="BC24" s="1362"/>
      <c r="BD24" s="236"/>
      <c r="BE24" s="1364"/>
      <c r="BF24" s="1365"/>
      <c r="BG24" s="1365"/>
      <c r="BH24" s="1365"/>
      <c r="BI24" s="1362"/>
      <c r="BJ24" s="236"/>
      <c r="BK24" s="1364"/>
      <c r="BL24" s="1365"/>
      <c r="BM24" s="1365"/>
      <c r="BN24" s="1365"/>
      <c r="BO24" s="1362"/>
      <c r="BP24" s="236"/>
      <c r="BQ24" s="1364"/>
      <c r="BR24" s="1365"/>
      <c r="BS24" s="1365"/>
      <c r="BT24" s="1365"/>
      <c r="BU24" s="1362"/>
      <c r="BV24" s="236"/>
      <c r="BW24" s="1364"/>
      <c r="BX24" s="1365"/>
      <c r="BY24" s="1365"/>
      <c r="BZ24" s="1365"/>
      <c r="CA24" s="1362"/>
      <c r="CB24" s="1361"/>
      <c r="CC24" s="1364"/>
      <c r="CD24" s="1365"/>
      <c r="CE24" s="1365"/>
      <c r="CF24" s="1365"/>
      <c r="CG24" s="1362"/>
      <c r="CH24" s="389"/>
      <c r="CI24" s="1364"/>
      <c r="CJ24" s="1365"/>
      <c r="CK24" s="1365"/>
      <c r="CL24" s="1365"/>
      <c r="CM24" s="1362"/>
      <c r="CN24" s="389"/>
      <c r="CO24" s="389"/>
      <c r="CP24" s="389"/>
      <c r="CQ24" s="389"/>
      <c r="CR24" s="389"/>
      <c r="CS24" s="389"/>
      <c r="CT24" s="201"/>
      <c r="CU24" s="201"/>
      <c r="CV24" s="201"/>
      <c r="CW24" s="201"/>
      <c r="CX24" s="201"/>
      <c r="CY24" s="201"/>
      <c r="CZ24" s="201"/>
      <c r="DA24" s="201"/>
      <c r="DB24" s="201"/>
      <c r="DC24" s="201"/>
      <c r="DD24" s="201"/>
      <c r="DE24" s="201"/>
      <c r="DF24" s="201"/>
    </row>
    <row r="25" spans="1:110" hidden="1" outlineLevel="2">
      <c r="A25" s="1368" t="s">
        <v>173</v>
      </c>
      <c r="C25" s="1360"/>
      <c r="D25" s="1361"/>
      <c r="E25" s="1361"/>
      <c r="F25" s="1361"/>
      <c r="G25" s="1362"/>
      <c r="H25" s="236"/>
      <c r="I25" s="1360"/>
      <c r="J25" s="1361"/>
      <c r="K25" s="1361"/>
      <c r="L25" s="1361"/>
      <c r="M25" s="1362"/>
      <c r="N25" s="236"/>
      <c r="O25" s="1360"/>
      <c r="P25" s="1361"/>
      <c r="Q25" s="1361"/>
      <c r="R25" s="1361"/>
      <c r="S25" s="1362"/>
      <c r="T25" s="236"/>
      <c r="U25" s="1614">
        <v>0.05</v>
      </c>
      <c r="V25" s="1613">
        <v>0.04</v>
      </c>
      <c r="W25" s="1613">
        <v>-0.01</v>
      </c>
      <c r="X25" s="1361">
        <f>((S8*Y25)-(O8*U25)-(P8*V25)-(Q8*W25))/R8</f>
        <v>-4.5977011494252406E-4</v>
      </c>
      <c r="Y25" s="1615">
        <v>0.02</v>
      </c>
      <c r="Z25" s="236"/>
      <c r="AA25" s="1614">
        <v>-0.01</v>
      </c>
      <c r="AB25" s="1613">
        <v>0.03</v>
      </c>
      <c r="AC25" s="1613">
        <v>0.06</v>
      </c>
      <c r="AD25" s="1361">
        <f>((Y8*AE25)-(U8*AA25)-(V8*AB25)-(W8*AC25))/X8</f>
        <v>3.463215258855587E-2</v>
      </c>
      <c r="AE25" s="1615">
        <v>0.03</v>
      </c>
      <c r="AF25" s="236"/>
      <c r="AG25" s="1614">
        <v>0.01</v>
      </c>
      <c r="AH25" s="1613">
        <v>-0.01</v>
      </c>
      <c r="AI25" s="1613">
        <f>-13/AC8</f>
        <v>-3.3942558746736295E-2</v>
      </c>
      <c r="AJ25" s="1613">
        <f>-11/AD8</f>
        <v>-2.736318407960199E-2</v>
      </c>
      <c r="AK25" s="1615">
        <v>-0.02</v>
      </c>
      <c r="AL25" s="236"/>
      <c r="AM25" s="1614">
        <f>-4/AG8</f>
        <v>-1.0126582278481013E-2</v>
      </c>
      <c r="AN25" s="1613">
        <f>-7/AH8</f>
        <v>-1.7721518987341773E-2</v>
      </c>
      <c r="AO25" s="1613">
        <f>-5/AI8</f>
        <v>-1.278772378516624E-2</v>
      </c>
      <c r="AP25" s="1369">
        <f>OrgRev!AP23</f>
        <v>-1.1566771819137749E-2</v>
      </c>
      <c r="AQ25" s="1362">
        <f>AM25*(AM8/AQ8)+AN25*(AN8/AQ8)+AO25*(AO8/AQ8)+AP25*(AP8/AQ8)</f>
        <v>-1.3044420973928742E-2</v>
      </c>
      <c r="AR25" s="236"/>
      <c r="AS25" s="1367"/>
      <c r="AT25" s="1363"/>
      <c r="AU25" s="1361"/>
      <c r="AV25" s="1361"/>
      <c r="AW25" s="1362"/>
      <c r="AX25" s="236"/>
      <c r="AY25" s="1360"/>
      <c r="AZ25" s="1361"/>
      <c r="BA25" s="1361"/>
      <c r="BB25" s="1361"/>
      <c r="BC25" s="1362"/>
      <c r="BD25" s="236"/>
      <c r="BE25" s="1360"/>
      <c r="BF25" s="1361"/>
      <c r="BG25" s="1361"/>
      <c r="BH25" s="1361"/>
      <c r="BI25" s="1362"/>
      <c r="BJ25" s="236"/>
      <c r="BK25" s="1360"/>
      <c r="BL25" s="1361"/>
      <c r="BM25" s="1361"/>
      <c r="BN25" s="1361"/>
      <c r="BO25" s="1362"/>
      <c r="BP25" s="236"/>
      <c r="BQ25" s="1360"/>
      <c r="BR25" s="1361"/>
      <c r="BS25" s="1361"/>
      <c r="BT25" s="1361"/>
      <c r="BU25" s="1362"/>
      <c r="BV25" s="236"/>
      <c r="BW25" s="1360"/>
      <c r="BX25" s="1361"/>
      <c r="BY25" s="1361"/>
      <c r="BZ25" s="1361"/>
      <c r="CA25" s="1362"/>
      <c r="CB25" s="1361"/>
      <c r="CC25" s="1360"/>
      <c r="CD25" s="1361"/>
      <c r="CE25" s="1361"/>
      <c r="CF25" s="1361"/>
      <c r="CG25" s="1362"/>
      <c r="CH25" s="389"/>
      <c r="CI25" s="1360"/>
      <c r="CJ25" s="1361"/>
      <c r="CK25" s="1361"/>
      <c r="CL25" s="1361"/>
      <c r="CM25" s="1362"/>
      <c r="CN25" s="389"/>
      <c r="CO25" s="389"/>
      <c r="CP25" s="389"/>
      <c r="CQ25" s="389"/>
      <c r="CR25" s="389"/>
      <c r="CS25" s="389"/>
      <c r="CT25" s="201"/>
      <c r="CU25" s="201"/>
      <c r="CV25" s="201"/>
      <c r="CW25" s="201"/>
      <c r="CX25" s="201"/>
      <c r="CY25" s="201"/>
      <c r="CZ25" s="201"/>
      <c r="DA25" s="201"/>
      <c r="DB25" s="201"/>
      <c r="DC25" s="201"/>
      <c r="DD25" s="201"/>
      <c r="DE25" s="201"/>
      <c r="DF25" s="201"/>
    </row>
    <row r="26" spans="1:110" ht="15" hidden="1" outlineLevel="2">
      <c r="A26" s="1370" t="str">
        <f>A9</f>
        <v xml:space="preserve">    DGG</v>
      </c>
      <c r="C26" s="1358"/>
      <c r="D26" s="1371"/>
      <c r="E26" s="1371"/>
      <c r="F26" s="1371"/>
      <c r="G26" s="1372"/>
      <c r="H26" s="387"/>
      <c r="I26" s="1358"/>
      <c r="J26" s="1371"/>
      <c r="K26" s="1371"/>
      <c r="L26" s="1371"/>
      <c r="M26" s="1372"/>
      <c r="N26" s="387"/>
      <c r="O26" s="1358"/>
      <c r="P26" s="1371"/>
      <c r="Q26" s="1371"/>
      <c r="R26" s="1371"/>
      <c r="S26" s="1372"/>
      <c r="T26" s="387"/>
      <c r="U26" s="1358">
        <f>U9/O9-1</f>
        <v>0.14814814814814814</v>
      </c>
      <c r="V26" s="1371">
        <f>V9/P9-1</f>
        <v>9.8360655737705027E-2</v>
      </c>
      <c r="W26" s="1371">
        <f>W9/Q9-1</f>
        <v>3.4482758620689724E-2</v>
      </c>
      <c r="X26" s="1371">
        <f>X9/R9-1</f>
        <v>0.10344827586206895</v>
      </c>
      <c r="Y26" s="1372">
        <f>Y9/S9-1</f>
        <v>9.5238095238095344E-2</v>
      </c>
      <c r="Z26" s="387"/>
      <c r="AA26" s="1358">
        <f>AA9/U9-1</f>
        <v>6.4516129032258007E-2</v>
      </c>
      <c r="AB26" s="1371">
        <f>AB9/V9-1</f>
        <v>7.4626865671641784E-2</v>
      </c>
      <c r="AC26" s="1371">
        <f>AC9/W9-1</f>
        <v>0.16666666666666674</v>
      </c>
      <c r="AD26" s="1371">
        <f>AD9/X9-1</f>
        <v>7.8125E-2</v>
      </c>
      <c r="AE26" s="1372">
        <f>AE9/Y9-1</f>
        <v>9.486166007905128E-2</v>
      </c>
      <c r="AF26" s="387"/>
      <c r="AG26" s="1358">
        <f>AG9/AA9-1</f>
        <v>0</v>
      </c>
      <c r="AH26" s="1371">
        <f>AH9/AB9-1</f>
        <v>2.7777777777777679E-2</v>
      </c>
      <c r="AI26" s="1371">
        <f>AI9/AC9-1</f>
        <v>0.51428571428571423</v>
      </c>
      <c r="AJ26" s="1371">
        <f>AJ9/AD9-1</f>
        <v>1.2608695652173911</v>
      </c>
      <c r="AK26" s="1372">
        <f>AK9/AE9-1</f>
        <v>0.45126353790613716</v>
      </c>
      <c r="AL26" s="387"/>
      <c r="AM26" s="1358">
        <f>AM9/AG9-1</f>
        <v>1.4696969696969697</v>
      </c>
      <c r="AN26" s="1359">
        <f>AN9/AH9-1</f>
        <v>1.2432432432432434</v>
      </c>
      <c r="AO26" s="1371">
        <f>AO9/AI9-1</f>
        <v>0.53773584905660377</v>
      </c>
      <c r="AP26" s="1373">
        <f>SUM(AP27:AP29)</f>
        <v>0.10843322818086225</v>
      </c>
      <c r="AQ26" s="1372">
        <f>AQ9/AK9-1</f>
        <v>0.6730802873121251</v>
      </c>
      <c r="AR26" s="387"/>
      <c r="AS26" s="1374"/>
      <c r="AT26" s="1359"/>
      <c r="AU26" s="1359"/>
      <c r="AV26" s="1373"/>
      <c r="AW26" s="1372"/>
      <c r="AX26" s="387"/>
      <c r="AY26" s="1374"/>
      <c r="AZ26" s="1359"/>
      <c r="BA26" s="1359"/>
      <c r="BB26" s="1373"/>
      <c r="BC26" s="1372"/>
      <c r="BD26" s="387"/>
      <c r="BE26" s="1374"/>
      <c r="BF26" s="1359"/>
      <c r="BG26" s="1359"/>
      <c r="BH26" s="1373"/>
      <c r="BI26" s="1372"/>
      <c r="BJ26" s="387"/>
      <c r="BK26" s="1374"/>
      <c r="BL26" s="1359"/>
      <c r="BM26" s="1359"/>
      <c r="BN26" s="1373"/>
      <c r="BO26" s="1372"/>
      <c r="BP26" s="387"/>
      <c r="BQ26" s="1374"/>
      <c r="BR26" s="1359"/>
      <c r="BS26" s="1359"/>
      <c r="BT26" s="1373"/>
      <c r="BU26" s="1372"/>
      <c r="BV26" s="387"/>
      <c r="BW26" s="1374"/>
      <c r="BX26" s="1359"/>
      <c r="BY26" s="1359"/>
      <c r="BZ26" s="1373"/>
      <c r="CA26" s="1372"/>
      <c r="CB26" s="1371"/>
      <c r="CC26" s="1374"/>
      <c r="CD26" s="1359"/>
      <c r="CE26" s="1359"/>
      <c r="CF26" s="1373"/>
      <c r="CG26" s="1372"/>
      <c r="CH26" s="388"/>
      <c r="CI26" s="1374"/>
      <c r="CJ26" s="1359"/>
      <c r="CK26" s="1359"/>
      <c r="CL26" s="1373"/>
      <c r="CM26" s="1372"/>
      <c r="CN26" s="388"/>
      <c r="CO26" s="388"/>
      <c r="CP26" s="388"/>
      <c r="CQ26" s="388"/>
      <c r="CR26" s="388"/>
      <c r="CS26" s="388"/>
      <c r="CT26" s="50"/>
      <c r="CU26" s="50"/>
      <c r="CV26" s="50"/>
      <c r="CW26" s="50"/>
      <c r="CX26" s="50"/>
      <c r="CY26" s="50"/>
      <c r="CZ26" s="50"/>
      <c r="DA26" s="50"/>
      <c r="DB26" s="50"/>
      <c r="DC26" s="50"/>
      <c r="DD26" s="50"/>
      <c r="DE26" s="50"/>
      <c r="DF26" s="50"/>
    </row>
    <row r="27" spans="1:110" ht="15" hidden="1" outlineLevel="2">
      <c r="A27" s="1300" t="s">
        <v>171</v>
      </c>
      <c r="C27" s="1358"/>
      <c r="D27" s="1371"/>
      <c r="E27" s="1371"/>
      <c r="F27" s="1371"/>
      <c r="G27" s="1372"/>
      <c r="H27" s="387"/>
      <c r="I27" s="1358"/>
      <c r="J27" s="1371"/>
      <c r="K27" s="1371"/>
      <c r="L27" s="1371"/>
      <c r="M27" s="1372"/>
      <c r="N27" s="387"/>
      <c r="O27" s="1358"/>
      <c r="P27" s="1371"/>
      <c r="Q27" s="1371"/>
      <c r="R27" s="1371"/>
      <c r="S27" s="1372"/>
      <c r="T27" s="387"/>
      <c r="U27" s="1360">
        <f>U26-U29-U28</f>
        <v>0.14814814814814814</v>
      </c>
      <c r="V27" s="1361">
        <f>V26-V29-V28</f>
        <v>9.8360655737705027E-2</v>
      </c>
      <c r="W27" s="1361">
        <f>W26-W29-W28</f>
        <v>3.4482758620689724E-2</v>
      </c>
      <c r="X27" s="1361">
        <f>X26-X29-X28</f>
        <v>0.10344827586206895</v>
      </c>
      <c r="Y27" s="1362">
        <f>Y26-Y29-Y28</f>
        <v>9.5238095238095344E-2</v>
      </c>
      <c r="Z27" s="387"/>
      <c r="AA27" s="1360">
        <f>AA26-AA29-AA28</f>
        <v>6.4516129032258007E-2</v>
      </c>
      <c r="AB27" s="1361">
        <f>AB26-AB29-AB28</f>
        <v>7.4626865671641784E-2</v>
      </c>
      <c r="AC27" s="1361">
        <f>AC26-AC29-AC28</f>
        <v>0.16666666666666674</v>
      </c>
      <c r="AD27" s="1361">
        <f>AD26-AD29-AD28</f>
        <v>7.8125E-2</v>
      </c>
      <c r="AE27" s="1362">
        <f>AE26-AE29-AE28</f>
        <v>9.486166007905128E-2</v>
      </c>
      <c r="AF27" s="387"/>
      <c r="AG27" s="1360">
        <f>AG26-AG29-AG28</f>
        <v>0</v>
      </c>
      <c r="AH27" s="1361">
        <f>AH26-AH29-AH28</f>
        <v>2.7777777777777679E-2</v>
      </c>
      <c r="AI27" s="1361">
        <f>AI26-AI29-AI28+0.5%</f>
        <v>-2.357142857142858E-2</v>
      </c>
      <c r="AJ27" s="1361">
        <f>AJ26-AJ29-AJ28</f>
        <v>4.3478260869564966E-2</v>
      </c>
      <c r="AK27" s="1362">
        <f>AK26-AK29-AK28</f>
        <v>1.1263537906137155E-2</v>
      </c>
      <c r="AL27" s="387"/>
      <c r="AM27" s="1375">
        <f>AM26-AM29-AM28-1.6%</f>
        <v>5.975757575757569E-2</v>
      </c>
      <c r="AN27" s="1361">
        <f>AN26-AN29-AN28-1.6%</f>
        <v>-3.8378378378376293E-3</v>
      </c>
      <c r="AO27" s="1361">
        <f>AO26-AO29-AO28</f>
        <v>7.547169811320753E-2</v>
      </c>
      <c r="AP27" s="1613">
        <v>0.12</v>
      </c>
      <c r="AQ27" s="1362">
        <f>((SUM(AM30:AP30)+AO31-AI31+AP31)/SUM(AG9:AJ9)-1)-AQ29</f>
        <v>0.12900231416520236</v>
      </c>
      <c r="AR27" s="387"/>
      <c r="AS27" s="1364"/>
      <c r="AT27" s="1365"/>
      <c r="AU27" s="1365"/>
      <c r="AV27" s="1365"/>
      <c r="AW27" s="1362"/>
      <c r="AX27" s="387"/>
      <c r="AY27" s="1364"/>
      <c r="AZ27" s="1365"/>
      <c r="BA27" s="1365"/>
      <c r="BB27" s="1365"/>
      <c r="BC27" s="1362"/>
      <c r="BD27" s="387"/>
      <c r="BE27" s="1364"/>
      <c r="BF27" s="1365"/>
      <c r="BG27" s="1365"/>
      <c r="BH27" s="1365"/>
      <c r="BI27" s="1362"/>
      <c r="BJ27" s="387"/>
      <c r="BK27" s="1364"/>
      <c r="BL27" s="1365"/>
      <c r="BM27" s="1365"/>
      <c r="BN27" s="1365"/>
      <c r="BO27" s="1362"/>
      <c r="BP27" s="387"/>
      <c r="BQ27" s="1364"/>
      <c r="BR27" s="1365"/>
      <c r="BS27" s="1365"/>
      <c r="BT27" s="1365"/>
      <c r="BU27" s="1362"/>
      <c r="BV27" s="387"/>
      <c r="BW27" s="1364"/>
      <c r="BX27" s="1365"/>
      <c r="BY27" s="1365"/>
      <c r="BZ27" s="1365"/>
      <c r="CA27" s="1362"/>
      <c r="CB27" s="1361"/>
      <c r="CC27" s="1364"/>
      <c r="CD27" s="1365"/>
      <c r="CE27" s="1365"/>
      <c r="CF27" s="1365"/>
      <c r="CG27" s="1362"/>
      <c r="CH27" s="388"/>
      <c r="CI27" s="1364"/>
      <c r="CJ27" s="1365"/>
      <c r="CK27" s="1365"/>
      <c r="CL27" s="1365"/>
      <c r="CM27" s="1362"/>
      <c r="CN27" s="388"/>
      <c r="CO27" s="388"/>
      <c r="CP27" s="388"/>
      <c r="CQ27" s="388"/>
      <c r="CR27" s="388"/>
      <c r="CS27" s="388"/>
      <c r="CT27" s="50"/>
      <c r="CU27" s="50"/>
      <c r="CV27" s="50"/>
      <c r="CW27" s="50"/>
      <c r="CX27" s="50"/>
      <c r="CY27" s="50"/>
      <c r="CZ27" s="50"/>
      <c r="DA27" s="50"/>
      <c r="DB27" s="50"/>
      <c r="DC27" s="50"/>
      <c r="DD27" s="50"/>
      <c r="DE27" s="50"/>
      <c r="DF27" s="50"/>
    </row>
    <row r="28" spans="1:110" ht="15" hidden="1" outlineLevel="2">
      <c r="A28" s="1300" t="s">
        <v>172</v>
      </c>
      <c r="C28" s="1358"/>
      <c r="D28" s="1371"/>
      <c r="E28" s="1371"/>
      <c r="F28" s="1371"/>
      <c r="G28" s="1372"/>
      <c r="H28" s="387"/>
      <c r="I28" s="1358"/>
      <c r="J28" s="1371"/>
      <c r="K28" s="1371"/>
      <c r="L28" s="1371"/>
      <c r="M28" s="1372"/>
      <c r="N28" s="387"/>
      <c r="O28" s="1358"/>
      <c r="P28" s="1371"/>
      <c r="Q28" s="1371"/>
      <c r="R28" s="1371"/>
      <c r="S28" s="1372"/>
      <c r="T28" s="387"/>
      <c r="U28" s="1614">
        <v>0</v>
      </c>
      <c r="V28" s="1613">
        <v>0</v>
      </c>
      <c r="W28" s="1613">
        <v>0</v>
      </c>
      <c r="X28" s="1366">
        <f>((S9*Y28)-(O9*U28)-(P9*V28)-(Q9*W28))/R9</f>
        <v>0</v>
      </c>
      <c r="Y28" s="1615">
        <v>0</v>
      </c>
      <c r="Z28" s="387"/>
      <c r="AA28" s="1614">
        <v>0</v>
      </c>
      <c r="AB28" s="1613">
        <v>0</v>
      </c>
      <c r="AC28" s="1613">
        <v>0</v>
      </c>
      <c r="AD28" s="1616">
        <v>0</v>
      </c>
      <c r="AE28" s="1615">
        <v>0</v>
      </c>
      <c r="AF28" s="387"/>
      <c r="AG28" s="1614">
        <v>0</v>
      </c>
      <c r="AH28" s="1613">
        <v>0</v>
      </c>
      <c r="AI28" s="1613">
        <f>(106-66)/AC9</f>
        <v>0.5714285714285714</v>
      </c>
      <c r="AJ28" s="1616">
        <f>(156-70)/AD9</f>
        <v>1.2463768115942029</v>
      </c>
      <c r="AK28" s="1615">
        <v>0.45</v>
      </c>
      <c r="AL28" s="387"/>
      <c r="AM28" s="1614">
        <f>93/AG9</f>
        <v>1.4090909090909092</v>
      </c>
      <c r="AN28" s="1613">
        <f>(93.5)/AH9</f>
        <v>1.2635135135135136</v>
      </c>
      <c r="AO28" s="1613">
        <f>51/AI9</f>
        <v>0.48113207547169812</v>
      </c>
      <c r="AP28" s="1613">
        <v>0</v>
      </c>
      <c r="AQ28" s="1362">
        <f>AM28*(AM9/AQ9)+AN28*(AN9/AQ9)+AO28*(AO9/AQ9)+AP28*(AP9/AQ9)</f>
        <v>0.76994694683288656</v>
      </c>
      <c r="AR28" s="387"/>
      <c r="AS28" s="1364"/>
      <c r="AT28" s="1365"/>
      <c r="AU28" s="1365"/>
      <c r="AV28" s="1365"/>
      <c r="AW28" s="1362"/>
      <c r="AX28" s="387"/>
      <c r="AY28" s="1364"/>
      <c r="AZ28" s="1365"/>
      <c r="BA28" s="1365"/>
      <c r="BB28" s="1365"/>
      <c r="BC28" s="1362"/>
      <c r="BD28" s="387"/>
      <c r="BE28" s="1364"/>
      <c r="BF28" s="1365"/>
      <c r="BG28" s="1365"/>
      <c r="BH28" s="1365"/>
      <c r="BI28" s="1362"/>
      <c r="BJ28" s="387"/>
      <c r="BK28" s="1364"/>
      <c r="BL28" s="1365"/>
      <c r="BM28" s="1365"/>
      <c r="BN28" s="1365"/>
      <c r="BO28" s="1362"/>
      <c r="BP28" s="387"/>
      <c r="BQ28" s="1364"/>
      <c r="BR28" s="1365"/>
      <c r="BS28" s="1365"/>
      <c r="BT28" s="1365"/>
      <c r="BU28" s="1362"/>
      <c r="BV28" s="387"/>
      <c r="BW28" s="1364"/>
      <c r="BX28" s="1365"/>
      <c r="BY28" s="1365"/>
      <c r="BZ28" s="1365"/>
      <c r="CA28" s="1362"/>
      <c r="CB28" s="1361"/>
      <c r="CC28" s="1364"/>
      <c r="CD28" s="1365"/>
      <c r="CE28" s="1365"/>
      <c r="CF28" s="1365"/>
      <c r="CG28" s="1362"/>
      <c r="CH28" s="388"/>
      <c r="CI28" s="1364"/>
      <c r="CJ28" s="1365"/>
      <c r="CK28" s="1365"/>
      <c r="CL28" s="1365"/>
      <c r="CM28" s="1362"/>
      <c r="CN28" s="388"/>
      <c r="CO28" s="388"/>
      <c r="CP28" s="388"/>
      <c r="CQ28" s="388"/>
      <c r="CR28" s="388"/>
      <c r="CS28" s="388"/>
      <c r="CT28" s="50"/>
      <c r="CU28" s="50"/>
      <c r="CV28" s="50"/>
      <c r="CW28" s="50"/>
      <c r="CX28" s="50"/>
      <c r="CY28" s="50"/>
      <c r="CZ28" s="50"/>
      <c r="DA28" s="50"/>
      <c r="DB28" s="50"/>
      <c r="DC28" s="50"/>
      <c r="DD28" s="50"/>
      <c r="DE28" s="50"/>
      <c r="DF28" s="50"/>
    </row>
    <row r="29" spans="1:110" ht="15" hidden="1" outlineLevel="2">
      <c r="A29" s="1300" t="s">
        <v>173</v>
      </c>
      <c r="C29" s="1358"/>
      <c r="D29" s="1371"/>
      <c r="E29" s="1371"/>
      <c r="F29" s="1371"/>
      <c r="G29" s="1372"/>
      <c r="H29" s="387"/>
      <c r="I29" s="1358"/>
      <c r="J29" s="1371"/>
      <c r="K29" s="1371"/>
      <c r="L29" s="1371"/>
      <c r="M29" s="1372"/>
      <c r="N29" s="387"/>
      <c r="O29" s="1358"/>
      <c r="P29" s="1371"/>
      <c r="Q29" s="1371"/>
      <c r="R29" s="1371"/>
      <c r="S29" s="1372"/>
      <c r="T29" s="387"/>
      <c r="U29" s="1614">
        <v>0</v>
      </c>
      <c r="V29" s="1613">
        <v>0</v>
      </c>
      <c r="W29" s="1613">
        <v>0</v>
      </c>
      <c r="X29" s="1366">
        <f>((S9*Y29)-(O9*U29)-(P9*V29)-(Q9*W29))/R9</f>
        <v>0</v>
      </c>
      <c r="Y29" s="1615">
        <v>0</v>
      </c>
      <c r="Z29" s="387"/>
      <c r="AA29" s="1614">
        <v>0</v>
      </c>
      <c r="AB29" s="1613">
        <v>0</v>
      </c>
      <c r="AC29" s="1613">
        <v>0</v>
      </c>
      <c r="AD29" s="1366">
        <f>((Y9*AE29)-(U9*AA29)-(V9*AB29)-(W9*AC29))/X9</f>
        <v>0</v>
      </c>
      <c r="AE29" s="1615">
        <v>0</v>
      </c>
      <c r="AF29" s="387"/>
      <c r="AG29" s="1614">
        <v>0</v>
      </c>
      <c r="AH29" s="1613">
        <v>0</v>
      </c>
      <c r="AI29" s="1613">
        <f>-2/AC9</f>
        <v>-2.8571428571428571E-2</v>
      </c>
      <c r="AJ29" s="1616">
        <f>-2/AD9</f>
        <v>-2.8985507246376812E-2</v>
      </c>
      <c r="AK29" s="1615">
        <v>-0.01</v>
      </c>
      <c r="AL29" s="387"/>
      <c r="AM29" s="1614">
        <f>-1/AG9</f>
        <v>-1.5151515151515152E-2</v>
      </c>
      <c r="AN29" s="1613">
        <f>-2.4/AH9</f>
        <v>-3.2432432432432434E-2</v>
      </c>
      <c r="AO29" s="1613">
        <f>-2/AI9</f>
        <v>-1.8867924528301886E-2</v>
      </c>
      <c r="AP29" s="1369">
        <f>OrgRev!AP23</f>
        <v>-1.1566771819137749E-2</v>
      </c>
      <c r="AQ29" s="1362">
        <f>AM29*(AM9/AQ9)+AN29*(AN9/AQ9)+AO29*(AO9/AQ9)+AP29*(AP9/AQ9)</f>
        <v>-1.9354862673972805E-2</v>
      </c>
      <c r="AR29" s="387"/>
      <c r="AS29" s="1360"/>
      <c r="AT29" s="1361"/>
      <c r="AU29" s="1361"/>
      <c r="AV29" s="1361"/>
      <c r="AW29" s="1362"/>
      <c r="AX29" s="387"/>
      <c r="AY29" s="1360"/>
      <c r="AZ29" s="1361"/>
      <c r="BA29" s="1361"/>
      <c r="BB29" s="1361"/>
      <c r="BC29" s="1362"/>
      <c r="BD29" s="387"/>
      <c r="BE29" s="1360"/>
      <c r="BF29" s="1361"/>
      <c r="BG29" s="1361"/>
      <c r="BH29" s="1361"/>
      <c r="BI29" s="1362"/>
      <c r="BJ29" s="387"/>
      <c r="BK29" s="1360"/>
      <c r="BL29" s="1361"/>
      <c r="BM29" s="1361"/>
      <c r="BN29" s="1361"/>
      <c r="BO29" s="1362"/>
      <c r="BP29" s="387"/>
      <c r="BQ29" s="1360"/>
      <c r="BR29" s="1361"/>
      <c r="BS29" s="1361"/>
      <c r="BT29" s="1361"/>
      <c r="BU29" s="1362"/>
      <c r="BV29" s="387"/>
      <c r="BW29" s="1360"/>
      <c r="BX29" s="1361"/>
      <c r="BY29" s="1361"/>
      <c r="BZ29" s="1361"/>
      <c r="CA29" s="1362"/>
      <c r="CB29" s="1361"/>
      <c r="CC29" s="1360"/>
      <c r="CD29" s="1361"/>
      <c r="CE29" s="1361"/>
      <c r="CF29" s="1361"/>
      <c r="CG29" s="1362"/>
      <c r="CH29" s="388"/>
      <c r="CI29" s="1360"/>
      <c r="CJ29" s="1361"/>
      <c r="CK29" s="1361"/>
      <c r="CL29" s="1361"/>
      <c r="CM29" s="1362"/>
      <c r="CN29" s="388"/>
      <c r="CO29" s="388"/>
      <c r="CP29" s="388"/>
      <c r="CQ29" s="388"/>
      <c r="CR29" s="388"/>
      <c r="CS29" s="388"/>
      <c r="CT29" s="50"/>
      <c r="CU29" s="50"/>
      <c r="CV29" s="50"/>
      <c r="CW29" s="50"/>
      <c r="CX29" s="50"/>
      <c r="CY29" s="50"/>
      <c r="CZ29" s="50"/>
      <c r="DA29" s="50"/>
      <c r="DB29" s="50"/>
      <c r="DC29" s="50"/>
      <c r="DD29" s="50"/>
      <c r="DE29" s="50"/>
      <c r="DF29" s="50"/>
    </row>
    <row r="30" spans="1:110" ht="15" hidden="1" outlineLevel="2">
      <c r="A30" s="1376" t="s">
        <v>174</v>
      </c>
      <c r="C30" s="1358"/>
      <c r="D30" s="1371"/>
      <c r="E30" s="1371"/>
      <c r="F30" s="1371"/>
      <c r="G30" s="1372"/>
      <c r="H30" s="387"/>
      <c r="I30" s="1358"/>
      <c r="J30" s="1371"/>
      <c r="K30" s="1371"/>
      <c r="L30" s="1371"/>
      <c r="M30" s="1372"/>
      <c r="N30" s="387"/>
      <c r="O30" s="1358"/>
      <c r="P30" s="1371"/>
      <c r="Q30" s="1371"/>
      <c r="R30" s="1371"/>
      <c r="S30" s="1372"/>
      <c r="T30" s="387"/>
      <c r="U30" s="1358"/>
      <c r="V30" s="1371"/>
      <c r="W30" s="1371"/>
      <c r="X30" s="1371"/>
      <c r="Y30" s="1372"/>
      <c r="Z30" s="387"/>
      <c r="AA30" s="1358"/>
      <c r="AB30" s="1371"/>
      <c r="AC30" s="1371"/>
      <c r="AD30" s="1371"/>
      <c r="AE30" s="1372"/>
      <c r="AF30" s="387"/>
      <c r="AG30" s="1377">
        <f>AG9</f>
        <v>66</v>
      </c>
      <c r="AH30" s="1378">
        <f>AH9</f>
        <v>74</v>
      </c>
      <c r="AI30" s="1378">
        <f>AI9-AI31</f>
        <v>66</v>
      </c>
      <c r="AJ30" s="1378">
        <f>AJ9-AJ31</f>
        <v>66</v>
      </c>
      <c r="AK30" s="1379"/>
      <c r="AL30" s="387"/>
      <c r="AM30" s="1380">
        <f>AM9-AM31</f>
        <v>70</v>
      </c>
      <c r="AN30" s="1381">
        <f>AN9-AN31</f>
        <v>72.5</v>
      </c>
      <c r="AO30" s="1378">
        <f>AO9-AO31</f>
        <v>112</v>
      </c>
      <c r="AP30" s="1381">
        <f>AP9-AP31</f>
        <v>86.078275499474273</v>
      </c>
      <c r="AQ30" s="1362">
        <f>SUM(AM30:AP30)/SUM(AG30:AJ30)-1</f>
        <v>0.25212601286571434</v>
      </c>
      <c r="AR30" s="387"/>
      <c r="AS30" s="1360"/>
      <c r="AT30" s="1361"/>
      <c r="AU30" s="1361"/>
      <c r="AV30" s="1361"/>
      <c r="AW30" s="1362"/>
      <c r="AX30" s="387"/>
      <c r="AY30" s="1360"/>
      <c r="AZ30" s="1361"/>
      <c r="BA30" s="1361"/>
      <c r="BB30" s="1361"/>
      <c r="BC30" s="1362"/>
      <c r="BD30" s="387"/>
      <c r="BE30" s="1360"/>
      <c r="BF30" s="1361"/>
      <c r="BG30" s="1361"/>
      <c r="BH30" s="1361"/>
      <c r="BI30" s="1362"/>
      <c r="BJ30" s="387"/>
      <c r="BK30" s="1360"/>
      <c r="BL30" s="1361"/>
      <c r="BM30" s="1361"/>
      <c r="BN30" s="1361"/>
      <c r="BO30" s="1362"/>
      <c r="BP30" s="387"/>
      <c r="BQ30" s="1360"/>
      <c r="BR30" s="1361"/>
      <c r="BS30" s="1361"/>
      <c r="BT30" s="1361"/>
      <c r="BU30" s="1362"/>
      <c r="BV30" s="387"/>
      <c r="BW30" s="1360"/>
      <c r="BX30" s="1361"/>
      <c r="BY30" s="1361"/>
      <c r="BZ30" s="1361"/>
      <c r="CA30" s="1362"/>
      <c r="CB30" s="1361"/>
      <c r="CC30" s="1360"/>
      <c r="CD30" s="1361"/>
      <c r="CE30" s="1361"/>
      <c r="CF30" s="1361"/>
      <c r="CG30" s="1362"/>
      <c r="CH30" s="388"/>
      <c r="CI30" s="1360"/>
      <c r="CJ30" s="1361"/>
      <c r="CK30" s="1361"/>
      <c r="CL30" s="1361"/>
      <c r="CM30" s="1362"/>
      <c r="CN30" s="388"/>
      <c r="CO30" s="388"/>
      <c r="CP30" s="388"/>
      <c r="CQ30" s="388"/>
      <c r="CR30" s="388"/>
      <c r="CS30" s="388"/>
      <c r="CT30" s="50"/>
      <c r="CU30" s="50"/>
      <c r="CV30" s="50"/>
      <c r="CW30" s="50"/>
      <c r="CX30" s="50"/>
      <c r="CY30" s="50"/>
      <c r="CZ30" s="50"/>
      <c r="DA30" s="50"/>
      <c r="DB30" s="50"/>
      <c r="DC30" s="50"/>
      <c r="DD30" s="50"/>
      <c r="DE30" s="50"/>
      <c r="DF30" s="50"/>
    </row>
    <row r="31" spans="1:110" ht="15" hidden="1" outlineLevel="2">
      <c r="A31" s="1376" t="s">
        <v>175</v>
      </c>
      <c r="C31" s="1358"/>
      <c r="D31" s="1371"/>
      <c r="E31" s="1371"/>
      <c r="F31" s="1371"/>
      <c r="G31" s="1372"/>
      <c r="H31" s="387"/>
      <c r="I31" s="1358"/>
      <c r="J31" s="1371"/>
      <c r="K31" s="1371"/>
      <c r="L31" s="1371"/>
      <c r="M31" s="1372"/>
      <c r="N31" s="387"/>
      <c r="O31" s="1358"/>
      <c r="P31" s="1371"/>
      <c r="Q31" s="1371"/>
      <c r="R31" s="1371"/>
      <c r="S31" s="1372"/>
      <c r="T31" s="387"/>
      <c r="U31" s="1358"/>
      <c r="V31" s="1371"/>
      <c r="W31" s="1371"/>
      <c r="X31" s="1371"/>
      <c r="Y31" s="1372"/>
      <c r="Z31" s="387"/>
      <c r="AA31" s="1358"/>
      <c r="AB31" s="1371"/>
      <c r="AC31" s="1371"/>
      <c r="AD31" s="1371"/>
      <c r="AE31" s="1372"/>
      <c r="AF31" s="387"/>
      <c r="AG31" s="1617">
        <v>85</v>
      </c>
      <c r="AH31" s="1618">
        <f>AN31*0.96</f>
        <v>89.759999999999991</v>
      </c>
      <c r="AI31" s="1618">
        <v>40</v>
      </c>
      <c r="AJ31" s="1618">
        <v>90</v>
      </c>
      <c r="AK31" s="1379"/>
      <c r="AL31" s="387"/>
      <c r="AM31" s="1380">
        <f>AM28*AG9</f>
        <v>93</v>
      </c>
      <c r="AN31" s="1381">
        <f>AN28*AH9</f>
        <v>93.5</v>
      </c>
      <c r="AO31" s="1381">
        <f>AO28*AI9</f>
        <v>51</v>
      </c>
      <c r="AP31" s="1381">
        <f>AJ31*(1+AP32)</f>
        <v>94.5</v>
      </c>
      <c r="AQ31" s="1362">
        <f>SUM(AM31:AP31)/(SUM(AG31:AJ31)+48)-1</f>
        <v>-5.8850209774350848E-2</v>
      </c>
      <c r="AR31" s="387"/>
      <c r="AS31" s="1360"/>
      <c r="AT31" s="1361"/>
      <c r="AU31" s="1361"/>
      <c r="AV31" s="1361"/>
      <c r="AW31" s="1362"/>
      <c r="AX31" s="387"/>
      <c r="AY31" s="1360"/>
      <c r="AZ31" s="1361"/>
      <c r="BA31" s="1361"/>
      <c r="BB31" s="1361"/>
      <c r="BC31" s="1362"/>
      <c r="BD31" s="387"/>
      <c r="BE31" s="1360"/>
      <c r="BF31" s="1361"/>
      <c r="BG31" s="1361"/>
      <c r="BH31" s="1361"/>
      <c r="BI31" s="1362"/>
      <c r="BJ31" s="387"/>
      <c r="BK31" s="1360"/>
      <c r="BL31" s="1361"/>
      <c r="BM31" s="1361"/>
      <c r="BN31" s="1361"/>
      <c r="BO31" s="1362"/>
      <c r="BP31" s="387"/>
      <c r="BQ31" s="1360"/>
      <c r="BR31" s="1361"/>
      <c r="BS31" s="1361"/>
      <c r="BT31" s="1361"/>
      <c r="BU31" s="1362"/>
      <c r="BV31" s="387"/>
      <c r="BW31" s="1360"/>
      <c r="BX31" s="1361"/>
      <c r="BY31" s="1361"/>
      <c r="BZ31" s="1361"/>
      <c r="CA31" s="1362"/>
      <c r="CB31" s="1361"/>
      <c r="CC31" s="1360"/>
      <c r="CD31" s="1361"/>
      <c r="CE31" s="1361"/>
      <c r="CF31" s="1361"/>
      <c r="CG31" s="1362"/>
      <c r="CH31" s="388"/>
      <c r="CI31" s="1360"/>
      <c r="CJ31" s="1361"/>
      <c r="CK31" s="1361"/>
      <c r="CL31" s="1361"/>
      <c r="CM31" s="1362"/>
      <c r="CN31" s="388"/>
      <c r="CO31" s="388"/>
      <c r="CP31" s="388"/>
      <c r="CQ31" s="388"/>
      <c r="CR31" s="388"/>
      <c r="CS31" s="388"/>
      <c r="CT31" s="50"/>
      <c r="CU31" s="50"/>
      <c r="CV31" s="50"/>
      <c r="CW31" s="50"/>
      <c r="CX31" s="50"/>
      <c r="CY31" s="50"/>
      <c r="CZ31" s="50"/>
      <c r="DA31" s="50"/>
      <c r="DB31" s="50"/>
      <c r="DC31" s="50"/>
      <c r="DD31" s="50"/>
      <c r="DE31" s="50"/>
      <c r="DF31" s="50"/>
    </row>
    <row r="32" spans="1:110" ht="15" hidden="1" outlineLevel="2">
      <c r="A32" s="1382" t="s">
        <v>176</v>
      </c>
      <c r="C32" s="1358"/>
      <c r="D32" s="1371"/>
      <c r="E32" s="1371"/>
      <c r="F32" s="1371"/>
      <c r="G32" s="1372"/>
      <c r="H32" s="387"/>
      <c r="I32" s="1358"/>
      <c r="J32" s="1371"/>
      <c r="K32" s="1371"/>
      <c r="L32" s="1371"/>
      <c r="M32" s="1372"/>
      <c r="N32" s="387"/>
      <c r="O32" s="1358"/>
      <c r="P32" s="1371"/>
      <c r="Q32" s="1371"/>
      <c r="R32" s="1371"/>
      <c r="S32" s="1372"/>
      <c r="T32" s="387"/>
      <c r="U32" s="1358"/>
      <c r="V32" s="1371"/>
      <c r="W32" s="1371"/>
      <c r="X32" s="1371"/>
      <c r="Y32" s="1372"/>
      <c r="Z32" s="387"/>
      <c r="AA32" s="1358"/>
      <c r="AB32" s="1371"/>
      <c r="AC32" s="1371"/>
      <c r="AD32" s="1371"/>
      <c r="AE32" s="1372"/>
      <c r="AF32" s="387"/>
      <c r="AG32" s="1358"/>
      <c r="AH32" s="1371"/>
      <c r="AI32" s="1371"/>
      <c r="AJ32" s="1371"/>
      <c r="AK32" s="1372"/>
      <c r="AL32" s="387"/>
      <c r="AM32" s="1360">
        <f>AM31/AG31-1</f>
        <v>9.4117647058823639E-2</v>
      </c>
      <c r="AN32" s="1361">
        <f>AN31/AH31-1</f>
        <v>4.1666666666666741E-2</v>
      </c>
      <c r="AO32" s="1361">
        <f>AO31/AI31-1</f>
        <v>0.27499999999999991</v>
      </c>
      <c r="AP32" s="1613">
        <v>0.05</v>
      </c>
      <c r="AQ32" s="1362"/>
      <c r="AR32" s="387"/>
      <c r="AS32" s="1360"/>
      <c r="AT32" s="1361"/>
      <c r="AU32" s="1361"/>
      <c r="AV32" s="1361"/>
      <c r="AW32" s="1362"/>
      <c r="AX32" s="387"/>
      <c r="AY32" s="1360"/>
      <c r="AZ32" s="1361"/>
      <c r="BA32" s="1361"/>
      <c r="BB32" s="1361"/>
      <c r="BC32" s="1362"/>
      <c r="BD32" s="387"/>
      <c r="BE32" s="1360"/>
      <c r="BF32" s="1361"/>
      <c r="BG32" s="1361"/>
      <c r="BH32" s="1361"/>
      <c r="BI32" s="1362"/>
      <c r="BJ32" s="387"/>
      <c r="BK32" s="1360"/>
      <c r="BL32" s="1361"/>
      <c r="BM32" s="1361"/>
      <c r="BN32" s="1361"/>
      <c r="BO32" s="1362"/>
      <c r="BP32" s="387"/>
      <c r="BQ32" s="1360"/>
      <c r="BR32" s="1361"/>
      <c r="BS32" s="1361"/>
      <c r="BT32" s="1361"/>
      <c r="BU32" s="1362"/>
      <c r="BV32" s="387"/>
      <c r="BW32" s="1360"/>
      <c r="BX32" s="1361"/>
      <c r="BY32" s="1361"/>
      <c r="BZ32" s="1361"/>
      <c r="CA32" s="1362"/>
      <c r="CB32" s="1361"/>
      <c r="CC32" s="1360"/>
      <c r="CD32" s="1361"/>
      <c r="CE32" s="1361"/>
      <c r="CF32" s="1361"/>
      <c r="CG32" s="1362"/>
      <c r="CH32" s="388"/>
      <c r="CI32" s="1360"/>
      <c r="CJ32" s="1361"/>
      <c r="CK32" s="1361"/>
      <c r="CL32" s="1361"/>
      <c r="CM32" s="1362"/>
      <c r="CN32" s="388"/>
      <c r="CO32" s="388"/>
      <c r="CP32" s="388"/>
      <c r="CQ32" s="388"/>
      <c r="CR32" s="388"/>
      <c r="CS32" s="388"/>
      <c r="CT32" s="50"/>
      <c r="CU32" s="50"/>
      <c r="CV32" s="50"/>
      <c r="CW32" s="50"/>
      <c r="CX32" s="50"/>
      <c r="CY32" s="50"/>
      <c r="CZ32" s="50"/>
      <c r="DA32" s="50"/>
      <c r="DB32" s="50"/>
      <c r="DC32" s="50"/>
      <c r="DD32" s="50"/>
      <c r="DE32" s="50"/>
      <c r="DF32" s="50"/>
    </row>
    <row r="33" spans="1:110" ht="15" hidden="1" outlineLevel="2">
      <c r="A33" s="1370" t="s">
        <v>101</v>
      </c>
      <c r="C33" s="1358"/>
      <c r="D33" s="1371"/>
      <c r="E33" s="1371"/>
      <c r="F33" s="1371"/>
      <c r="G33" s="1372"/>
      <c r="H33" s="387"/>
      <c r="I33" s="1358">
        <f>I10/C10-1</f>
        <v>9.7560975609756184E-2</v>
      </c>
      <c r="J33" s="1371">
        <f>J10/D10-1</f>
        <v>0.24590163934426235</v>
      </c>
      <c r="K33" s="1371">
        <f>K10/E10-1</f>
        <v>9.9526066350710929E-2</v>
      </c>
      <c r="L33" s="1371">
        <f>L10/F10-1</f>
        <v>9.0909090909090828E-2</v>
      </c>
      <c r="M33" s="1372">
        <f>M10/G10-1</f>
        <v>0.1289156626506025</v>
      </c>
      <c r="N33" s="387"/>
      <c r="O33" s="1358">
        <f>O10/I10-1</f>
        <v>-4.0000000000000036E-2</v>
      </c>
      <c r="P33" s="1371">
        <f>P10/J10-1</f>
        <v>-0.1228070175438597</v>
      </c>
      <c r="Q33" s="1371">
        <f>Q10/K10-1</f>
        <v>-0.125</v>
      </c>
      <c r="R33" s="1371">
        <f>R10/L10-1</f>
        <v>-0.1071428571428571</v>
      </c>
      <c r="S33" s="1372">
        <f>S10/M10-1</f>
        <v>-9.9252934898612644E-2</v>
      </c>
      <c r="T33" s="387"/>
      <c r="U33" s="1358">
        <f>U10/O10-1</f>
        <v>0.12962962962962954</v>
      </c>
      <c r="V33" s="1371">
        <f>V10/P10-1</f>
        <v>0.18999999999999995</v>
      </c>
      <c r="W33" s="1371">
        <f>W10/Q10-1</f>
        <v>0.6206896551724137</v>
      </c>
      <c r="X33" s="1371">
        <f>X10/R10-1</f>
        <v>0.72888888888888892</v>
      </c>
      <c r="Y33" s="1372">
        <f>Y10/S10-1</f>
        <v>0.4218009478672986</v>
      </c>
      <c r="Z33" s="387"/>
      <c r="AA33" s="1358">
        <f>AA10/U10-1</f>
        <v>0.43032786885245899</v>
      </c>
      <c r="AB33" s="1371">
        <f>AB10/V10-1</f>
        <v>0.60084033613445387</v>
      </c>
      <c r="AC33" s="1371">
        <f>AC10/W10-1</f>
        <v>0.16413373860182379</v>
      </c>
      <c r="AD33" s="1371">
        <f>AD10/X10-1</f>
        <v>4.1131105398457546E-2</v>
      </c>
      <c r="AE33" s="1372">
        <f>AE10/Y10-1</f>
        <v>0.2649999999999999</v>
      </c>
      <c r="AF33" s="387"/>
      <c r="AG33" s="1358">
        <f>AG10/AA10-1</f>
        <v>0.13467048710601714</v>
      </c>
      <c r="AH33" s="1371">
        <f>AH10/AB10-1</f>
        <v>1.8372703412073532E-2</v>
      </c>
      <c r="AI33" s="1371">
        <f>AI10/AC10-1</f>
        <v>-5.2219321148825326E-3</v>
      </c>
      <c r="AJ33" s="1371">
        <f>AJ10/AD10-1</f>
        <v>-2.7160493827160459E-2</v>
      </c>
      <c r="AK33" s="1372">
        <f>AK10/AE10-1</f>
        <v>2.7009222661396493E-2</v>
      </c>
      <c r="AL33" s="387"/>
      <c r="AM33" s="1358">
        <f>AM10/AG10-1</f>
        <v>-5.050505050505083E-3</v>
      </c>
      <c r="AN33" s="1359">
        <f>AN10/AH10-1</f>
        <v>3.3505154639175361E-2</v>
      </c>
      <c r="AO33" s="1371">
        <f>AO10/AI10-1</f>
        <v>1.5748031496062964E-2</v>
      </c>
      <c r="AP33" s="1373">
        <f>AP10/AJ10-1</f>
        <v>4.5685279187817285E-2</v>
      </c>
      <c r="AQ33" s="1372">
        <f>AQ10/AK10-1</f>
        <v>2.2450288646568284E-2</v>
      </c>
      <c r="AR33" s="387"/>
      <c r="AS33" s="1358">
        <f>AS10/AM10-1</f>
        <v>5.8375634517766395E-2</v>
      </c>
      <c r="AT33" s="1359">
        <f>AT10/AN10-1</f>
        <v>2.4937655860349128E-2</v>
      </c>
      <c r="AU33" s="1359">
        <f>AU10/AO10-1</f>
        <v>7.7519379844961156E-2</v>
      </c>
      <c r="AV33" s="1359">
        <f>AV10/AP10-1</f>
        <v>4.6116504854369023E-2</v>
      </c>
      <c r="AW33" s="1372">
        <f>AW10/AQ10-1</f>
        <v>5.144291091593467E-2</v>
      </c>
      <c r="AX33" s="387"/>
      <c r="AY33" s="1374"/>
      <c r="AZ33" s="1359"/>
      <c r="BA33" s="1359"/>
      <c r="BB33" s="1373"/>
      <c r="BC33" s="1372"/>
      <c r="BD33" s="387"/>
      <c r="BE33" s="1374"/>
      <c r="BF33" s="1359"/>
      <c r="BG33" s="1359"/>
      <c r="BH33" s="1373"/>
      <c r="BI33" s="1372"/>
      <c r="BJ33" s="387"/>
      <c r="BK33" s="1374"/>
      <c r="BL33" s="1359"/>
      <c r="BM33" s="1359"/>
      <c r="BN33" s="1373"/>
      <c r="BO33" s="1372"/>
      <c r="BP33" s="387"/>
      <c r="BQ33" s="1374"/>
      <c r="BR33" s="1359"/>
      <c r="BS33" s="1359"/>
      <c r="BT33" s="1373"/>
      <c r="BU33" s="1372"/>
      <c r="BV33" s="387"/>
      <c r="BW33" s="1374"/>
      <c r="BX33" s="1359"/>
      <c r="BY33" s="1359"/>
      <c r="BZ33" s="1373"/>
      <c r="CA33" s="1372"/>
      <c r="CB33" s="1371"/>
      <c r="CC33" s="1374"/>
      <c r="CD33" s="1359"/>
      <c r="CE33" s="1359"/>
      <c r="CF33" s="1373"/>
      <c r="CG33" s="1372"/>
      <c r="CH33" s="388"/>
      <c r="CI33" s="1374"/>
      <c r="CJ33" s="1359"/>
      <c r="CK33" s="1359"/>
      <c r="CL33" s="1373"/>
      <c r="CM33" s="1372"/>
      <c r="CN33" s="388"/>
      <c r="CO33" s="388"/>
      <c r="CP33" s="388"/>
      <c r="CQ33" s="388"/>
      <c r="CR33" s="388"/>
      <c r="CS33" s="388"/>
      <c r="CT33" s="50"/>
      <c r="CU33" s="50"/>
      <c r="CV33" s="50"/>
      <c r="CW33" s="50"/>
      <c r="CX33" s="50"/>
      <c r="CY33" s="50"/>
      <c r="CZ33" s="50"/>
      <c r="DA33" s="50"/>
      <c r="DB33" s="50"/>
      <c r="DC33" s="50"/>
      <c r="DD33" s="50"/>
      <c r="DE33" s="50"/>
      <c r="DF33" s="50"/>
    </row>
    <row r="34" spans="1:110" ht="15" hidden="1" outlineLevel="2">
      <c r="A34" s="1300" t="s">
        <v>171</v>
      </c>
      <c r="C34" s="1358"/>
      <c r="D34" s="1371"/>
      <c r="E34" s="1371"/>
      <c r="F34" s="1371"/>
      <c r="G34" s="1372"/>
      <c r="H34" s="387"/>
      <c r="I34" s="1358"/>
      <c r="J34" s="1371"/>
      <c r="K34" s="1371"/>
      <c r="L34" s="1371"/>
      <c r="M34" s="1372"/>
      <c r="N34" s="387"/>
      <c r="O34" s="1358"/>
      <c r="P34" s="1371"/>
      <c r="Q34" s="1371"/>
      <c r="R34" s="1371"/>
      <c r="S34" s="1372"/>
      <c r="T34" s="387"/>
      <c r="U34" s="1360">
        <f>U33-U36-U35</f>
        <v>7.9629629629629536E-2</v>
      </c>
      <c r="V34" s="1361">
        <f>V33-V36-V35</f>
        <v>0.13999999999999996</v>
      </c>
      <c r="W34" s="1361">
        <f>W33-W36-W35</f>
        <v>0.13068965517241371</v>
      </c>
      <c r="X34" s="1361">
        <f>X33-X36-X35</f>
        <v>0.24386666666666668</v>
      </c>
      <c r="Y34" s="1615">
        <f>15%-Y36</f>
        <v>0.15</v>
      </c>
      <c r="Z34" s="1651"/>
      <c r="AA34" s="1614">
        <f>8%-AA36</f>
        <v>0.09</v>
      </c>
      <c r="AB34" s="1613">
        <f>13%-AB36</f>
        <v>0.11</v>
      </c>
      <c r="AC34" s="1613">
        <f>11%-AC36</f>
        <v>3.9999999999999994E-2</v>
      </c>
      <c r="AD34" s="1361">
        <f>AD33-AD36-AD35</f>
        <v>1.3753213367609221E-2</v>
      </c>
      <c r="AE34" s="1615">
        <f>8%-AE36</f>
        <v>0.05</v>
      </c>
      <c r="AF34" s="387"/>
      <c r="AG34" s="1360">
        <f>AG33-AG36-AG35</f>
        <v>0.12467048710601715</v>
      </c>
      <c r="AH34" s="1361">
        <f>AH33-AH36-AH35</f>
        <v>2.8372703412073534E-2</v>
      </c>
      <c r="AI34" s="1361">
        <f>AI33-AI36-AI35</f>
        <v>2.8720626631853763E-2</v>
      </c>
      <c r="AJ34" s="1361">
        <f>AJ33-AJ36-AJ35</f>
        <v>2.4691358024691717E-3</v>
      </c>
      <c r="AK34" s="1362">
        <f>AK33-AK36-AK35</f>
        <v>4.7009222661396496E-2</v>
      </c>
      <c r="AL34" s="387"/>
      <c r="AM34" s="1375">
        <f>AM33-AM36-AM35</f>
        <v>7.575757575757543E-3</v>
      </c>
      <c r="AN34" s="1366">
        <f>AN33-AN36-AN35</f>
        <v>5.4123711340206285E-2</v>
      </c>
      <c r="AO34" s="1361">
        <f>AO33-AO36-AO35</f>
        <v>2.8871391076115457E-2</v>
      </c>
      <c r="AP34" s="1366">
        <f>AP33-AP36-AP35</f>
        <v>6.0913705583756375E-2</v>
      </c>
      <c r="AQ34" s="1362">
        <f>AQ33-AQ36-AQ35</f>
        <v>3.7880427005707616E-2</v>
      </c>
      <c r="AR34" s="387"/>
      <c r="AS34" s="1360">
        <f>AS33-AS36-AS35</f>
        <v>7.106598984771563E-2</v>
      </c>
      <c r="AT34" s="1366">
        <f>AT33-AT36-AT35</f>
        <v>3.2418952618453865E-2</v>
      </c>
      <c r="AU34" s="1366">
        <f>AU33-AU36-AU35</f>
        <v>6.9767441860465032E-2</v>
      </c>
      <c r="AV34" s="1366">
        <f>AV33-AV36-AV35</f>
        <v>5.5825242718446688E-2</v>
      </c>
      <c r="AW34" s="1362">
        <f>AS34*(AS10/AW10)+AT34*(AT10/AW10)+AU34*(AU10/AW10)+AV34*(AV10/AW10)</f>
        <v>5.7346306778130303E-2</v>
      </c>
      <c r="AX34" s="387"/>
      <c r="AY34" s="1367"/>
      <c r="AZ34" s="1363"/>
      <c r="BA34" s="1363"/>
      <c r="BB34" s="1363"/>
      <c r="BC34" s="1362"/>
      <c r="BD34" s="387"/>
      <c r="BE34" s="1367"/>
      <c r="BF34" s="1363"/>
      <c r="BG34" s="1363"/>
      <c r="BH34" s="1363"/>
      <c r="BI34" s="1362"/>
      <c r="BJ34" s="234"/>
      <c r="BK34" s="1367"/>
      <c r="BL34" s="1363"/>
      <c r="BM34" s="1363"/>
      <c r="BN34" s="1363"/>
      <c r="BO34" s="1362"/>
      <c r="BP34" s="234"/>
      <c r="BQ34" s="1367"/>
      <c r="BR34" s="1363"/>
      <c r="BS34" s="1363"/>
      <c r="BT34" s="1363"/>
      <c r="BU34" s="1362"/>
      <c r="BV34" s="234"/>
      <c r="BW34" s="1367"/>
      <c r="BX34" s="1363"/>
      <c r="BY34" s="1363"/>
      <c r="BZ34" s="1363"/>
      <c r="CA34" s="1362"/>
      <c r="CB34" s="1361"/>
      <c r="CC34" s="1367"/>
      <c r="CD34" s="1363"/>
      <c r="CE34" s="1363"/>
      <c r="CF34" s="1363"/>
      <c r="CG34" s="1362"/>
      <c r="CH34" s="388"/>
      <c r="CI34" s="1367"/>
      <c r="CJ34" s="1363"/>
      <c r="CK34" s="1363"/>
      <c r="CL34" s="1363"/>
      <c r="CM34" s="1362"/>
      <c r="CN34" s="388"/>
      <c r="CO34" s="388"/>
      <c r="CP34" s="388"/>
      <c r="CQ34" s="388"/>
      <c r="CR34" s="388"/>
      <c r="CS34" s="388"/>
      <c r="CT34" s="50"/>
      <c r="CU34" s="50"/>
      <c r="CV34" s="50"/>
      <c r="CW34" s="50"/>
      <c r="CX34" s="50"/>
      <c r="CY34" s="50"/>
      <c r="CZ34" s="50"/>
      <c r="DA34" s="50"/>
      <c r="DB34" s="50"/>
      <c r="DC34" s="50"/>
      <c r="DD34" s="50"/>
      <c r="DE34" s="50"/>
      <c r="DF34" s="50"/>
    </row>
    <row r="35" spans="1:110" ht="15" hidden="1" outlineLevel="2">
      <c r="A35" s="1300" t="s">
        <v>172</v>
      </c>
      <c r="C35" s="1358"/>
      <c r="D35" s="1371"/>
      <c r="E35" s="1371"/>
      <c r="F35" s="1371"/>
      <c r="G35" s="1372"/>
      <c r="H35" s="387"/>
      <c r="I35" s="1358"/>
      <c r="J35" s="1371"/>
      <c r="K35" s="1371"/>
      <c r="L35" s="1371"/>
      <c r="M35" s="1372"/>
      <c r="N35" s="387"/>
      <c r="O35" s="1358"/>
      <c r="P35" s="1371"/>
      <c r="Q35" s="1371"/>
      <c r="R35" s="1371"/>
      <c r="S35" s="1372"/>
      <c r="T35" s="387"/>
      <c r="U35" s="1614">
        <v>0</v>
      </c>
      <c r="V35" s="1613">
        <v>0</v>
      </c>
      <c r="W35" s="1613">
        <v>0.49</v>
      </c>
      <c r="X35" s="1366">
        <f>((S10*Y35)-(O10*U35)-(P10*V35)-(Q10*W35))/R10</f>
        <v>0.57746666666666668</v>
      </c>
      <c r="Y35" s="1362">
        <f>Y33-Y34-Y36</f>
        <v>0.27180094786729858</v>
      </c>
      <c r="Z35" s="387"/>
      <c r="AA35" s="1360">
        <f>AA33-AA34-AA36</f>
        <v>0.35032786885245903</v>
      </c>
      <c r="AB35" s="1361">
        <f>AB33-AB34-AB36</f>
        <v>0.47084033613445386</v>
      </c>
      <c r="AC35" s="1361">
        <f>AC33-AC34-AC36</f>
        <v>5.4133738601823786E-2</v>
      </c>
      <c r="AD35" s="1616">
        <v>0</v>
      </c>
      <c r="AE35" s="1362">
        <f>AE33-AE34-AE36</f>
        <v>0.18499999999999991</v>
      </c>
      <c r="AF35" s="387"/>
      <c r="AG35" s="1614">
        <v>0</v>
      </c>
      <c r="AH35" s="1613">
        <v>0</v>
      </c>
      <c r="AI35" s="1613">
        <v>0</v>
      </c>
      <c r="AJ35" s="1616">
        <v>0</v>
      </c>
      <c r="AK35" s="1615">
        <v>0</v>
      </c>
      <c r="AL35" s="387"/>
      <c r="AM35" s="1619">
        <v>0</v>
      </c>
      <c r="AN35" s="1616">
        <v>0</v>
      </c>
      <c r="AO35" s="1613">
        <v>0</v>
      </c>
      <c r="AP35" s="1616">
        <v>0</v>
      </c>
      <c r="AQ35" s="1362">
        <f>AM35*(AM10/AQ10)+AN35*(AN10/AQ10)+AO35*(AO10/AQ10)+AP35*(AP10/AQ10)</f>
        <v>0</v>
      </c>
      <c r="AR35" s="387"/>
      <c r="AS35" s="1619">
        <v>0</v>
      </c>
      <c r="AT35" s="1616">
        <v>0</v>
      </c>
      <c r="AU35" s="1616">
        <v>0</v>
      </c>
      <c r="AV35" s="1616">
        <v>0</v>
      </c>
      <c r="AW35" s="1362">
        <f>AS35*(AS10/AW10)+AT35*(AT10/AW10)+AU35*(AU10/AW10)+AV35*(AV10/AW10)</f>
        <v>0</v>
      </c>
      <c r="AX35" s="387"/>
      <c r="AY35" s="1367"/>
      <c r="AZ35" s="1363"/>
      <c r="BA35" s="1363"/>
      <c r="BB35" s="1363"/>
      <c r="BC35" s="1362"/>
      <c r="BD35" s="387"/>
      <c r="BE35" s="1367"/>
      <c r="BF35" s="1363"/>
      <c r="BG35" s="1363"/>
      <c r="BH35" s="1363"/>
      <c r="BI35" s="1362"/>
      <c r="BJ35" s="152"/>
      <c r="BK35" s="1367"/>
      <c r="BL35" s="1363"/>
      <c r="BM35" s="1363"/>
      <c r="BN35" s="1363"/>
      <c r="BO35" s="1362"/>
      <c r="BP35" s="152"/>
      <c r="BQ35" s="1367"/>
      <c r="BR35" s="1363"/>
      <c r="BS35" s="1363"/>
      <c r="BT35" s="1363"/>
      <c r="BU35" s="1362"/>
      <c r="BV35" s="152"/>
      <c r="BW35" s="1367"/>
      <c r="BX35" s="1363"/>
      <c r="BY35" s="1363"/>
      <c r="BZ35" s="1363"/>
      <c r="CA35" s="1362"/>
      <c r="CB35" s="1361"/>
      <c r="CC35" s="1367"/>
      <c r="CD35" s="1363"/>
      <c r="CE35" s="1363"/>
      <c r="CF35" s="1363"/>
      <c r="CG35" s="1362"/>
      <c r="CH35" s="388"/>
      <c r="CI35" s="1367"/>
      <c r="CJ35" s="1363"/>
      <c r="CK35" s="1363"/>
      <c r="CL35" s="1363"/>
      <c r="CM35" s="1362"/>
      <c r="CN35" s="388"/>
      <c r="CO35" s="388"/>
      <c r="CP35" s="388"/>
      <c r="CQ35" s="388"/>
      <c r="CR35" s="388"/>
      <c r="CS35" s="388"/>
      <c r="CT35" s="50"/>
      <c r="CU35" s="50"/>
      <c r="CV35" s="50"/>
      <c r="CW35" s="50"/>
      <c r="CX35" s="50"/>
      <c r="CY35" s="50"/>
      <c r="CZ35" s="50"/>
      <c r="DA35" s="50"/>
      <c r="DB35" s="50"/>
      <c r="DC35" s="50"/>
      <c r="DD35" s="50"/>
      <c r="DE35" s="50"/>
      <c r="DF35" s="50"/>
    </row>
    <row r="36" spans="1:110" ht="15" hidden="1" outlineLevel="2">
      <c r="A36" s="1300" t="s">
        <v>173</v>
      </c>
      <c r="C36" s="1358"/>
      <c r="D36" s="1371"/>
      <c r="E36" s="1371"/>
      <c r="F36" s="1371"/>
      <c r="G36" s="1372"/>
      <c r="H36" s="387"/>
      <c r="I36" s="1358"/>
      <c r="J36" s="1371"/>
      <c r="K36" s="1371"/>
      <c r="L36" s="1371"/>
      <c r="M36" s="1372"/>
      <c r="N36" s="387"/>
      <c r="O36" s="1358"/>
      <c r="P36" s="1371"/>
      <c r="Q36" s="1371"/>
      <c r="R36" s="1371"/>
      <c r="S36" s="1372"/>
      <c r="T36" s="387"/>
      <c r="U36" s="1614">
        <v>0.05</v>
      </c>
      <c r="V36" s="1613">
        <v>0.05</v>
      </c>
      <c r="W36" s="1613">
        <v>0</v>
      </c>
      <c r="X36" s="1366">
        <f>((S10*Y36)-(O10*U36)-(P10*V36)-(Q10*W36))/R10</f>
        <v>-9.2444444444444454E-2</v>
      </c>
      <c r="Y36" s="1615">
        <v>0</v>
      </c>
      <c r="Z36" s="387"/>
      <c r="AA36" s="1614">
        <v>-0.01</v>
      </c>
      <c r="AB36" s="1613">
        <v>0.02</v>
      </c>
      <c r="AC36" s="1613">
        <v>7.0000000000000007E-2</v>
      </c>
      <c r="AD36" s="1366">
        <f>((Y10*AE36)-(U10*AA36)-(V10*AB36)-(W10*AC36))/X10</f>
        <v>2.7377892030848325E-2</v>
      </c>
      <c r="AE36" s="1615">
        <v>0.03</v>
      </c>
      <c r="AF36" s="387"/>
      <c r="AG36" s="1614">
        <v>0.01</v>
      </c>
      <c r="AH36" s="1613">
        <v>-0.01</v>
      </c>
      <c r="AI36" s="1613">
        <f>-13/AC10</f>
        <v>-3.3942558746736295E-2</v>
      </c>
      <c r="AJ36" s="1616">
        <f>-12/AD10</f>
        <v>-2.9629629629629631E-2</v>
      </c>
      <c r="AK36" s="1615">
        <v>-0.02</v>
      </c>
      <c r="AL36" s="387"/>
      <c r="AM36" s="1619">
        <f>-5/AG10</f>
        <v>-1.2626262626262626E-2</v>
      </c>
      <c r="AN36" s="1616">
        <f>-8/AH10</f>
        <v>-2.0618556701030927E-2</v>
      </c>
      <c r="AO36" s="1613">
        <f>-5/AI10</f>
        <v>-1.3123359580052493E-2</v>
      </c>
      <c r="AP36" s="1613">
        <f>-6/AJ10</f>
        <v>-1.5228426395939087E-2</v>
      </c>
      <c r="AQ36" s="1362">
        <f>AM36*(AM10/AQ10)+AN36*(AN10/AQ10)+AO36*(AO10/AQ10)+AP36*(AP10/AQ10)</f>
        <v>-1.5430138359139332E-2</v>
      </c>
      <c r="AR36" s="387"/>
      <c r="AS36" s="1619">
        <f>-5/AM10</f>
        <v>-1.2690355329949238E-2</v>
      </c>
      <c r="AT36" s="1616">
        <f>-3/AN10</f>
        <v>-7.481296758104738E-3</v>
      </c>
      <c r="AU36" s="1616">
        <f>3/AO10</f>
        <v>7.7519379844961239E-3</v>
      </c>
      <c r="AV36" s="1616">
        <f>-4/AP10</f>
        <v>-9.7087378640776691E-3</v>
      </c>
      <c r="AW36" s="1362">
        <f>AS36*(AS10/AW10)+AT36*(AT10/AW10)+AU36*(AU10/AW10)+AV36*(AV10/AW10)</f>
        <v>-5.5600232816542189E-3</v>
      </c>
      <c r="AX36" s="387"/>
      <c r="AY36" s="1383"/>
      <c r="AZ36" s="1384"/>
      <c r="BA36" s="1384"/>
      <c r="BB36" s="1384"/>
      <c r="BC36" s="1385"/>
      <c r="BD36" s="387"/>
      <c r="BE36" s="1383"/>
      <c r="BF36" s="1384"/>
      <c r="BG36" s="1384"/>
      <c r="BH36" s="1384"/>
      <c r="BI36" s="1385"/>
      <c r="BJ36" s="387"/>
      <c r="BK36" s="1383"/>
      <c r="BL36" s="1384"/>
      <c r="BM36" s="1384"/>
      <c r="BN36" s="1384"/>
      <c r="BO36" s="1385"/>
      <c r="BP36" s="387"/>
      <c r="BQ36" s="1383"/>
      <c r="BR36" s="1384"/>
      <c r="BS36" s="1384"/>
      <c r="BT36" s="1384"/>
      <c r="BU36" s="1385"/>
      <c r="BV36" s="387"/>
      <c r="BW36" s="1383"/>
      <c r="BX36" s="1384"/>
      <c r="BY36" s="1384"/>
      <c r="BZ36" s="1384"/>
      <c r="CA36" s="1385"/>
      <c r="CB36" s="1394"/>
      <c r="CC36" s="1383"/>
      <c r="CD36" s="1384"/>
      <c r="CE36" s="1384"/>
      <c r="CF36" s="1384"/>
      <c r="CG36" s="1385"/>
      <c r="CH36" s="388"/>
      <c r="CI36" s="1383"/>
      <c r="CJ36" s="1384"/>
      <c r="CK36" s="1384"/>
      <c r="CL36" s="1384"/>
      <c r="CM36" s="1385"/>
      <c r="CN36" s="388"/>
      <c r="CO36" s="388"/>
      <c r="CP36" s="388"/>
      <c r="CQ36" s="388"/>
      <c r="CR36" s="388"/>
      <c r="CS36" s="388"/>
      <c r="CT36" s="50"/>
      <c r="CU36" s="50"/>
      <c r="CV36" s="50"/>
      <c r="CW36" s="50"/>
      <c r="CX36" s="50"/>
      <c r="CY36" s="50"/>
      <c r="CZ36" s="50"/>
      <c r="DA36" s="50"/>
      <c r="DB36" s="50"/>
      <c r="DC36" s="50"/>
      <c r="DD36" s="50"/>
      <c r="DE36" s="50"/>
      <c r="DF36" s="50"/>
    </row>
    <row r="37" spans="1:110" hidden="1" outlineLevel="2">
      <c r="A37" s="1370" t="s">
        <v>103</v>
      </c>
      <c r="C37" s="1358"/>
      <c r="D37" s="1371"/>
      <c r="E37" s="1371"/>
      <c r="F37" s="1371"/>
      <c r="G37" s="1372"/>
      <c r="H37" s="152"/>
      <c r="I37" s="1358">
        <f>+I22</f>
        <v>0.22399999999999998</v>
      </c>
      <c r="J37" s="1371">
        <f t="shared" ref="J37:S37" si="10">+J22</f>
        <v>0.2326530612244897</v>
      </c>
      <c r="K37" s="1371">
        <f t="shared" si="10"/>
        <v>0.193798449612403</v>
      </c>
      <c r="L37" s="1371">
        <f t="shared" si="10"/>
        <v>0.16723549488054612</v>
      </c>
      <c r="M37" s="1372">
        <f t="shared" si="10"/>
        <v>0.20267686424474185</v>
      </c>
      <c r="N37" s="152"/>
      <c r="O37" s="1358">
        <f t="shared" si="10"/>
        <v>9.8039215686274161E-3</v>
      </c>
      <c r="P37" s="1371">
        <f t="shared" si="10"/>
        <v>-1.3245033112582738E-2</v>
      </c>
      <c r="Q37" s="1371">
        <f t="shared" si="10"/>
        <v>-4.870129870129869E-2</v>
      </c>
      <c r="R37" s="1371">
        <f t="shared" si="10"/>
        <v>-6.7251461988304118E-2</v>
      </c>
      <c r="S37" s="1372">
        <f t="shared" si="10"/>
        <v>-3.1001589825119247E-2</v>
      </c>
      <c r="T37" s="152"/>
      <c r="U37" s="1358">
        <f>+U11/O11-1</f>
        <v>0.10032362459546929</v>
      </c>
      <c r="V37" s="1371">
        <f>+V11/P11-1</f>
        <v>0.12080536912751683</v>
      </c>
      <c r="W37" s="1371">
        <f>+W11/Q11-1</f>
        <v>0.27645051194539239</v>
      </c>
      <c r="X37" s="1371">
        <f>+X11/R11-1</f>
        <v>0.35109717868338564</v>
      </c>
      <c r="Y37" s="1372">
        <f>+Y11/S11-1</f>
        <v>0.21328958162428213</v>
      </c>
      <c r="Z37" s="152"/>
      <c r="AA37" s="1358">
        <f>+AA11/U11-1</f>
        <v>0.18823529411764706</v>
      </c>
      <c r="AB37" s="1371">
        <f>+AB11/V11-1</f>
        <v>0.38922155688622762</v>
      </c>
      <c r="AC37" s="1371">
        <f>+AC11/W11-1</f>
        <v>0.21122994652406413</v>
      </c>
      <c r="AD37" s="1371">
        <f>+AD11/X11-1</f>
        <v>9.2807424593967625E-2</v>
      </c>
      <c r="AE37" s="1372">
        <f>+AE11/Y11-1</f>
        <v>0.21162947937795806</v>
      </c>
      <c r="AF37" s="152"/>
      <c r="AG37" s="1358">
        <f>+AG11/AA11-1</f>
        <v>0.14108910891089099</v>
      </c>
      <c r="AH37" s="1371">
        <f>+AH11/AB11-1</f>
        <v>1.0775862068965525E-2</v>
      </c>
      <c r="AI37" s="1371">
        <f>+AI11/AC11-1</f>
        <v>9.7130242825607116E-2</v>
      </c>
      <c r="AJ37" s="1371">
        <f>+AJ11/AD11-1</f>
        <v>0.18259023354564752</v>
      </c>
      <c r="AK37" s="1372">
        <f>+AK11/AE11-1</f>
        <v>0.10714285714285721</v>
      </c>
      <c r="AL37" s="152"/>
      <c r="AM37" s="1358">
        <f>+AM11/AG11-1</f>
        <v>0.22342733188720176</v>
      </c>
      <c r="AN37" s="1371">
        <f>+AN11/AH11-1</f>
        <v>0.21748400852878458</v>
      </c>
      <c r="AO37" s="1371">
        <f>+AO11/AI11-1</f>
        <v>0.13480885311871238</v>
      </c>
      <c r="AP37" s="1371">
        <f>+AP11/AJ11-1</f>
        <v>7.8994614003590646E-2</v>
      </c>
      <c r="AQ37" s="1372">
        <f>+AQ11/AK11-1</f>
        <v>0.15927419354838701</v>
      </c>
      <c r="AR37" s="152"/>
      <c r="AS37" s="1358">
        <f>+AS11/AM11-1</f>
        <v>4.7872340425531901E-2</v>
      </c>
      <c r="AT37" s="1371">
        <f>+AT11/AN11-1</f>
        <v>1.0507880910683109E-2</v>
      </c>
      <c r="AU37" s="1371">
        <f>+AU11/AO11-1</f>
        <v>4.9645390070921946E-2</v>
      </c>
      <c r="AV37" s="1371">
        <f>+AV11/AP11-1</f>
        <v>1.830282861896837E-2</v>
      </c>
      <c r="AW37" s="1372">
        <f>+AW11/AQ11-1</f>
        <v>3.1304347826087042E-2</v>
      </c>
      <c r="AX37" s="152"/>
      <c r="AY37" s="1386"/>
      <c r="AZ37" s="1387"/>
      <c r="BA37" s="1387"/>
      <c r="BB37" s="1387"/>
      <c r="BC37" s="1388"/>
      <c r="BD37" s="152"/>
      <c r="BE37" s="1386"/>
      <c r="BF37" s="1387"/>
      <c r="BG37" s="1387"/>
      <c r="BH37" s="1387"/>
      <c r="BI37" s="1388"/>
      <c r="BJ37" s="152"/>
      <c r="BK37" s="1386"/>
      <c r="BL37" s="1387"/>
      <c r="BM37" s="1387"/>
      <c r="BN37" s="1387"/>
      <c r="BO37" s="1388"/>
      <c r="BP37" s="152"/>
      <c r="BQ37" s="1386"/>
      <c r="BR37" s="1387"/>
      <c r="BS37" s="1387"/>
      <c r="BT37" s="1387"/>
      <c r="BU37" s="1388"/>
      <c r="BV37" s="152"/>
      <c r="BW37" s="1386"/>
      <c r="BX37" s="1387"/>
      <c r="BY37" s="1387"/>
      <c r="BZ37" s="1387"/>
      <c r="CA37" s="1388"/>
      <c r="CB37" s="1387"/>
      <c r="CC37" s="1386"/>
      <c r="CD37" s="1387"/>
      <c r="CE37" s="1387"/>
      <c r="CF37" s="1387"/>
      <c r="CG37" s="1388"/>
      <c r="CH37" s="389"/>
      <c r="CI37" s="1386"/>
      <c r="CJ37" s="1387"/>
      <c r="CK37" s="1387"/>
      <c r="CL37" s="1387"/>
      <c r="CM37" s="1388"/>
      <c r="CN37" s="389"/>
      <c r="CO37" s="389"/>
      <c r="CP37" s="389"/>
      <c r="CQ37" s="389"/>
      <c r="CR37" s="389"/>
      <c r="CS37" s="389"/>
      <c r="CT37" s="201"/>
      <c r="CU37" s="201"/>
      <c r="CV37" s="201"/>
      <c r="CW37" s="201"/>
      <c r="CX37" s="201"/>
      <c r="CY37" s="201"/>
      <c r="CZ37" s="201"/>
      <c r="DA37" s="201"/>
      <c r="DB37" s="201"/>
      <c r="DC37" s="201"/>
      <c r="DD37" s="201"/>
      <c r="DE37" s="201"/>
      <c r="DF37" s="201"/>
    </row>
    <row r="38" spans="1:110" hidden="1" outlineLevel="2">
      <c r="A38" s="1300" t="s">
        <v>171</v>
      </c>
      <c r="C38" s="1375"/>
      <c r="D38" s="1366"/>
      <c r="E38" s="1366"/>
      <c r="F38" s="1366"/>
      <c r="G38" s="1389"/>
      <c r="H38" s="152"/>
      <c r="I38" s="1375"/>
      <c r="J38" s="1366"/>
      <c r="K38" s="1366"/>
      <c r="L38" s="1366"/>
      <c r="M38" s="1389"/>
      <c r="N38" s="152"/>
      <c r="O38" s="1375"/>
      <c r="P38" s="1366"/>
      <c r="Q38" s="1366"/>
      <c r="R38" s="1366"/>
      <c r="S38" s="1389"/>
      <c r="T38" s="152"/>
      <c r="U38" s="1375">
        <f t="shared" ref="U38:Y40" si="11">+((O$8/O$11*U23)+(O$9/O$11*U27))</f>
        <v>5.9061488673139075E-2</v>
      </c>
      <c r="V38" s="1366">
        <f t="shared" si="11"/>
        <v>8.8993288590604055E-2</v>
      </c>
      <c r="W38" s="1366">
        <f t="shared" si="11"/>
        <v>0.18020477815699656</v>
      </c>
      <c r="X38" s="1366">
        <f t="shared" si="11"/>
        <v>0.13476489028213182</v>
      </c>
      <c r="Y38" s="1389">
        <f t="shared" si="11"/>
        <v>0.11530762920426582</v>
      </c>
      <c r="Z38" s="152"/>
      <c r="AA38" s="1375">
        <f t="shared" ref="AA38:AE40" si="12">+((U$8/U$11*AA23)+(U$9/U$11*AA27))</f>
        <v>7.7176470588235277E-2</v>
      </c>
      <c r="AB38" s="1366">
        <f t="shared" si="12"/>
        <v>0.11889221556886227</v>
      </c>
      <c r="AC38" s="1366">
        <f t="shared" si="12"/>
        <v>0.1274866310160428</v>
      </c>
      <c r="AD38" s="1366">
        <f t="shared" si="12"/>
        <v>6.3317865429234302E-2</v>
      </c>
      <c r="AE38" s="1389">
        <f t="shared" si="12"/>
        <v>9.9121027721433386E-2</v>
      </c>
      <c r="AF38" s="152"/>
      <c r="AG38" s="1375">
        <f>AG37-AG40-AG39</f>
        <v>0.13108910891089098</v>
      </c>
      <c r="AH38" s="1366">
        <f>AH37-AH40-AH39</f>
        <v>2.0775862068965527E-2</v>
      </c>
      <c r="AI38" s="1366">
        <f>AI37-AI40-AI39</f>
        <v>4.1942604856512189E-2</v>
      </c>
      <c r="AJ38" s="1366">
        <f>AJ37-AJ40-AJ39</f>
        <v>2.7600849256900178E-2</v>
      </c>
      <c r="AK38" s="1389">
        <f>AK37-AK40-AK39</f>
        <v>5.2790178571428634E-2</v>
      </c>
      <c r="AL38" s="152"/>
      <c r="AM38" s="1360">
        <f>AM37-AM40-AM39</f>
        <v>3.2537960954446887E-2</v>
      </c>
      <c r="AN38" s="1361">
        <f>AN37-AN40-AN39</f>
        <v>3.923240938166303E-2</v>
      </c>
      <c r="AO38" s="1361">
        <f>AO37-AO40-AO39</f>
        <v>4.6277665995975964E-2</v>
      </c>
      <c r="AP38" s="1361">
        <f>AP37-AP40-AP39</f>
        <v>8.7971274685816864E-2</v>
      </c>
      <c r="AQ38" s="1362">
        <f>+((AK$8/AK$11*AQ23)+(AK$9/AK$11*AQ27))</f>
        <v>5.980103876213784E-2</v>
      </c>
      <c r="AR38" s="152"/>
      <c r="AS38" s="1360">
        <f>AS37-AS40-AS39</f>
        <v>5.8510638297872328E-2</v>
      </c>
      <c r="AT38" s="1361">
        <f>AT37-AT40-AT39</f>
        <v>1.5761821366024616E-2</v>
      </c>
      <c r="AU38" s="1361">
        <f>AU37-AU40-AU39</f>
        <v>3.7234042553191446E-2</v>
      </c>
      <c r="AV38" s="1361">
        <f>AV37-AV40-AV39</f>
        <v>2.6622296173044908E-2</v>
      </c>
      <c r="AW38" s="1362">
        <f>AS38*(AS11/AW11)+AT38*(AT11/AW11)+AU38*(AU11/AW11)+AV38*(AV11/AW11)</f>
        <v>3.4574096379271314E-2</v>
      </c>
      <c r="AX38" s="152"/>
      <c r="AY38" s="1390"/>
      <c r="AZ38" s="1391"/>
      <c r="BA38" s="1391"/>
      <c r="BB38" s="1391"/>
      <c r="BC38" s="1385"/>
      <c r="BD38" s="152"/>
      <c r="BE38" s="1390"/>
      <c r="BF38" s="1391"/>
      <c r="BG38" s="1391"/>
      <c r="BH38" s="1391"/>
      <c r="BI38" s="1385"/>
      <c r="BJ38" s="152"/>
      <c r="BK38" s="1390"/>
      <c r="BL38" s="1391"/>
      <c r="BM38" s="1391"/>
      <c r="BN38" s="1391"/>
      <c r="BO38" s="1385"/>
      <c r="BP38" s="152"/>
      <c r="BQ38" s="1390"/>
      <c r="BR38" s="1391"/>
      <c r="BS38" s="1391"/>
      <c r="BT38" s="1391"/>
      <c r="BU38" s="1385"/>
      <c r="BV38" s="152"/>
      <c r="BW38" s="1390"/>
      <c r="BX38" s="1391"/>
      <c r="BY38" s="1391"/>
      <c r="BZ38" s="1391"/>
      <c r="CA38" s="1385"/>
      <c r="CB38" s="1394"/>
      <c r="CC38" s="1390"/>
      <c r="CD38" s="1391"/>
      <c r="CE38" s="1391"/>
      <c r="CF38" s="1391"/>
      <c r="CG38" s="1385"/>
      <c r="CH38" s="389"/>
      <c r="CI38" s="1390"/>
      <c r="CJ38" s="1391"/>
      <c r="CK38" s="1391"/>
      <c r="CL38" s="1391"/>
      <c r="CM38" s="1385"/>
      <c r="CN38" s="389"/>
      <c r="CO38" s="389"/>
      <c r="CP38" s="389"/>
      <c r="CQ38" s="389"/>
      <c r="CR38" s="389"/>
      <c r="CS38" s="389"/>
      <c r="CT38" s="201"/>
      <c r="CU38" s="201"/>
      <c r="CV38" s="201"/>
      <c r="CW38" s="201"/>
      <c r="CX38" s="201"/>
      <c r="CY38" s="201"/>
      <c r="CZ38" s="201"/>
      <c r="DA38" s="201"/>
      <c r="DB38" s="201"/>
      <c r="DC38" s="201"/>
      <c r="DD38" s="201"/>
      <c r="DE38" s="201"/>
      <c r="DF38" s="201"/>
    </row>
    <row r="39" spans="1:110" hidden="1" outlineLevel="2">
      <c r="A39" s="1300" t="s">
        <v>172</v>
      </c>
      <c r="C39" s="1358"/>
      <c r="D39" s="1371"/>
      <c r="E39" s="1371"/>
      <c r="F39" s="1371"/>
      <c r="G39" s="1372"/>
      <c r="H39" s="152"/>
      <c r="I39" s="1358"/>
      <c r="J39" s="1371"/>
      <c r="K39" s="1371"/>
      <c r="L39" s="1371"/>
      <c r="M39" s="1372"/>
      <c r="N39" s="152"/>
      <c r="O39" s="1358"/>
      <c r="P39" s="1371"/>
      <c r="Q39" s="1371"/>
      <c r="R39" s="1371"/>
      <c r="S39" s="1372"/>
      <c r="T39" s="152"/>
      <c r="U39" s="1375">
        <f t="shared" si="11"/>
        <v>0</v>
      </c>
      <c r="V39" s="1366">
        <f t="shared" si="11"/>
        <v>0</v>
      </c>
      <c r="W39" s="1366">
        <f t="shared" si="11"/>
        <v>0.10426621160409558</v>
      </c>
      <c r="X39" s="1366">
        <f t="shared" si="11"/>
        <v>0.21670846394984319</v>
      </c>
      <c r="Y39" s="1389">
        <f t="shared" si="11"/>
        <v>8.1771944216570955E-2</v>
      </c>
      <c r="Z39" s="152"/>
      <c r="AA39" s="1375">
        <f t="shared" si="12"/>
        <v>0.11923529411764704</v>
      </c>
      <c r="AB39" s="1366">
        <f t="shared" si="12"/>
        <v>0.24634730538922156</v>
      </c>
      <c r="AC39" s="1366">
        <f t="shared" si="12"/>
        <v>3.3368983957219309E-2</v>
      </c>
      <c r="AD39" s="1366">
        <f t="shared" si="12"/>
        <v>0</v>
      </c>
      <c r="AE39" s="1389">
        <f t="shared" si="12"/>
        <v>8.7640297498309747E-2</v>
      </c>
      <c r="AF39" s="152"/>
      <c r="AG39" s="1619">
        <v>0</v>
      </c>
      <c r="AH39" s="1616">
        <v>0</v>
      </c>
      <c r="AI39" s="1616">
        <f>+(106-66)/AC11</f>
        <v>8.8300220750551883E-2</v>
      </c>
      <c r="AJ39" s="1616">
        <f>+(156-70)/AD11</f>
        <v>0.18259023354564755</v>
      </c>
      <c r="AK39" s="1615">
        <f>+(126)/AE11</f>
        <v>7.03125E-2</v>
      </c>
      <c r="AL39" s="152"/>
      <c r="AM39" s="1614">
        <f>+(93)/AG11</f>
        <v>0.2017353579175705</v>
      </c>
      <c r="AN39" s="1613">
        <f>+(93.5-0.5)/AH11</f>
        <v>0.19829424307036247</v>
      </c>
      <c r="AO39" s="1613">
        <f>51/AI11</f>
        <v>0.10261569416498995</v>
      </c>
      <c r="AP39" s="1613">
        <v>0</v>
      </c>
      <c r="AQ39" s="1362">
        <f>+((AK$8/AK$11*AQ24)+(AK$9/AK$11*AQ28))</f>
        <v>0.15575621109431945</v>
      </c>
      <c r="AR39" s="152"/>
      <c r="AS39" s="1614">
        <v>0</v>
      </c>
      <c r="AT39" s="1613">
        <v>0</v>
      </c>
      <c r="AU39" s="1613">
        <v>0</v>
      </c>
      <c r="AV39" s="1613">
        <v>0</v>
      </c>
      <c r="AW39" s="1362">
        <f>AS39*(AS11/AW11)+AT39*(AT11/AW11)+AU39*(AU11/AW11)+AV39*(AV11/AW11)</f>
        <v>0</v>
      </c>
      <c r="AX39" s="152"/>
      <c r="AY39" s="1390"/>
      <c r="AZ39" s="1392"/>
      <c r="BA39" s="1392"/>
      <c r="BB39" s="1392"/>
      <c r="BC39" s="1385"/>
      <c r="BD39" s="152"/>
      <c r="BE39" s="1390"/>
      <c r="BF39" s="1392"/>
      <c r="BG39" s="1392"/>
      <c r="BH39" s="1392"/>
      <c r="BI39" s="1385"/>
      <c r="BJ39" s="152"/>
      <c r="BK39" s="1390"/>
      <c r="BL39" s="1392"/>
      <c r="BM39" s="1392"/>
      <c r="BN39" s="1392"/>
      <c r="BO39" s="1385"/>
      <c r="BP39" s="152"/>
      <c r="BQ39" s="1390"/>
      <c r="BR39" s="1392"/>
      <c r="BS39" s="1392"/>
      <c r="BT39" s="1392"/>
      <c r="BU39" s="1385"/>
      <c r="BV39" s="152"/>
      <c r="BW39" s="1390"/>
      <c r="BX39" s="1392"/>
      <c r="BY39" s="1392"/>
      <c r="BZ39" s="1392"/>
      <c r="CA39" s="1385"/>
      <c r="CB39" s="1394"/>
      <c r="CC39" s="1390"/>
      <c r="CD39" s="1392"/>
      <c r="CE39" s="1392"/>
      <c r="CF39" s="1392"/>
      <c r="CG39" s="1385"/>
      <c r="CH39" s="389"/>
      <c r="CI39" s="1390"/>
      <c r="CJ39" s="1392"/>
      <c r="CK39" s="1392"/>
      <c r="CL39" s="1392"/>
      <c r="CM39" s="1385"/>
      <c r="CN39" s="389"/>
      <c r="CO39" s="389"/>
      <c r="CP39" s="389"/>
      <c r="CQ39" s="389"/>
      <c r="CR39" s="389"/>
      <c r="CS39" s="389"/>
      <c r="CT39" s="201"/>
      <c r="CU39" s="201"/>
      <c r="CV39" s="201"/>
      <c r="CW39" s="201"/>
      <c r="CX39" s="201"/>
      <c r="CY39" s="201"/>
      <c r="CZ39" s="201"/>
      <c r="DA39" s="201"/>
      <c r="DB39" s="201"/>
      <c r="DC39" s="201"/>
      <c r="DD39" s="201"/>
      <c r="DE39" s="201"/>
      <c r="DF39" s="201"/>
    </row>
    <row r="40" spans="1:110" hidden="1" outlineLevel="2">
      <c r="A40" s="1300" t="s">
        <v>173</v>
      </c>
      <c r="C40" s="1358"/>
      <c r="D40" s="1371"/>
      <c r="E40" s="1371"/>
      <c r="F40" s="1371"/>
      <c r="G40" s="1372"/>
      <c r="H40" s="152"/>
      <c r="I40" s="1358"/>
      <c r="J40" s="1371"/>
      <c r="K40" s="1371"/>
      <c r="L40" s="1371"/>
      <c r="M40" s="1372"/>
      <c r="N40" s="152"/>
      <c r="O40" s="1358"/>
      <c r="P40" s="1371"/>
      <c r="Q40" s="1371"/>
      <c r="R40" s="1371"/>
      <c r="S40" s="1372"/>
      <c r="T40" s="152"/>
      <c r="U40" s="1375">
        <f t="shared" si="11"/>
        <v>4.12621359223301E-2</v>
      </c>
      <c r="V40" s="1366">
        <f t="shared" si="11"/>
        <v>3.181208053691275E-2</v>
      </c>
      <c r="W40" s="1366">
        <f t="shared" si="11"/>
        <v>-8.0204778156996587E-3</v>
      </c>
      <c r="X40" s="1366">
        <f t="shared" si="11"/>
        <v>-3.7617554858933788E-4</v>
      </c>
      <c r="Y40" s="1389">
        <f t="shared" si="11"/>
        <v>1.6210008203445446E-2</v>
      </c>
      <c r="Z40" s="152"/>
      <c r="AA40" s="1375">
        <f t="shared" si="12"/>
        <v>-8.1764705882352937E-3</v>
      </c>
      <c r="AB40" s="1366">
        <f t="shared" si="12"/>
        <v>2.3982035928143713E-2</v>
      </c>
      <c r="AC40" s="1366">
        <f t="shared" si="12"/>
        <v>5.0374331550802141E-2</v>
      </c>
      <c r="AD40" s="1366">
        <f t="shared" si="12"/>
        <v>2.9489559164733187E-2</v>
      </c>
      <c r="AE40" s="1389">
        <f t="shared" si="12"/>
        <v>2.4868154158215007E-2</v>
      </c>
      <c r="AF40" s="152"/>
      <c r="AG40" s="1619">
        <v>0.01</v>
      </c>
      <c r="AH40" s="1616">
        <v>-0.01</v>
      </c>
      <c r="AI40" s="1616">
        <f>+(-2-13)/AC11</f>
        <v>-3.3112582781456956E-2</v>
      </c>
      <c r="AJ40" s="1616">
        <f>+(-2-11)/AD11</f>
        <v>-2.7600849256900213E-2</v>
      </c>
      <c r="AK40" s="1615">
        <f>+SUMPRODUCT(AG40:AJ40,AA11:AD11)/AE11</f>
        <v>-1.5959821428571431E-2</v>
      </c>
      <c r="AL40" s="152"/>
      <c r="AM40" s="1614">
        <f>+(-4-1)/AG11</f>
        <v>-1.0845986984815618E-2</v>
      </c>
      <c r="AN40" s="1613">
        <f>+(-2.4-7)/AH11</f>
        <v>-2.0042643923240937E-2</v>
      </c>
      <c r="AO40" s="1613">
        <f>+(-2-5)/AI11</f>
        <v>-1.4084507042253521E-2</v>
      </c>
      <c r="AP40" s="1613">
        <f>-5/AJ11</f>
        <v>-8.9766606822262122E-3</v>
      </c>
      <c r="AQ40" s="1362">
        <f>+((AK$8/AK$11*AQ25)+(AK$9/AK$11*AQ29))</f>
        <v>-1.4323048778070734E-2</v>
      </c>
      <c r="AR40" s="152"/>
      <c r="AS40" s="1614">
        <f>-6/AM11</f>
        <v>-1.0638297872340425E-2</v>
      </c>
      <c r="AT40" s="1613">
        <f>-3/AN11</f>
        <v>-5.2539404553415062E-3</v>
      </c>
      <c r="AU40" s="1613">
        <f>7/AO11</f>
        <v>1.2411347517730497E-2</v>
      </c>
      <c r="AV40" s="1613">
        <f>-5/AP11</f>
        <v>-8.3194675540765387E-3</v>
      </c>
      <c r="AW40" s="1362">
        <f>AS40*(AS11/AW11)+AT40*(AT11/AW11)+AU40*(AU11/AW11)+AV40*(AV11/AW11)</f>
        <v>-2.97755231782615E-3</v>
      </c>
      <c r="AX40" s="152"/>
      <c r="AY40" s="1393"/>
      <c r="AZ40" s="1394"/>
      <c r="BA40" s="1394"/>
      <c r="BB40" s="1394"/>
      <c r="BC40" s="1385"/>
      <c r="BD40" s="152"/>
      <c r="BE40" s="1393"/>
      <c r="BF40" s="1394"/>
      <c r="BG40" s="1394"/>
      <c r="BH40" s="1394"/>
      <c r="BI40" s="1385"/>
      <c r="BJ40" s="152"/>
      <c r="BK40" s="1393"/>
      <c r="BL40" s="1394"/>
      <c r="BM40" s="1394"/>
      <c r="BN40" s="1394"/>
      <c r="BO40" s="1385"/>
      <c r="BP40" s="152"/>
      <c r="BQ40" s="1393"/>
      <c r="BR40" s="1394"/>
      <c r="BS40" s="1394"/>
      <c r="BT40" s="1394"/>
      <c r="BU40" s="1385"/>
      <c r="BV40" s="152"/>
      <c r="BW40" s="1393"/>
      <c r="BX40" s="1394"/>
      <c r="BY40" s="1394"/>
      <c r="BZ40" s="1394"/>
      <c r="CA40" s="1385"/>
      <c r="CB40" s="1394"/>
      <c r="CC40" s="1393"/>
      <c r="CD40" s="1394"/>
      <c r="CE40" s="1394"/>
      <c r="CF40" s="1394"/>
      <c r="CG40" s="1385"/>
      <c r="CH40" s="389"/>
      <c r="CI40" s="1393"/>
      <c r="CJ40" s="1394"/>
      <c r="CK40" s="1394"/>
      <c r="CL40" s="1394"/>
      <c r="CM40" s="1385"/>
      <c r="CN40" s="389"/>
      <c r="CO40" s="389"/>
      <c r="CP40" s="389"/>
      <c r="CQ40" s="389"/>
      <c r="CR40" s="389"/>
      <c r="CS40" s="389"/>
      <c r="CT40" s="201"/>
      <c r="CU40" s="201"/>
      <c r="CV40" s="201"/>
      <c r="CW40" s="201"/>
      <c r="CX40" s="201"/>
      <c r="CY40" s="201"/>
      <c r="CZ40" s="201"/>
      <c r="DA40" s="201"/>
      <c r="DB40" s="201"/>
      <c r="DC40" s="201"/>
      <c r="DD40" s="201"/>
      <c r="DE40" s="201"/>
      <c r="DF40" s="201"/>
    </row>
    <row r="41" spans="1:110" outlineLevel="1" collapsed="1">
      <c r="A41" s="393" t="s">
        <v>105</v>
      </c>
      <c r="C41" s="390"/>
      <c r="D41" s="152"/>
      <c r="E41" s="152"/>
      <c r="F41" s="152"/>
      <c r="G41" s="391"/>
      <c r="H41" s="152"/>
      <c r="I41" s="390"/>
      <c r="J41" s="152"/>
      <c r="K41" s="152"/>
      <c r="L41" s="152"/>
      <c r="M41" s="391"/>
      <c r="N41" s="152"/>
      <c r="O41" s="390"/>
      <c r="P41" s="152"/>
      <c r="Q41" s="152"/>
      <c r="R41" s="152"/>
      <c r="S41" s="391"/>
      <c r="T41" s="152"/>
      <c r="U41" s="233"/>
      <c r="V41" s="234"/>
      <c r="W41" s="234"/>
      <c r="X41" s="234"/>
      <c r="Y41" s="222"/>
      <c r="Z41" s="152"/>
      <c r="AA41" s="233"/>
      <c r="AB41" s="234"/>
      <c r="AC41" s="234"/>
      <c r="AD41" s="234"/>
      <c r="AE41" s="222"/>
      <c r="AF41" s="152"/>
      <c r="AG41" s="1654" t="s">
        <v>247</v>
      </c>
      <c r="AH41" s="1655" t="s">
        <v>247</v>
      </c>
      <c r="AI41" s="1655" t="s">
        <v>247</v>
      </c>
      <c r="AJ41" s="1655" t="s">
        <v>247</v>
      </c>
      <c r="AK41" s="1656" t="s">
        <v>247</v>
      </c>
      <c r="AL41" s="152"/>
      <c r="AM41" s="390">
        <f>+AM12/AG12-1</f>
        <v>-1.1605415860735047E-2</v>
      </c>
      <c r="AN41" s="152">
        <f>+AN12/AH12-1</f>
        <v>2.008032128514059E-2</v>
      </c>
      <c r="AO41" s="152">
        <f>+AO12/AI12-1</f>
        <v>-1.4112903225806495E-2</v>
      </c>
      <c r="AP41" s="152">
        <f>+AP12/AJ12-1</f>
        <v>4.1501976284584963E-2</v>
      </c>
      <c r="AQ41" s="391">
        <f>+AQ12/AK12-1</f>
        <v>8.9241447694596854E-3</v>
      </c>
      <c r="AR41" s="152"/>
      <c r="AS41" s="390">
        <f>+AS12/AM12-1</f>
        <v>5.0880626223092085E-2</v>
      </c>
      <c r="AT41" s="152">
        <f>+AT12/AN12-1</f>
        <v>-2.5590551181102317E-2</v>
      </c>
      <c r="AU41" s="152">
        <f>+AU12/AO12-1</f>
        <v>3.6809815950920255E-2</v>
      </c>
      <c r="AV41" s="152">
        <f>+AV12/AP12-1</f>
        <v>2.2770398481973375E-2</v>
      </c>
      <c r="AW41" s="391">
        <f>+AW12/AQ12-1</f>
        <v>2.1130221130221116E-2</v>
      </c>
      <c r="AX41" s="152"/>
      <c r="AY41" s="390">
        <f>+AY12/AS12-1</f>
        <v>1.862197392923659E-2</v>
      </c>
      <c r="AZ41" s="152">
        <f>+AZ12/AT12-1</f>
        <v>-4.4444444444444398E-2</v>
      </c>
      <c r="BA41" s="152">
        <f>+BA12/AU12-1</f>
        <v>7.8895463510848529E-3</v>
      </c>
      <c r="BB41" s="152">
        <f>+BB12/AV12-1</f>
        <v>-4.4526901669758812E-2</v>
      </c>
      <c r="BC41" s="391">
        <f>+BC12/AW12-1</f>
        <v>-1.5399422521655493E-2</v>
      </c>
      <c r="BD41" s="152"/>
      <c r="BE41" s="390">
        <f>+BE12/AY12-1</f>
        <v>-3.8391224862888484E-2</v>
      </c>
      <c r="BF41" s="152">
        <f>+BF12/AZ12-1</f>
        <v>4.6511627906976827E-2</v>
      </c>
      <c r="BG41" s="152">
        <f>+BG12/BA12-1</f>
        <v>-1.3698630136986356E-2</v>
      </c>
      <c r="BH41" s="152">
        <f>SUM(BH42:BH44)</f>
        <v>5.7766990291262144E-2</v>
      </c>
      <c r="BI41" s="391">
        <f>+BI12/BC12-1</f>
        <v>1.3196480938416411E-2</v>
      </c>
      <c r="BJ41" s="152"/>
      <c r="BK41" s="390">
        <f>SUM(BK42:BK44)</f>
        <v>2.742570756461659E-2</v>
      </c>
      <c r="BL41" s="152">
        <f>SUM(BL42:BL44)</f>
        <v>5.5040404040404035E-2</v>
      </c>
      <c r="BM41" s="152">
        <f>SUM(BM42:BM44)</f>
        <v>5.6396825396825397E-2</v>
      </c>
      <c r="BN41" s="152">
        <f>+BN12/BH12-1</f>
        <v>4.9270072992700698E-2</v>
      </c>
      <c r="BO41" s="391">
        <f>+BO12/BI12-1</f>
        <v>4.6309696092619479E-2</v>
      </c>
      <c r="BP41" s="152"/>
      <c r="BQ41" s="390">
        <f>+BQ12/BK12-1</f>
        <v>0.14444444444444438</v>
      </c>
      <c r="BR41" s="152">
        <f>SUM(BR42:BR44)</f>
        <v>0.14242638623326959</v>
      </c>
      <c r="BS41" s="152">
        <f>SUM(BS42:BS44)</f>
        <v>8.8273069679849353E-2</v>
      </c>
      <c r="BT41" s="152">
        <f>SUM(BT42:BT44)</f>
        <v>7.5999999999999998E-2</v>
      </c>
      <c r="BU41" s="391">
        <f>+BU12/BO12-1</f>
        <v>0.11206177962194563</v>
      </c>
      <c r="BV41" s="152"/>
      <c r="BW41" s="390">
        <f>SUM(BW42:BW44)</f>
        <v>0.06</v>
      </c>
      <c r="BX41" s="152">
        <f>SUM(BX42:BX44)</f>
        <v>0.06</v>
      </c>
      <c r="BY41" s="152">
        <f>SUM(BY42:BY44)</f>
        <v>0.06</v>
      </c>
      <c r="BZ41" s="152">
        <f>SUM(BZ42:BZ44)</f>
        <v>0.06</v>
      </c>
      <c r="CA41" s="391">
        <f>+CA12/BU12-1</f>
        <v>6.0000000000000053E-2</v>
      </c>
      <c r="CB41" s="152"/>
      <c r="CC41" s="390">
        <f>SUM(CC42:CC44)</f>
        <v>0.03</v>
      </c>
      <c r="CD41" s="152">
        <f>SUM(CD42:CD44)</f>
        <v>0.03</v>
      </c>
      <c r="CE41" s="152">
        <f>SUM(CE42:CE44)</f>
        <v>0.03</v>
      </c>
      <c r="CF41" s="152">
        <f>SUM(CF42:CF44)</f>
        <v>0.03</v>
      </c>
      <c r="CG41" s="391">
        <f>+CG12/CA12-1</f>
        <v>3.0000000000000249E-2</v>
      </c>
      <c r="CH41" s="389"/>
      <c r="CI41" s="390">
        <f>SUM(CI42:CI44)</f>
        <v>0.03</v>
      </c>
      <c r="CJ41" s="152">
        <f>SUM(CJ42:CJ44)</f>
        <v>0.03</v>
      </c>
      <c r="CK41" s="152">
        <f>SUM(CK42:CK44)</f>
        <v>0.03</v>
      </c>
      <c r="CL41" s="152">
        <f>SUM(CL42:CL44)</f>
        <v>0.03</v>
      </c>
      <c r="CM41" s="391">
        <f>+CM12/CG12-1</f>
        <v>3.0000000000000027E-2</v>
      </c>
      <c r="CN41" s="389"/>
      <c r="CO41" s="389"/>
      <c r="CP41" s="389"/>
      <c r="CQ41" s="389"/>
      <c r="CR41" s="389"/>
      <c r="CS41" s="389"/>
      <c r="CT41" s="201"/>
      <c r="CU41" s="201"/>
      <c r="CV41" s="201"/>
      <c r="CW41" s="201"/>
      <c r="CX41" s="201"/>
      <c r="CY41" s="201"/>
      <c r="CZ41" s="201"/>
      <c r="DA41" s="201"/>
      <c r="DB41" s="201"/>
      <c r="DC41" s="201"/>
      <c r="DD41" s="201"/>
      <c r="DE41" s="201"/>
      <c r="DF41" s="201"/>
    </row>
    <row r="42" spans="1:110" outlineLevel="1">
      <c r="A42" s="309" t="s">
        <v>171</v>
      </c>
      <c r="C42" s="390"/>
      <c r="D42" s="152"/>
      <c r="E42" s="152"/>
      <c r="F42" s="152"/>
      <c r="G42" s="391"/>
      <c r="H42" s="152"/>
      <c r="I42" s="390"/>
      <c r="J42" s="152"/>
      <c r="K42" s="152"/>
      <c r="L42" s="152"/>
      <c r="M42" s="391"/>
      <c r="N42" s="152"/>
      <c r="O42" s="390"/>
      <c r="P42" s="152"/>
      <c r="Q42" s="152"/>
      <c r="R42" s="152"/>
      <c r="S42" s="391"/>
      <c r="T42" s="152"/>
      <c r="U42" s="233"/>
      <c r="V42" s="234"/>
      <c r="W42" s="234"/>
      <c r="X42" s="234"/>
      <c r="Y42" s="222"/>
      <c r="Z42" s="152"/>
      <c r="AA42" s="233"/>
      <c r="AB42" s="234"/>
      <c r="AC42" s="234"/>
      <c r="AD42" s="234"/>
      <c r="AE42" s="222"/>
      <c r="AF42" s="152"/>
      <c r="AG42" s="1654" t="s">
        <v>247</v>
      </c>
      <c r="AH42" s="1655" t="s">
        <v>247</v>
      </c>
      <c r="AI42" s="1655" t="s">
        <v>247</v>
      </c>
      <c r="AJ42" s="1655" t="s">
        <v>247</v>
      </c>
      <c r="AK42" s="1656" t="s">
        <v>247</v>
      </c>
      <c r="AL42" s="152"/>
      <c r="AM42" s="392">
        <f>+AM41-AM43-AM44</f>
        <v>6.3195574504159788E-5</v>
      </c>
      <c r="AN42" s="302">
        <f>+AN41-AN43-AN44</f>
        <v>3.9916960725047246E-2</v>
      </c>
      <c r="AO42" s="302">
        <f>+AO41-AO43-AO44</f>
        <v>-1.5844294217062672E-3</v>
      </c>
      <c r="AP42" s="302">
        <f>+AP41-AP43-AP44</f>
        <v>5.306874810372271E-2</v>
      </c>
      <c r="AQ42" s="235">
        <f>+AQ41-AQ43-AQ44</f>
        <v>2.2754232265931602E-2</v>
      </c>
      <c r="AR42" s="152"/>
      <c r="AS42" s="392">
        <f>+AS41-AS43-AS44</f>
        <v>6.2362880920378096E-2</v>
      </c>
      <c r="AT42" s="302">
        <f>+AT41-AT43-AT44</f>
        <v>-1.9417711674929478E-2</v>
      </c>
      <c r="AU42" s="302">
        <f>+AU41-AU43-AU44</f>
        <v>2.6294568842613209E-2</v>
      </c>
      <c r="AV42" s="302">
        <f>+AV41-AV43-AV44</f>
        <v>5.1654899962723627E-2</v>
      </c>
      <c r="AW42" s="235">
        <f>+AW41-AW43-AW44</f>
        <v>2.5239106595038786E-2</v>
      </c>
      <c r="AX42" s="152"/>
      <c r="AY42" s="233">
        <f>AY41-AY44-AY43</f>
        <v>7.2141527001862285E-2</v>
      </c>
      <c r="AZ42" s="234">
        <f>AZ41-AZ44-AZ43</f>
        <v>5.0404040404040451E-2</v>
      </c>
      <c r="BA42" s="234">
        <f>BA41-BA44-BA43</f>
        <v>5.3530571992110504E-2</v>
      </c>
      <c r="BB42" s="302">
        <f>BB41-BB44-BB43</f>
        <v>1.942115027829314E-2</v>
      </c>
      <c r="BC42" s="235">
        <f>AY42*(AY12/BC12)+AZ42*(AZ12/BC12)+BA42*(BA12/BC12)+BB42*(BB12/BC12)</f>
        <v>4.9197722904408235E-2</v>
      </c>
      <c r="BD42" s="152"/>
      <c r="BE42" s="233">
        <f>BE41-BE44-BE43</f>
        <v>2.2656307129798898E-2</v>
      </c>
      <c r="BF42" s="1581">
        <f>+((495-11-22.5+6)/(473+15-20))-1</f>
        <v>-1.0683760683760646E-3</v>
      </c>
      <c r="BG42" s="234">
        <f>BG41-BG44-BG43</f>
        <v>-1.9569471624266199E-2</v>
      </c>
      <c r="BH42" s="1581">
        <v>0.05</v>
      </c>
      <c r="BI42" s="235">
        <f>BE42*(BE12/BI12)+BF42*(BF12/BI12)+BG42*(BG12/BI12)+BH42*(BH12/BI12)</f>
        <v>1.3953380462034686E-2</v>
      </c>
      <c r="BJ42" s="152"/>
      <c r="BK42" s="1620">
        <v>4.1000000000000002E-2</v>
      </c>
      <c r="BL42" s="1581">
        <v>0.06</v>
      </c>
      <c r="BM42" s="1581">
        <v>6.5000000000000002E-2</v>
      </c>
      <c r="BN42" s="302">
        <f>BN41-BN44-BN43</f>
        <v>7.6678832116788276E-2</v>
      </c>
      <c r="BO42" s="235">
        <f>BK42*(BK12/BO12)+BL42*(BL12/BO12)+BM42*(BM12/BO12)+BN42*(BN12/BO12)</f>
        <v>6.0915319717451941E-2</v>
      </c>
      <c r="BP42" s="152"/>
      <c r="BQ42" s="233">
        <f>BQ41-BQ44-BQ43</f>
        <v>5.8962962962962898E-2</v>
      </c>
      <c r="BR42" s="1581">
        <v>0.09</v>
      </c>
      <c r="BS42" s="1581">
        <v>0.05</v>
      </c>
      <c r="BT42" s="1581">
        <v>4.4999999999999998E-2</v>
      </c>
      <c r="BU42" s="235">
        <f>BQ42*(BQ12/BU12)+BR42*(BR12/BU12)+BS42*(BS12/BU12)+BT42*(BT12/BU12)</f>
        <v>6.0922261165389222E-2</v>
      </c>
      <c r="BV42" s="152"/>
      <c r="BW42" s="1620">
        <v>0.06</v>
      </c>
      <c r="BX42" s="1581">
        <v>0.06</v>
      </c>
      <c r="BY42" s="1581">
        <v>0.06</v>
      </c>
      <c r="BZ42" s="1581">
        <v>0.06</v>
      </c>
      <c r="CA42" s="235">
        <f>BW42*(BW12/CA12)+BX42*(BX12/CA12)+BY42*(BY12/CA12)+BZ42*(BZ12/CA12)</f>
        <v>0.06</v>
      </c>
      <c r="CB42" s="152"/>
      <c r="CC42" s="1620">
        <v>0.03</v>
      </c>
      <c r="CD42" s="1581">
        <v>0.03</v>
      </c>
      <c r="CE42" s="1581">
        <v>0.03</v>
      </c>
      <c r="CF42" s="1581">
        <v>0.03</v>
      </c>
      <c r="CG42" s="235">
        <f>CC42*(CC12/CG12)+CD42*(CD12/CG12)+CE42*(CE12/CG12)+CF42*(CF12/CG12)</f>
        <v>2.9999999999999995E-2</v>
      </c>
      <c r="CH42" s="389"/>
      <c r="CI42" s="1620">
        <v>0.03</v>
      </c>
      <c r="CJ42" s="1581">
        <v>0.03</v>
      </c>
      <c r="CK42" s="1581">
        <v>0.03</v>
      </c>
      <c r="CL42" s="1581">
        <v>0.03</v>
      </c>
      <c r="CM42" s="235">
        <f>CI42*(CI12/CM12)+CJ42*(CJ12/CM12)+CK42*(CK12/CM12)+CL42*(CL12/CM12)</f>
        <v>0.03</v>
      </c>
      <c r="CN42" s="389"/>
      <c r="CO42" s="389"/>
      <c r="CP42" s="389"/>
      <c r="CQ42" s="389"/>
      <c r="CR42" s="389"/>
      <c r="CS42" s="389"/>
      <c r="CT42" s="201"/>
      <c r="CU42" s="201"/>
      <c r="CV42" s="201"/>
      <c r="CW42" s="201"/>
      <c r="CX42" s="201"/>
      <c r="CY42" s="201"/>
      <c r="CZ42" s="201"/>
      <c r="DA42" s="201"/>
      <c r="DB42" s="201"/>
      <c r="DC42" s="201"/>
      <c r="DD42" s="201"/>
      <c r="DE42" s="201"/>
      <c r="DF42" s="201"/>
    </row>
    <row r="43" spans="1:110" outlineLevel="1">
      <c r="A43" s="309" t="s">
        <v>172</v>
      </c>
      <c r="C43" s="390"/>
      <c r="D43" s="152"/>
      <c r="E43" s="152"/>
      <c r="F43" s="152"/>
      <c r="G43" s="391"/>
      <c r="H43" s="152"/>
      <c r="I43" s="390"/>
      <c r="J43" s="152"/>
      <c r="K43" s="152"/>
      <c r="L43" s="152"/>
      <c r="M43" s="391"/>
      <c r="N43" s="152"/>
      <c r="O43" s="390"/>
      <c r="P43" s="152"/>
      <c r="Q43" s="152"/>
      <c r="R43" s="152"/>
      <c r="S43" s="391"/>
      <c r="T43" s="152"/>
      <c r="U43" s="233"/>
      <c r="V43" s="234"/>
      <c r="W43" s="234"/>
      <c r="X43" s="234"/>
      <c r="Y43" s="222"/>
      <c r="Z43" s="152"/>
      <c r="AA43" s="233"/>
      <c r="AB43" s="234"/>
      <c r="AC43" s="234"/>
      <c r="AD43" s="234"/>
      <c r="AE43" s="222"/>
      <c r="AF43" s="152"/>
      <c r="AG43" s="1654" t="s">
        <v>247</v>
      </c>
      <c r="AH43" s="1655" t="s">
        <v>247</v>
      </c>
      <c r="AI43" s="1655" t="s">
        <v>247</v>
      </c>
      <c r="AJ43" s="1655" t="s">
        <v>247</v>
      </c>
      <c r="AK43" s="1656" t="s">
        <v>247</v>
      </c>
      <c r="AL43" s="152"/>
      <c r="AM43" s="1620">
        <v>0</v>
      </c>
      <c r="AN43" s="1621">
        <v>0</v>
      </c>
      <c r="AO43" s="1621">
        <v>0</v>
      </c>
      <c r="AP43" s="1621">
        <v>0</v>
      </c>
      <c r="AQ43" s="1622">
        <v>0</v>
      </c>
      <c r="AR43" s="152"/>
      <c r="AS43" s="1620">
        <v>0</v>
      </c>
      <c r="AT43" s="1621">
        <v>0</v>
      </c>
      <c r="AU43" s="1621">
        <v>0</v>
      </c>
      <c r="AV43" s="1621">
        <v>-0.02</v>
      </c>
      <c r="AW43" s="1622">
        <v>0</v>
      </c>
      <c r="AX43" s="152"/>
      <c r="AY43" s="1620">
        <v>-0.02</v>
      </c>
      <c r="AZ43" s="1621">
        <f>(-15/AT12)-1%</f>
        <v>-4.0303030303030306E-2</v>
      </c>
      <c r="BA43" s="1621">
        <f>(15/AU12)-2%</f>
        <v>9.5857988165680454E-3</v>
      </c>
      <c r="BB43" s="1621">
        <v>-1.2E-2</v>
      </c>
      <c r="BC43" s="235">
        <f>AY43*(AY12/BC12)+AZ43*(AZ12/BC12)+BA43*(BA12/BC12)+BB43*(BB12/BC12)</f>
        <v>-1.5290806519094362E-2</v>
      </c>
      <c r="BD43" s="152"/>
      <c r="BE43" s="1620">
        <v>-1.9E-2</v>
      </c>
      <c r="BF43" s="302">
        <f>+BF41-BF44-BF42</f>
        <v>6.0264993404528365E-2</v>
      </c>
      <c r="BG43" s="1621">
        <f>(15-9)/BA12</f>
        <v>1.1741682974559686E-2</v>
      </c>
      <c r="BH43" s="1621">
        <f>(15-8)/(BB12)</f>
        <v>1.3592233009708738E-2</v>
      </c>
      <c r="BI43" s="235">
        <f>BE43*(BE12/BI12)+BF43*(BF12/BI12)+BG43*(BG12/BI12)+BH43*(BH12/BI12)</f>
        <v>1.6017136345267732E-2</v>
      </c>
      <c r="BJ43" s="152"/>
      <c r="BK43" s="1620">
        <f>(3-2-2)/BE12</f>
        <v>-1.9011406844106464E-3</v>
      </c>
      <c r="BL43" s="1621">
        <f>2/BF12</f>
        <v>4.0404040404040404E-3</v>
      </c>
      <c r="BM43" s="1621">
        <f>0.2/BG12</f>
        <v>3.9682539682539683E-4</v>
      </c>
      <c r="BN43" s="1621">
        <f>(2/BH12)+(-22.5/BH12)</f>
        <v>-3.7408759124087587E-2</v>
      </c>
      <c r="BO43" s="235">
        <f>BK43*(BK12/BO12)+BL43*(BL12/BO12)+BM43*(BM12/BO12)+BN43*(BN12/BO12)</f>
        <v>-9.3189519903580063E-3</v>
      </c>
      <c r="BP43" s="152"/>
      <c r="BQ43" s="1620">
        <f>(2/BK12)+(22.5/BK12)+(3.3/BK12)</f>
        <v>5.1481481481481475E-2</v>
      </c>
      <c r="BR43" s="1621">
        <f>(3/BL12)+(-3.3/BL12)</f>
        <v>-5.7361376673040112E-4</v>
      </c>
      <c r="BS43" s="1621">
        <f>2.8/BM12</f>
        <v>5.2730696798493409E-3</v>
      </c>
      <c r="BT43" s="1621">
        <v>0</v>
      </c>
      <c r="BU43" s="235">
        <f>BQ43*(BQ12/BU12)+BR43*(BR12/BU12)+BS43*(BS12/BU12)+BT43*(BT12/BU12)</f>
        <v>1.4311403369726463E-2</v>
      </c>
      <c r="BV43" s="152"/>
      <c r="BW43" s="1620">
        <v>0</v>
      </c>
      <c r="BX43" s="1621">
        <v>0</v>
      </c>
      <c r="BY43" s="1621">
        <v>0</v>
      </c>
      <c r="BZ43" s="1621">
        <v>0</v>
      </c>
      <c r="CA43" s="235">
        <f>BW43*(BW12/CA12)+BX43*(BX12/CA12)+BY43*(BY12/CA12)+BZ43*(BZ12/CA12)</f>
        <v>0</v>
      </c>
      <c r="CB43" s="302"/>
      <c r="CC43" s="1620">
        <v>0</v>
      </c>
      <c r="CD43" s="1621">
        <v>0</v>
      </c>
      <c r="CE43" s="1621">
        <v>0</v>
      </c>
      <c r="CF43" s="1621">
        <v>0</v>
      </c>
      <c r="CG43" s="235">
        <f>CC43*(CC12/CG12)+CD43*(CD12/CG12)+CE43*(CE12/CG12)+CF43*(CF12/CG12)</f>
        <v>0</v>
      </c>
      <c r="CH43" s="1958"/>
      <c r="CI43" s="1620">
        <v>0</v>
      </c>
      <c r="CJ43" s="1621">
        <v>0</v>
      </c>
      <c r="CK43" s="1621">
        <v>0</v>
      </c>
      <c r="CL43" s="1621">
        <v>0</v>
      </c>
      <c r="CM43" s="235">
        <f>CI43*(CI12/CM12)+CJ43*(CJ12/CM12)+CK43*(CK12/CM12)+CL43*(CL12/CM12)</f>
        <v>0</v>
      </c>
      <c r="CN43" s="1958"/>
      <c r="CO43" s="1958"/>
      <c r="CP43" s="1958"/>
      <c r="CQ43" s="1958"/>
      <c r="CR43" s="1958"/>
      <c r="CS43" s="1958"/>
      <c r="CT43" s="1958"/>
      <c r="CU43" s="201"/>
      <c r="CV43" s="201"/>
      <c r="CW43" s="201"/>
      <c r="CX43" s="201"/>
      <c r="CY43" s="201"/>
      <c r="CZ43" s="201"/>
      <c r="DA43" s="201"/>
      <c r="DB43" s="201"/>
      <c r="DC43" s="201"/>
      <c r="DD43" s="201"/>
      <c r="DE43" s="201"/>
      <c r="DF43" s="201"/>
    </row>
    <row r="44" spans="1:110" outlineLevel="2">
      <c r="A44" s="309" t="s">
        <v>173</v>
      </c>
      <c r="C44" s="390"/>
      <c r="D44" s="152"/>
      <c r="E44" s="152"/>
      <c r="F44" s="152"/>
      <c r="G44" s="391"/>
      <c r="H44" s="152"/>
      <c r="I44" s="390"/>
      <c r="J44" s="152"/>
      <c r="K44" s="152"/>
      <c r="L44" s="152"/>
      <c r="M44" s="391"/>
      <c r="N44" s="152"/>
      <c r="O44" s="390"/>
      <c r="P44" s="152"/>
      <c r="Q44" s="152"/>
      <c r="R44" s="152"/>
      <c r="S44" s="391"/>
      <c r="T44" s="152"/>
      <c r="U44" s="233"/>
      <c r="V44" s="234"/>
      <c r="W44" s="234"/>
      <c r="X44" s="234"/>
      <c r="Y44" s="222"/>
      <c r="Z44" s="152"/>
      <c r="AA44" s="233"/>
      <c r="AB44" s="234"/>
      <c r="AC44" s="234"/>
      <c r="AD44" s="234"/>
      <c r="AE44" s="222"/>
      <c r="AF44" s="152"/>
      <c r="AG44" s="1654" t="s">
        <v>247</v>
      </c>
      <c r="AH44" s="1655" t="s">
        <v>247</v>
      </c>
      <c r="AI44" s="1655" t="s">
        <v>247</v>
      </c>
      <c r="AJ44" s="1655" t="s">
        <v>247</v>
      </c>
      <c r="AK44" s="1656" t="s">
        <v>247</v>
      </c>
      <c r="AL44" s="152"/>
      <c r="AM44" s="1620">
        <f>+AM59</f>
        <v>-1.1668611435239206E-2</v>
      </c>
      <c r="AN44" s="1621">
        <f>+AN59</f>
        <v>-1.9836639439906652E-2</v>
      </c>
      <c r="AO44" s="1621">
        <f>+AO59</f>
        <v>-1.2528473804100227E-2</v>
      </c>
      <c r="AP44" s="1621">
        <f>+AP59</f>
        <v>-1.1566771819137749E-2</v>
      </c>
      <c r="AQ44" s="235">
        <f>+AQ59</f>
        <v>-1.3830087496471917E-2</v>
      </c>
      <c r="AR44" s="152"/>
      <c r="AS44" s="1620">
        <f>+AS59</f>
        <v>-1.1482254697286013E-2</v>
      </c>
      <c r="AT44" s="1621">
        <f>+AT59</f>
        <v>-6.1728395061728392E-3</v>
      </c>
      <c r="AU44" s="1621">
        <f>+AU59</f>
        <v>1.0515247108307046E-2</v>
      </c>
      <c r="AV44" s="1621">
        <f>+AV59</f>
        <v>-8.8845014807502464E-3</v>
      </c>
      <c r="AW44" s="235">
        <f>+AW59</f>
        <v>-4.1088854648176684E-3</v>
      </c>
      <c r="AX44" s="152"/>
      <c r="AY44" s="1620">
        <f>-18/AS$12</f>
        <v>-3.3519553072625698E-2</v>
      </c>
      <c r="AZ44" s="1621">
        <f>-27/AT$12</f>
        <v>-5.4545454545454543E-2</v>
      </c>
      <c r="BA44" s="1621">
        <f>-28/AU$12</f>
        <v>-5.5226824457593686E-2</v>
      </c>
      <c r="BB44" s="1621">
        <f>-28/AV$12</f>
        <v>-5.1948051948051951E-2</v>
      </c>
      <c r="BC44" s="235">
        <f>AY44*(AY12/BC12)+AZ44*(AZ12/BC12)+BA44*(BA12/BC12)+BB44*(BB12/BC12)</f>
        <v>-4.8440542317596966E-2</v>
      </c>
      <c r="BD44" s="152"/>
      <c r="BE44" s="1620">
        <f>-23/AY$12</f>
        <v>-4.2047531992687383E-2</v>
      </c>
      <c r="BF44" s="1621">
        <f>-6/AZ12</f>
        <v>-1.2684989429175475E-2</v>
      </c>
      <c r="BG44" s="1621">
        <f>-3/BA12</f>
        <v>-5.8708414872798431E-3</v>
      </c>
      <c r="BH44" s="1621">
        <f>-3/BB12</f>
        <v>-5.8252427184466021E-3</v>
      </c>
      <c r="BI44" s="235">
        <f>BE44*(BE12/BI12)+BF44*(BF12/BI12)+BG44*(BG12/BI12)+BH44*(BH12/BI12)</f>
        <v>-1.666532017119788E-2</v>
      </c>
      <c r="BJ44" s="152"/>
      <c r="BK44" s="392">
        <f>+BK$59</f>
        <v>-1.1673151750972763E-2</v>
      </c>
      <c r="BL44" s="302">
        <f>+BL$59</f>
        <v>-8.9999999999999993E-3</v>
      </c>
      <c r="BM44" s="302">
        <f>+BM$59</f>
        <v>-8.9999999999999993E-3</v>
      </c>
      <c r="BN44" s="302">
        <f>+BN$59</f>
        <v>0.01</v>
      </c>
      <c r="BO44" s="235">
        <f>BK44*(BK12/BO12)+BL44*(BL12/BO12)+BM44*(BM12/BO12)+BN44*(BN12/BO12)</f>
        <v>-4.6286316023629748E-3</v>
      </c>
      <c r="BP44" s="152"/>
      <c r="BQ44" s="392">
        <f>+BQ$59</f>
        <v>3.4000000000000002E-2</v>
      </c>
      <c r="BR44" s="302">
        <f>+BR$59</f>
        <v>5.2999999999999999E-2</v>
      </c>
      <c r="BS44" s="302">
        <f>+BS$59</f>
        <v>3.3000000000000002E-2</v>
      </c>
      <c r="BT44" s="302">
        <f>+BT$59</f>
        <v>3.1E-2</v>
      </c>
      <c r="BU44" s="235">
        <f>BQ44*(BQ12/BU12)+BR44*(BR12/BU12)+BS44*(BS12/BU12)+BT44*(BT12/BU12)</f>
        <v>3.7697383400592518E-2</v>
      </c>
      <c r="BV44" s="152"/>
      <c r="BW44" s="392">
        <f>+BW$59</f>
        <v>0</v>
      </c>
      <c r="BX44" s="302">
        <f>+BX$59</f>
        <v>0</v>
      </c>
      <c r="BY44" s="302">
        <f>+BY$59</f>
        <v>0</v>
      </c>
      <c r="BZ44" s="302">
        <f>+BZ$59</f>
        <v>0</v>
      </c>
      <c r="CA44" s="235">
        <f>BW44*(BW12/CA12)+BX44*(BX12/CA12)+BY44*(BY12/CA12)+BZ44*(BZ12/CA12)</f>
        <v>0</v>
      </c>
      <c r="CB44" s="302"/>
      <c r="CC44" s="392">
        <f>+CC$59</f>
        <v>0</v>
      </c>
      <c r="CD44" s="302">
        <f>+CD$59</f>
        <v>0</v>
      </c>
      <c r="CE44" s="302">
        <f>+CE$59</f>
        <v>0</v>
      </c>
      <c r="CF44" s="302">
        <f>+CF$59</f>
        <v>0</v>
      </c>
      <c r="CG44" s="235">
        <f>CC44*(CC12/CG12)+CD44*(CD12/CG12)+CE44*(CE12/CG12)+CF44*(CF12/CG12)</f>
        <v>0</v>
      </c>
      <c r="CH44" s="1957"/>
      <c r="CI44" s="392">
        <f>+CI$59</f>
        <v>0</v>
      </c>
      <c r="CJ44" s="302">
        <f>+CJ$59</f>
        <v>0</v>
      </c>
      <c r="CK44" s="302">
        <f>+CK$59</f>
        <v>0</v>
      </c>
      <c r="CL44" s="302">
        <f>+CL$59</f>
        <v>0</v>
      </c>
      <c r="CM44" s="235">
        <f>CI44*(CI12/CM12)+CJ44*(CJ12/CM12)+CK44*(CK12/CM12)+CL44*(CL12/CM12)</f>
        <v>0</v>
      </c>
      <c r="CN44" s="1957"/>
      <c r="CO44" s="1957"/>
      <c r="CP44" s="2023"/>
      <c r="CQ44" s="1957"/>
      <c r="CR44" s="1957"/>
      <c r="CS44" s="1957"/>
      <c r="CT44" s="1957"/>
      <c r="CU44" s="201"/>
      <c r="CV44" s="201"/>
      <c r="CW44" s="201"/>
      <c r="CX44" s="201"/>
      <c r="CY44" s="201"/>
      <c r="CZ44" s="201"/>
      <c r="DA44" s="201"/>
      <c r="DB44" s="201"/>
      <c r="DC44" s="201"/>
      <c r="DD44" s="201"/>
      <c r="DE44" s="201"/>
      <c r="DF44" s="201"/>
    </row>
    <row r="45" spans="1:110" outlineLevel="1">
      <c r="A45" s="393" t="s">
        <v>99</v>
      </c>
      <c r="C45" s="390"/>
      <c r="D45" s="152"/>
      <c r="E45" s="152"/>
      <c r="F45" s="152"/>
      <c r="G45" s="391"/>
      <c r="H45" s="152"/>
      <c r="I45" s="390"/>
      <c r="J45" s="152"/>
      <c r="K45" s="152"/>
      <c r="L45" s="152"/>
      <c r="M45" s="391"/>
      <c r="N45" s="152"/>
      <c r="O45" s="390"/>
      <c r="P45" s="152"/>
      <c r="Q45" s="152"/>
      <c r="R45" s="152"/>
      <c r="S45" s="391"/>
      <c r="T45" s="152"/>
      <c r="U45" s="233"/>
      <c r="V45" s="234"/>
      <c r="W45" s="234"/>
      <c r="X45" s="234"/>
      <c r="Y45" s="222"/>
      <c r="Z45" s="152"/>
      <c r="AA45" s="233"/>
      <c r="AB45" s="234"/>
      <c r="AC45" s="234"/>
      <c r="AD45" s="234"/>
      <c r="AE45" s="222"/>
      <c r="AF45" s="152"/>
      <c r="AG45" s="1654" t="s">
        <v>247</v>
      </c>
      <c r="AH45" s="1655" t="s">
        <v>247</v>
      </c>
      <c r="AI45" s="1655" t="s">
        <v>247</v>
      </c>
      <c r="AJ45" s="1655" t="s">
        <v>247</v>
      </c>
      <c r="AK45" s="1656" t="s">
        <v>247</v>
      </c>
      <c r="AL45" s="152"/>
      <c r="AM45" s="390">
        <f>+AM13/AG13-1</f>
        <v>1.593220338983051</v>
      </c>
      <c r="AN45" s="152">
        <f>+AN13/AH13-1</f>
        <v>1.3432835820895521</v>
      </c>
      <c r="AO45" s="152">
        <f>+AO13/AI13-1</f>
        <v>0.61855670103092786</v>
      </c>
      <c r="AP45" s="152">
        <f>+AP13/AJ13-1</f>
        <v>9.8039215686274606E-2</v>
      </c>
      <c r="AQ45" s="391">
        <f>+AQ13/AK13-1</f>
        <v>0.68882978723404253</v>
      </c>
      <c r="AR45" s="152"/>
      <c r="AS45" s="390">
        <f>+AS13/AM13-1</f>
        <v>2.614379084967311E-2</v>
      </c>
      <c r="AT45" s="152">
        <f>+AT13/AN13-1</f>
        <v>7.0063694267515908E-2</v>
      </c>
      <c r="AU45" s="152">
        <f>+AU13/AO13-1</f>
        <v>5.7324840764331197E-2</v>
      </c>
      <c r="AV45" s="152">
        <f>+AV13/AP13-1</f>
        <v>2.3809523809523725E-2</v>
      </c>
      <c r="AW45" s="391">
        <f>+AW13/AQ13-1</f>
        <v>4.4094488188976433E-2</v>
      </c>
      <c r="AX45" s="152"/>
      <c r="AY45" s="390">
        <f>+AY13/AS13-1</f>
        <v>-5.7324840764331197E-2</v>
      </c>
      <c r="AZ45" s="152">
        <f>+AZ13/AT13-1</f>
        <v>5.9523809523809312E-3</v>
      </c>
      <c r="BA45" s="152">
        <f>+BA13/AU13-1</f>
        <v>6.0240963855422436E-3</v>
      </c>
      <c r="BB45" s="152">
        <f>+BB13/AV13-1</f>
        <v>3.488372093023262E-2</v>
      </c>
      <c r="BC45" s="391">
        <f>+BC13/AW13-1</f>
        <v>-1.5082956259426794E-3</v>
      </c>
      <c r="BD45" s="152"/>
      <c r="BE45" s="390">
        <f>+BE13/AY13-1</f>
        <v>6.7567567567567544E-2</v>
      </c>
      <c r="BF45" s="152">
        <f>BF13/AZ13-1</f>
        <v>5.3254437869822535E-2</v>
      </c>
      <c r="BG45" s="152">
        <f>BG13/BA13-1</f>
        <v>7.7844311377245567E-2</v>
      </c>
      <c r="BH45" s="152">
        <f>BH13/BB13-1</f>
        <v>8.4269662921348409E-2</v>
      </c>
      <c r="BI45" s="391">
        <f>+BI13/BC13-1</f>
        <v>7.0996978851963766E-2</v>
      </c>
      <c r="BJ45" s="152"/>
      <c r="BK45" s="390">
        <f>BK13/BE13-1</f>
        <v>3.7974683544303778E-2</v>
      </c>
      <c r="BL45" s="152">
        <f>BL13/BF13-1</f>
        <v>0.1292134831460674</v>
      </c>
      <c r="BM45" s="152">
        <f>BM13/BG13-1</f>
        <v>9.4444444444444553E-2</v>
      </c>
      <c r="BN45" s="152">
        <f>BN13/BH13-1</f>
        <v>8.8082901554404236E-2</v>
      </c>
      <c r="BO45" s="391">
        <f>+BO13/BI13-1</f>
        <v>8.8857545839210239E-2</v>
      </c>
      <c r="BP45" s="152"/>
      <c r="BQ45" s="390">
        <f>BQ13/BK13-1</f>
        <v>0.12804878048780477</v>
      </c>
      <c r="BR45" s="152">
        <f>BR13/BL13-1</f>
        <v>0.10398461664924552</v>
      </c>
      <c r="BS45" s="152">
        <f>BS13/BM13-1</f>
        <v>0.11679383372941476</v>
      </c>
      <c r="BT45" s="152">
        <f>BT13/BN13-1</f>
        <v>0.11741816796175053</v>
      </c>
      <c r="BU45" s="391">
        <f>+BU13/BO13-1</f>
        <v>0.11601957054813572</v>
      </c>
      <c r="BV45" s="152"/>
      <c r="BW45" s="390">
        <f>BW13/BQ13-1</f>
        <v>6.4139771939426105E-2</v>
      </c>
      <c r="BX45" s="152">
        <f>BX13/BR13-1</f>
        <v>6.3482028272395574E-2</v>
      </c>
      <c r="BY45" s="152">
        <f>BY13/BS13-1</f>
        <v>0.13778264497590897</v>
      </c>
      <c r="BZ45" s="152">
        <f>BZ13/BT13-1</f>
        <v>0.12346577500268396</v>
      </c>
      <c r="CA45" s="391">
        <f>+CA13/BU13-1</f>
        <v>9.8933818320492639E-2</v>
      </c>
      <c r="CB45" s="152"/>
      <c r="CC45" s="390">
        <f>CC13/BW13-1</f>
        <v>0.11856404357527728</v>
      </c>
      <c r="CD45" s="152">
        <f>CD13/BX13-1</f>
        <v>0.12085479911169128</v>
      </c>
      <c r="CE45" s="152">
        <f>CE13/BY13-1</f>
        <v>0.1582504416048407</v>
      </c>
      <c r="CF45" s="152">
        <f>CF13/BZ13-1</f>
        <v>0.14046532018847091</v>
      </c>
      <c r="CG45" s="391">
        <f>+CG13/CA13-1</f>
        <v>0.13572574802164095</v>
      </c>
      <c r="CH45" s="1957"/>
      <c r="CI45" s="390">
        <f>CI13/CC13-1</f>
        <v>0.12491413264619888</v>
      </c>
      <c r="CJ45" s="152">
        <f>CJ13/CD13-1</f>
        <v>0.12744361565993612</v>
      </c>
      <c r="CK45" s="152">
        <f>CK13/CE13-1</f>
        <v>0.16644260048260318</v>
      </c>
      <c r="CL45" s="152">
        <f>CL13/CF13-1</f>
        <v>0.14819627697131099</v>
      </c>
      <c r="CM45" s="391">
        <f>+CM13/CG13-1</f>
        <v>0.1432434007964587</v>
      </c>
      <c r="CN45" s="1957"/>
      <c r="CO45" s="1957"/>
      <c r="CP45" s="1957"/>
      <c r="CQ45" s="1957"/>
      <c r="CR45" s="1957"/>
      <c r="CS45" s="1957"/>
      <c r="CT45" s="1957"/>
      <c r="CU45" s="201"/>
      <c r="CV45" s="201"/>
      <c r="CW45" s="201"/>
      <c r="CX45" s="201"/>
      <c r="CY45" s="201"/>
      <c r="CZ45" s="201"/>
      <c r="DA45" s="201"/>
      <c r="DB45" s="201"/>
      <c r="DC45" s="201"/>
      <c r="DD45" s="201"/>
      <c r="DE45" s="201"/>
      <c r="DF45" s="201"/>
    </row>
    <row r="46" spans="1:110" outlineLevel="1">
      <c r="A46" s="309" t="s">
        <v>171</v>
      </c>
      <c r="C46" s="390"/>
      <c r="D46" s="152"/>
      <c r="E46" s="152"/>
      <c r="F46" s="152"/>
      <c r="G46" s="391"/>
      <c r="H46" s="152"/>
      <c r="I46" s="390"/>
      <c r="J46" s="152"/>
      <c r="K46" s="152"/>
      <c r="L46" s="152"/>
      <c r="M46" s="391"/>
      <c r="N46" s="152"/>
      <c r="O46" s="390"/>
      <c r="P46" s="152"/>
      <c r="Q46" s="152"/>
      <c r="R46" s="152"/>
      <c r="S46" s="391"/>
      <c r="T46" s="152"/>
      <c r="U46" s="233"/>
      <c r="V46" s="234"/>
      <c r="W46" s="234"/>
      <c r="X46" s="234"/>
      <c r="Y46" s="222"/>
      <c r="Z46" s="152"/>
      <c r="AA46" s="233"/>
      <c r="AB46" s="234"/>
      <c r="AC46" s="234"/>
      <c r="AD46" s="234"/>
      <c r="AE46" s="222"/>
      <c r="AF46" s="152"/>
      <c r="AG46" s="1654" t="s">
        <v>247</v>
      </c>
      <c r="AH46" s="1655" t="s">
        <v>247</v>
      </c>
      <c r="AI46" s="1655" t="s">
        <v>247</v>
      </c>
      <c r="AJ46" s="1655" t="s">
        <v>247</v>
      </c>
      <c r="AK46" s="1656" t="s">
        <v>247</v>
      </c>
      <c r="AL46" s="152"/>
      <c r="AM46" s="392">
        <f>+AM45-AM50-AM51</f>
        <v>2.8617763977612266E-2</v>
      </c>
      <c r="AN46" s="302">
        <f>+AN45-AN50-AN51</f>
        <v>-3.2402166530242638E-2</v>
      </c>
      <c r="AO46" s="302">
        <f>+AO45-AO50-AO51</f>
        <v>0.10531197895873941</v>
      </c>
      <c r="AP46" s="302">
        <f>+AP45-AP50-AP51</f>
        <v>0.10960598750541235</v>
      </c>
      <c r="AQ46" s="235">
        <f>+AQ45-AQ50-AQ51</f>
        <v>7.1010938560301662E-2</v>
      </c>
      <c r="AR46" s="152"/>
      <c r="AS46" s="392">
        <f>+AS45-AS50-AS51</f>
        <v>3.7626045546959121E-2</v>
      </c>
      <c r="AT46" s="302">
        <f>+AT45-AT50-AT51</f>
        <v>7.6236533773688747E-2</v>
      </c>
      <c r="AU46" s="302">
        <f>+AU45-AU50-AU51</f>
        <v>4.6809593656024148E-2</v>
      </c>
      <c r="AV46" s="302">
        <f>+AV45-AV50-AV51</f>
        <v>3.2694025290273973E-2</v>
      </c>
      <c r="AW46" s="235">
        <f>+AW45-AW50-AW51</f>
        <v>4.8203373653794103E-2</v>
      </c>
      <c r="AX46" s="152"/>
      <c r="AY46" s="233">
        <f>AY45-AY51-AY50</f>
        <v>-6.3694267515923414E-3</v>
      </c>
      <c r="AZ46" s="234">
        <f>AZ45-AZ51-AZ50</f>
        <v>0.10119047619047616</v>
      </c>
      <c r="BA46" s="234">
        <f>BA45-BA51-BA50</f>
        <v>0.10240963855421695</v>
      </c>
      <c r="BB46" s="302">
        <f>BB45-BB51-BB50</f>
        <v>0.10465116279069774</v>
      </c>
      <c r="BC46" s="235">
        <f>AY46*(AY13/BC13)+AZ46*(AZ13/BC13)+BA46*(BA13/BC13)+BB46*(BB13/BC13)</f>
        <v>7.8381921347814548E-2</v>
      </c>
      <c r="BD46" s="152"/>
      <c r="BE46" s="233">
        <f>BE45-BE51-BE50</f>
        <v>0.12837837837837834</v>
      </c>
      <c r="BF46" s="234">
        <f>BF45-BF51-BF50</f>
        <v>5.1479289940828447E-2</v>
      </c>
      <c r="BG46" s="234">
        <f>BG45-BG51-BG50</f>
        <v>7.4850299401197667E-2</v>
      </c>
      <c r="BH46" s="234">
        <f>BH45-BH51-BH50</f>
        <v>8.7640449438202345E-2</v>
      </c>
      <c r="BI46" s="235">
        <f>BE46*(BE13/BI13)+BF46*(BF13/BI13)+BG46*(BG13/BI13)+BH46*(BH13/BI13)</f>
        <v>8.4393170701043546E-2</v>
      </c>
      <c r="BJ46" s="152"/>
      <c r="BK46" s="392">
        <f>BK45-BK51-BK50</f>
        <v>5.0647835295276541E-2</v>
      </c>
      <c r="BL46" s="234">
        <f>BL45-BL51-BL50</f>
        <v>0.13428089887640449</v>
      </c>
      <c r="BM46" s="234">
        <f>BM45-BM51-BM50</f>
        <v>9.2333333333333434E-2</v>
      </c>
      <c r="BN46" s="234">
        <f>BN45-BN51-BN50</f>
        <v>6.7720207253886111E-2</v>
      </c>
      <c r="BO46" s="235">
        <f>BK46*(BK13/BO13)+BL46*(BL13/BO13)+BM46*(BM13/BO13)+BN46*(BN13/BO13)</f>
        <v>8.7704165612131374E-2</v>
      </c>
      <c r="BP46" s="152"/>
      <c r="BQ46" s="392">
        <f>BQ45-BQ51-BQ50</f>
        <v>6.0207317073170619E-2</v>
      </c>
      <c r="BR46" s="234">
        <f>BR45-BR51-BR50</f>
        <v>6.5909989783573875E-2</v>
      </c>
      <c r="BS46" s="234">
        <f>BS45-BS51-BS50</f>
        <v>8.1763376876622884E-2</v>
      </c>
      <c r="BT46" s="234">
        <f>BT45-BT51-BT50</f>
        <v>8.4037215580798144E-2</v>
      </c>
      <c r="BU46" s="235">
        <f>BQ46*(BQ13/BU13)+BR46*(BR13/BU13)+BS46*(BS13/BU13)+BT46*(BT13/BU13)</f>
        <v>7.3670939314274778E-2</v>
      </c>
      <c r="BV46" s="152"/>
      <c r="BW46" s="392">
        <f>BW45-BW51-BW50</f>
        <v>6.4139771939426105E-2</v>
      </c>
      <c r="BX46" s="234">
        <f>BX45-BX51-BX50</f>
        <v>6.3482028272395574E-2</v>
      </c>
      <c r="BY46" s="234">
        <f>BY45-BY51-BY50</f>
        <v>0.13778264497590897</v>
      </c>
      <c r="BZ46" s="234">
        <f>BZ45-BZ51-BZ50</f>
        <v>0.12346577500268396</v>
      </c>
      <c r="CA46" s="235">
        <f>BW46*(BW13/CA13)+BX46*(BX13/CA13)+BY46*(BY13/CA13)+BZ46*(BZ13/CA13)</f>
        <v>9.9964782124323331E-2</v>
      </c>
      <c r="CB46" s="302"/>
      <c r="CC46" s="392">
        <f>CC45-CC51-CC50</f>
        <v>0.11856404357527728</v>
      </c>
      <c r="CD46" s="234">
        <f>CD45-CD51-CD50</f>
        <v>0.12085479911169128</v>
      </c>
      <c r="CE46" s="234">
        <f>CE45-CE51-CE50</f>
        <v>0.1582504416048407</v>
      </c>
      <c r="CF46" s="234">
        <f>CF45-CF51-CF50</f>
        <v>0.14046532018847091</v>
      </c>
      <c r="CG46" s="235">
        <f>CC46*(CC13/CG13)+CD46*(CD13/CG13)+CE46*(CE13/CG13)+CF46*(CF13/CG13)</f>
        <v>0.13595181748763674</v>
      </c>
      <c r="CH46" s="389"/>
      <c r="CI46" s="392">
        <f>CI45-CI51-CI50</f>
        <v>0.12491413264619888</v>
      </c>
      <c r="CJ46" s="234">
        <f>CJ45-CJ51-CJ50</f>
        <v>0.12744361565993612</v>
      </c>
      <c r="CK46" s="234">
        <f>CK45-CK51-CK50</f>
        <v>0.16644260048260318</v>
      </c>
      <c r="CL46" s="234">
        <f>CL45-CL51-CL50</f>
        <v>0.14819627697131099</v>
      </c>
      <c r="CM46" s="235">
        <f>CI46*(CI13/CM13)+CJ46*(CJ13/CM13)+CK46*(CK13/CM13)+CL46*(CL13/CM13)</f>
        <v>0.14349022436950021</v>
      </c>
      <c r="CN46" s="389"/>
      <c r="CO46" s="389"/>
      <c r="CP46" s="389"/>
      <c r="CQ46" s="389"/>
      <c r="CR46" s="389"/>
      <c r="CS46" s="389"/>
      <c r="CT46" s="201"/>
      <c r="CU46" s="201"/>
      <c r="CV46" s="201"/>
      <c r="CW46" s="201"/>
      <c r="CX46" s="201"/>
      <c r="CY46" s="201"/>
      <c r="CZ46" s="201"/>
      <c r="DA46" s="201"/>
      <c r="DB46" s="201"/>
      <c r="DC46" s="201"/>
      <c r="DD46" s="201"/>
      <c r="DE46" s="201"/>
      <c r="DF46" s="201"/>
    </row>
    <row r="47" spans="1:110" outlineLevel="2">
      <c r="A47" s="309" t="s">
        <v>538</v>
      </c>
      <c r="C47" s="390"/>
      <c r="D47" s="152"/>
      <c r="E47" s="152"/>
      <c r="F47" s="152"/>
      <c r="G47" s="391"/>
      <c r="H47" s="152"/>
      <c r="I47" s="390"/>
      <c r="J47" s="152"/>
      <c r="K47" s="152"/>
      <c r="L47" s="152"/>
      <c r="M47" s="391"/>
      <c r="N47" s="152"/>
      <c r="O47" s="390"/>
      <c r="P47" s="152"/>
      <c r="Q47" s="152"/>
      <c r="R47" s="152"/>
      <c r="S47" s="391"/>
      <c r="T47" s="152"/>
      <c r="U47" s="233"/>
      <c r="V47" s="234"/>
      <c r="W47" s="234"/>
      <c r="X47" s="234"/>
      <c r="Y47" s="222"/>
      <c r="Z47" s="152"/>
      <c r="AA47" s="233"/>
      <c r="AB47" s="234"/>
      <c r="AC47" s="234"/>
      <c r="AD47" s="234"/>
      <c r="AE47" s="222"/>
      <c r="AF47" s="152"/>
      <c r="AG47" s="1654"/>
      <c r="AH47" s="1655"/>
      <c r="AI47" s="1655"/>
      <c r="AJ47" s="1655"/>
      <c r="AK47" s="1656"/>
      <c r="AL47" s="152"/>
      <c r="AM47" s="392"/>
      <c r="AN47" s="302"/>
      <c r="AO47" s="1653" t="s">
        <v>497</v>
      </c>
      <c r="AP47" s="1653" t="s">
        <v>497</v>
      </c>
      <c r="AQ47" s="1622"/>
      <c r="AR47" s="1651"/>
      <c r="AS47" s="1652" t="s">
        <v>497</v>
      </c>
      <c r="AT47" s="1653" t="s">
        <v>497</v>
      </c>
      <c r="AU47" s="1581">
        <v>0.02</v>
      </c>
      <c r="AV47" s="1581">
        <v>0.01</v>
      </c>
      <c r="AW47" s="762" t="s">
        <v>497</v>
      </c>
      <c r="AX47" s="152"/>
      <c r="AY47" s="1620">
        <v>-0.05</v>
      </c>
      <c r="AZ47" s="1581">
        <v>0.05</v>
      </c>
      <c r="BA47" s="1581">
        <v>0.05</v>
      </c>
      <c r="BB47" s="1581">
        <v>0.04</v>
      </c>
      <c r="BC47" s="235">
        <f>(BC14/AW14-1)-BC$51</f>
        <v>2.3874379593768091E-2</v>
      </c>
      <c r="BD47" s="152"/>
      <c r="BE47" s="1620">
        <v>0.1</v>
      </c>
      <c r="BF47" s="1581">
        <v>0.05</v>
      </c>
      <c r="BG47" s="1581">
        <v>6.5000000000000002E-2</v>
      </c>
      <c r="BH47" s="1581">
        <v>0.09</v>
      </c>
      <c r="BI47" s="235">
        <f>(BI14/BC14-1)-BI$51</f>
        <v>7.6111532642313684E-2</v>
      </c>
      <c r="BJ47" s="152"/>
      <c r="BK47" s="1620">
        <v>5.2280183763960784E-2</v>
      </c>
      <c r="BL47" s="1581">
        <v>0.16</v>
      </c>
      <c r="BM47" s="1581">
        <v>9.1091331396725081E-2</v>
      </c>
      <c r="BN47" s="1581">
        <v>9.5000000000000001E-2</v>
      </c>
      <c r="BO47" s="235">
        <f>(BO14/BI14-1)-BO$51</f>
        <v>0.1073859406742694</v>
      </c>
      <c r="BP47" s="152"/>
      <c r="BQ47" s="1620">
        <v>7.0898369706438105E-2</v>
      </c>
      <c r="BR47" s="1581">
        <v>7.0000000000000007E-2</v>
      </c>
      <c r="BS47" s="1581">
        <v>0.1</v>
      </c>
      <c r="BT47" s="1581">
        <v>0.1</v>
      </c>
      <c r="BU47" s="235">
        <f>(BU14/BO14-1)-BU$51</f>
        <v>9.0327891471967445E-2</v>
      </c>
      <c r="BV47" s="152"/>
      <c r="BW47" s="1620">
        <v>6.5000000000000002E-2</v>
      </c>
      <c r="BX47" s="1581">
        <v>6.5000000000000002E-2</v>
      </c>
      <c r="BY47" s="1581">
        <v>6.5000000000000002E-2</v>
      </c>
      <c r="BZ47" s="1581">
        <v>6.5000000000000002E-2</v>
      </c>
      <c r="CA47" s="235">
        <f>(CA14/BU14-1)-CA$51</f>
        <v>6.4999999999999947E-2</v>
      </c>
      <c r="CB47" s="302"/>
      <c r="CC47" s="1620">
        <v>6.5000000000000002E-2</v>
      </c>
      <c r="CD47" s="1581">
        <v>6.5000000000000002E-2</v>
      </c>
      <c r="CE47" s="1581">
        <v>6.5000000000000002E-2</v>
      </c>
      <c r="CF47" s="1581">
        <v>6.5000000000000002E-2</v>
      </c>
      <c r="CG47" s="235">
        <f>(CG14/CA14-1)-CG$51</f>
        <v>6.4999999999999947E-2</v>
      </c>
      <c r="CH47" s="389"/>
      <c r="CI47" s="1620">
        <v>6.5000000000000002E-2</v>
      </c>
      <c r="CJ47" s="1581">
        <v>6.5000000000000002E-2</v>
      </c>
      <c r="CK47" s="1581">
        <v>6.5000000000000002E-2</v>
      </c>
      <c r="CL47" s="1581">
        <v>6.5000000000000002E-2</v>
      </c>
      <c r="CM47" s="235">
        <f>(CM14/CG14-1)-CM$51</f>
        <v>6.4999999999999947E-2</v>
      </c>
      <c r="CN47" s="389"/>
      <c r="CO47" s="389"/>
      <c r="CP47" s="389"/>
      <c r="CQ47" s="389"/>
      <c r="CR47" s="389"/>
      <c r="CS47" s="389"/>
      <c r="CT47" s="201"/>
      <c r="CU47" s="201"/>
      <c r="CV47" s="201"/>
      <c r="CW47" s="201"/>
      <c r="CX47" s="201"/>
      <c r="CY47" s="201"/>
      <c r="CZ47" s="201"/>
      <c r="DA47" s="201"/>
      <c r="DB47" s="201"/>
      <c r="DC47" s="201"/>
      <c r="DD47" s="201"/>
      <c r="DE47" s="201"/>
      <c r="DF47" s="201"/>
    </row>
    <row r="48" spans="1:110" outlineLevel="2">
      <c r="A48" s="309" t="s">
        <v>534</v>
      </c>
      <c r="C48" s="390"/>
      <c r="D48" s="152"/>
      <c r="E48" s="152"/>
      <c r="F48" s="152"/>
      <c r="G48" s="391"/>
      <c r="H48" s="152"/>
      <c r="I48" s="390"/>
      <c r="J48" s="152"/>
      <c r="K48" s="152"/>
      <c r="L48" s="152"/>
      <c r="M48" s="391"/>
      <c r="N48" s="152"/>
      <c r="O48" s="390"/>
      <c r="P48" s="152"/>
      <c r="Q48" s="152"/>
      <c r="R48" s="152"/>
      <c r="S48" s="391"/>
      <c r="T48" s="152"/>
      <c r="U48" s="233"/>
      <c r="V48" s="234"/>
      <c r="W48" s="234"/>
      <c r="X48" s="234"/>
      <c r="Y48" s="222"/>
      <c r="Z48" s="152"/>
      <c r="AA48" s="233"/>
      <c r="AB48" s="234"/>
      <c r="AC48" s="234"/>
      <c r="AD48" s="234"/>
      <c r="AE48" s="222"/>
      <c r="AF48" s="152"/>
      <c r="AG48" s="1654"/>
      <c r="AH48" s="1655"/>
      <c r="AI48" s="1655"/>
      <c r="AJ48" s="1655"/>
      <c r="AK48" s="1656"/>
      <c r="AL48" s="152"/>
      <c r="AM48" s="392"/>
      <c r="AN48" s="302"/>
      <c r="AO48" s="1653" t="s">
        <v>497</v>
      </c>
      <c r="AP48" s="1653" t="s">
        <v>497</v>
      </c>
      <c r="AQ48" s="1622"/>
      <c r="AR48" s="1651"/>
      <c r="AS48" s="1652" t="s">
        <v>497</v>
      </c>
      <c r="AT48" s="1653" t="s">
        <v>497</v>
      </c>
      <c r="AU48" s="1581">
        <v>0.1</v>
      </c>
      <c r="AV48" s="1581">
        <v>7.0000000000000007E-2</v>
      </c>
      <c r="AW48" s="762" t="s">
        <v>497</v>
      </c>
      <c r="AX48" s="152"/>
      <c r="AY48" s="1620">
        <v>0.1</v>
      </c>
      <c r="AZ48" s="1581">
        <v>0.12</v>
      </c>
      <c r="BA48" s="1581">
        <v>0.14000000000000001</v>
      </c>
      <c r="BB48" s="1581">
        <v>0.15</v>
      </c>
      <c r="BC48" s="235">
        <f>(BC15/AW15-1)-BC$51</f>
        <v>0.12861088855914332</v>
      </c>
      <c r="BD48" s="152"/>
      <c r="BE48" s="1620">
        <v>0.12</v>
      </c>
      <c r="BF48" s="1581">
        <v>0.1</v>
      </c>
      <c r="BG48" s="1581">
        <v>7.4999999999999997E-2</v>
      </c>
      <c r="BH48" s="1581">
        <v>7.0000000000000007E-2</v>
      </c>
      <c r="BI48" s="235">
        <f>(BI15/BC15-1)-BI$51</f>
        <v>9.0396190885319527E-2</v>
      </c>
      <c r="BJ48" s="152"/>
      <c r="BK48" s="1620">
        <v>0.04</v>
      </c>
      <c r="BL48" s="1581">
        <v>0.08</v>
      </c>
      <c r="BM48" s="1581">
        <v>7.0000000000000007E-2</v>
      </c>
      <c r="BN48" s="1581">
        <v>9.658506139314546E-2</v>
      </c>
      <c r="BO48" s="235">
        <f>(BO15/BI15-1)-BO$51</f>
        <v>7.9033616905426179E-2</v>
      </c>
      <c r="BP48" s="152"/>
      <c r="BQ48" s="1620">
        <v>0.06</v>
      </c>
      <c r="BR48" s="1581">
        <v>0.08</v>
      </c>
      <c r="BS48" s="1581">
        <v>0.08</v>
      </c>
      <c r="BT48" s="1581">
        <v>0.08</v>
      </c>
      <c r="BU48" s="235">
        <f>(BU15/BO15-1)-BU$51</f>
        <v>8.0294140689438007E-2</v>
      </c>
      <c r="BV48" s="152"/>
      <c r="BW48" s="1620">
        <v>0.08</v>
      </c>
      <c r="BX48" s="1581">
        <v>0.08</v>
      </c>
      <c r="BY48" s="1581">
        <v>0.08</v>
      </c>
      <c r="BZ48" s="1581">
        <v>0.08</v>
      </c>
      <c r="CA48" s="235">
        <f>(CA15/BU15-1)-CA$51</f>
        <v>8.0000000000000293E-2</v>
      </c>
      <c r="CB48" s="302"/>
      <c r="CC48" s="1620">
        <v>0.08</v>
      </c>
      <c r="CD48" s="1581">
        <v>0.08</v>
      </c>
      <c r="CE48" s="1581">
        <v>0.08</v>
      </c>
      <c r="CF48" s="1581">
        <v>0.08</v>
      </c>
      <c r="CG48" s="235">
        <f>(CG15/CA15-1)-CG$51</f>
        <v>7.9999999999999849E-2</v>
      </c>
      <c r="CH48" s="389"/>
      <c r="CI48" s="1620">
        <v>0.08</v>
      </c>
      <c r="CJ48" s="1581">
        <v>0.08</v>
      </c>
      <c r="CK48" s="1581">
        <v>0.08</v>
      </c>
      <c r="CL48" s="1581">
        <v>0.08</v>
      </c>
      <c r="CM48" s="235">
        <f>(CM15/CG15-1)-CM$51</f>
        <v>8.0000000000000071E-2</v>
      </c>
      <c r="CN48" s="389"/>
      <c r="CO48" s="389"/>
      <c r="CP48" s="389"/>
      <c r="CQ48" s="389"/>
      <c r="CR48" s="389"/>
      <c r="CS48" s="389"/>
      <c r="CT48" s="201"/>
      <c r="CU48" s="201"/>
      <c r="CV48" s="201"/>
      <c r="CW48" s="201"/>
      <c r="CX48" s="201"/>
      <c r="CY48" s="201"/>
      <c r="CZ48" s="201"/>
      <c r="DA48" s="201"/>
      <c r="DB48" s="201"/>
      <c r="DC48" s="201"/>
      <c r="DD48" s="201"/>
      <c r="DE48" s="201"/>
      <c r="DF48" s="201"/>
    </row>
    <row r="49" spans="1:110" outlineLevel="2">
      <c r="A49" s="309" t="s">
        <v>539</v>
      </c>
      <c r="C49" s="390"/>
      <c r="D49" s="152"/>
      <c r="E49" s="152"/>
      <c r="F49" s="152"/>
      <c r="G49" s="391"/>
      <c r="H49" s="152"/>
      <c r="I49" s="390"/>
      <c r="J49" s="152"/>
      <c r="K49" s="152"/>
      <c r="L49" s="152"/>
      <c r="M49" s="391"/>
      <c r="N49" s="152"/>
      <c r="O49" s="390"/>
      <c r="P49" s="152"/>
      <c r="Q49" s="152"/>
      <c r="R49" s="152"/>
      <c r="S49" s="391"/>
      <c r="T49" s="152"/>
      <c r="U49" s="233"/>
      <c r="V49" s="234"/>
      <c r="W49" s="234"/>
      <c r="X49" s="234"/>
      <c r="Y49" s="222"/>
      <c r="Z49" s="152"/>
      <c r="AA49" s="233"/>
      <c r="AB49" s="234"/>
      <c r="AC49" s="234"/>
      <c r="AD49" s="234"/>
      <c r="AE49" s="222"/>
      <c r="AF49" s="152"/>
      <c r="AG49" s="1654"/>
      <c r="AH49" s="1655"/>
      <c r="AI49" s="1655"/>
      <c r="AJ49" s="1655"/>
      <c r="AK49" s="1656"/>
      <c r="AL49" s="152"/>
      <c r="AM49" s="392"/>
      <c r="AN49" s="302"/>
      <c r="AO49" s="1653" t="s">
        <v>497</v>
      </c>
      <c r="AP49" s="1653" t="s">
        <v>497</v>
      </c>
      <c r="AQ49" s="1622"/>
      <c r="AR49" s="1651"/>
      <c r="AS49" s="1652" t="s">
        <v>497</v>
      </c>
      <c r="AT49" s="1653" t="s">
        <v>497</v>
      </c>
      <c r="AU49" s="234">
        <f>(AU16/AO16-1)+AU51</f>
        <v>5.9966890169839873E-2</v>
      </c>
      <c r="AV49" s="234">
        <f>(AV16/AP16-1)+AV51</f>
        <v>3.6866588688781246E-2</v>
      </c>
      <c r="AW49" s="762" t="s">
        <v>497</v>
      </c>
      <c r="AX49" s="152"/>
      <c r="AY49" s="392">
        <f>(AY16/AS16-1)+AY51</f>
        <v>-0.19449231922068211</v>
      </c>
      <c r="AZ49" s="234">
        <f>(AZ16/AT16-1)+AZ51</f>
        <v>0.20235294117646963</v>
      </c>
      <c r="BA49" s="234">
        <f>(BA16/AU16-1)+BA51</f>
        <v>0.12550241484787369</v>
      </c>
      <c r="BB49" s="234">
        <f>(BB16/AV16-1)+BB51</f>
        <v>0.23147206028740552</v>
      </c>
      <c r="BC49" s="235">
        <f>(BC16/AW16-1)-BC$51</f>
        <v>0.25451370654160016</v>
      </c>
      <c r="BD49" s="152"/>
      <c r="BE49" s="392">
        <f>(BE16/AY16-1)+BE51</f>
        <v>0.25506502258853442</v>
      </c>
      <c r="BF49" s="234">
        <f>(BF16/AZ16-1)+BF51</f>
        <v>-3.715890493968612E-2</v>
      </c>
      <c r="BG49" s="234">
        <f>(BG16/BA16-1)+BG51</f>
        <v>0.13062916319934925</v>
      </c>
      <c r="BH49" s="1581">
        <v>0.13081923678603349</v>
      </c>
      <c r="BI49" s="235">
        <f>(BI16/BC16-1)-BI$51</f>
        <v>0.13144989048113037</v>
      </c>
      <c r="BJ49" s="152"/>
      <c r="BK49" s="1620">
        <v>0.08</v>
      </c>
      <c r="BL49" s="1581">
        <v>0.16983967134191821</v>
      </c>
      <c r="BM49" s="1581">
        <v>0.17</v>
      </c>
      <c r="BN49" s="1581">
        <v>-0.15</v>
      </c>
      <c r="BO49" s="235">
        <f>(BO16/BI16-1)-BO$51</f>
        <v>6.4425671778906873E-2</v>
      </c>
      <c r="BP49" s="152"/>
      <c r="BQ49" s="1620">
        <v>0</v>
      </c>
      <c r="BR49" s="1581">
        <v>0</v>
      </c>
      <c r="BS49" s="1581">
        <v>0</v>
      </c>
      <c r="BT49" s="1581">
        <v>0</v>
      </c>
      <c r="BU49" s="235">
        <f>(BU16/BO16-1)-BU$51</f>
        <v>4.3122394102941691E-3</v>
      </c>
      <c r="BV49" s="152"/>
      <c r="BW49" s="1620">
        <v>0</v>
      </c>
      <c r="BX49" s="1581">
        <v>0</v>
      </c>
      <c r="BY49" s="1581">
        <v>0.7</v>
      </c>
      <c r="BZ49" s="1581">
        <v>0.7</v>
      </c>
      <c r="CA49" s="235">
        <f>(CA16/BU16-1)-CA$51</f>
        <v>0.3686596968580651</v>
      </c>
      <c r="CB49" s="302"/>
      <c r="CC49" s="1620">
        <v>0.62</v>
      </c>
      <c r="CD49" s="1581">
        <v>0.62</v>
      </c>
      <c r="CE49" s="1581">
        <v>0.62</v>
      </c>
      <c r="CF49" s="1581">
        <v>0.62</v>
      </c>
      <c r="CG49" s="235">
        <f>(CG16/CA16-1)-CG$51</f>
        <v>0.62000000000000011</v>
      </c>
      <c r="CH49" s="389"/>
      <c r="CI49" s="1620">
        <v>0.5</v>
      </c>
      <c r="CJ49" s="1581">
        <v>0.5</v>
      </c>
      <c r="CK49" s="1581">
        <v>0.5</v>
      </c>
      <c r="CL49" s="1581">
        <v>0.5</v>
      </c>
      <c r="CM49" s="235">
        <f>(CM16/CG16-1)-CM$51</f>
        <v>0.5</v>
      </c>
      <c r="CN49" s="389"/>
      <c r="CO49" s="389"/>
      <c r="CP49" s="389"/>
      <c r="CQ49" s="389"/>
      <c r="CR49" s="389"/>
      <c r="CS49" s="389"/>
      <c r="CT49" s="201"/>
      <c r="CU49" s="201"/>
      <c r="CV49" s="201"/>
      <c r="CW49" s="201"/>
      <c r="CX49" s="201"/>
      <c r="CY49" s="201"/>
      <c r="CZ49" s="201"/>
      <c r="DA49" s="201"/>
      <c r="DB49" s="201"/>
      <c r="DC49" s="201"/>
      <c r="DD49" s="201"/>
      <c r="DE49" s="201"/>
      <c r="DF49" s="201"/>
    </row>
    <row r="50" spans="1:110" outlineLevel="1">
      <c r="A50" s="309" t="s">
        <v>172</v>
      </c>
      <c r="C50" s="390"/>
      <c r="D50" s="152"/>
      <c r="E50" s="152"/>
      <c r="F50" s="152"/>
      <c r="G50" s="391"/>
      <c r="H50" s="152"/>
      <c r="I50" s="390"/>
      <c r="J50" s="152"/>
      <c r="K50" s="152"/>
      <c r="L50" s="152"/>
      <c r="M50" s="391"/>
      <c r="N50" s="152"/>
      <c r="O50" s="390"/>
      <c r="P50" s="152"/>
      <c r="Q50" s="152"/>
      <c r="R50" s="152"/>
      <c r="S50" s="391"/>
      <c r="T50" s="152"/>
      <c r="U50" s="233"/>
      <c r="V50" s="234"/>
      <c r="W50" s="234"/>
      <c r="X50" s="234"/>
      <c r="Y50" s="222"/>
      <c r="Z50" s="152"/>
      <c r="AA50" s="233"/>
      <c r="AB50" s="234"/>
      <c r="AC50" s="234"/>
      <c r="AD50" s="234"/>
      <c r="AE50" s="222"/>
      <c r="AF50" s="152"/>
      <c r="AG50" s="1654" t="s">
        <v>247</v>
      </c>
      <c r="AH50" s="1655" t="s">
        <v>247</v>
      </c>
      <c r="AI50" s="1655" t="s">
        <v>247</v>
      </c>
      <c r="AJ50" s="1655" t="s">
        <v>247</v>
      </c>
      <c r="AK50" s="1656" t="s">
        <v>247</v>
      </c>
      <c r="AL50" s="152"/>
      <c r="AM50" s="1620">
        <f>93/AG13</f>
        <v>1.576271186440678</v>
      </c>
      <c r="AN50" s="1621">
        <f>93.5/AH13</f>
        <v>1.3955223880597014</v>
      </c>
      <c r="AO50" s="1621">
        <f>51/AI13</f>
        <v>0.52577319587628868</v>
      </c>
      <c r="AP50" s="1621">
        <v>0</v>
      </c>
      <c r="AQ50" s="235">
        <f>+(93+93.5+51)/AK13</f>
        <v>0.63164893617021278</v>
      </c>
      <c r="AR50" s="152"/>
      <c r="AS50" s="1620">
        <v>0</v>
      </c>
      <c r="AT50" s="1621">
        <v>0</v>
      </c>
      <c r="AU50" s="1621">
        <v>0</v>
      </c>
      <c r="AV50" s="1621">
        <v>0</v>
      </c>
      <c r="AW50" s="235">
        <v>0</v>
      </c>
      <c r="AX50" s="152"/>
      <c r="AY50" s="1620">
        <v>0</v>
      </c>
      <c r="AZ50" s="1621">
        <v>0</v>
      </c>
      <c r="BA50" s="1621">
        <v>0</v>
      </c>
      <c r="BB50" s="1621">
        <v>0</v>
      </c>
      <c r="BC50" s="235">
        <f>AY50*(AY13/BC13)+AZ50*(AZ13/BC13)+BA50*(BA13/BC13)+BB50*(BB13/BC13)</f>
        <v>0</v>
      </c>
      <c r="BD50" s="152"/>
      <c r="BE50" s="1620">
        <v>0</v>
      </c>
      <c r="BF50" s="1621">
        <f>1/AZ13</f>
        <v>5.9171597633136093E-3</v>
      </c>
      <c r="BG50" s="1621">
        <f>0.5/BA13</f>
        <v>2.9940119760479044E-3</v>
      </c>
      <c r="BH50" s="1621">
        <v>0</v>
      </c>
      <c r="BI50" s="235">
        <f>BE50*(BE13/BI13)+BF50*(BF13/BI13)+BG50*(BG13/BI13)+BH50*(BH13/BI13)</f>
        <v>2.2456651531148732E-3</v>
      </c>
      <c r="BJ50" s="152"/>
      <c r="BK50" s="1620">
        <v>-1E-3</v>
      </c>
      <c r="BL50" s="1621">
        <f>(0.2/BF13)+(0.5/BF13)</f>
        <v>3.9325842696629216E-3</v>
      </c>
      <c r="BM50" s="1621">
        <f>(2/BG13)</f>
        <v>1.1111111111111112E-2</v>
      </c>
      <c r="BN50" s="1621">
        <f>(2/BH13)</f>
        <v>1.0362694300518135E-2</v>
      </c>
      <c r="BO50" s="235">
        <f>BK50*(BK13/BO13)+BL50*(BL13/BO13)+BM50*(BM13/BO13)+BN50*(BN13/BO13)</f>
        <v>6.4656789251294616E-3</v>
      </c>
      <c r="BP50" s="152"/>
      <c r="BQ50" s="1620">
        <f>(2/BK13)+(0.25/BK13)+(3.3/BK13)</f>
        <v>3.3841463414634149E-2</v>
      </c>
      <c r="BR50" s="1621">
        <f>(0.3/BL13)+(-3.3/BL13)</f>
        <v>-1.4925373134328358E-2</v>
      </c>
      <c r="BS50" s="1621">
        <f>(0.4/BM13)</f>
        <v>2.0304568527918783E-3</v>
      </c>
      <c r="BT50" s="1621">
        <f>(0.5/BN13)</f>
        <v>2.3809523809523812E-3</v>
      </c>
      <c r="BU50" s="235">
        <f>BQ50*(BQ13/BU13)+BR50*(BR13/BU13)+BS50*(BS13/BU13)+BT50*(BT13/BU13)</f>
        <v>4.5894782430651428E-3</v>
      </c>
      <c r="BV50" s="152"/>
      <c r="BW50" s="1620">
        <v>0</v>
      </c>
      <c r="BX50" s="1621">
        <v>0</v>
      </c>
      <c r="BY50" s="1621">
        <v>0</v>
      </c>
      <c r="BZ50" s="1621">
        <v>0</v>
      </c>
      <c r="CA50" s="235">
        <f>BW50*(BW13/CA13)+BX50*(BX13/CA13)+BY50*(BY13/CA13)+BZ50*(BZ13/CA13)</f>
        <v>0</v>
      </c>
      <c r="CB50" s="302"/>
      <c r="CC50" s="1620">
        <v>0</v>
      </c>
      <c r="CD50" s="1621">
        <v>0</v>
      </c>
      <c r="CE50" s="1621">
        <v>0</v>
      </c>
      <c r="CF50" s="1621">
        <v>0</v>
      </c>
      <c r="CG50" s="235">
        <f>CC50*(CC13/CG13)+CD50*(CD13/CG13)+CE50*(CE13/CG13)+CF50*(CF13/CG13)</f>
        <v>0</v>
      </c>
      <c r="CH50" s="389"/>
      <c r="CI50" s="1620">
        <v>0</v>
      </c>
      <c r="CJ50" s="1621">
        <v>0</v>
      </c>
      <c r="CK50" s="1621">
        <v>0</v>
      </c>
      <c r="CL50" s="1621">
        <v>0</v>
      </c>
      <c r="CM50" s="235">
        <f>CI50*(CI13/CM13)+CJ50*(CJ13/CM13)+CK50*(CK13/CM13)+CL50*(CL13/CM13)</f>
        <v>0</v>
      </c>
      <c r="CN50" s="389"/>
      <c r="CO50" s="389"/>
      <c r="CP50" s="389"/>
      <c r="CQ50" s="389"/>
      <c r="CR50" s="389"/>
      <c r="CS50" s="389"/>
      <c r="CT50" s="201"/>
      <c r="CU50" s="201"/>
      <c r="CV50" s="201"/>
      <c r="CW50" s="201"/>
      <c r="CX50" s="201"/>
      <c r="CY50" s="201"/>
      <c r="CZ50" s="201"/>
      <c r="DA50" s="201"/>
      <c r="DB50" s="201"/>
      <c r="DC50" s="201"/>
      <c r="DD50" s="201"/>
      <c r="DE50" s="201"/>
      <c r="DF50" s="201"/>
    </row>
    <row r="51" spans="1:110" ht="12.75" customHeight="1" outlineLevel="3">
      <c r="A51" s="309" t="s">
        <v>173</v>
      </c>
      <c r="C51" s="390"/>
      <c r="D51" s="152"/>
      <c r="E51" s="152"/>
      <c r="F51" s="152"/>
      <c r="G51" s="391"/>
      <c r="H51" s="152"/>
      <c r="I51" s="390"/>
      <c r="J51" s="152"/>
      <c r="K51" s="152"/>
      <c r="L51" s="152"/>
      <c r="M51" s="391"/>
      <c r="N51" s="152"/>
      <c r="O51" s="390"/>
      <c r="P51" s="152"/>
      <c r="Q51" s="152"/>
      <c r="R51" s="152"/>
      <c r="S51" s="391"/>
      <c r="T51" s="152"/>
      <c r="U51" s="233"/>
      <c r="V51" s="234"/>
      <c r="W51" s="234"/>
      <c r="X51" s="234"/>
      <c r="Y51" s="222"/>
      <c r="Z51" s="152"/>
      <c r="AA51" s="233"/>
      <c r="AB51" s="234"/>
      <c r="AC51" s="234"/>
      <c r="AD51" s="234"/>
      <c r="AE51" s="222"/>
      <c r="AF51" s="152"/>
      <c r="AG51" s="1654" t="s">
        <v>247</v>
      </c>
      <c r="AH51" s="1655" t="s">
        <v>247</v>
      </c>
      <c r="AI51" s="1655" t="s">
        <v>247</v>
      </c>
      <c r="AJ51" s="1655" t="s">
        <v>247</v>
      </c>
      <c r="AK51" s="1656" t="s">
        <v>247</v>
      </c>
      <c r="AL51" s="152"/>
      <c r="AM51" s="1620">
        <f>+AM59</f>
        <v>-1.1668611435239206E-2</v>
      </c>
      <c r="AN51" s="1621">
        <f>+AN59</f>
        <v>-1.9836639439906652E-2</v>
      </c>
      <c r="AO51" s="1621">
        <f>+AO59</f>
        <v>-1.2528473804100227E-2</v>
      </c>
      <c r="AP51" s="1621">
        <f>+AP59</f>
        <v>-1.1566771819137749E-2</v>
      </c>
      <c r="AQ51" s="235">
        <f>+AQ59</f>
        <v>-1.3830087496471917E-2</v>
      </c>
      <c r="AR51" s="152"/>
      <c r="AS51" s="1620">
        <f>+AS59</f>
        <v>-1.1482254697286013E-2</v>
      </c>
      <c r="AT51" s="1621">
        <f>+AT59</f>
        <v>-6.1728395061728392E-3</v>
      </c>
      <c r="AU51" s="1621">
        <f>+AU59</f>
        <v>1.0515247108307046E-2</v>
      </c>
      <c r="AV51" s="1621">
        <f>+AV59</f>
        <v>-8.8845014807502464E-3</v>
      </c>
      <c r="AW51" s="235">
        <f>+AW59</f>
        <v>-4.1088854648176684E-3</v>
      </c>
      <c r="AX51" s="152"/>
      <c r="AY51" s="1620">
        <f>-8/AS13</f>
        <v>-5.0955414012738856E-2</v>
      </c>
      <c r="AZ51" s="1621">
        <f>-16/AT13</f>
        <v>-9.5238095238095233E-2</v>
      </c>
      <c r="BA51" s="1621">
        <f>-16/AU13</f>
        <v>-9.6385542168674704E-2</v>
      </c>
      <c r="BB51" s="1621">
        <f>-12/AV13</f>
        <v>-6.9767441860465115E-2</v>
      </c>
      <c r="BC51" s="235">
        <f>AY51*(AY13/BC13)+AZ51*(AZ13/BC13)+BA51*(BA13/BC13)+BB51*(BB13/BC13)</f>
        <v>-7.877889662002252E-2</v>
      </c>
      <c r="BD51" s="152"/>
      <c r="BE51" s="1620">
        <f>-9/AY13</f>
        <v>-6.0810810810810814E-2</v>
      </c>
      <c r="BF51" s="1621">
        <f>-0.7/AZ13</f>
        <v>-4.1420118343195268E-3</v>
      </c>
      <c r="BG51" s="1621">
        <f>0/BA13</f>
        <v>0</v>
      </c>
      <c r="BH51" s="1621">
        <f>-0.6/BB13</f>
        <v>-3.3707865168539327E-3</v>
      </c>
      <c r="BI51" s="235">
        <f>BE51*(BE13/BI13)+BF51*(BF13/BI13)+BG51*(BG13/BI13)+BH51*(BH13/BI13)</f>
        <v>-1.5509094516741598E-2</v>
      </c>
      <c r="BJ51" s="152"/>
      <c r="BK51" s="392">
        <f>+BK$59</f>
        <v>-1.1673151750972763E-2</v>
      </c>
      <c r="BL51" s="302">
        <f>+BL$59</f>
        <v>-8.9999999999999993E-3</v>
      </c>
      <c r="BM51" s="302">
        <f>+BM$59</f>
        <v>-8.9999999999999993E-3</v>
      </c>
      <c r="BN51" s="302">
        <f>+BN$59</f>
        <v>0.01</v>
      </c>
      <c r="BO51" s="235">
        <f>BK51*(BK13/BO13)+BL51*(BL13/BO13)+BM51*(BM13/BO13)+BN51*(BN13/BO13)</f>
        <v>-4.3994778331082037E-3</v>
      </c>
      <c r="BP51" s="152"/>
      <c r="BQ51" s="392">
        <f>+BQ$59</f>
        <v>3.4000000000000002E-2</v>
      </c>
      <c r="BR51" s="302">
        <f>+BR$59</f>
        <v>5.2999999999999999E-2</v>
      </c>
      <c r="BS51" s="302">
        <f>+BS$59</f>
        <v>3.3000000000000002E-2</v>
      </c>
      <c r="BT51" s="302">
        <f>+BT$59</f>
        <v>3.1E-2</v>
      </c>
      <c r="BU51" s="235">
        <f>BQ51*(BQ13/BU13)+BR51*(BR13/BU13)+BS51*(BS13/BU13)+BT51*(BT13/BU13)</f>
        <v>3.7821101557364803E-2</v>
      </c>
      <c r="BV51" s="152"/>
      <c r="BW51" s="392">
        <f>+BW$59</f>
        <v>0</v>
      </c>
      <c r="BX51" s="302">
        <f>+BX$59</f>
        <v>0</v>
      </c>
      <c r="BY51" s="302">
        <f>+BY$59</f>
        <v>0</v>
      </c>
      <c r="BZ51" s="302">
        <f>+BZ$59</f>
        <v>0</v>
      </c>
      <c r="CA51" s="235">
        <f>BW51*(BW13/CA13)+BX51*(BX13/CA13)+BY51*(BY13/CA13)+BZ51*(BZ13/CA13)</f>
        <v>0</v>
      </c>
      <c r="CB51" s="302"/>
      <c r="CC51" s="392">
        <f>+CC$59</f>
        <v>0</v>
      </c>
      <c r="CD51" s="302">
        <f>+CD$59</f>
        <v>0</v>
      </c>
      <c r="CE51" s="302">
        <f>+CE$59</f>
        <v>0</v>
      </c>
      <c r="CF51" s="302">
        <f>+CF$59</f>
        <v>0</v>
      </c>
      <c r="CG51" s="235">
        <f>CC51*(CC13/CG13)+CD51*(CD13/CG13)+CE51*(CE13/CG13)+CF51*(CF13/CG13)</f>
        <v>0</v>
      </c>
      <c r="CH51" s="389"/>
      <c r="CI51" s="392">
        <f>+CI$59</f>
        <v>0</v>
      </c>
      <c r="CJ51" s="302">
        <f>+CJ$59</f>
        <v>0</v>
      </c>
      <c r="CK51" s="302">
        <f>+CK$59</f>
        <v>0</v>
      </c>
      <c r="CL51" s="302">
        <f>+CL$59</f>
        <v>0</v>
      </c>
      <c r="CM51" s="235">
        <f>CI51*(CI13/CM13)+CJ51*(CJ13/CM13)+CK51*(CK13/CM13)+CL51*(CL13/CM13)</f>
        <v>0</v>
      </c>
      <c r="CN51" s="389"/>
      <c r="CO51" s="389"/>
      <c r="CP51" s="389"/>
      <c r="CQ51" s="389"/>
      <c r="CR51" s="389"/>
      <c r="CS51" s="389"/>
      <c r="CT51" s="201"/>
      <c r="CU51" s="201"/>
      <c r="CV51" s="201"/>
      <c r="CW51" s="201"/>
      <c r="CX51" s="201"/>
      <c r="CY51" s="201"/>
      <c r="CZ51" s="201"/>
      <c r="DA51" s="201"/>
      <c r="DB51" s="201"/>
      <c r="DC51" s="201"/>
      <c r="DD51" s="201"/>
      <c r="DE51" s="201"/>
      <c r="DF51" s="201"/>
    </row>
    <row r="52" spans="1:110" outlineLevel="1">
      <c r="A52" s="393" t="s">
        <v>107</v>
      </c>
      <c r="C52" s="390"/>
      <c r="D52" s="152"/>
      <c r="E52" s="152"/>
      <c r="F52" s="152"/>
      <c r="G52" s="391"/>
      <c r="H52" s="152"/>
      <c r="I52" s="390"/>
      <c r="J52" s="152"/>
      <c r="K52" s="152"/>
      <c r="L52" s="152"/>
      <c r="M52" s="391"/>
      <c r="N52" s="152"/>
      <c r="O52" s="390"/>
      <c r="P52" s="152"/>
      <c r="Q52" s="152"/>
      <c r="R52" s="152"/>
      <c r="S52" s="391"/>
      <c r="T52" s="152"/>
      <c r="U52" s="233"/>
      <c r="V52" s="234"/>
      <c r="W52" s="234"/>
      <c r="X52" s="234"/>
      <c r="Y52" s="222"/>
      <c r="Z52" s="152"/>
      <c r="AA52" s="233"/>
      <c r="AB52" s="234"/>
      <c r="AC52" s="234"/>
      <c r="AD52" s="234"/>
      <c r="AE52" s="222"/>
      <c r="AF52" s="152"/>
      <c r="AG52" s="1654" t="s">
        <v>247</v>
      </c>
      <c r="AH52" s="1655" t="s">
        <v>247</v>
      </c>
      <c r="AI52" s="1655" t="s">
        <v>247</v>
      </c>
      <c r="AJ52" s="1655" t="s">
        <v>247</v>
      </c>
      <c r="AK52" s="1656" t="s">
        <v>247</v>
      </c>
      <c r="AL52" s="152"/>
      <c r="AM52" s="390">
        <f>+AM17/AG17-1</f>
        <v>4.6263345195729499E-2</v>
      </c>
      <c r="AN52" s="152">
        <f>+AN17/AH17-1</f>
        <v>5.1369863013698724E-2</v>
      </c>
      <c r="AO52" s="152">
        <f>+AO17/AI17-1</f>
        <v>7.0175438596491224E-2</v>
      </c>
      <c r="AP52" s="152">
        <f>+AP17/AJ17-1</f>
        <v>8.9041095890410871E-2</v>
      </c>
      <c r="AQ52" s="391">
        <f>+AQ17/AK17-1</f>
        <v>6.434782608695655E-2</v>
      </c>
      <c r="AR52" s="152"/>
      <c r="AS52" s="390">
        <f>+AS17/AM17-1</f>
        <v>6.8027210884353817E-2</v>
      </c>
      <c r="AT52" s="152">
        <f>+AT17/AN17-1</f>
        <v>5.8631921824104261E-2</v>
      </c>
      <c r="AU52" s="152">
        <f>+AU17/AO17-1</f>
        <v>0.10163934426229515</v>
      </c>
      <c r="AV52" s="152">
        <f>+AV17/AP17-1</f>
        <v>4.4025157232704393E-2</v>
      </c>
      <c r="AW52" s="391">
        <f>+AW17/AQ17-1</f>
        <v>6.781045751633985E-2</v>
      </c>
      <c r="AX52" s="152"/>
      <c r="AY52" s="390">
        <f>+AY17/AS17-1</f>
        <v>5.4140127388535131E-2</v>
      </c>
      <c r="AZ52" s="152">
        <f>+AZ17/AT17-1</f>
        <v>-1.2307692307692353E-2</v>
      </c>
      <c r="BA52" s="152">
        <f>+BA17/AU17-1</f>
        <v>0</v>
      </c>
      <c r="BB52" s="152">
        <f>+BB17/AV17-1</f>
        <v>3.0120481927710774E-2</v>
      </c>
      <c r="BC52" s="391">
        <f>+BC17/AW17-1</f>
        <v>1.7597551644988441E-2</v>
      </c>
      <c r="BD52" s="152"/>
      <c r="BE52" s="390">
        <f>+BE17/AY17-1</f>
        <v>3.92749244712991E-2</v>
      </c>
      <c r="BF52" s="152">
        <f>+BF17/AZ17-1</f>
        <v>7.7881619937694602E-2</v>
      </c>
      <c r="BG52" s="152">
        <f>+BG17/BA17-1</f>
        <v>7.1428571428571397E-2</v>
      </c>
      <c r="BH52" s="152">
        <f>SUM(BH53:BH55)</f>
        <v>7.9578947368421055E-2</v>
      </c>
      <c r="BI52" s="391">
        <f>+BI17/BC17-1</f>
        <v>6.7669172932330879E-2</v>
      </c>
      <c r="BJ52" s="152"/>
      <c r="BK52" s="390">
        <f>SUM(BK53:BK55)</f>
        <v>6.3960569179259796E-2</v>
      </c>
      <c r="BL52" s="152">
        <f>SUM(BL53:BL55)</f>
        <v>9.3023121387283247E-2</v>
      </c>
      <c r="BM52" s="152">
        <f>SUM(BM53:BM55)</f>
        <v>7.169444444444445E-2</v>
      </c>
      <c r="BN52" s="152">
        <f>SUM(BN53:BN55)</f>
        <v>0.09</v>
      </c>
      <c r="BO52" s="391">
        <f>+BO17/BI17-1</f>
        <v>7.8169014084507049E-2</v>
      </c>
      <c r="BP52" s="152"/>
      <c r="BQ52" s="390">
        <f>+BQ17/BK17-1</f>
        <v>0.12396694214876036</v>
      </c>
      <c r="BR52" s="152">
        <f>SUM(BR53:BR55)</f>
        <v>0.15426984126984128</v>
      </c>
      <c r="BS52" s="152">
        <f>SUM(BS53:BS55)</f>
        <v>0.153</v>
      </c>
      <c r="BT52" s="152">
        <f>SUM(BT53:BT55)</f>
        <v>0.151</v>
      </c>
      <c r="BU52" s="391">
        <f>+BU17/BO17-1</f>
        <v>0.14590202482037906</v>
      </c>
      <c r="BV52" s="152"/>
      <c r="BW52" s="390">
        <f>SUM(BW53:BW55)</f>
        <v>0.08</v>
      </c>
      <c r="BX52" s="152">
        <f>SUM(BX53:BX55)</f>
        <v>0.08</v>
      </c>
      <c r="BY52" s="152">
        <f>SUM(BY53:BY55)</f>
        <v>0.08</v>
      </c>
      <c r="BZ52" s="152">
        <f>SUM(BZ53:BZ55)</f>
        <v>0.08</v>
      </c>
      <c r="CA52" s="391">
        <f>+CA17/BU17-1</f>
        <v>7.9999999999999849E-2</v>
      </c>
      <c r="CB52" s="152"/>
      <c r="CC52" s="390">
        <f>SUM(CC53:CC55)</f>
        <v>7.4999999999999997E-2</v>
      </c>
      <c r="CD52" s="152">
        <f>SUM(CD53:CD55)</f>
        <v>7.4999999999999997E-2</v>
      </c>
      <c r="CE52" s="152">
        <f>SUM(CE53:CE55)</f>
        <v>7.4999999999999997E-2</v>
      </c>
      <c r="CF52" s="152">
        <f>SUM(CF53:CF55)</f>
        <v>7.4999999999999997E-2</v>
      </c>
      <c r="CG52" s="391">
        <f>+CG17/CA17-1</f>
        <v>7.4999999999999956E-2</v>
      </c>
      <c r="CH52" s="389"/>
      <c r="CI52" s="390">
        <f>SUM(CI53:CI55)</f>
        <v>7.4999999999999997E-2</v>
      </c>
      <c r="CJ52" s="152">
        <f>SUM(CJ53:CJ55)</f>
        <v>7.4999999999999997E-2</v>
      </c>
      <c r="CK52" s="152">
        <f>SUM(CK53:CK55)</f>
        <v>7.4999999999999997E-2</v>
      </c>
      <c r="CL52" s="152">
        <f>SUM(CL53:CL55)</f>
        <v>7.4999999999999997E-2</v>
      </c>
      <c r="CM52" s="391">
        <f>+CM17/CG17-1</f>
        <v>7.5000000000000178E-2</v>
      </c>
      <c r="CN52" s="389"/>
      <c r="CO52" s="389"/>
      <c r="CP52" s="389"/>
      <c r="CQ52" s="389"/>
      <c r="CR52" s="389"/>
      <c r="CS52" s="389"/>
      <c r="CT52" s="201"/>
      <c r="CU52" s="201"/>
      <c r="CV52" s="201"/>
      <c r="CW52" s="201"/>
      <c r="CX52" s="201"/>
      <c r="CY52" s="201"/>
      <c r="CZ52" s="201"/>
      <c r="DA52" s="201"/>
      <c r="DB52" s="201"/>
      <c r="DC52" s="201"/>
      <c r="DD52" s="201"/>
      <c r="DE52" s="201"/>
      <c r="DF52" s="201"/>
    </row>
    <row r="53" spans="1:110" outlineLevel="1">
      <c r="A53" s="309" t="s">
        <v>171</v>
      </c>
      <c r="C53" s="390"/>
      <c r="D53" s="152"/>
      <c r="E53" s="152"/>
      <c r="F53" s="152"/>
      <c r="G53" s="391"/>
      <c r="H53" s="152"/>
      <c r="I53" s="390"/>
      <c r="J53" s="152"/>
      <c r="K53" s="152"/>
      <c r="L53" s="152"/>
      <c r="M53" s="391"/>
      <c r="N53" s="152"/>
      <c r="O53" s="390"/>
      <c r="P53" s="152"/>
      <c r="Q53" s="152"/>
      <c r="R53" s="152"/>
      <c r="S53" s="391"/>
      <c r="T53" s="152"/>
      <c r="U53" s="233"/>
      <c r="V53" s="234"/>
      <c r="W53" s="234"/>
      <c r="X53" s="234"/>
      <c r="Y53" s="222"/>
      <c r="Z53" s="152"/>
      <c r="AA53" s="233"/>
      <c r="AB53" s="234"/>
      <c r="AC53" s="234"/>
      <c r="AD53" s="234"/>
      <c r="AE53" s="222"/>
      <c r="AF53" s="152"/>
      <c r="AG53" s="1654" t="s">
        <v>247</v>
      </c>
      <c r="AH53" s="1655" t="s">
        <v>247</v>
      </c>
      <c r="AI53" s="1655" t="s">
        <v>247</v>
      </c>
      <c r="AJ53" s="1655" t="s">
        <v>247</v>
      </c>
      <c r="AK53" s="1656" t="s">
        <v>247</v>
      </c>
      <c r="AL53" s="152"/>
      <c r="AM53" s="392">
        <f>+AM52-AM54-AM55</f>
        <v>5.7931956630968708E-2</v>
      </c>
      <c r="AN53" s="302">
        <f>+AN52-AN54-AN55</f>
        <v>7.120650245360538E-2</v>
      </c>
      <c r="AO53" s="302">
        <f>+AO52-AO54-AO55</f>
        <v>8.2703912400591453E-2</v>
      </c>
      <c r="AP53" s="302">
        <f>+AP52-AP54-AP55</f>
        <v>0.10060786770954862</v>
      </c>
      <c r="AQ53" s="235">
        <f>+AQ52-AQ54-AQ55</f>
        <v>7.817791358342846E-2</v>
      </c>
      <c r="AR53" s="152"/>
      <c r="AS53" s="392">
        <f>+AS52-AS54-AS55</f>
        <v>7.9509465581639835E-2</v>
      </c>
      <c r="AT53" s="302">
        <f>+AT52-AT54-AT55</f>
        <v>6.48047613302771E-2</v>
      </c>
      <c r="AU53" s="302">
        <f>+AU52-AU54-AU55</f>
        <v>9.1124097153988101E-2</v>
      </c>
      <c r="AV53" s="302">
        <f>+AV52-AV54-AV55</f>
        <v>5.2909658713454641E-2</v>
      </c>
      <c r="AW53" s="235">
        <f>AW52-AW$59</f>
        <v>7.1919342981157514E-2</v>
      </c>
      <c r="AX53" s="152"/>
      <c r="AY53" s="233">
        <f>AY52-AY55-AY54</f>
        <v>9.8726114649681618E-2</v>
      </c>
      <c r="AZ53" s="234">
        <f>AZ52-AZ55-AZ54</f>
        <v>6.7692307692307649E-2</v>
      </c>
      <c r="BA53" s="234">
        <f>BA52-BA55-BA54</f>
        <v>8.0357142857142863E-2</v>
      </c>
      <c r="BB53" s="302">
        <f>BB52-BB55-BB54</f>
        <v>0.10843373493975897</v>
      </c>
      <c r="BC53" s="235">
        <f>AY53*(AY17/BC17)+AZ53*(AZ17/BC17)+BA53*(BA17/BC17)+BB53*(BB17/BC17)</f>
        <v>8.909166320877665E-2</v>
      </c>
      <c r="BD53" s="152"/>
      <c r="BE53" s="233">
        <f>BE52-BE55-BE54</f>
        <v>0.1027190332326284</v>
      </c>
      <c r="BF53" s="234">
        <f>BF52-BF55-BF54</f>
        <v>9.6573208722741333E-2</v>
      </c>
      <c r="BG53" s="234">
        <f>BG52-BG55-BG54</f>
        <v>8.4821428571428534E-2</v>
      </c>
      <c r="BH53" s="1581">
        <v>7.2999999999999995E-2</v>
      </c>
      <c r="BI53" s="235">
        <f>BE53*(BE17/BI17)+BF53*(BF17/BI17)+BG53*(BG17/BI17)+BH53*(BH17/BI17)</f>
        <v>8.8940416856202076E-2</v>
      </c>
      <c r="BJ53" s="152"/>
      <c r="BK53" s="1620">
        <v>7.1999999999999995E-2</v>
      </c>
      <c r="BL53" s="1581">
        <v>0.1</v>
      </c>
      <c r="BM53" s="1581">
        <v>0.08</v>
      </c>
      <c r="BN53" s="1581">
        <v>0.08</v>
      </c>
      <c r="BO53" s="235">
        <f>BK53*(BK17/BO17)+BL53*(BL17/BO17)+BM53*(BM17/BO17)+BN53*(BN17/BO17)</f>
        <v>8.3041149575440898E-2</v>
      </c>
      <c r="BP53" s="152"/>
      <c r="BQ53" s="233">
        <f>BQ52-BQ55-BQ54</f>
        <v>8.0876033057851265E-2</v>
      </c>
      <c r="BR53" s="1581">
        <v>0.11</v>
      </c>
      <c r="BS53" s="1581">
        <v>0.12</v>
      </c>
      <c r="BT53" s="1581">
        <v>0.12</v>
      </c>
      <c r="BU53" s="235">
        <f>BQ53*(BQ17/BU17)+BR53*(BR17/BU17)+BS53*(BS17/BU17)+BT53*(BT17/BU17)</f>
        <v>0.10841427464101383</v>
      </c>
      <c r="BV53" s="152"/>
      <c r="BW53" s="1620">
        <v>0.08</v>
      </c>
      <c r="BX53" s="1581">
        <v>0.08</v>
      </c>
      <c r="BY53" s="1581">
        <v>0.08</v>
      </c>
      <c r="BZ53" s="1581">
        <v>0.08</v>
      </c>
      <c r="CA53" s="235">
        <f>BW53*(BW17/CA17)+BX53*(BX17/CA17)+BY53*(BY17/CA17)+BZ53*(BZ17/CA17)</f>
        <v>7.9999999999999988E-2</v>
      </c>
      <c r="CB53" s="302"/>
      <c r="CC53" s="1620">
        <v>7.4999999999999997E-2</v>
      </c>
      <c r="CD53" s="1581">
        <v>7.4999999999999997E-2</v>
      </c>
      <c r="CE53" s="1581">
        <v>7.4999999999999997E-2</v>
      </c>
      <c r="CF53" s="1581">
        <v>7.4999999999999997E-2</v>
      </c>
      <c r="CG53" s="235">
        <f>CC53*(CC17/CG17)+CD53*(CD17/CG17)+CE53*(CE17/CG17)+CF53*(CF17/CG17)</f>
        <v>7.5000000000000011E-2</v>
      </c>
      <c r="CH53" s="389"/>
      <c r="CI53" s="1620">
        <v>7.4999999999999997E-2</v>
      </c>
      <c r="CJ53" s="1581">
        <v>7.4999999999999997E-2</v>
      </c>
      <c r="CK53" s="1581">
        <v>7.4999999999999997E-2</v>
      </c>
      <c r="CL53" s="1581">
        <v>7.4999999999999997E-2</v>
      </c>
      <c r="CM53" s="235">
        <f>CI53*(CI17/CM17)+CJ53*(CJ17/CM17)+CK53*(CK17/CM17)+CL53*(CL17/CM17)</f>
        <v>7.4999999999999983E-2</v>
      </c>
      <c r="CN53" s="389"/>
      <c r="CO53" s="389"/>
      <c r="CP53" s="389"/>
      <c r="CQ53" s="389"/>
      <c r="CR53" s="389"/>
      <c r="CS53" s="389"/>
      <c r="CT53" s="201"/>
      <c r="CU53" s="201"/>
      <c r="CV53" s="201"/>
      <c r="CW53" s="201"/>
      <c r="CX53" s="201"/>
      <c r="CY53" s="201"/>
      <c r="CZ53" s="201"/>
      <c r="DA53" s="201"/>
      <c r="DB53" s="201"/>
      <c r="DC53" s="201"/>
      <c r="DD53" s="201"/>
      <c r="DE53" s="201"/>
      <c r="DF53" s="201"/>
    </row>
    <row r="54" spans="1:110" outlineLevel="1">
      <c r="A54" s="309" t="s">
        <v>172</v>
      </c>
      <c r="C54" s="390"/>
      <c r="D54" s="152"/>
      <c r="E54" s="152"/>
      <c r="F54" s="152"/>
      <c r="G54" s="391"/>
      <c r="H54" s="152"/>
      <c r="I54" s="390"/>
      <c r="J54" s="152"/>
      <c r="K54" s="152"/>
      <c r="L54" s="152"/>
      <c r="M54" s="391"/>
      <c r="N54" s="152"/>
      <c r="O54" s="390"/>
      <c r="P54" s="152"/>
      <c r="Q54" s="152"/>
      <c r="R54" s="152"/>
      <c r="S54" s="391"/>
      <c r="T54" s="152"/>
      <c r="U54" s="233"/>
      <c r="V54" s="234"/>
      <c r="W54" s="234"/>
      <c r="X54" s="234"/>
      <c r="Y54" s="222"/>
      <c r="Z54" s="152"/>
      <c r="AA54" s="233"/>
      <c r="AB54" s="234"/>
      <c r="AC54" s="234"/>
      <c r="AD54" s="234"/>
      <c r="AE54" s="222"/>
      <c r="AF54" s="152"/>
      <c r="AG54" s="1654" t="s">
        <v>247</v>
      </c>
      <c r="AH54" s="1655" t="s">
        <v>247</v>
      </c>
      <c r="AI54" s="1655" t="s">
        <v>247</v>
      </c>
      <c r="AJ54" s="1655" t="s">
        <v>247</v>
      </c>
      <c r="AK54" s="1656" t="s">
        <v>247</v>
      </c>
      <c r="AL54" s="152"/>
      <c r="AM54" s="1620">
        <v>0</v>
      </c>
      <c r="AN54" s="1621">
        <v>0</v>
      </c>
      <c r="AO54" s="1621">
        <v>0</v>
      </c>
      <c r="AP54" s="1621">
        <v>0</v>
      </c>
      <c r="AQ54" s="1622">
        <v>0</v>
      </c>
      <c r="AR54" s="152"/>
      <c r="AS54" s="1620">
        <v>0</v>
      </c>
      <c r="AT54" s="1621">
        <v>0</v>
      </c>
      <c r="AU54" s="1621">
        <v>0</v>
      </c>
      <c r="AV54" s="1621">
        <v>0</v>
      </c>
      <c r="AW54" s="1622">
        <v>0</v>
      </c>
      <c r="AX54" s="152"/>
      <c r="AY54" s="1620">
        <v>0</v>
      </c>
      <c r="AZ54" s="1621">
        <v>0</v>
      </c>
      <c r="BA54" s="1621">
        <v>0</v>
      </c>
      <c r="BB54" s="1621">
        <v>0</v>
      </c>
      <c r="BC54" s="235">
        <f>AY54*(AY17/BC17)+AZ54*(AZ17/BC17)+BA54*(BA17/BC17)+BB54*(BB17/BC17)</f>
        <v>0</v>
      </c>
      <c r="BD54" s="152"/>
      <c r="BE54" s="1620">
        <v>0</v>
      </c>
      <c r="BF54" s="1621">
        <v>0</v>
      </c>
      <c r="BG54" s="1621">
        <v>0</v>
      </c>
      <c r="BH54" s="1621">
        <f>2.25/BB17</f>
        <v>6.5789473684210523E-3</v>
      </c>
      <c r="BI54" s="235">
        <f>BE54*(BE17/BI17)+BF54*(BF17/BI17)+BG54*(BG17/BI17)+BH54*(BH17/BI17)</f>
        <v>1.7142327650111191E-3</v>
      </c>
      <c r="BJ54" s="152"/>
      <c r="BK54" s="1620">
        <f>(2.25-1)/BE17</f>
        <v>3.6337209302325581E-3</v>
      </c>
      <c r="BL54" s="1621">
        <f>(0.2/BF17)+(0.5/BF17)</f>
        <v>2.0231213872832369E-3</v>
      </c>
      <c r="BM54" s="1621">
        <f>0.25/BG17</f>
        <v>6.9444444444444447E-4</v>
      </c>
      <c r="BN54" s="1621">
        <v>0</v>
      </c>
      <c r="BO54" s="235">
        <f>BK54*(BK17/BO17)+BL54*(BL17/BO17)+BM54*(BM17/BO17)+BN54*(BN17/BO17)</f>
        <v>1.5361437868210567E-3</v>
      </c>
      <c r="BP54" s="152"/>
      <c r="BQ54" s="1620">
        <f>3.3/BK17</f>
        <v>9.0909090909090905E-3</v>
      </c>
      <c r="BR54" s="1621">
        <f>-3.3/BL17</f>
        <v>-8.7301587301587304E-3</v>
      </c>
      <c r="BS54" s="1621">
        <v>0</v>
      </c>
      <c r="BT54" s="1621">
        <v>0</v>
      </c>
      <c r="BU54" s="235">
        <f>BQ54*(BQ17/BU17)+BR54*(BR17/BU17)+BS54*(BS17/BU17)+BT54*(BT17/BU17)</f>
        <v>-5.7000077007190748E-5</v>
      </c>
      <c r="BV54" s="152"/>
      <c r="BW54" s="1620">
        <v>0</v>
      </c>
      <c r="BX54" s="1621">
        <v>0</v>
      </c>
      <c r="BY54" s="1621">
        <v>0</v>
      </c>
      <c r="BZ54" s="1621">
        <v>0</v>
      </c>
      <c r="CA54" s="235">
        <f>BW54*(BW17/CA17)+BX54*(BX17/CA17)+BY54*(BY17/CA17)+BZ54*(BZ17/CA17)</f>
        <v>0</v>
      </c>
      <c r="CB54" s="302"/>
      <c r="CC54" s="1620">
        <v>0</v>
      </c>
      <c r="CD54" s="1621">
        <v>0</v>
      </c>
      <c r="CE54" s="1621">
        <v>0</v>
      </c>
      <c r="CF54" s="1621">
        <v>0</v>
      </c>
      <c r="CG54" s="235">
        <f>CC54*(CC17/CG17)+CD54*(CD17/CG17)+CE54*(CE17/CG17)+CF54*(CF17/CG17)</f>
        <v>0</v>
      </c>
      <c r="CH54" s="389"/>
      <c r="CI54" s="1620">
        <v>0</v>
      </c>
      <c r="CJ54" s="1621">
        <v>0</v>
      </c>
      <c r="CK54" s="1621">
        <v>0</v>
      </c>
      <c r="CL54" s="1621">
        <v>0</v>
      </c>
      <c r="CM54" s="235">
        <f>CI54*(CI17/CM17)+CJ54*(CJ17/CM17)+CK54*(CK17/CM17)+CL54*(CL17/CM17)</f>
        <v>0</v>
      </c>
      <c r="CN54" s="389"/>
      <c r="CO54" s="389"/>
      <c r="CP54" s="389"/>
      <c r="CQ54" s="389"/>
      <c r="CR54" s="389"/>
      <c r="CS54" s="389"/>
      <c r="CT54" s="201"/>
      <c r="CU54" s="201"/>
      <c r="CV54" s="201"/>
      <c r="CW54" s="201"/>
      <c r="CX54" s="201"/>
      <c r="CY54" s="201"/>
      <c r="CZ54" s="201"/>
      <c r="DA54" s="201"/>
      <c r="DB54" s="201"/>
      <c r="DC54" s="201"/>
      <c r="DD54" s="201"/>
      <c r="DE54" s="201"/>
      <c r="DF54" s="201"/>
    </row>
    <row r="55" spans="1:110" hidden="1" outlineLevel="3">
      <c r="A55" s="309" t="s">
        <v>173</v>
      </c>
      <c r="C55" s="390"/>
      <c r="D55" s="152"/>
      <c r="E55" s="152"/>
      <c r="F55" s="152"/>
      <c r="G55" s="391"/>
      <c r="H55" s="152"/>
      <c r="I55" s="390"/>
      <c r="J55" s="152"/>
      <c r="K55" s="152"/>
      <c r="L55" s="152"/>
      <c r="M55" s="391"/>
      <c r="N55" s="152"/>
      <c r="O55" s="390"/>
      <c r="P55" s="152"/>
      <c r="Q55" s="152"/>
      <c r="R55" s="152"/>
      <c r="S55" s="391"/>
      <c r="T55" s="152"/>
      <c r="U55" s="233"/>
      <c r="V55" s="234"/>
      <c r="W55" s="234"/>
      <c r="X55" s="234"/>
      <c r="Y55" s="222"/>
      <c r="Z55" s="152"/>
      <c r="AA55" s="233"/>
      <c r="AB55" s="234"/>
      <c r="AC55" s="234"/>
      <c r="AD55" s="234"/>
      <c r="AE55" s="222"/>
      <c r="AF55" s="152"/>
      <c r="AG55" s="1654" t="s">
        <v>247</v>
      </c>
      <c r="AH55" s="1655" t="s">
        <v>247</v>
      </c>
      <c r="AI55" s="1655" t="s">
        <v>247</v>
      </c>
      <c r="AJ55" s="1655" t="s">
        <v>247</v>
      </c>
      <c r="AK55" s="1656" t="s">
        <v>247</v>
      </c>
      <c r="AL55" s="152"/>
      <c r="AM55" s="1620">
        <f>+AM59</f>
        <v>-1.1668611435239206E-2</v>
      </c>
      <c r="AN55" s="1621">
        <f>+AN59</f>
        <v>-1.9836639439906652E-2</v>
      </c>
      <c r="AO55" s="1621">
        <f>+AO59</f>
        <v>-1.2528473804100227E-2</v>
      </c>
      <c r="AP55" s="1621">
        <f>+AP59</f>
        <v>-1.1566771819137749E-2</v>
      </c>
      <c r="AQ55" s="235">
        <f>+AQ59</f>
        <v>-1.3830087496471917E-2</v>
      </c>
      <c r="AR55" s="152"/>
      <c r="AS55" s="1620">
        <f>+AS59</f>
        <v>-1.1482254697286013E-2</v>
      </c>
      <c r="AT55" s="1621">
        <f>+AT59</f>
        <v>-6.1728395061728392E-3</v>
      </c>
      <c r="AU55" s="1621">
        <f>+AU59</f>
        <v>1.0515247108307046E-2</v>
      </c>
      <c r="AV55" s="1621">
        <f>+AV59</f>
        <v>-8.8845014807502464E-3</v>
      </c>
      <c r="AW55" s="235">
        <f>+AW59</f>
        <v>-4.1088854648176684E-3</v>
      </c>
      <c r="AX55" s="152"/>
      <c r="AY55" s="1620">
        <f>-14/AS17</f>
        <v>-4.4585987261146494E-2</v>
      </c>
      <c r="AZ55" s="1621">
        <f>-26/AT17</f>
        <v>-0.08</v>
      </c>
      <c r="BA55" s="1621">
        <f>-27/AU17</f>
        <v>-8.0357142857142863E-2</v>
      </c>
      <c r="BB55" s="1621">
        <f>-26/AV17</f>
        <v>-7.8313253012048195E-2</v>
      </c>
      <c r="BC55" s="235">
        <f>AY55*(AY17/BC17)+AZ55*(AZ17/BC17)+BA55*(BA17/BC17)+BB55*(BB17/BC17)</f>
        <v>-7.0842928055308257E-2</v>
      </c>
      <c r="BD55" s="152"/>
      <c r="BE55" s="1620">
        <f>-21/AY17</f>
        <v>-6.3444108761329304E-2</v>
      </c>
      <c r="BF55" s="1621">
        <f>-6/AZ17</f>
        <v>-1.8691588785046728E-2</v>
      </c>
      <c r="BG55" s="1621">
        <f>-4.5/BA17</f>
        <v>-1.3392857142857142E-2</v>
      </c>
      <c r="BH55" s="1621">
        <f>0/BB17</f>
        <v>0</v>
      </c>
      <c r="BI55" s="235">
        <f>BE55*(BE17/BI17)+BF55*(BF17/BI17)+BG55*(BG17/BI17)+BH55*(BH17/BI17)</f>
        <v>-2.3319360355600012E-2</v>
      </c>
      <c r="BJ55" s="152"/>
      <c r="BK55" s="392">
        <f>+BK$59</f>
        <v>-1.1673151750972763E-2</v>
      </c>
      <c r="BL55" s="302">
        <f>+BL$59</f>
        <v>-8.9999999999999993E-3</v>
      </c>
      <c r="BM55" s="302">
        <f>+BM$59</f>
        <v>-8.9999999999999993E-3</v>
      </c>
      <c r="BN55" s="302">
        <f>+BN$59</f>
        <v>0.01</v>
      </c>
      <c r="BO55" s="235">
        <f>BK55*(BK17/BO17)+BL55*(BL17/BO17)+BM55*(BM17/BO17)+BN55*(BN17/BO17)</f>
        <v>-4.6200875804069969E-3</v>
      </c>
      <c r="BP55" s="152"/>
      <c r="BQ55" s="392">
        <f>+BQ$59</f>
        <v>3.4000000000000002E-2</v>
      </c>
      <c r="BR55" s="302">
        <f>+BR$59</f>
        <v>5.2999999999999999E-2</v>
      </c>
      <c r="BS55" s="302">
        <f>+BS$59</f>
        <v>3.3000000000000002E-2</v>
      </c>
      <c r="BT55" s="302">
        <f>+BT$59</f>
        <v>3.1E-2</v>
      </c>
      <c r="BU55" s="235">
        <f>BQ55*(BQ17/BU17)+BR55*(BR17/BU17)+BS55*(BS17/BU17)+BT55*(BT17/BU17)</f>
        <v>3.7676461602301897E-2</v>
      </c>
      <c r="BV55" s="152"/>
      <c r="BW55" s="392">
        <f>+BW$59</f>
        <v>0</v>
      </c>
      <c r="BX55" s="302">
        <f>+BX$59</f>
        <v>0</v>
      </c>
      <c r="BY55" s="302">
        <f>+BY$59</f>
        <v>0</v>
      </c>
      <c r="BZ55" s="302">
        <f>+BZ$59</f>
        <v>0</v>
      </c>
      <c r="CA55" s="235">
        <f>BW55*(BW17/CA17)+BX55*(BX17/CA17)+BY55*(BY17/CA17)+BZ55*(BZ17/CA17)</f>
        <v>0</v>
      </c>
      <c r="CB55" s="302"/>
      <c r="CC55" s="392">
        <f>+CC$59</f>
        <v>0</v>
      </c>
      <c r="CD55" s="302">
        <f>+CD$59</f>
        <v>0</v>
      </c>
      <c r="CE55" s="302">
        <f>+CE$59</f>
        <v>0</v>
      </c>
      <c r="CF55" s="302">
        <f>+CF$59</f>
        <v>0</v>
      </c>
      <c r="CG55" s="235">
        <f>CC55*(CC17/CG17)+CD55*(CD17/CG17)+CE55*(CE17/CG17)+CF55*(CF17/CG17)</f>
        <v>0</v>
      </c>
      <c r="CH55" s="389"/>
      <c r="CI55" s="392">
        <f>+CI$59</f>
        <v>0</v>
      </c>
      <c r="CJ55" s="302">
        <f>+CJ$59</f>
        <v>0</v>
      </c>
      <c r="CK55" s="302">
        <f>+CK$59</f>
        <v>0</v>
      </c>
      <c r="CL55" s="302">
        <f>+CL$59</f>
        <v>0</v>
      </c>
      <c r="CM55" s="235">
        <f>CI55*(CI17/CM17)+CJ55*(CJ17/CM17)+CK55*(CK17/CM17)+CL55*(CL17/CM17)</f>
        <v>0</v>
      </c>
      <c r="CN55" s="389"/>
      <c r="CO55" s="389"/>
      <c r="CP55" s="389"/>
      <c r="CQ55" s="389"/>
      <c r="CR55" s="389"/>
      <c r="CS55" s="389"/>
      <c r="CT55" s="201"/>
      <c r="CU55" s="201"/>
      <c r="CV55" s="201"/>
      <c r="CW55" s="201"/>
      <c r="CX55" s="201"/>
      <c r="CY55" s="201"/>
      <c r="CZ55" s="201"/>
      <c r="DA55" s="201"/>
      <c r="DB55" s="201"/>
      <c r="DC55" s="201"/>
      <c r="DD55" s="201"/>
      <c r="DE55" s="201"/>
      <c r="DF55" s="201"/>
    </row>
    <row r="56" spans="1:110" ht="15" collapsed="1">
      <c r="A56" s="1395" t="s">
        <v>168</v>
      </c>
      <c r="C56" s="1396"/>
      <c r="D56" s="1397"/>
      <c r="E56" s="1397"/>
      <c r="F56" s="1397"/>
      <c r="G56" s="1398"/>
      <c r="H56" s="387"/>
      <c r="I56" s="1396">
        <f>I18/C18-1</f>
        <v>0.16703296703296711</v>
      </c>
      <c r="J56" s="1397">
        <f>J18/D18-1</f>
        <v>0.23831775700934577</v>
      </c>
      <c r="K56" s="1397">
        <f>K18/E18-1</f>
        <v>0.15138592750533042</v>
      </c>
      <c r="L56" s="1397">
        <f>L18/F18-1</f>
        <v>0.13358778625954204</v>
      </c>
      <c r="M56" s="1398">
        <f>M18/G18-1</f>
        <v>0.17004264392324098</v>
      </c>
      <c r="N56" s="387"/>
      <c r="O56" s="1396">
        <f>O18/I18-1</f>
        <v>-1.1299435028248594E-2</v>
      </c>
      <c r="P56" s="1397">
        <f>P18/J18-1</f>
        <v>-6.0377358490566024E-2</v>
      </c>
      <c r="Q56" s="1397">
        <f>Q18/K18-1</f>
        <v>-8.1481481481481488E-2</v>
      </c>
      <c r="R56" s="1397">
        <f>R18/L18-1</f>
        <v>-8.4175084175084125E-2</v>
      </c>
      <c r="S56" s="1398">
        <f>S18/M18-1</f>
        <v>-6.0136674259681056E-2</v>
      </c>
      <c r="T56" s="387"/>
      <c r="U56" s="1396">
        <f>U18/O18-1</f>
        <v>0.11238095238095247</v>
      </c>
      <c r="V56" s="1397">
        <f>V18/P18-1</f>
        <v>0.14859437751004023</v>
      </c>
      <c r="W56" s="1397">
        <f>W18/Q18-1</f>
        <v>0.41733870967741926</v>
      </c>
      <c r="X56" s="1397">
        <f>X18/R18-1</f>
        <v>0.50735294117647056</v>
      </c>
      <c r="Y56" s="1398">
        <f>Y18/S18-1</f>
        <v>0.29859428017450318</v>
      </c>
      <c r="Z56" s="387"/>
      <c r="AA56" s="1396">
        <f>AA18/U18-1</f>
        <v>0.28938356164383561</v>
      </c>
      <c r="AB56" s="1397">
        <f>AB18/V18-1</f>
        <v>0.47727272727272729</v>
      </c>
      <c r="AC56" s="1397">
        <f>AC18/W18-1</f>
        <v>0.18918918918918926</v>
      </c>
      <c r="AD56" s="1397">
        <f>AD18/X18-1</f>
        <v>6.8292682926829329E-2</v>
      </c>
      <c r="AE56" s="1398">
        <f>AE18/Y18-1</f>
        <v>0.23553564762971257</v>
      </c>
      <c r="AF56" s="387"/>
      <c r="AG56" s="1396">
        <f>AG18/AA18-1</f>
        <v>0.13811420982735734</v>
      </c>
      <c r="AH56" s="1397">
        <f>AH18/AB18-1</f>
        <v>1.4201183431952646E-2</v>
      </c>
      <c r="AI56" s="1397">
        <f>AI18/AC18-1</f>
        <v>5.0239234449760861E-2</v>
      </c>
      <c r="AJ56" s="1397">
        <f>AJ18/AD18-1</f>
        <v>8.5616438356164393E-2</v>
      </c>
      <c r="AK56" s="1398">
        <f>AK18/AE18-1</f>
        <v>7.0392749244712949E-2</v>
      </c>
      <c r="AL56" s="387"/>
      <c r="AM56" s="1396">
        <f>AM18/AG18-1</f>
        <v>0.11785297549591589</v>
      </c>
      <c r="AN56" s="1397">
        <f>AN18/AH18-1</f>
        <v>0.13418903150525097</v>
      </c>
      <c r="AO56" s="1397">
        <f>AO18/AI18-1</f>
        <v>8.3143507972665232E-2</v>
      </c>
      <c r="AP56" s="1397">
        <f>AP18/AJ18-1</f>
        <v>6.5194532071503719E-2</v>
      </c>
      <c r="AQ56" s="1398">
        <f>AQ18/AK18-1</f>
        <v>9.9068585944115162E-2</v>
      </c>
      <c r="AR56" s="387"/>
      <c r="AS56" s="1396">
        <f>AS18/AM18-1</f>
        <v>5.2192066805845538E-2</v>
      </c>
      <c r="AT56" s="1397">
        <f>AT18/AN18-1</f>
        <v>1.6460905349794164E-2</v>
      </c>
      <c r="AU56" s="1397">
        <f>AU18/AO18-1</f>
        <v>6.0988433228180927E-2</v>
      </c>
      <c r="AV56" s="1397">
        <f>AV18/AP18-1</f>
        <v>2.9615004935834133E-2</v>
      </c>
      <c r="AW56" s="1398">
        <f>AW18/AQ18-1</f>
        <v>3.9548022598870025E-2</v>
      </c>
      <c r="AX56" s="387"/>
      <c r="AY56" s="1396">
        <f>AY18/AS18-1</f>
        <v>1.7857142857142794E-2</v>
      </c>
      <c r="AZ56" s="1397">
        <f>AZ18/AT18-1</f>
        <v>-2.5303643724696401E-2</v>
      </c>
      <c r="BA56" s="1397">
        <f>BA18/AU18-1</f>
        <v>4.9554013875123815E-3</v>
      </c>
      <c r="BB56" s="1397">
        <f>BB18/AV18-1</f>
        <v>-7.6701821668264669E-3</v>
      </c>
      <c r="BC56" s="1398">
        <f>BC18/AW18-1</f>
        <v>-2.4703557312253377E-3</v>
      </c>
      <c r="BD56" s="387"/>
      <c r="BE56" s="1396">
        <f>BE18/AY18-1</f>
        <v>1.9493177387914784E-3</v>
      </c>
      <c r="BF56" s="1397">
        <f>BF18/AZ18-1</f>
        <v>5.8151609553478645E-2</v>
      </c>
      <c r="BG56" s="1397">
        <f>BG18/BA18-1</f>
        <v>2.9585798816567976E-2</v>
      </c>
      <c r="BH56" s="1397">
        <f>BH18/BB18-1</f>
        <v>7.3429951690821227E-2</v>
      </c>
      <c r="BI56" s="1398">
        <f>BI18/BC18-1</f>
        <v>4.0614165428429994E-2</v>
      </c>
      <c r="BJ56" s="387"/>
      <c r="BK56" s="1396">
        <f>BK18/BE18-1</f>
        <v>3.7937743190661566E-2</v>
      </c>
      <c r="BL56" s="1397">
        <f>BL18/BF18-1</f>
        <v>8.1452404317958749E-2</v>
      </c>
      <c r="BM56" s="1397">
        <f>BM18/BG18-1</f>
        <v>6.7049808429118674E-2</v>
      </c>
      <c r="BN56" s="1397">
        <f>BN18/BH18-1</f>
        <v>7.0207020702070189E-2</v>
      </c>
      <c r="BO56" s="1398">
        <f>BO18/BI18-1</f>
        <v>6.4255116611137586E-2</v>
      </c>
      <c r="BP56" s="387"/>
      <c r="BQ56" s="1396">
        <f>BQ18/BK18-1</f>
        <v>0.13495782567947523</v>
      </c>
      <c r="BR56" s="1397">
        <f>BR18/BL18-1</f>
        <v>0.13947723044146842</v>
      </c>
      <c r="BS56" s="1397">
        <f>BS18/BM18-1</f>
        <v>0.11574451099164684</v>
      </c>
      <c r="BT56" s="1397">
        <f>BT18/BN18-1</f>
        <v>0.10879883538432944</v>
      </c>
      <c r="BU56" s="1398">
        <f>BU18/BO18-1</f>
        <v>0.12433030153469615</v>
      </c>
      <c r="BV56" s="387"/>
      <c r="BW56" s="1396">
        <f>BW18/BQ18-1</f>
        <v>6.7370650544008148E-2</v>
      </c>
      <c r="BX56" s="1397">
        <f>BX18/BR18-1</f>
        <v>6.7564637790029636E-2</v>
      </c>
      <c r="BY56" s="1397">
        <f>BY18/BS18-1</f>
        <v>8.0929414925643872E-2</v>
      </c>
      <c r="BZ56" s="1397">
        <f>BZ18/BT18-1</f>
        <v>7.8350668099167464E-2</v>
      </c>
      <c r="CA56" s="1398">
        <f>CA18/BU18-1</f>
        <v>7.3649870235074966E-2</v>
      </c>
      <c r="CB56" s="1371"/>
      <c r="CC56" s="1396">
        <f>CC18/BW18-1</f>
        <v>5.8829060897070962E-2</v>
      </c>
      <c r="CD56" s="1397">
        <f>CD18/BX18-1</f>
        <v>6.181203623538023E-2</v>
      </c>
      <c r="CE56" s="1397">
        <f>CE18/BY18-1</f>
        <v>6.999441810064444E-2</v>
      </c>
      <c r="CF56" s="1397">
        <f>CF18/BZ18-1</f>
        <v>6.638092261367623E-2</v>
      </c>
      <c r="CG56" s="1398">
        <f>CG18/CA18-1</f>
        <v>6.4337435890210903E-2</v>
      </c>
      <c r="CH56" s="388"/>
      <c r="CI56" s="1396">
        <f>CI18/CC18-1</f>
        <v>6.0846029305965166E-2</v>
      </c>
      <c r="CJ56" s="1397">
        <f>CJ18/CD18-1</f>
        <v>6.4122236833090263E-2</v>
      </c>
      <c r="CK56" s="1397">
        <f>CK18/CE18-1</f>
        <v>7.3692900926236815E-2</v>
      </c>
      <c r="CL56" s="1397">
        <f>CL18/CF18-1</f>
        <v>6.9465738370921848E-2</v>
      </c>
      <c r="CM56" s="1398">
        <f>CM18/CG18-1</f>
        <v>6.7146357156036451E-2</v>
      </c>
      <c r="CN56" s="388"/>
      <c r="CO56" s="388"/>
      <c r="CP56" s="388"/>
      <c r="CQ56" s="388"/>
      <c r="CR56" s="388"/>
      <c r="CS56" s="388"/>
      <c r="CT56" s="50"/>
      <c r="CU56" s="50"/>
      <c r="CV56" s="50"/>
      <c r="CW56" s="50"/>
      <c r="CX56" s="50"/>
      <c r="CY56" s="50"/>
      <c r="CZ56" s="50"/>
      <c r="DA56" s="50"/>
      <c r="DB56" s="50"/>
      <c r="DC56" s="50"/>
      <c r="DD56" s="50"/>
      <c r="DE56" s="50"/>
      <c r="DF56" s="50"/>
    </row>
    <row r="57" spans="1:110" outlineLevel="1">
      <c r="A57" s="309" t="s">
        <v>171</v>
      </c>
      <c r="C57" s="390"/>
      <c r="D57" s="152"/>
      <c r="E57" s="152"/>
      <c r="F57" s="152"/>
      <c r="G57" s="391"/>
      <c r="H57" s="152"/>
      <c r="I57" s="390"/>
      <c r="J57" s="152"/>
      <c r="K57" s="152"/>
      <c r="L57" s="152"/>
      <c r="M57" s="391"/>
      <c r="N57" s="152"/>
      <c r="O57" s="390"/>
      <c r="P57" s="152"/>
      <c r="Q57" s="152"/>
      <c r="R57" s="152"/>
      <c r="S57" s="391"/>
      <c r="T57" s="152"/>
      <c r="U57" s="392">
        <f>+((O8/O18*U23)+(O9/O18*U27)+(O10/O18*U34))</f>
        <v>6.752380952380943E-2</v>
      </c>
      <c r="V57" s="302">
        <f>+((P8/P18*V23)+(P9/P18*V27)+(P10/P18*V34))</f>
        <v>0.10947791164658634</v>
      </c>
      <c r="W57" s="302">
        <f>+((Q8/Q18*W23)+(Q9/Q18*W27)+(Q10/Q18*W34))</f>
        <v>0.15993951612903221</v>
      </c>
      <c r="X57" s="302">
        <f>+((R8/R18*X23)+(R9/R18*X27)+(R10/R18*X34))</f>
        <v>0.17988970588235303</v>
      </c>
      <c r="Y57" s="235">
        <f>+((S8/S18*Y23)+(S9/S18*Y27)+(S10/S18*Y34))</f>
        <v>0.12950072709646149</v>
      </c>
      <c r="Z57" s="152"/>
      <c r="AA57" s="392">
        <f>+((U8/U18*AA23)+(U9/U18*AA27)+(U10/U18*AA34))</f>
        <v>8.253424657534246E-2</v>
      </c>
      <c r="AB57" s="302">
        <f>+((V8/V18*AB23)+(V9/V18*AB27)+(V10/V18*AB34))</f>
        <v>0.11519230769230769</v>
      </c>
      <c r="AC57" s="302">
        <f>+((W8/W18*AC23)+(W9/W18*AC27)+(W10/W18*AC34))</f>
        <v>8.654338549075391E-2</v>
      </c>
      <c r="AD57" s="302">
        <f>+((X8/X18*AD23)+(X9/X18*AD27)+(X10/X18*AD34))</f>
        <v>3.9804878048780454E-2</v>
      </c>
      <c r="AE57" s="235">
        <f>+((Y8/Y18*AE23)+(Y9/Y18*AE27)+(Y10/Y18*AE34))</f>
        <v>7.7118327734229192E-2</v>
      </c>
      <c r="AF57" s="152"/>
      <c r="AG57" s="394">
        <f>+OrgRev!AG17</f>
        <v>0.12899070385126163</v>
      </c>
      <c r="AH57" s="395">
        <f>+OrgRev!AH17</f>
        <v>2.3349112426035531E-2</v>
      </c>
      <c r="AI57" s="395">
        <f>+OrgRev!AI17</f>
        <v>3.5845693779904347E-2</v>
      </c>
      <c r="AJ57" s="395">
        <f>+OrgRev!AJ17</f>
        <v>1.598173515981733E-2</v>
      </c>
      <c r="AK57" s="396">
        <f>+OrgRev!AK17</f>
        <v>5.1897280966767288E-2</v>
      </c>
      <c r="AL57" s="397"/>
      <c r="AM57" s="398">
        <f>+OrgRev!AM17</f>
        <v>1.9771295215869327E-2</v>
      </c>
      <c r="AN57" s="399">
        <f>+OrgRev!AN17</f>
        <v>4.4592765460910178E-2</v>
      </c>
      <c r="AO57" s="399">
        <f>+OrgRev!AO17</f>
        <v>3.8724373576309777E-2</v>
      </c>
      <c r="AP57" s="399">
        <f>+OrgRev!AP17</f>
        <v>7.022082018927446E-2</v>
      </c>
      <c r="AQ57" s="400">
        <f>+OrgRev!AQ17</f>
        <v>5.0155474627710875E-2</v>
      </c>
      <c r="AR57" s="152"/>
      <c r="AS57" s="392">
        <f>+OrgRev!AS17</f>
        <v>6.3674321503131473E-2</v>
      </c>
      <c r="AT57" s="302">
        <f>+OrgRev!AT17</f>
        <v>2.2633744855967135E-2</v>
      </c>
      <c r="AU57" s="302">
        <f>+OrgRev!AU17</f>
        <v>5.0473186119873878E-2</v>
      </c>
      <c r="AV57" s="302">
        <f>((AP12/AP18*AV42)+(AP13/AP18*AV46)+(AP17/AP18*AV53))</f>
        <v>4.8904244817374085E-2</v>
      </c>
      <c r="AW57" s="235">
        <f>+OrgRev!AW17</f>
        <v>4.3656908063687695E-2</v>
      </c>
      <c r="AX57" s="152"/>
      <c r="AY57" s="392">
        <f>((AS12/AS18*AY42)+(AS13/AS18*AY46)+(AS17/AS18*AY53))</f>
        <v>6.819444444444453E-2</v>
      </c>
      <c r="AZ57" s="302">
        <f>((AT12/AT18*AZ42)+(AT13/AT18*AZ46)+(AT17/AT18*AZ53))</f>
        <v>6.4726720647773295E-2</v>
      </c>
      <c r="BA57" s="302">
        <f>((AU12/AU18*BA42)+(AU13/AU18*BA46)+(AU17/AU18*BA53))</f>
        <v>7.0505450941526313E-2</v>
      </c>
      <c r="BB57" s="302">
        <f>((AV12/AV18*BB42)+(AV13/AV18*BB46)+(AV17/AV18*BB53))</f>
        <v>6.1810162991371029E-2</v>
      </c>
      <c r="BC57" s="235">
        <f>+((AW12/AW18*BC42)+(AW13/AW18*BC46)+(AW17/AW18*BC53))</f>
        <v>6.6858420420660189E-2</v>
      </c>
      <c r="BD57" s="152"/>
      <c r="BE57" s="392">
        <f>((AY12/AY18*BE42)+(AY13/AY18*BE46)+(AY17/AY18*BE53))</f>
        <v>6.3735867446393757E-2</v>
      </c>
      <c r="BF57" s="302">
        <f>((AZ12/AZ18*BF42)+(AZ13/AZ18*BF46)+(AZ17/AZ18*BF53))</f>
        <v>4.0700579563507887E-2</v>
      </c>
      <c r="BG57" s="302">
        <f>((BA12/BA18*BG42)+(BA13/BA18*BG46)+(BA17/BA18*BG53))</f>
        <v>3.0571992110453625E-2</v>
      </c>
      <c r="BH57" s="302">
        <f>((BB12/BB18*BH42)+(BB13/BB18*BH46)+(BB17/BB18*BH53))</f>
        <v>6.4073429951690838E-2</v>
      </c>
      <c r="BI57" s="235">
        <f>+((BC12/BC18*BI42)+(BC13/BC18*BI46)+(BC17/BC18*BI53))</f>
        <v>5.0200012344765371E-2</v>
      </c>
      <c r="BJ57" s="152"/>
      <c r="BK57" s="392">
        <f>((BE12/BE18*BK42)+(BE13/BE18*BK46)+(BE17/BE18*BK53))</f>
        <v>5.2856379354721483E-2</v>
      </c>
      <c r="BL57" s="302">
        <f>((BF12/BF18*BL42)+(BF13/BF18*BL46)+(BF17/BF18*BL53))</f>
        <v>8.6557409224730125E-2</v>
      </c>
      <c r="BM57" s="302">
        <f>((BG12/BG18*BM42)+(BG13/BG18*BM46)+(BG17/BG18*BM53))</f>
        <v>7.4885057471264393E-2</v>
      </c>
      <c r="BN57" s="302">
        <f>((BH12/BH18*BN42)+(BH13/BH18*BN46)+(BH17/BH18*BN53))</f>
        <v>7.6228622862286224E-2</v>
      </c>
      <c r="BO57" s="235">
        <f>+((BI12/BI18*BO42)+(BI13/BI18*BO46)+(BI17/BI18*BO53))</f>
        <v>7.2912456827797498E-2</v>
      </c>
      <c r="BP57" s="152"/>
      <c r="BQ57" s="392">
        <f>((BK12/BK18*BQ42)+(BK13/BK18*BQ46)+(BK17/BK18*BQ53))</f>
        <v>6.6609184629803142E-2</v>
      </c>
      <c r="BR57" s="302">
        <f>((BL12/BL18*BR42)+(BL13/BL18*BR46)+(BL17/BL18*BR53))</f>
        <v>9.2466341149272546E-2</v>
      </c>
      <c r="BS57" s="302">
        <f>((BM12/BM18*BS42)+(BM13/BM18*BS46)+(BM17/BM18*BS53))</f>
        <v>7.9871979573334556E-2</v>
      </c>
      <c r="BT57" s="302">
        <f>((BN12/BN18*BT42)+(BN13/BN18*BT46)+(BN17/BN18*BT53))</f>
        <v>7.7378313937735588E-2</v>
      </c>
      <c r="BU57" s="235">
        <f>+((BO12/BO18*BU42)+(BO13/BO18*BU46)+(BO17/BO18*BU53))</f>
        <v>7.9382067105040588E-2</v>
      </c>
      <c r="BV57" s="152"/>
      <c r="BW57" s="392">
        <f>((BQ12/BQ18*BW42)+(BQ13/BQ18*BW46)+(BQ17/BQ18*BW53))</f>
        <v>6.737065054400812E-2</v>
      </c>
      <c r="BX57" s="302">
        <f>((BR12/BR18*BX42)+(BR13/BR18*BX46)+(BR17/BR18*BX53))</f>
        <v>6.7564637790029636E-2</v>
      </c>
      <c r="BY57" s="302">
        <f>((BS12/BS18*BY42)+(BS13/BS18*BY46)+(BS17/BS18*BY53))</f>
        <v>8.0929414925644011E-2</v>
      </c>
      <c r="BZ57" s="302">
        <f>((BT12/BT18*BZ42)+(BT13/BT18*BZ46)+(BT17/BT18*BZ53))</f>
        <v>7.8350668099167659E-2</v>
      </c>
      <c r="CA57" s="235">
        <f>+((BU12/BU18*CA42)+(BU13/BU18*CA46)+(BU17/BU18*CA53))</f>
        <v>7.3826529662469359E-2</v>
      </c>
      <c r="CB57" s="302"/>
      <c r="CC57" s="392">
        <f>((BW12/BW18*CC42)+(BW13/BW18*CC46)+(BW17/BW18*CC53))</f>
        <v>5.8829060897070906E-2</v>
      </c>
      <c r="CD57" s="302">
        <f>((BX12/BX18*CD42)+(BX13/BX18*CD46)+(BX17/BX18*CD53))</f>
        <v>6.1812036235380383E-2</v>
      </c>
      <c r="CE57" s="302">
        <f>((BY12/BY18*CE42)+(BY13/BY18*CE46)+(BY17/BY18*CE53))</f>
        <v>6.9994418100644412E-2</v>
      </c>
      <c r="CF57" s="302">
        <f>((BZ12/BZ18*CF42)+(BZ13/BZ18*CF46)+(BZ17/BZ18*CF53))</f>
        <v>6.6380922613676341E-2</v>
      </c>
      <c r="CG57" s="235">
        <f>+((CA12/CA18*CG42)+(CA13/CA18*CG46)+(CA17/CA18*CG53))</f>
        <v>6.4377085979669735E-2</v>
      </c>
      <c r="CH57" s="389"/>
      <c r="CI57" s="392">
        <f>((CC12/CC18*CI42)+(CC13/CC18*CI46)+(CC17/CC18*CI53))</f>
        <v>6.0846029305965083E-2</v>
      </c>
      <c r="CJ57" s="302">
        <f>((CD12/CD18*CJ42)+(CD13/CD18*CJ46)+(CD17/CD18*CJ53))</f>
        <v>6.4122236833090263E-2</v>
      </c>
      <c r="CK57" s="302">
        <f>((CE12/CE18*CK42)+(CE13/CE18*CK46)+(CE17/CE18*CK53))</f>
        <v>7.3692900926236815E-2</v>
      </c>
      <c r="CL57" s="302">
        <f>((CF12/CF18*CL42)+(CF13/CF18*CL46)+(CF17/CF18*CL53))</f>
        <v>6.9465738370921556E-2</v>
      </c>
      <c r="CM57" s="235">
        <f>+((CG12/CG18*CM42)+(CG13/CG18*CM46)+(CG17/CG18*CM53))</f>
        <v>6.7192550886070568E-2</v>
      </c>
      <c r="CN57" s="389"/>
      <c r="CO57" s="389"/>
      <c r="CP57" s="389"/>
      <c r="CQ57" s="389"/>
      <c r="CR57" s="389"/>
      <c r="CS57" s="389"/>
      <c r="CT57" s="201"/>
      <c r="CU57" s="201"/>
      <c r="CV57" s="201"/>
      <c r="CW57" s="201"/>
      <c r="CX57" s="201"/>
      <c r="CY57" s="201"/>
      <c r="CZ57" s="201"/>
      <c r="DA57" s="201"/>
      <c r="DB57" s="201"/>
      <c r="DC57" s="201"/>
      <c r="DD57" s="201"/>
      <c r="DE57" s="201"/>
      <c r="DF57" s="201"/>
    </row>
    <row r="58" spans="1:110" outlineLevel="1">
      <c r="A58" s="310" t="s">
        <v>172</v>
      </c>
      <c r="C58" s="390"/>
      <c r="D58" s="152"/>
      <c r="E58" s="152"/>
      <c r="F58" s="152"/>
      <c r="G58" s="391"/>
      <c r="H58" s="152"/>
      <c r="I58" s="390"/>
      <c r="J58" s="152"/>
      <c r="K58" s="152"/>
      <c r="L58" s="152"/>
      <c r="M58" s="391"/>
      <c r="N58" s="152"/>
      <c r="O58" s="390"/>
      <c r="P58" s="152"/>
      <c r="Q58" s="152"/>
      <c r="R58" s="152"/>
      <c r="S58" s="391"/>
      <c r="T58" s="152"/>
      <c r="U58" s="233"/>
      <c r="V58" s="234"/>
      <c r="W58" s="234"/>
      <c r="X58" s="234"/>
      <c r="Y58" s="222"/>
      <c r="Z58" s="152"/>
      <c r="AA58" s="233"/>
      <c r="AB58" s="234"/>
      <c r="AC58" s="234"/>
      <c r="AD58" s="234"/>
      <c r="AE58" s="222"/>
      <c r="AF58" s="152"/>
      <c r="AG58" s="401">
        <f>+OrgRev!AG24</f>
        <v>0</v>
      </c>
      <c r="AH58" s="402">
        <f>+OrgRev!AH24</f>
        <v>0</v>
      </c>
      <c r="AI58" s="402">
        <f>+OrgRev!AI24</f>
        <v>4.784688995215311E-2</v>
      </c>
      <c r="AJ58" s="402">
        <f>+OrgRev!AJ24</f>
        <v>0.10273972602739725</v>
      </c>
      <c r="AK58" s="396">
        <f>+OrgRev!AK24</f>
        <v>3.9274924471299093E-2</v>
      </c>
      <c r="AL58" s="397"/>
      <c r="AM58" s="409">
        <f>+OrgRev!AM24</f>
        <v>0.10851808634772463</v>
      </c>
      <c r="AN58" s="410">
        <f>+OrgRev!AN24</f>
        <v>0.10910151691948658</v>
      </c>
      <c r="AO58" s="410">
        <f>+OrgRev!AO24</f>
        <v>5.808656036446469E-2</v>
      </c>
      <c r="AP58" s="410">
        <f>+OrgRev!AP24</f>
        <v>0</v>
      </c>
      <c r="AQ58" s="408">
        <f>+OrgRev!AQ24</f>
        <v>6.3811741462037816E-2</v>
      </c>
      <c r="AR58" s="152"/>
      <c r="AS58" s="1222">
        <f>+OrgRev!AS24</f>
        <v>0</v>
      </c>
      <c r="AT58" s="356">
        <f>+OrgRev!AT24</f>
        <v>0</v>
      </c>
      <c r="AU58" s="356">
        <f>+OrgRev!AU24</f>
        <v>0</v>
      </c>
      <c r="AV58" s="356">
        <f>((AP12/AP18*AV43)+(AP13/AP18*AV50)+(AP17/AP18*AV54))</f>
        <v>-1.0404738400789733E-2</v>
      </c>
      <c r="AW58" s="411">
        <f>+OrgRev!AW24</f>
        <v>0</v>
      </c>
      <c r="AX58" s="152"/>
      <c r="AY58" s="1222">
        <f>((AS12/AS18*AY43)+(AS13/AS18*AY50)+(AS17/AS18*AY54))</f>
        <v>-1.0654761904761905E-2</v>
      </c>
      <c r="AZ58" s="356">
        <f>((AT12/AT18*AZ43)+(AT13/AT18*AZ50)+(AT17/AT18*AZ54))</f>
        <v>-2.0192307692307697E-2</v>
      </c>
      <c r="BA58" s="356">
        <f>((AU12/AU18*BA43)+(AU13/AU18*BA50)+(AU17/AU18*BA54))</f>
        <v>4.8166501486620406E-3</v>
      </c>
      <c r="BB58" s="356">
        <f>((AV12/AV18*BB43)+(AV13/AV18*BB50)+(AV17/AV18*BB54))</f>
        <v>-6.2013422818791948E-3</v>
      </c>
      <c r="BC58" s="411">
        <f>+((AW12/AW18*BC43)+(AW13/AW18*BC50)+(AW17/AW18*BC54))</f>
        <v>-7.8493814097524914E-3</v>
      </c>
      <c r="BD58" s="304"/>
      <c r="BE58" s="1222">
        <f>((AY12/AY18*BE43)+(AY13/AY18*BE50)+(AY17/AY18*BE54))</f>
        <v>-1.0129629629629631E-2</v>
      </c>
      <c r="BF58" s="356">
        <f>((AZ12/AZ18*BF43)+(AZ13/AZ18*BF50)+(AZ17/AZ18*BF54))</f>
        <v>3.0638984299420476E-2</v>
      </c>
      <c r="BG58" s="356">
        <f>((BA12/BA18*BG43)+(BA13/BA18*BG50)+(BA17/BA18*BG54))</f>
        <v>6.41025641025641E-3</v>
      </c>
      <c r="BH58" s="356">
        <f>((BB12/BB18*BH43)+(BB13/BB18*BH50)+(BB17/BB18*BH54))</f>
        <v>8.9371980676328493E-3</v>
      </c>
      <c r="BI58" s="411">
        <f>+((BC12/BC18*BI43)+(BC13/BC18*BI50)+(BC17/BC18*BI54))</f>
        <v>9.0484449904023323E-3</v>
      </c>
      <c r="BJ58" s="304"/>
      <c r="BK58" s="1222">
        <f>((BE12/BE18*BK43)+(BE13/BE18*BK50)+(BE17/BE18*BK54))</f>
        <v>8.9494163424124352E-5</v>
      </c>
      <c r="BL58" s="356">
        <f>((BF12/BF18*BL43)+(BF13/BF18*BL50)+(BF17/BF18*BL54))</f>
        <v>3.3366045142296371E-3</v>
      </c>
      <c r="BM58" s="356">
        <f>((BG12/BG18*BM43)+(BG13/BG18*BM50)+(BG17/BG18*BM54))</f>
        <v>2.3467432950191572E-3</v>
      </c>
      <c r="BN58" s="356">
        <f>((BH12/BH18*BN43)+(BH13/BH18*BN50)+(BH17/BH18*BN54))</f>
        <v>-1.6651665166516651E-2</v>
      </c>
      <c r="BO58" s="411">
        <f>+((BI12/BI18*BO43)+(BI13/BI18*BO50)+(BI17/BI18*BO54))</f>
        <v>-2.9873148359851162E-3</v>
      </c>
      <c r="BP58" s="304"/>
      <c r="BQ58" s="1222">
        <f>((BK12/BK18*BQ43)+(BK13/BK18*BQ50)+(BK17/BK18*BQ54))</f>
        <v>3.4348641049671974E-2</v>
      </c>
      <c r="BR58" s="356">
        <f>((BL12/BL18*BR43)+(BL13/BL18*BR50)+(BL17/BL18*BR54))</f>
        <v>-5.9891107078039931E-3</v>
      </c>
      <c r="BS58" s="356">
        <f>((BM12/BM18*BS43)+(BM13/BM18*BS50)+(BM17/BM18*BS54))</f>
        <v>2.872531418312388E-3</v>
      </c>
      <c r="BT58" s="356">
        <f>((BN12/BN18*BT43)+(BN13/BN18*BT50)+(BN17/BN18*BT54))</f>
        <v>4.2052144659377632E-4</v>
      </c>
      <c r="BU58" s="411">
        <f>+((BO12/BO18*BU43)+(BO13/BO18*BU50)+(BO17/BO18*BU54))</f>
        <v>7.7140527716200759E-3</v>
      </c>
      <c r="BV58" s="304"/>
      <c r="BW58" s="1222">
        <f>((BQ12/BQ18*BW43)+(BQ13/BQ18*BW50)+(BQ17/BQ18*BW54))</f>
        <v>0</v>
      </c>
      <c r="BX58" s="356">
        <f>((BR12/BR18*BX43)+(BR13/BR18*BX50)+(BR17/BR18*BX54))</f>
        <v>0</v>
      </c>
      <c r="BY58" s="356">
        <f>((BS12/BS18*BY43)+(BS13/BS18*BY50)+(BS17/BS18*BY54))</f>
        <v>0</v>
      </c>
      <c r="BZ58" s="356">
        <f>((BT12/BT18*BZ43)+(BT13/BT18*BZ50)+(BT17/BT18*BZ54))</f>
        <v>0</v>
      </c>
      <c r="CA58" s="411">
        <f>+((BU12/BU18*CA43)+(BU13/BU18*CA50)+(BU17/BU18*CA54))</f>
        <v>0</v>
      </c>
      <c r="CB58" s="302"/>
      <c r="CC58" s="1222">
        <f>((BW12/BW18*CC43)+(BW13/BW18*CC50)+(BW17/BW18*CC54))</f>
        <v>0</v>
      </c>
      <c r="CD58" s="356">
        <f>((BX12/BX18*CD43)+(BX13/BX18*CD50)+(BX17/BX18*CD54))</f>
        <v>0</v>
      </c>
      <c r="CE58" s="356">
        <f>((BY12/BY18*CE43)+(BY13/BY18*CE50)+(BY17/BY18*CE54))</f>
        <v>0</v>
      </c>
      <c r="CF58" s="356">
        <f>((BZ12/BZ18*CF43)+(BZ13/BZ18*CF50)+(BZ17/BZ18*CF54))</f>
        <v>0</v>
      </c>
      <c r="CG58" s="411">
        <f>+((CA12/CA18*CG43)+(CA13/CA18*CG50)+(CA17/CA18*CG54))</f>
        <v>0</v>
      </c>
      <c r="CH58" s="389"/>
      <c r="CI58" s="1222">
        <f>((CC12/CC18*CI43)+(CC13/CC18*CI50)+(CC17/CC18*CI54))</f>
        <v>0</v>
      </c>
      <c r="CJ58" s="356">
        <f>((CD12/CD18*CJ43)+(CD13/CD18*CJ50)+(CD17/CD18*CJ54))</f>
        <v>0</v>
      </c>
      <c r="CK58" s="356">
        <f>((CE12/CE18*CK43)+(CE13/CE18*CK50)+(CE17/CE18*CK54))</f>
        <v>0</v>
      </c>
      <c r="CL58" s="356">
        <f>((CF12/CF18*CL43)+(CF13/CF18*CL50)+(CF17/CF18*CL54))</f>
        <v>0</v>
      </c>
      <c r="CM58" s="411">
        <f>+((CG12/CG18*CM43)+(CG13/CG18*CM50)+(CG17/CG18*CM54))</f>
        <v>0</v>
      </c>
      <c r="CN58" s="389"/>
      <c r="CO58" s="389"/>
      <c r="CP58" s="2024"/>
      <c r="CQ58" s="389"/>
      <c r="CR58" s="389"/>
      <c r="CS58" s="389"/>
      <c r="CT58" s="201"/>
      <c r="CU58" s="201"/>
      <c r="CV58" s="201"/>
      <c r="CW58" s="201"/>
      <c r="CX58" s="201"/>
      <c r="CY58" s="201"/>
      <c r="CZ58" s="201"/>
      <c r="DA58" s="201"/>
      <c r="DB58" s="201"/>
      <c r="DC58" s="201"/>
      <c r="DD58" s="201"/>
      <c r="DE58" s="201"/>
      <c r="DF58" s="201"/>
    </row>
    <row r="59" spans="1:110" hidden="1" outlineLevel="3">
      <c r="A59" s="310" t="s">
        <v>173</v>
      </c>
      <c r="C59" s="403"/>
      <c r="D59" s="404"/>
      <c r="E59" s="404"/>
      <c r="F59" s="404"/>
      <c r="G59" s="405"/>
      <c r="H59" s="152"/>
      <c r="I59" s="403"/>
      <c r="J59" s="404"/>
      <c r="K59" s="404"/>
      <c r="L59" s="404"/>
      <c r="M59" s="405"/>
      <c r="N59" s="152"/>
      <c r="O59" s="403"/>
      <c r="P59" s="404"/>
      <c r="Q59" s="404"/>
      <c r="R59" s="404"/>
      <c r="S59" s="405"/>
      <c r="T59" s="152"/>
      <c r="U59" s="241"/>
      <c r="V59" s="242"/>
      <c r="W59" s="242"/>
      <c r="X59" s="242"/>
      <c r="Y59" s="243"/>
      <c r="Z59" s="152"/>
      <c r="AA59" s="241"/>
      <c r="AB59" s="242"/>
      <c r="AC59" s="242"/>
      <c r="AD59" s="242"/>
      <c r="AE59" s="243"/>
      <c r="AF59" s="152"/>
      <c r="AG59" s="406">
        <f>+OrgRev!AG23</f>
        <v>7.9681274900398405E-3</v>
      </c>
      <c r="AH59" s="407">
        <f>+OrgRev!AH23</f>
        <v>-8.2840236686390536E-3</v>
      </c>
      <c r="AI59" s="407">
        <f>+OrgRev!AI23</f>
        <v>-3.3492822966507178E-2</v>
      </c>
      <c r="AJ59" s="407">
        <f>+OrgRev!AJ23</f>
        <v>-2.8538812785388126E-2</v>
      </c>
      <c r="AK59" s="408">
        <f>+OrgRev!AK23</f>
        <v>-1.6314199395770394E-2</v>
      </c>
      <c r="AL59" s="397"/>
      <c r="AM59" s="409">
        <f>+OrgRev!AM23</f>
        <v>-1.1668611435239206E-2</v>
      </c>
      <c r="AN59" s="410">
        <f>+OrgRev!AN23</f>
        <v>-1.9836639439906652E-2</v>
      </c>
      <c r="AO59" s="410">
        <f>+OrgRev!AO23</f>
        <v>-1.2528473804100227E-2</v>
      </c>
      <c r="AP59" s="410">
        <f>+OrgRev!AP23</f>
        <v>-1.1566771819137749E-2</v>
      </c>
      <c r="AQ59" s="408">
        <f>+OrgRev!AQ23</f>
        <v>-1.3830087496471917E-2</v>
      </c>
      <c r="AR59" s="152"/>
      <c r="AS59" s="1657">
        <f>-11/AM18</f>
        <v>-1.1482254697286013E-2</v>
      </c>
      <c r="AT59" s="1658">
        <f>-6/AN18</f>
        <v>-6.1728395061728392E-3</v>
      </c>
      <c r="AU59" s="1658">
        <f>10/AO18</f>
        <v>1.0515247108307046E-2</v>
      </c>
      <c r="AV59" s="1658">
        <f>-9/AP18</f>
        <v>-8.8845014807502464E-3</v>
      </c>
      <c r="AW59" s="411">
        <f>+(-11-6+10-9)/AQ18</f>
        <v>-4.1088854648176684E-3</v>
      </c>
      <c r="AX59" s="152"/>
      <c r="AY59" s="1657">
        <f>-40/AS18</f>
        <v>-3.968253968253968E-2</v>
      </c>
      <c r="AZ59" s="1658">
        <v>-7.0000000000000007E-2</v>
      </c>
      <c r="BA59" s="1658">
        <f>-71/AU18</f>
        <v>-7.0366699702675922E-2</v>
      </c>
      <c r="BB59" s="1658">
        <f>-66/AV18</f>
        <v>-6.327900287631831E-2</v>
      </c>
      <c r="BC59" s="411">
        <f>+((AW12/AW18*BC44)+(AW13/AW18*BC51)+(AW17/AW18*BC55))</f>
        <v>-6.0642678449439061E-2</v>
      </c>
      <c r="BD59" s="153"/>
      <c r="BE59" s="1657">
        <f>-53/AY18</f>
        <v>-5.1656920077972707E-2</v>
      </c>
      <c r="BF59" s="2212">
        <f>((AZ12/AZ18*BF44)+(AZ13/AZ18*BF51)+(AZ17/AZ18*BF55))</f>
        <v>-1.3187954309449634E-2</v>
      </c>
      <c r="BG59" s="356">
        <f>((BA12/BA18*BG44)+(BA13/BA18*BG51)+(BA17/BA18*BG55))</f>
        <v>-7.3964497041420114E-3</v>
      </c>
      <c r="BH59" s="2213">
        <v>4.0000000000000001E-3</v>
      </c>
      <c r="BI59" s="2008">
        <f>+((BC12/BC18*BI44)+(BC13/BC18*BI51)+(BC17/BC18*BI55))</f>
        <v>-1.8667413301956863E-2</v>
      </c>
      <c r="BJ59" s="153"/>
      <c r="BK59" s="2158">
        <f>-12/BE18</f>
        <v>-1.1673151750972763E-2</v>
      </c>
      <c r="BL59" s="2214">
        <v>-8.9999999999999993E-3</v>
      </c>
      <c r="BM59" s="2214">
        <v>-8.9999999999999993E-3</v>
      </c>
      <c r="BN59" s="2423">
        <v>0.01</v>
      </c>
      <c r="BO59" s="444">
        <f>+((BI12/BI18*BO44)+(BI13/BI18*BO51)+(BI17/BI18*BO55))</f>
        <v>-4.5870793573417655E-3</v>
      </c>
      <c r="BP59" s="153"/>
      <c r="BQ59" s="442">
        <v>3.4000000000000002E-2</v>
      </c>
      <c r="BR59" s="443">
        <v>5.2999999999999999E-2</v>
      </c>
      <c r="BS59" s="443">
        <v>3.3000000000000002E-2</v>
      </c>
      <c r="BT59" s="443">
        <v>3.1E-2</v>
      </c>
      <c r="BU59" s="444">
        <f>+((BO12/BO18*BU44)+(BO13/BO18*BU51)+(BO17/BO18*BU55))</f>
        <v>3.7711578200200137E-2</v>
      </c>
      <c r="BV59" s="153"/>
      <c r="BW59" s="442">
        <v>0</v>
      </c>
      <c r="BX59" s="443">
        <v>0</v>
      </c>
      <c r="BY59" s="443">
        <v>0</v>
      </c>
      <c r="BZ59" s="443">
        <v>0</v>
      </c>
      <c r="CA59" s="444">
        <f>+((BU12/BU18*CA44)+(BU13/BU18*CA51)+(BU17/BU18*CA55))</f>
        <v>0</v>
      </c>
      <c r="CB59" s="2118"/>
      <c r="CC59" s="442">
        <v>0</v>
      </c>
      <c r="CD59" s="443">
        <v>0</v>
      </c>
      <c r="CE59" s="443">
        <v>0</v>
      </c>
      <c r="CF59" s="443">
        <v>0</v>
      </c>
      <c r="CG59" s="444">
        <f>+((CA12/CA18*CG44)+(CA13/CA18*CG51)+(CA17/CA18*CG55))</f>
        <v>0</v>
      </c>
      <c r="CH59" s="389"/>
      <c r="CI59" s="442">
        <v>0</v>
      </c>
      <c r="CJ59" s="443">
        <v>0</v>
      </c>
      <c r="CK59" s="443">
        <v>0</v>
      </c>
      <c r="CL59" s="443">
        <v>0</v>
      </c>
      <c r="CM59" s="444">
        <f>+((CG12/CG18*CM44)+(CG13/CG18*CM51)+(CG17/CG18*CM55))</f>
        <v>0</v>
      </c>
      <c r="CN59" s="389"/>
      <c r="CO59" s="389"/>
      <c r="CP59" s="389"/>
      <c r="CQ59" s="389"/>
      <c r="CR59" s="389"/>
      <c r="CS59" s="389"/>
      <c r="CT59" s="201"/>
      <c r="CU59" s="201"/>
      <c r="CV59" s="201"/>
      <c r="CW59" s="201"/>
      <c r="CX59" s="201"/>
      <c r="CY59" s="201"/>
      <c r="CZ59" s="201"/>
      <c r="DA59" s="201"/>
      <c r="DB59" s="201"/>
      <c r="DC59" s="201"/>
      <c r="DD59" s="201"/>
      <c r="DE59" s="201"/>
      <c r="DF59" s="201"/>
    </row>
    <row r="60" spans="1:110" ht="15" hidden="1" outlineLevel="2">
      <c r="A60" s="1349" t="s">
        <v>169</v>
      </c>
      <c r="C60" s="1350"/>
      <c r="D60" s="1351"/>
      <c r="E60" s="1351"/>
      <c r="F60" s="1351"/>
      <c r="G60" s="1352"/>
      <c r="H60" s="374"/>
      <c r="I60" s="1350"/>
      <c r="J60" s="1351"/>
      <c r="K60" s="1351"/>
      <c r="L60" s="1351"/>
      <c r="M60" s="1352"/>
      <c r="N60" s="374"/>
      <c r="O60" s="1350"/>
      <c r="P60" s="1351"/>
      <c r="Q60" s="1351"/>
      <c r="R60" s="1351"/>
      <c r="S60" s="1352"/>
      <c r="T60" s="374"/>
      <c r="U60" s="1350"/>
      <c r="V60" s="1351"/>
      <c r="W60" s="1351"/>
      <c r="X60" s="1353"/>
      <c r="Y60" s="1352"/>
      <c r="Z60" s="374"/>
      <c r="AA60" s="1350"/>
      <c r="AB60" s="1351"/>
      <c r="AC60" s="1351"/>
      <c r="AD60" s="1353"/>
      <c r="AE60" s="1352"/>
      <c r="AF60" s="374"/>
      <c r="AG60" s="1350"/>
      <c r="AH60" s="1351"/>
      <c r="AI60" s="1351"/>
      <c r="AJ60" s="1353"/>
      <c r="AK60" s="1352"/>
      <c r="AL60" s="374"/>
      <c r="AM60" s="1350"/>
      <c r="AN60" s="1351"/>
      <c r="AO60" s="1351"/>
      <c r="AP60" s="1351"/>
      <c r="AQ60" s="1351"/>
      <c r="AR60" s="374"/>
      <c r="AS60" s="1350"/>
      <c r="AT60" s="1351"/>
      <c r="AU60" s="1351"/>
      <c r="AV60" s="1351"/>
      <c r="AW60" s="1351"/>
      <c r="AX60" s="374"/>
      <c r="AY60" s="1350">
        <f>AY13-SUM(AY14:AY16)</f>
        <v>0</v>
      </c>
      <c r="AZ60" s="1351">
        <f t="shared" ref="AZ60:CA60" si="13">AZ13-SUM(AZ14:AZ16)</f>
        <v>0</v>
      </c>
      <c r="BA60" s="1351">
        <f t="shared" si="13"/>
        <v>0</v>
      </c>
      <c r="BB60" s="1351">
        <f t="shared" si="13"/>
        <v>0</v>
      </c>
      <c r="BC60" s="1353">
        <f t="shared" si="13"/>
        <v>0</v>
      </c>
      <c r="BD60">
        <f t="shared" si="13"/>
        <v>0</v>
      </c>
      <c r="BE60" s="1350">
        <f t="shared" si="13"/>
        <v>0</v>
      </c>
      <c r="BF60" s="2211">
        <f t="shared" si="13"/>
        <v>0</v>
      </c>
      <c r="BG60" s="1351">
        <f t="shared" si="13"/>
        <v>0</v>
      </c>
      <c r="BH60" s="1351">
        <f t="shared" si="13"/>
        <v>0</v>
      </c>
      <c r="BI60" s="1353">
        <f t="shared" si="13"/>
        <v>0</v>
      </c>
      <c r="BJ60"/>
      <c r="BK60" s="1350">
        <f t="shared" si="13"/>
        <v>0</v>
      </c>
      <c r="BL60" s="1351">
        <f t="shared" si="13"/>
        <v>0</v>
      </c>
      <c r="BM60" s="1351">
        <f>BM13-SUM(BM14:BM16)</f>
        <v>0</v>
      </c>
      <c r="BN60" s="1351">
        <f>BN13-SUM(BN14:BN16)</f>
        <v>0</v>
      </c>
      <c r="BO60" s="1353">
        <f t="shared" si="13"/>
        <v>0</v>
      </c>
      <c r="BP60">
        <f t="shared" si="13"/>
        <v>0</v>
      </c>
      <c r="BQ60" s="1350">
        <f t="shared" si="13"/>
        <v>0</v>
      </c>
      <c r="BR60" s="1351">
        <f t="shared" si="13"/>
        <v>0</v>
      </c>
      <c r="BS60" s="1351">
        <f t="shared" si="13"/>
        <v>0</v>
      </c>
      <c r="BT60" s="1351">
        <f t="shared" si="13"/>
        <v>0</v>
      </c>
      <c r="BU60" s="1353">
        <f t="shared" si="13"/>
        <v>0</v>
      </c>
      <c r="BV60">
        <f t="shared" si="13"/>
        <v>0</v>
      </c>
      <c r="BW60" s="1350">
        <f t="shared" si="13"/>
        <v>0</v>
      </c>
      <c r="BX60" s="1351">
        <f t="shared" si="13"/>
        <v>0</v>
      </c>
      <c r="BY60" s="1351">
        <f t="shared" si="13"/>
        <v>0</v>
      </c>
      <c r="BZ60" s="1351">
        <f t="shared" si="13"/>
        <v>0</v>
      </c>
      <c r="CA60" s="1353">
        <f t="shared" si="13"/>
        <v>0</v>
      </c>
      <c r="CB60" s="2117"/>
      <c r="CC60" s="1350">
        <f>CC13-SUM(CC14:CC16)</f>
        <v>0</v>
      </c>
      <c r="CD60" s="1351">
        <f>CD13-SUM(CD14:CD16)</f>
        <v>0</v>
      </c>
      <c r="CE60" s="1351">
        <f>CE13-SUM(CE14:CE16)</f>
        <v>0</v>
      </c>
      <c r="CF60" s="1351">
        <f>CF13-SUM(CF14:CF16)</f>
        <v>0</v>
      </c>
      <c r="CG60" s="1353">
        <f>CG13-SUM(CG14:CG16)</f>
        <v>0</v>
      </c>
      <c r="CH60" s="389"/>
      <c r="CI60" s="1350">
        <f>CI13-SUM(CI14:CI16)</f>
        <v>0</v>
      </c>
      <c r="CJ60" s="1351">
        <f>CJ13-SUM(CJ14:CJ16)</f>
        <v>0</v>
      </c>
      <c r="CK60" s="1351">
        <f>CK13-SUM(CK14:CK16)</f>
        <v>0</v>
      </c>
      <c r="CL60" s="1351">
        <f>CL13-SUM(CL14:CL16)</f>
        <v>0</v>
      </c>
      <c r="CM60" s="1353">
        <f>CM13-SUM(CM14:CM16)</f>
        <v>0</v>
      </c>
      <c r="CN60" s="389"/>
      <c r="CO60" s="389"/>
      <c r="CP60" s="389"/>
      <c r="CQ60" s="389"/>
      <c r="CR60" s="389"/>
      <c r="CS60" s="389"/>
      <c r="CT60" s="201"/>
      <c r="CU60" s="201"/>
      <c r="CV60" s="201"/>
      <c r="CW60" s="201"/>
      <c r="CX60" s="201"/>
      <c r="CY60" s="201"/>
      <c r="CZ60" s="201"/>
      <c r="DA60" s="201"/>
      <c r="DB60" s="201"/>
      <c r="DC60" s="201"/>
      <c r="DD60" s="201"/>
      <c r="DE60" s="201"/>
      <c r="DF60" s="201"/>
    </row>
    <row r="61" spans="1:110" ht="6" customHeight="1" collapsed="1">
      <c r="A61" s="317"/>
      <c r="C61" s="152"/>
      <c r="D61" s="152"/>
      <c r="E61" s="152"/>
      <c r="F61" s="152"/>
      <c r="G61" s="152"/>
      <c r="H61" s="387"/>
      <c r="I61" s="152"/>
      <c r="J61" s="152"/>
      <c r="K61" s="152"/>
      <c r="L61" s="152"/>
      <c r="M61" s="152"/>
      <c r="N61" s="387"/>
      <c r="O61" s="152"/>
      <c r="P61" s="152"/>
      <c r="Q61" s="152"/>
      <c r="R61" s="152"/>
      <c r="S61" s="152"/>
      <c r="T61" s="387"/>
      <c r="U61" s="152"/>
      <c r="V61" s="152"/>
      <c r="W61" s="152"/>
      <c r="X61" s="152"/>
      <c r="Y61" s="152"/>
      <c r="Z61" s="387"/>
      <c r="AA61" s="152"/>
      <c r="AB61" s="152"/>
      <c r="AC61" s="152"/>
      <c r="AD61" s="152"/>
      <c r="AE61" s="152"/>
      <c r="AF61" s="387"/>
      <c r="AG61" s="152"/>
      <c r="AH61" s="152"/>
      <c r="AI61" s="152"/>
      <c r="AJ61" s="152"/>
      <c r="AK61" s="152"/>
      <c r="AL61" s="387"/>
      <c r="AM61" s="152"/>
      <c r="AN61" s="152"/>
      <c r="AO61" s="152"/>
      <c r="AP61" s="152"/>
      <c r="AQ61" s="152"/>
      <c r="AR61" s="387"/>
      <c r="AS61" s="152"/>
      <c r="AT61" s="152"/>
      <c r="AU61" s="152"/>
      <c r="AV61" s="152"/>
      <c r="AW61" s="152"/>
      <c r="AX61" s="387"/>
      <c r="AY61" s="412"/>
      <c r="AZ61" s="412"/>
      <c r="BA61" s="412"/>
      <c r="BB61" s="412"/>
      <c r="BC61" s="412"/>
      <c r="BD61" s="412"/>
      <c r="BE61" s="412"/>
      <c r="BF61" s="412"/>
      <c r="BG61" s="412"/>
      <c r="BH61" s="412"/>
      <c r="BI61" s="412"/>
      <c r="BJ61" s="412"/>
      <c r="BK61" s="412"/>
      <c r="BL61" s="412"/>
      <c r="BM61" s="412"/>
      <c r="BN61" s="412"/>
      <c r="BO61" s="412"/>
      <c r="BP61" s="412"/>
      <c r="BQ61" s="412"/>
      <c r="BR61" s="412"/>
      <c r="BS61" s="412"/>
      <c r="BT61" s="412"/>
      <c r="BU61" s="412"/>
      <c r="BV61" s="412"/>
      <c r="BW61" s="412"/>
      <c r="BX61" s="412"/>
      <c r="BY61" s="412"/>
      <c r="BZ61" s="412"/>
      <c r="CA61" s="412"/>
      <c r="CB61" s="412"/>
      <c r="CC61" s="412"/>
      <c r="CD61" s="412"/>
      <c r="CE61" s="412"/>
      <c r="CF61" s="412"/>
      <c r="CG61" s="412"/>
      <c r="CH61" s="388"/>
      <c r="CI61" s="412"/>
      <c r="CJ61" s="412"/>
      <c r="CK61" s="412"/>
      <c r="CL61" s="412"/>
      <c r="CM61" s="412"/>
      <c r="CN61" s="388"/>
      <c r="CO61" s="388"/>
      <c r="CP61" s="388"/>
      <c r="CQ61" s="388"/>
      <c r="CR61" s="388"/>
      <c r="CS61" s="388"/>
      <c r="CT61" s="50"/>
      <c r="CU61" s="50"/>
      <c r="CV61" s="50"/>
      <c r="CW61" s="50"/>
      <c r="CX61" s="50"/>
      <c r="CY61" s="50"/>
      <c r="CZ61" s="50"/>
      <c r="DA61" s="50"/>
      <c r="DB61" s="50"/>
      <c r="DC61" s="50"/>
      <c r="DD61" s="50"/>
      <c r="DE61" s="50"/>
      <c r="DF61" s="50"/>
    </row>
    <row r="62" spans="1:110" ht="6" customHeight="1">
      <c r="A62" s="6"/>
      <c r="C62" s="6"/>
      <c r="D62" s="6"/>
      <c r="E62" s="6"/>
      <c r="F62" s="6"/>
      <c r="G62" s="6"/>
      <c r="I62" s="6"/>
      <c r="J62" s="6"/>
      <c r="K62" s="6"/>
      <c r="L62" s="6"/>
      <c r="M62" s="6"/>
      <c r="O62" s="6"/>
      <c r="P62" s="6"/>
      <c r="Q62" s="6"/>
      <c r="R62" s="6"/>
      <c r="S62" s="6"/>
      <c r="U62" s="6"/>
      <c r="V62" s="6"/>
      <c r="W62" s="6"/>
      <c r="X62" s="6"/>
      <c r="Y62" s="6"/>
      <c r="AA62" s="6"/>
      <c r="AB62" s="6"/>
      <c r="AC62" s="6"/>
      <c r="AD62" s="6"/>
      <c r="AE62" s="6"/>
      <c r="AG62" s="6"/>
      <c r="AH62" s="6"/>
      <c r="AI62" s="6"/>
      <c r="AJ62" s="6"/>
      <c r="AK62" s="6"/>
      <c r="AM62" s="6"/>
      <c r="AN62" s="6"/>
      <c r="AO62" s="6"/>
      <c r="AP62" s="6"/>
      <c r="AQ62" s="6"/>
      <c r="AS62" s="6"/>
      <c r="AT62" s="6"/>
      <c r="AU62" s="6"/>
      <c r="AV62" s="6"/>
      <c r="AW62" s="6"/>
      <c r="AY62" s="6"/>
      <c r="AZ62" s="6"/>
      <c r="BA62" s="6"/>
      <c r="BB62" s="6"/>
      <c r="BC62" s="6"/>
      <c r="BE62" s="6"/>
      <c r="BF62" s="6"/>
      <c r="BG62" s="6"/>
      <c r="BH62" s="6"/>
      <c r="BI62" s="6"/>
      <c r="BK62" s="6"/>
      <c r="BL62" s="6"/>
      <c r="BM62" s="6"/>
      <c r="BN62" s="6"/>
      <c r="BO62" s="6"/>
      <c r="BQ62" s="6"/>
      <c r="BR62" s="6"/>
      <c r="BS62" s="6"/>
      <c r="BT62" s="6"/>
      <c r="BU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298"/>
      <c r="CI62" s="6"/>
      <c r="CJ62" s="6"/>
      <c r="CK62" s="6"/>
      <c r="CL62" s="6"/>
      <c r="CM62" s="6"/>
      <c r="CN62" s="298"/>
      <c r="CO62" s="298"/>
      <c r="CP62" s="298"/>
      <c r="CQ62" s="298"/>
      <c r="CR62" s="298"/>
      <c r="CS62" s="298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</row>
    <row r="63" spans="1:110">
      <c r="A63" s="2192" t="s">
        <v>177</v>
      </c>
      <c r="B63" s="2181"/>
      <c r="C63" s="2182"/>
      <c r="D63" s="2183"/>
      <c r="E63" s="2183"/>
      <c r="F63" s="2183"/>
      <c r="G63" s="2184"/>
      <c r="H63" s="2185"/>
      <c r="I63" s="2182"/>
      <c r="J63" s="2183"/>
      <c r="K63" s="2183"/>
      <c r="L63" s="2183"/>
      <c r="M63" s="2184"/>
      <c r="N63" s="2185"/>
      <c r="O63" s="2182"/>
      <c r="P63" s="2183"/>
      <c r="Q63" s="2183"/>
      <c r="R63" s="2183"/>
      <c r="S63" s="2184"/>
      <c r="T63" s="2185"/>
      <c r="U63" s="2182"/>
      <c r="V63" s="2183"/>
      <c r="W63" s="2183"/>
      <c r="X63" s="2183"/>
      <c r="Y63" s="2184"/>
      <c r="Z63" s="2185"/>
      <c r="AA63" s="2182"/>
      <c r="AB63" s="2183"/>
      <c r="AC63" s="2183"/>
      <c r="AD63" s="2183"/>
      <c r="AE63" s="2184"/>
      <c r="AF63" s="2185"/>
      <c r="AG63" s="2182"/>
      <c r="AH63" s="2183"/>
      <c r="AI63" s="2183"/>
      <c r="AJ63" s="2183"/>
      <c r="AK63" s="2184"/>
      <c r="AL63" s="2185"/>
      <c r="AM63" s="2182"/>
      <c r="AN63" s="2183"/>
      <c r="AO63" s="2183"/>
      <c r="AP63" s="2198"/>
      <c r="AQ63" s="2184"/>
      <c r="AR63" s="2185"/>
      <c r="AS63" s="2182"/>
      <c r="AT63" s="2183"/>
      <c r="AU63" s="2183"/>
      <c r="AV63" s="2198"/>
      <c r="AW63" s="2184"/>
      <c r="AX63" s="2185"/>
      <c r="AY63" s="2182"/>
      <c r="AZ63" s="2183"/>
      <c r="BA63" s="2183"/>
      <c r="BB63" s="2198"/>
      <c r="BC63" s="2184"/>
      <c r="BD63" s="2185"/>
      <c r="BE63" s="2182"/>
      <c r="BF63" s="2183"/>
      <c r="BG63" s="2183"/>
      <c r="BH63" s="2198"/>
      <c r="BI63" s="2184"/>
      <c r="BJ63" s="2185"/>
      <c r="BK63" s="2182"/>
      <c r="BL63" s="2183"/>
      <c r="BM63" s="2183"/>
      <c r="BN63" s="2198"/>
      <c r="BO63" s="2184"/>
      <c r="BP63" s="2185"/>
      <c r="BQ63" s="2182"/>
      <c r="BR63" s="2183"/>
      <c r="BS63" s="2183"/>
      <c r="BT63" s="2198"/>
      <c r="BU63" s="2184"/>
      <c r="BV63" s="2185"/>
      <c r="BW63" s="2182"/>
      <c r="BX63" s="2183"/>
      <c r="BY63" s="2183"/>
      <c r="BZ63" s="2198"/>
      <c r="CA63" s="2184"/>
      <c r="CB63" s="2199"/>
      <c r="CC63" s="2182"/>
      <c r="CD63" s="2183"/>
      <c r="CE63" s="28"/>
      <c r="CF63" s="361"/>
      <c r="CG63" s="360"/>
      <c r="CH63" s="273"/>
      <c r="CI63" s="2182"/>
      <c r="CJ63" s="2183"/>
      <c r="CK63" s="28"/>
      <c r="CL63" s="361"/>
      <c r="CM63" s="360"/>
      <c r="CN63" s="273"/>
      <c r="CO63" s="273"/>
      <c r="CP63" s="273"/>
      <c r="CQ63" s="273"/>
      <c r="CR63" s="273"/>
      <c r="CS63" s="273"/>
      <c r="CT63" s="149"/>
      <c r="CU63" s="149"/>
      <c r="CV63" s="149"/>
      <c r="CW63" s="149"/>
      <c r="CX63" s="149"/>
      <c r="CY63" s="149"/>
      <c r="CZ63" s="149"/>
      <c r="DA63" s="149"/>
      <c r="DB63" s="149"/>
      <c r="DC63" s="149"/>
      <c r="DD63" s="149"/>
      <c r="DE63" s="149"/>
      <c r="DF63" s="149"/>
    </row>
    <row r="64" spans="1:110" ht="15" outlineLevel="1">
      <c r="A64" s="413" t="s">
        <v>178</v>
      </c>
      <c r="C64" s="414">
        <f t="shared" ref="C64:G69" si="14">C71/C$18</f>
        <v>0.36571428571428571</v>
      </c>
      <c r="D64" s="415">
        <f t="shared" si="14"/>
        <v>0.40093457943925231</v>
      </c>
      <c r="E64" s="415">
        <f t="shared" si="14"/>
        <v>0.35155650319829423</v>
      </c>
      <c r="F64" s="416">
        <f t="shared" si="14"/>
        <v>0.33114503816793894</v>
      </c>
      <c r="G64" s="417">
        <f t="shared" si="14"/>
        <v>0.36055437100213217</v>
      </c>
      <c r="H64" s="418"/>
      <c r="I64" s="414">
        <f t="shared" ref="I64:M69" si="15">I71/I$18</f>
        <v>0.34103578154425612</v>
      </c>
      <c r="J64" s="415">
        <f t="shared" si="15"/>
        <v>0.38460377358490566</v>
      </c>
      <c r="K64" s="415">
        <f t="shared" si="15"/>
        <v>0.34762962962962962</v>
      </c>
      <c r="L64" s="416">
        <f t="shared" si="15"/>
        <v>0.34905723905723907</v>
      </c>
      <c r="M64" s="417">
        <f t="shared" si="15"/>
        <v>0.35534851936218681</v>
      </c>
      <c r="N64" s="418"/>
      <c r="O64" s="414">
        <f t="shared" ref="O64:S69" si="16">O71/O$18</f>
        <v>0.33314285714285713</v>
      </c>
      <c r="P64" s="415">
        <f t="shared" si="16"/>
        <v>0.35052208835341364</v>
      </c>
      <c r="Q64" s="415">
        <f t="shared" si="16"/>
        <v>0.36227822580645158</v>
      </c>
      <c r="R64" s="416">
        <f t="shared" si="16"/>
        <v>0.34323529411764708</v>
      </c>
      <c r="S64" s="417">
        <f t="shared" si="16"/>
        <v>0.34700436257876882</v>
      </c>
      <c r="T64" s="418"/>
      <c r="U64" s="414">
        <f t="shared" ref="U64:Y69" si="17">U71/U$18</f>
        <v>0.33232876712328768</v>
      </c>
      <c r="V64" s="415">
        <f t="shared" si="17"/>
        <v>0.28886363636363632</v>
      </c>
      <c r="W64" s="415">
        <f t="shared" si="17"/>
        <v>0.27780938833570412</v>
      </c>
      <c r="X64" s="416">
        <f t="shared" si="17"/>
        <v>0.27043902439024387</v>
      </c>
      <c r="Y64" s="419">
        <f t="shared" si="17"/>
        <v>0.28979843225083984</v>
      </c>
      <c r="Z64" s="418"/>
      <c r="AA64" s="414">
        <f t="shared" ref="AA64:AE69" si="18">AA71/AA$18</f>
        <v>0.3035856573705179</v>
      </c>
      <c r="AB64" s="415">
        <f t="shared" si="18"/>
        <v>0.27817751479289943</v>
      </c>
      <c r="AC64" s="415">
        <f t="shared" si="18"/>
        <v>0.28334928229665074</v>
      </c>
      <c r="AD64" s="416">
        <f t="shared" si="18"/>
        <v>0.27664383561643835</v>
      </c>
      <c r="AE64" s="419">
        <f t="shared" si="18"/>
        <v>0.28485800604229605</v>
      </c>
      <c r="AF64" s="418"/>
      <c r="AG64" s="1623">
        <v>0.30525087514585769</v>
      </c>
      <c r="AH64" s="1624">
        <v>0.28310385064177362</v>
      </c>
      <c r="AI64" s="1624">
        <v>0.25707630979498863</v>
      </c>
      <c r="AJ64" s="1625">
        <v>0.26012618296529966</v>
      </c>
      <c r="AK64" s="1626">
        <v>0.27584335309060121</v>
      </c>
      <c r="AL64" s="418"/>
      <c r="AM64" s="1623">
        <v>0.26304801670146138</v>
      </c>
      <c r="AN64" s="1624">
        <v>0.24946502057613168</v>
      </c>
      <c r="AO64" s="1624">
        <v>0.26056782334384859</v>
      </c>
      <c r="AP64" s="1625">
        <v>0.25439289239881541</v>
      </c>
      <c r="AQ64" s="1822">
        <v>0.25680020544427323</v>
      </c>
      <c r="AR64" s="418"/>
      <c r="AS64" s="1630">
        <v>0.26650793650793647</v>
      </c>
      <c r="AT64" s="1624">
        <v>0.24528340080971661</v>
      </c>
      <c r="AU64" s="1624">
        <v>0.24503468780971263</v>
      </c>
      <c r="AV64" s="1624">
        <v>0.25</v>
      </c>
      <c r="AW64" s="421">
        <f t="shared" ref="AW64:AW69" si="19">AW71/AW$18</f>
        <v>0.25172183794466402</v>
      </c>
      <c r="AX64" s="418"/>
      <c r="AY64" s="1630">
        <v>0.25</v>
      </c>
      <c r="AZ64" s="1624">
        <v>0.26</v>
      </c>
      <c r="BA64" s="1624">
        <v>0.27</v>
      </c>
      <c r="BB64" s="1624">
        <v>0.28000000000000003</v>
      </c>
      <c r="BC64" s="421">
        <f t="shared" ref="BC64:BC69" si="20">BC71/BC$18</f>
        <v>0.26509658246656764</v>
      </c>
      <c r="BD64" s="418"/>
      <c r="BE64" s="1630">
        <v>0.28999999999999998</v>
      </c>
      <c r="BF64" s="1624">
        <v>0.28000000000000003</v>
      </c>
      <c r="BG64" s="1624">
        <v>0.28999999999999998</v>
      </c>
      <c r="BH64" s="1624">
        <v>0.31</v>
      </c>
      <c r="BI64" s="421">
        <f t="shared" ref="BI64:BI69" si="21">BI71/BI$18</f>
        <v>0.29286292241789624</v>
      </c>
      <c r="BJ64" s="418"/>
      <c r="BK64" s="2150">
        <v>0.3</v>
      </c>
      <c r="BL64" s="1624">
        <v>0.28999999999999998</v>
      </c>
      <c r="BM64" s="1624">
        <v>0.3</v>
      </c>
      <c r="BN64" s="2424">
        <v>0.28000000000000003</v>
      </c>
      <c r="BO64" s="417"/>
      <c r="BP64" s="418"/>
      <c r="BQ64" s="2150">
        <v>0.28999999999999998</v>
      </c>
      <c r="BR64" s="415"/>
      <c r="BS64" s="415"/>
      <c r="BT64" s="415"/>
      <c r="BU64" s="417"/>
      <c r="BV64" s="418"/>
      <c r="BW64" s="420"/>
      <c r="BX64" s="415"/>
      <c r="BY64" s="415"/>
      <c r="BZ64" s="415"/>
      <c r="CA64" s="417"/>
      <c r="CB64" s="415"/>
      <c r="CC64" s="420"/>
      <c r="CD64" s="415"/>
      <c r="CE64" s="415"/>
      <c r="CF64" s="415"/>
      <c r="CG64" s="417"/>
      <c r="CH64" s="299"/>
      <c r="CI64" s="420"/>
      <c r="CJ64" s="415"/>
      <c r="CK64" s="415"/>
      <c r="CL64" s="415"/>
      <c r="CM64" s="417"/>
      <c r="CN64" s="299"/>
      <c r="CO64" s="299"/>
      <c r="CP64" s="2004"/>
      <c r="CQ64" s="2004"/>
      <c r="CR64" s="299"/>
      <c r="CS64" s="299"/>
      <c r="CU64" s="422"/>
      <c r="CV64" s="422"/>
      <c r="CY64" s="422"/>
      <c r="CZ64" s="422"/>
      <c r="DE64" s="1631"/>
      <c r="DF64" s="1631"/>
    </row>
    <row r="65" spans="1:110" ht="15" outlineLevel="1">
      <c r="A65" s="413" t="s">
        <v>179</v>
      </c>
      <c r="C65" s="414">
        <f t="shared" si="14"/>
        <v>0</v>
      </c>
      <c r="D65" s="415">
        <f t="shared" si="14"/>
        <v>0</v>
      </c>
      <c r="E65" s="415">
        <f t="shared" si="14"/>
        <v>0</v>
      </c>
      <c r="F65" s="419">
        <f t="shared" si="14"/>
        <v>0</v>
      </c>
      <c r="G65" s="417">
        <f t="shared" si="14"/>
        <v>0</v>
      </c>
      <c r="H65" s="418"/>
      <c r="I65" s="414">
        <f t="shared" si="15"/>
        <v>0</v>
      </c>
      <c r="J65" s="415">
        <f t="shared" si="15"/>
        <v>0</v>
      </c>
      <c r="K65" s="415">
        <f t="shared" si="15"/>
        <v>0</v>
      </c>
      <c r="L65" s="419">
        <f t="shared" si="15"/>
        <v>0</v>
      </c>
      <c r="M65" s="417">
        <f t="shared" si="15"/>
        <v>0</v>
      </c>
      <c r="N65" s="418"/>
      <c r="O65" s="414">
        <f t="shared" si="16"/>
        <v>0</v>
      </c>
      <c r="P65" s="415">
        <f t="shared" si="16"/>
        <v>0</v>
      </c>
      <c r="Q65" s="415">
        <f t="shared" si="16"/>
        <v>0</v>
      </c>
      <c r="R65" s="419">
        <f t="shared" si="16"/>
        <v>0</v>
      </c>
      <c r="S65" s="417">
        <f t="shared" si="16"/>
        <v>0</v>
      </c>
      <c r="T65" s="418"/>
      <c r="U65" s="414">
        <f t="shared" si="17"/>
        <v>0</v>
      </c>
      <c r="V65" s="415">
        <f t="shared" si="17"/>
        <v>0</v>
      </c>
      <c r="W65" s="415">
        <f t="shared" si="17"/>
        <v>0</v>
      </c>
      <c r="X65" s="419">
        <f t="shared" si="17"/>
        <v>0</v>
      </c>
      <c r="Y65" s="419">
        <f t="shared" si="17"/>
        <v>0</v>
      </c>
      <c r="Z65" s="418"/>
      <c r="AA65" s="414">
        <f t="shared" si="18"/>
        <v>0</v>
      </c>
      <c r="AB65" s="415">
        <f t="shared" si="18"/>
        <v>0</v>
      </c>
      <c r="AC65" s="415">
        <f t="shared" si="18"/>
        <v>0</v>
      </c>
      <c r="AD65" s="419">
        <f t="shared" si="18"/>
        <v>0</v>
      </c>
      <c r="AE65" s="419">
        <f t="shared" si="18"/>
        <v>0</v>
      </c>
      <c r="AF65" s="418"/>
      <c r="AG65" s="1623">
        <v>0</v>
      </c>
      <c r="AH65" s="1624">
        <v>0</v>
      </c>
      <c r="AI65" s="1624">
        <v>4.9060364464692488E-2</v>
      </c>
      <c r="AJ65" s="1626">
        <v>0.11148264984227128</v>
      </c>
      <c r="AK65" s="1626">
        <v>4.2081569291560823E-2</v>
      </c>
      <c r="AL65" s="418"/>
      <c r="AM65" s="1623">
        <v>0.12275574112734863</v>
      </c>
      <c r="AN65" s="1624">
        <v>0.10691358024691358</v>
      </c>
      <c r="AO65" s="1624">
        <v>0.12159831756046267</v>
      </c>
      <c r="AP65" s="1626">
        <v>0.11871668311944719</v>
      </c>
      <c r="AQ65" s="1822">
        <v>0.11746789933230611</v>
      </c>
      <c r="AR65" s="418"/>
      <c r="AS65" s="1623">
        <v>0.11659722222222223</v>
      </c>
      <c r="AT65" s="1624">
        <v>0.14016194331983806</v>
      </c>
      <c r="AU65" s="1624">
        <v>0.14001982160555004</v>
      </c>
      <c r="AV65" s="1624">
        <v>0.13</v>
      </c>
      <c r="AW65" s="417">
        <f t="shared" si="19"/>
        <v>0.1316403162055336</v>
      </c>
      <c r="AX65" s="418"/>
      <c r="AY65" s="1623">
        <v>0.13</v>
      </c>
      <c r="AZ65" s="1624">
        <v>0.15</v>
      </c>
      <c r="BA65" s="1624">
        <v>0.15</v>
      </c>
      <c r="BB65" s="1624">
        <v>0.14000000000000001</v>
      </c>
      <c r="BC65" s="417">
        <f t="shared" si="20"/>
        <v>0.14235512630014857</v>
      </c>
      <c r="BD65" s="418"/>
      <c r="BE65" s="1623">
        <v>0.14000000000000001</v>
      </c>
      <c r="BF65" s="1624">
        <v>0.16</v>
      </c>
      <c r="BG65" s="1624">
        <v>0.16</v>
      </c>
      <c r="BH65" s="1624">
        <v>0.16</v>
      </c>
      <c r="BI65" s="417">
        <f t="shared" si="21"/>
        <v>0.15510709186101856</v>
      </c>
      <c r="BJ65" s="418"/>
      <c r="BK65" s="2151">
        <v>0.14000000000000001</v>
      </c>
      <c r="BL65" s="1624">
        <v>0.16</v>
      </c>
      <c r="BM65" s="1624">
        <v>0.16</v>
      </c>
      <c r="BN65" s="2424">
        <v>0.16</v>
      </c>
      <c r="BO65" s="417"/>
      <c r="BP65" s="418"/>
      <c r="BQ65" s="2151">
        <v>0.14000000000000001</v>
      </c>
      <c r="BR65" s="415"/>
      <c r="BS65" s="415"/>
      <c r="BT65" s="415"/>
      <c r="BU65" s="417"/>
      <c r="BV65" s="418"/>
      <c r="BW65" s="414"/>
      <c r="BX65" s="415"/>
      <c r="BY65" s="415"/>
      <c r="BZ65" s="415"/>
      <c r="CA65" s="417"/>
      <c r="CB65" s="415"/>
      <c r="CC65" s="414"/>
      <c r="CD65" s="415"/>
      <c r="CE65" s="415"/>
      <c r="CF65" s="415"/>
      <c r="CG65" s="417"/>
      <c r="CH65" s="299"/>
      <c r="CI65" s="414"/>
      <c r="CJ65" s="415"/>
      <c r="CK65" s="415"/>
      <c r="CL65" s="415"/>
      <c r="CM65" s="417"/>
      <c r="CN65" s="299"/>
      <c r="CO65" s="299"/>
      <c r="CP65" s="299"/>
      <c r="CQ65" s="299"/>
      <c r="CR65" s="299"/>
      <c r="CS65" s="299"/>
      <c r="CU65" s="422"/>
      <c r="CV65" s="422"/>
      <c r="CY65" s="422"/>
      <c r="CZ65" s="422"/>
    </row>
    <row r="66" spans="1:110" outlineLevel="1">
      <c r="A66" s="413" t="s">
        <v>180</v>
      </c>
      <c r="C66" s="414">
        <f t="shared" si="14"/>
        <v>5.6263736263736264E-2</v>
      </c>
      <c r="D66" s="415">
        <f t="shared" si="14"/>
        <v>6.1682242990654203E-2</v>
      </c>
      <c r="E66" s="415">
        <f t="shared" si="14"/>
        <v>0.11718550106609808</v>
      </c>
      <c r="F66" s="419">
        <f t="shared" si="14"/>
        <v>0.11038167938931298</v>
      </c>
      <c r="G66" s="417">
        <f t="shared" si="14"/>
        <v>8.7846481876332635E-2</v>
      </c>
      <c r="H66" s="418"/>
      <c r="I66" s="414">
        <f t="shared" si="15"/>
        <v>0.10493408662900187</v>
      </c>
      <c r="J66" s="415">
        <f t="shared" si="15"/>
        <v>0.10988679245283019</v>
      </c>
      <c r="K66" s="415">
        <f t="shared" si="15"/>
        <v>0.10696296296296295</v>
      </c>
      <c r="L66" s="419">
        <f t="shared" si="15"/>
        <v>0.12466329966329966</v>
      </c>
      <c r="M66" s="417">
        <f t="shared" si="15"/>
        <v>0.11196810933940773</v>
      </c>
      <c r="N66" s="418"/>
      <c r="O66" s="414">
        <f t="shared" si="16"/>
        <v>0.11104761904761905</v>
      </c>
      <c r="P66" s="415">
        <f t="shared" si="16"/>
        <v>0.13144578313253011</v>
      </c>
      <c r="Q66" s="415">
        <f t="shared" si="16"/>
        <v>0.10655241935483871</v>
      </c>
      <c r="R66" s="419">
        <f t="shared" si="16"/>
        <v>0.12871323529411763</v>
      </c>
      <c r="S66" s="417">
        <f t="shared" si="16"/>
        <v>0.11954920019389238</v>
      </c>
      <c r="T66" s="418"/>
      <c r="U66" s="414">
        <f t="shared" si="17"/>
        <v>0.10385273972602739</v>
      </c>
      <c r="V66" s="415">
        <f t="shared" si="17"/>
        <v>0.13332167832167832</v>
      </c>
      <c r="W66" s="415">
        <f t="shared" si="17"/>
        <v>0.11906116642958749</v>
      </c>
      <c r="X66" s="419">
        <f t="shared" si="17"/>
        <v>0.15453658536585366</v>
      </c>
      <c r="Y66" s="419">
        <f t="shared" si="17"/>
        <v>0.12964912280701754</v>
      </c>
      <c r="Z66" s="418"/>
      <c r="AA66" s="414">
        <f t="shared" si="18"/>
        <v>0.14167330677290838</v>
      </c>
      <c r="AB66" s="415">
        <f t="shared" si="18"/>
        <v>0.15895857988165679</v>
      </c>
      <c r="AC66" s="415">
        <f t="shared" si="18"/>
        <v>0.16191387559808615</v>
      </c>
      <c r="AD66" s="419">
        <f t="shared" si="18"/>
        <v>0.15808219178082192</v>
      </c>
      <c r="AE66" s="419">
        <f t="shared" si="18"/>
        <v>0.15554078549848943</v>
      </c>
      <c r="AF66" s="418"/>
      <c r="AG66" s="1623">
        <v>0.13354725787631272</v>
      </c>
      <c r="AH66" s="1624">
        <v>0.14155192532088681</v>
      </c>
      <c r="AI66" s="1624">
        <v>0.13933143507972665</v>
      </c>
      <c r="AJ66" s="1626">
        <v>0.13006309148264983</v>
      </c>
      <c r="AK66" s="1626">
        <v>0.13598165396556591</v>
      </c>
      <c r="AL66" s="418"/>
      <c r="AM66" s="1623">
        <v>0.12275574112734863</v>
      </c>
      <c r="AN66" s="1624">
        <v>0.12473251028806584</v>
      </c>
      <c r="AO66" s="1624">
        <v>0.12159831756046267</v>
      </c>
      <c r="AP66" s="1626">
        <v>0.11871668311944719</v>
      </c>
      <c r="AQ66" s="1822">
        <v>0.12191576784797124</v>
      </c>
      <c r="AR66" s="418"/>
      <c r="AS66" s="1623">
        <v>9.9940476190476191E-2</v>
      </c>
      <c r="AT66" s="1624">
        <v>0.10512145748987854</v>
      </c>
      <c r="AU66" s="1624">
        <v>0.12251734390485632</v>
      </c>
      <c r="AV66" s="1624">
        <v>0.13</v>
      </c>
      <c r="AW66" s="417">
        <f t="shared" si="19"/>
        <v>0.11457756916996049</v>
      </c>
      <c r="AX66" s="418"/>
      <c r="AY66" s="1623">
        <v>0.11</v>
      </c>
      <c r="AZ66" s="1624">
        <v>0.1</v>
      </c>
      <c r="BA66" s="1624">
        <v>0.09</v>
      </c>
      <c r="BB66" s="1624">
        <v>0.09</v>
      </c>
      <c r="BC66" s="417">
        <f t="shared" si="20"/>
        <v>9.7466567607726595E-2</v>
      </c>
      <c r="BD66" s="418"/>
      <c r="BE66" s="1623">
        <v>0.09</v>
      </c>
      <c r="BF66" s="1624">
        <v>0.1</v>
      </c>
      <c r="BG66" s="1624">
        <v>0.09</v>
      </c>
      <c r="BH66" s="1624">
        <v>0.09</v>
      </c>
      <c r="BI66" s="417">
        <f t="shared" si="21"/>
        <v>9.2425035697287009E-2</v>
      </c>
      <c r="BJ66" s="418"/>
      <c r="BK66" s="2151">
        <v>0.09</v>
      </c>
      <c r="BL66" s="1624">
        <v>0.09</v>
      </c>
      <c r="BM66" s="1624">
        <v>0.08</v>
      </c>
      <c r="BN66" s="2424">
        <v>0.09</v>
      </c>
      <c r="BO66" s="417"/>
      <c r="BP66" s="418"/>
      <c r="BQ66" s="2151">
        <v>0.09</v>
      </c>
      <c r="BR66" s="415"/>
      <c r="BS66" s="415"/>
      <c r="BT66" s="415"/>
      <c r="BU66" s="417"/>
      <c r="BV66" s="418"/>
      <c r="BW66" s="414"/>
      <c r="BX66" s="415"/>
      <c r="BY66" s="415"/>
      <c r="BZ66" s="415"/>
      <c r="CA66" s="417"/>
      <c r="CB66" s="415"/>
      <c r="CC66" s="414"/>
      <c r="CD66" s="415"/>
      <c r="CE66" s="415"/>
      <c r="CF66" s="415"/>
      <c r="CG66" s="417"/>
      <c r="CH66" s="299"/>
      <c r="CI66" s="414"/>
      <c r="CJ66" s="415"/>
      <c r="CK66" s="415"/>
      <c r="CL66" s="415"/>
      <c r="CM66" s="417"/>
      <c r="CN66" s="299"/>
      <c r="CO66" s="299"/>
      <c r="CP66" s="299"/>
      <c r="CQ66" s="299"/>
      <c r="CR66" s="299"/>
      <c r="CS66" s="299"/>
      <c r="CU66" s="423"/>
      <c r="CV66" s="423"/>
      <c r="CY66" s="423"/>
      <c r="CZ66" s="423"/>
      <c r="DE66" s="1631"/>
      <c r="DF66" s="1631"/>
    </row>
    <row r="67" spans="1:110" ht="15" outlineLevel="1">
      <c r="A67" s="413" t="s">
        <v>181</v>
      </c>
      <c r="C67" s="414">
        <f t="shared" si="14"/>
        <v>0.19692307692307692</v>
      </c>
      <c r="D67" s="415">
        <f t="shared" si="14"/>
        <v>0.1542056074766355</v>
      </c>
      <c r="E67" s="415">
        <f t="shared" si="14"/>
        <v>0.17577825159914712</v>
      </c>
      <c r="F67" s="419">
        <f t="shared" si="14"/>
        <v>0.19316793893129772</v>
      </c>
      <c r="G67" s="417">
        <f t="shared" si="14"/>
        <v>0.18084221748400853</v>
      </c>
      <c r="H67" s="418"/>
      <c r="I67" s="414">
        <f t="shared" si="15"/>
        <v>0.20986817325800375</v>
      </c>
      <c r="J67" s="415">
        <f t="shared" si="15"/>
        <v>0.19230188679245283</v>
      </c>
      <c r="K67" s="415">
        <f t="shared" si="15"/>
        <v>0.18718518518518518</v>
      </c>
      <c r="L67" s="419">
        <f t="shared" si="15"/>
        <v>0.19946127946127948</v>
      </c>
      <c r="M67" s="417">
        <f t="shared" si="15"/>
        <v>0.19723006833712986</v>
      </c>
      <c r="N67" s="418"/>
      <c r="O67" s="414">
        <f t="shared" si="16"/>
        <v>0.2220952380952381</v>
      </c>
      <c r="P67" s="415">
        <f t="shared" si="16"/>
        <v>0.17526104417670682</v>
      </c>
      <c r="Q67" s="415">
        <f t="shared" si="16"/>
        <v>0.19179435483870966</v>
      </c>
      <c r="R67" s="419">
        <f t="shared" si="16"/>
        <v>0.17161764705882354</v>
      </c>
      <c r="S67" s="417">
        <f t="shared" si="16"/>
        <v>0.1901938923897237</v>
      </c>
      <c r="T67" s="418"/>
      <c r="U67" s="414">
        <f t="shared" si="17"/>
        <v>0.22847602739726028</v>
      </c>
      <c r="V67" s="415">
        <f t="shared" si="17"/>
        <v>0.2222027972027972</v>
      </c>
      <c r="W67" s="415">
        <f t="shared" si="17"/>
        <v>0.21827880512091036</v>
      </c>
      <c r="X67" s="419">
        <f t="shared" si="17"/>
        <v>0.2318048780487805</v>
      </c>
      <c r="Y67" s="419">
        <f t="shared" si="17"/>
        <v>0.22547965658827918</v>
      </c>
      <c r="Z67" s="418"/>
      <c r="AA67" s="414">
        <f t="shared" si="18"/>
        <v>0.26310756972111554</v>
      </c>
      <c r="AB67" s="415">
        <f t="shared" si="18"/>
        <v>0.25830769230769229</v>
      </c>
      <c r="AC67" s="415">
        <f t="shared" si="18"/>
        <v>0.26311004784688996</v>
      </c>
      <c r="AD67" s="419">
        <f t="shared" si="18"/>
        <v>0.25688356164383563</v>
      </c>
      <c r="AE67" s="419">
        <f t="shared" si="18"/>
        <v>0.26023564954682782</v>
      </c>
      <c r="AF67" s="418"/>
      <c r="AG67" s="1623">
        <v>0.24801633605600934</v>
      </c>
      <c r="AH67" s="1624">
        <v>0.26288214702450408</v>
      </c>
      <c r="AI67" s="1624">
        <v>0.25511389521640093</v>
      </c>
      <c r="AJ67" s="1626">
        <v>0.24154574132492115</v>
      </c>
      <c r="AK67" s="1626">
        <v>0.2516342082980525</v>
      </c>
      <c r="AL67" s="418"/>
      <c r="AM67" s="1623">
        <v>0.2279749478079332</v>
      </c>
      <c r="AN67" s="1624">
        <v>0.23164609053497942</v>
      </c>
      <c r="AO67" s="1624">
        <v>0.24319663512092535</v>
      </c>
      <c r="AP67" s="1626">
        <v>0.23743336623889438</v>
      </c>
      <c r="AQ67" s="1822">
        <v>0.23506933744221881</v>
      </c>
      <c r="AR67" s="418"/>
      <c r="AS67" s="1623">
        <v>0.23319444444444445</v>
      </c>
      <c r="AT67" s="1624">
        <v>0.24528340080971661</v>
      </c>
      <c r="AU67" s="1624">
        <v>0.24503468780971263</v>
      </c>
      <c r="AV67" s="1624">
        <v>0.23</v>
      </c>
      <c r="AW67" s="417">
        <f t="shared" si="19"/>
        <v>0.23827322134387352</v>
      </c>
      <c r="AX67" s="418"/>
      <c r="AY67" s="1623">
        <v>0.26</v>
      </c>
      <c r="AZ67" s="1624">
        <v>0.25</v>
      </c>
      <c r="BA67" s="1624">
        <v>0.24</v>
      </c>
      <c r="BB67" s="1624">
        <v>0.24</v>
      </c>
      <c r="BC67" s="417">
        <f t="shared" si="20"/>
        <v>0.24746656760772659</v>
      </c>
      <c r="BD67" s="418"/>
      <c r="BE67" s="1623">
        <v>0.25</v>
      </c>
      <c r="BF67" s="1624">
        <v>0.23</v>
      </c>
      <c r="BG67" s="1624">
        <v>0.23</v>
      </c>
      <c r="BH67" s="1624">
        <v>0.22</v>
      </c>
      <c r="BI67" s="417">
        <f t="shared" si="21"/>
        <v>0.2322489290813898</v>
      </c>
      <c r="BJ67" s="418"/>
      <c r="BK67" s="2151">
        <v>0.25</v>
      </c>
      <c r="BL67" s="1624">
        <v>0.24</v>
      </c>
      <c r="BM67" s="1624">
        <v>0.23</v>
      </c>
      <c r="BN67" s="2424">
        <v>0.25</v>
      </c>
      <c r="BO67" s="417"/>
      <c r="BP67" s="418"/>
      <c r="BQ67" s="2151">
        <v>0.25</v>
      </c>
      <c r="BR67" s="415"/>
      <c r="BS67" s="415"/>
      <c r="BT67" s="415"/>
      <c r="BU67" s="417"/>
      <c r="BV67" s="418"/>
      <c r="BW67" s="414"/>
      <c r="BX67" s="415"/>
      <c r="BY67" s="415"/>
      <c r="BZ67" s="415"/>
      <c r="CA67" s="417"/>
      <c r="CB67" s="415"/>
      <c r="CC67" s="414"/>
      <c r="CD67" s="415"/>
      <c r="CE67" s="415"/>
      <c r="CF67" s="415"/>
      <c r="CG67" s="417"/>
      <c r="CH67" s="299"/>
      <c r="CI67" s="414"/>
      <c r="CJ67" s="415"/>
      <c r="CK67" s="415"/>
      <c r="CL67" s="415"/>
      <c r="CM67" s="417"/>
      <c r="CN67" s="299"/>
      <c r="CO67" s="299"/>
      <c r="CP67" s="299"/>
      <c r="CQ67" s="299"/>
      <c r="CR67" s="299"/>
      <c r="CS67" s="299"/>
      <c r="CU67" s="422"/>
      <c r="CV67" s="422"/>
      <c r="CY67" s="422"/>
      <c r="CZ67" s="422"/>
      <c r="DE67" s="1631"/>
      <c r="DF67" s="1631"/>
    </row>
    <row r="68" spans="1:110" outlineLevel="1">
      <c r="A68" s="413" t="s">
        <v>182</v>
      </c>
      <c r="C68" s="414">
        <f t="shared" si="14"/>
        <v>0.22505494505494505</v>
      </c>
      <c r="D68" s="415">
        <f t="shared" si="14"/>
        <v>0.24672897196261681</v>
      </c>
      <c r="E68" s="415">
        <f t="shared" si="14"/>
        <v>0.26366737739872065</v>
      </c>
      <c r="F68" s="419">
        <f t="shared" si="14"/>
        <v>0.24835877862595418</v>
      </c>
      <c r="G68" s="417">
        <f t="shared" si="14"/>
        <v>0.24616204690831553</v>
      </c>
      <c r="H68" s="418"/>
      <c r="I68" s="414">
        <f t="shared" si="15"/>
        <v>0.20986817325800375</v>
      </c>
      <c r="J68" s="415">
        <f t="shared" si="15"/>
        <v>0.19230188679245283</v>
      </c>
      <c r="K68" s="415">
        <f t="shared" si="15"/>
        <v>0.21392592592592591</v>
      </c>
      <c r="L68" s="419">
        <f t="shared" si="15"/>
        <v>0.22439393939393937</v>
      </c>
      <c r="M68" s="417">
        <f t="shared" si="15"/>
        <v>0.21055580865603643</v>
      </c>
      <c r="N68" s="418"/>
      <c r="O68" s="414">
        <f t="shared" si="16"/>
        <v>0.17767619047619049</v>
      </c>
      <c r="P68" s="415">
        <f t="shared" si="16"/>
        <v>0.19716867469879518</v>
      </c>
      <c r="Q68" s="415">
        <f t="shared" si="16"/>
        <v>0.19179435483870966</v>
      </c>
      <c r="R68" s="419">
        <f t="shared" si="16"/>
        <v>0.19306985294117648</v>
      </c>
      <c r="S68" s="417">
        <f t="shared" si="16"/>
        <v>0.18983519146873484</v>
      </c>
      <c r="T68" s="418"/>
      <c r="U68" s="414">
        <f t="shared" si="17"/>
        <v>0.18693493150684931</v>
      </c>
      <c r="V68" s="415">
        <f t="shared" si="17"/>
        <v>0.1999825174825175</v>
      </c>
      <c r="W68" s="415">
        <f t="shared" si="17"/>
        <v>0.21827880512091036</v>
      </c>
      <c r="X68" s="419">
        <f t="shared" si="17"/>
        <v>0.2318048780487805</v>
      </c>
      <c r="Y68" s="419">
        <f t="shared" si="17"/>
        <v>0.21167973124300113</v>
      </c>
      <c r="Z68" s="418"/>
      <c r="AA68" s="414">
        <f t="shared" si="18"/>
        <v>0.18215139442231076</v>
      </c>
      <c r="AB68" s="415">
        <f t="shared" si="18"/>
        <v>0.198698224852071</v>
      </c>
      <c r="AC68" s="415">
        <f t="shared" si="18"/>
        <v>0.20239234449760765</v>
      </c>
      <c r="AD68" s="419">
        <f t="shared" si="18"/>
        <v>0.1976027397260274</v>
      </c>
      <c r="AE68" s="419">
        <f t="shared" si="18"/>
        <v>0.19557703927492448</v>
      </c>
      <c r="AF68" s="418"/>
      <c r="AG68" s="1623">
        <v>0.19078179696616102</v>
      </c>
      <c r="AH68" s="1624">
        <v>0.20221703617269546</v>
      </c>
      <c r="AI68" s="1624">
        <v>0.19624145785876995</v>
      </c>
      <c r="AJ68" s="1626">
        <v>0.16722397476340695</v>
      </c>
      <c r="AK68" s="1626">
        <v>0.18857747671464861</v>
      </c>
      <c r="AL68" s="418"/>
      <c r="AM68" s="1623">
        <v>0.15782881002087681</v>
      </c>
      <c r="AN68" s="1624">
        <v>0.16037037037037036</v>
      </c>
      <c r="AO68" s="1624">
        <v>0.15634069400630915</v>
      </c>
      <c r="AP68" s="1626">
        <v>0.16959526159921029</v>
      </c>
      <c r="AQ68" s="1822">
        <v>0.16116076014381098</v>
      </c>
      <c r="AR68" s="418"/>
      <c r="AS68" s="1623">
        <v>0.16656746031746034</v>
      </c>
      <c r="AT68" s="1624">
        <v>0.15768218623481781</v>
      </c>
      <c r="AU68" s="1624">
        <v>0.15752229930624381</v>
      </c>
      <c r="AV68" s="1624">
        <v>0.16</v>
      </c>
      <c r="AW68" s="417">
        <f t="shared" si="19"/>
        <v>0.16045207509881423</v>
      </c>
      <c r="AX68" s="418"/>
      <c r="AY68" s="1623">
        <v>0.13</v>
      </c>
      <c r="AZ68" s="1624">
        <v>0.13</v>
      </c>
      <c r="BA68" s="1624">
        <v>0.14000000000000001</v>
      </c>
      <c r="BB68" s="1624">
        <v>0.13</v>
      </c>
      <c r="BC68" s="417">
        <f t="shared" si="20"/>
        <v>0.13251114413075779</v>
      </c>
      <c r="BD68" s="418"/>
      <c r="BE68" s="1623">
        <v>0.12</v>
      </c>
      <c r="BF68" s="1624">
        <v>0.12</v>
      </c>
      <c r="BG68" s="1624">
        <v>0.12</v>
      </c>
      <c r="BH68" s="1624">
        <v>0.11</v>
      </c>
      <c r="BI68" s="417">
        <f t="shared" si="21"/>
        <v>0.11735602094240837</v>
      </c>
      <c r="BJ68" s="418"/>
      <c r="BK68" s="2151">
        <v>0.11</v>
      </c>
      <c r="BL68" s="1624">
        <v>0.12</v>
      </c>
      <c r="BM68" s="1624">
        <v>0.12</v>
      </c>
      <c r="BN68" s="2424">
        <v>0.11</v>
      </c>
      <c r="BO68" s="417"/>
      <c r="BP68" s="418"/>
      <c r="BQ68" s="2151">
        <v>0.12</v>
      </c>
      <c r="BR68" s="415"/>
      <c r="BS68" s="415"/>
      <c r="BT68" s="415"/>
      <c r="BU68" s="417"/>
      <c r="BV68" s="418"/>
      <c r="BW68" s="414"/>
      <c r="BX68" s="415"/>
      <c r="BY68" s="415"/>
      <c r="BZ68" s="415"/>
      <c r="CA68" s="417"/>
      <c r="CB68" s="415"/>
      <c r="CC68" s="414"/>
      <c r="CD68" s="415"/>
      <c r="CE68" s="415"/>
      <c r="CF68" s="415"/>
      <c r="CG68" s="417"/>
      <c r="CH68" s="299"/>
      <c r="CI68" s="414"/>
      <c r="CJ68" s="415"/>
      <c r="CK68" s="415"/>
      <c r="CL68" s="415"/>
      <c r="CM68" s="417"/>
      <c r="CN68" s="299"/>
      <c r="CO68" s="299"/>
      <c r="CP68" s="299"/>
      <c r="CQ68" s="299"/>
      <c r="CR68" s="299"/>
      <c r="CS68" s="299"/>
    </row>
    <row r="69" spans="1:110" outlineLevel="1">
      <c r="A69" s="424" t="s">
        <v>183</v>
      </c>
      <c r="C69" s="425">
        <f t="shared" si="14"/>
        <v>0.15604395604395604</v>
      </c>
      <c r="D69" s="426">
        <f t="shared" si="14"/>
        <v>0.13644859813084106</v>
      </c>
      <c r="E69" s="426">
        <f t="shared" si="14"/>
        <v>9.181236673774E-2</v>
      </c>
      <c r="F69" s="427">
        <f t="shared" si="14"/>
        <v>0.11694656488549614</v>
      </c>
      <c r="G69" s="428">
        <f t="shared" si="14"/>
        <v>0.1245948827292111</v>
      </c>
      <c r="H69" s="429"/>
      <c r="I69" s="425">
        <f t="shared" si="15"/>
        <v>0.13429378531073446</v>
      </c>
      <c r="J69" s="426">
        <f t="shared" si="15"/>
        <v>0.12090566037735846</v>
      </c>
      <c r="K69" s="426">
        <f t="shared" si="15"/>
        <v>0.14429629629629634</v>
      </c>
      <c r="L69" s="427">
        <f t="shared" si="15"/>
        <v>0.10242424242424247</v>
      </c>
      <c r="M69" s="428">
        <f t="shared" si="15"/>
        <v>0.12489749430523919</v>
      </c>
      <c r="N69" s="429"/>
      <c r="O69" s="425">
        <f t="shared" si="16"/>
        <v>0.15603809523809536</v>
      </c>
      <c r="P69" s="426">
        <f t="shared" si="16"/>
        <v>0.14560240963855431</v>
      </c>
      <c r="Q69" s="426">
        <f t="shared" si="16"/>
        <v>0.14758064516129041</v>
      </c>
      <c r="R69" s="427">
        <f t="shared" si="16"/>
        <v>0.16336397058823529</v>
      </c>
      <c r="S69" s="428">
        <f t="shared" si="16"/>
        <v>0.15341735336888035</v>
      </c>
      <c r="T69" s="429"/>
      <c r="U69" s="425">
        <f t="shared" si="17"/>
        <v>0.14840753424657527</v>
      </c>
      <c r="V69" s="426">
        <f t="shared" si="17"/>
        <v>0.1556293706293706</v>
      </c>
      <c r="W69" s="426">
        <f t="shared" si="17"/>
        <v>0.16657183499288766</v>
      </c>
      <c r="X69" s="427">
        <f t="shared" si="17"/>
        <v>0.11141463414634134</v>
      </c>
      <c r="Y69" s="427">
        <f t="shared" si="17"/>
        <v>0.1433930571108622</v>
      </c>
      <c r="Z69" s="429"/>
      <c r="AA69" s="425">
        <f t="shared" si="18"/>
        <v>0.10948207171314749</v>
      </c>
      <c r="AB69" s="426">
        <f t="shared" si="18"/>
        <v>0.10585798816568052</v>
      </c>
      <c r="AC69" s="426">
        <f t="shared" si="18"/>
        <v>8.9234449760765444E-2</v>
      </c>
      <c r="AD69" s="427">
        <f t="shared" si="18"/>
        <v>0.11078767123287667</v>
      </c>
      <c r="AE69" s="427">
        <f t="shared" si="18"/>
        <v>0.10378851963746223</v>
      </c>
      <c r="AF69" s="429"/>
      <c r="AG69" s="1627">
        <v>0.12240373395565925</v>
      </c>
      <c r="AH69" s="1628">
        <v>0.11024504084014004</v>
      </c>
      <c r="AI69" s="1628">
        <v>0.10317653758542135</v>
      </c>
      <c r="AJ69" s="1629">
        <v>8.9558359621451186E-2</v>
      </c>
      <c r="AK69" s="1629">
        <v>0.10588173863957098</v>
      </c>
      <c r="AL69" s="429"/>
      <c r="AM69" s="1627">
        <v>0.10563674321503136</v>
      </c>
      <c r="AN69" s="1628">
        <v>0.12687242798353915</v>
      </c>
      <c r="AO69" s="1628">
        <v>9.6698212407991632E-2</v>
      </c>
      <c r="AP69" s="1629">
        <v>0.10114511352418562</v>
      </c>
      <c r="AQ69" s="1823">
        <v>0.10758602978941967</v>
      </c>
      <c r="AR69" s="429"/>
      <c r="AS69" s="1627">
        <v>0.11719246031746031</v>
      </c>
      <c r="AT69" s="1628">
        <v>0.10646761133603244</v>
      </c>
      <c r="AU69" s="1628">
        <v>8.987115956392451E-2</v>
      </c>
      <c r="AV69" s="1628">
        <v>0.1</v>
      </c>
      <c r="AW69" s="428">
        <f t="shared" si="19"/>
        <v>0.10333498023715412</v>
      </c>
      <c r="AX69" s="429"/>
      <c r="AY69" s="1627">
        <v>0.12</v>
      </c>
      <c r="AZ69" s="1628">
        <v>0.11</v>
      </c>
      <c r="BA69" s="1628">
        <v>0.11</v>
      </c>
      <c r="BB69" s="1628">
        <v>0.12</v>
      </c>
      <c r="BC69" s="428">
        <f t="shared" si="20"/>
        <v>0.11510401188707281</v>
      </c>
      <c r="BD69" s="429"/>
      <c r="BE69" s="1627">
        <v>0.11</v>
      </c>
      <c r="BF69" s="1628">
        <v>0.11</v>
      </c>
      <c r="BG69" s="1628">
        <v>0.11</v>
      </c>
      <c r="BH69" s="1628">
        <v>0.11</v>
      </c>
      <c r="BI69" s="428">
        <f t="shared" si="21"/>
        <v>0.10999999999999999</v>
      </c>
      <c r="BJ69" s="429"/>
      <c r="BK69" s="2152">
        <v>0.11</v>
      </c>
      <c r="BL69" s="1628">
        <v>0.1</v>
      </c>
      <c r="BM69" s="1628">
        <v>0.11</v>
      </c>
      <c r="BN69" s="2425">
        <v>0.11</v>
      </c>
      <c r="BO69" s="428"/>
      <c r="BP69" s="429"/>
      <c r="BQ69" s="2152">
        <v>0.11</v>
      </c>
      <c r="BR69" s="426"/>
      <c r="BS69" s="426"/>
      <c r="BT69" s="426"/>
      <c r="BU69" s="428"/>
      <c r="BV69" s="429"/>
      <c r="BW69" s="425"/>
      <c r="BX69" s="426"/>
      <c r="BY69" s="426"/>
      <c r="BZ69" s="426"/>
      <c r="CA69" s="428"/>
      <c r="CB69" s="415"/>
      <c r="CC69" s="425"/>
      <c r="CD69" s="426"/>
      <c r="CE69" s="426"/>
      <c r="CF69" s="426"/>
      <c r="CG69" s="428"/>
      <c r="CH69" s="299"/>
      <c r="CI69" s="425"/>
      <c r="CJ69" s="426"/>
      <c r="CK69" s="426"/>
      <c r="CL69" s="426"/>
      <c r="CM69" s="428"/>
      <c r="CN69" s="299"/>
      <c r="CO69" s="299"/>
      <c r="CP69" s="299"/>
      <c r="CQ69" s="299"/>
      <c r="CR69" s="299"/>
      <c r="CS69" s="299"/>
    </row>
    <row r="70" spans="1:110" outlineLevel="1">
      <c r="A70" s="2200" t="s">
        <v>184</v>
      </c>
      <c r="B70" s="2181"/>
      <c r="C70" s="2182">
        <f>C6</f>
        <v>39113</v>
      </c>
      <c r="D70" s="2183">
        <f>D6</f>
        <v>39202</v>
      </c>
      <c r="E70" s="2183">
        <f>E6</f>
        <v>39293</v>
      </c>
      <c r="F70" s="2198">
        <f>F6</f>
        <v>39384</v>
      </c>
      <c r="G70" s="2201" t="str">
        <f>G5</f>
        <v>2007A</v>
      </c>
      <c r="H70" s="2202"/>
      <c r="I70" s="2182">
        <f>I6</f>
        <v>39478</v>
      </c>
      <c r="J70" s="2183">
        <f>J6</f>
        <v>39567</v>
      </c>
      <c r="K70" s="2183">
        <f>K6</f>
        <v>39658</v>
      </c>
      <c r="L70" s="2198">
        <f>L6</f>
        <v>39749</v>
      </c>
      <c r="M70" s="2201" t="str">
        <f>M5</f>
        <v>2008A</v>
      </c>
      <c r="N70" s="2202"/>
      <c r="O70" s="2182">
        <f>O6</f>
        <v>39843</v>
      </c>
      <c r="P70" s="2183">
        <f>P6</f>
        <v>39932</v>
      </c>
      <c r="Q70" s="2183">
        <f>Q6</f>
        <v>40023</v>
      </c>
      <c r="R70" s="2198">
        <f>R6</f>
        <v>40114</v>
      </c>
      <c r="S70" s="2201" t="str">
        <f>S5</f>
        <v>2009A</v>
      </c>
      <c r="T70" s="2202"/>
      <c r="U70" s="2182">
        <f>U6</f>
        <v>40208</v>
      </c>
      <c r="V70" s="2183">
        <f>V6</f>
        <v>40297</v>
      </c>
      <c r="W70" s="2183">
        <f>W6</f>
        <v>40388</v>
      </c>
      <c r="X70" s="2198">
        <f>X6</f>
        <v>40479</v>
      </c>
      <c r="Y70" s="2201" t="str">
        <f>Y5</f>
        <v>2010A</v>
      </c>
      <c r="Z70" s="2202"/>
      <c r="AA70" s="2182">
        <f>AA6</f>
        <v>40573</v>
      </c>
      <c r="AB70" s="2183">
        <f>AB6</f>
        <v>40662</v>
      </c>
      <c r="AC70" s="2183">
        <f>AC6</f>
        <v>40753</v>
      </c>
      <c r="AD70" s="2198">
        <f>AD6</f>
        <v>40844</v>
      </c>
      <c r="AE70" s="2201" t="str">
        <f>AE5</f>
        <v>2011A</v>
      </c>
      <c r="AF70" s="2202"/>
      <c r="AG70" s="2182">
        <f>AG6</f>
        <v>40938</v>
      </c>
      <c r="AH70" s="2183">
        <f>AH6</f>
        <v>41027</v>
      </c>
      <c r="AI70" s="2183">
        <f>AI6</f>
        <v>41118</v>
      </c>
      <c r="AJ70" s="2198">
        <f>AJ6</f>
        <v>41209</v>
      </c>
      <c r="AK70" s="2201" t="str">
        <f>AK5</f>
        <v>2012A</v>
      </c>
      <c r="AL70" s="2202"/>
      <c r="AM70" s="2182">
        <f>AM6</f>
        <v>41303</v>
      </c>
      <c r="AN70" s="2183">
        <f>AN6</f>
        <v>41392</v>
      </c>
      <c r="AO70" s="2183">
        <f>AO6</f>
        <v>41483</v>
      </c>
      <c r="AP70" s="2198">
        <f>AP6</f>
        <v>41574</v>
      </c>
      <c r="AQ70" s="2186" t="str">
        <f>AQ5</f>
        <v>2013A</v>
      </c>
      <c r="AR70" s="2202"/>
      <c r="AS70" s="2182">
        <f>AS6</f>
        <v>41668</v>
      </c>
      <c r="AT70" s="2183">
        <f>AT6</f>
        <v>41757</v>
      </c>
      <c r="AU70" s="2183">
        <f>AU6</f>
        <v>41846</v>
      </c>
      <c r="AV70" s="2183">
        <f>AV6</f>
        <v>41937</v>
      </c>
      <c r="AW70" s="2201"/>
      <c r="AX70" s="2202"/>
      <c r="AY70" s="2182"/>
      <c r="AZ70" s="2183"/>
      <c r="BA70" s="2183"/>
      <c r="BB70" s="2198"/>
      <c r="BC70" s="2201"/>
      <c r="BD70" s="2202"/>
      <c r="BE70" s="2182"/>
      <c r="BF70" s="2183"/>
      <c r="BG70" s="2183"/>
      <c r="BH70" s="2198"/>
      <c r="BI70" s="2201"/>
      <c r="BJ70" s="2202"/>
      <c r="BK70" s="2182"/>
      <c r="BL70" s="2183"/>
      <c r="BM70" s="2183"/>
      <c r="BN70" s="2198"/>
      <c r="BO70" s="2201"/>
      <c r="BP70" s="2202"/>
      <c r="BQ70" s="2182"/>
      <c r="BR70" s="2183"/>
      <c r="BS70" s="2183"/>
      <c r="BT70" s="2198"/>
      <c r="BU70" s="2201"/>
      <c r="BV70" s="2202"/>
      <c r="BW70" s="2182"/>
      <c r="BX70" s="2183"/>
      <c r="BY70" s="2183"/>
      <c r="BZ70" s="2198"/>
      <c r="CA70" s="2201"/>
      <c r="CB70" s="2108"/>
      <c r="CC70" s="30"/>
      <c r="CD70" s="28"/>
      <c r="CE70" s="28"/>
      <c r="CF70" s="361"/>
      <c r="CG70" s="386"/>
      <c r="CH70" s="273"/>
      <c r="CI70" s="30"/>
      <c r="CJ70" s="28"/>
      <c r="CK70" s="28"/>
      <c r="CL70" s="361"/>
      <c r="CM70" s="386"/>
      <c r="CN70" s="273"/>
      <c r="CO70" s="273"/>
      <c r="CP70" s="273"/>
      <c r="CQ70" s="273"/>
      <c r="CR70" s="273"/>
      <c r="CS70" s="273"/>
      <c r="CT70" s="149"/>
      <c r="CU70" s="149"/>
      <c r="CV70" s="149"/>
      <c r="CW70" s="149"/>
      <c r="CX70" s="149"/>
      <c r="CY70" s="149"/>
      <c r="CZ70" s="149"/>
      <c r="DA70" s="149"/>
      <c r="DB70" s="149"/>
      <c r="DC70" s="149"/>
      <c r="DD70" s="149"/>
      <c r="DE70" s="149"/>
      <c r="DF70" s="149"/>
    </row>
    <row r="71" spans="1:110" ht="15" outlineLevel="1">
      <c r="A71" s="368" t="s">
        <v>178</v>
      </c>
      <c r="B71" s="258"/>
      <c r="C71" s="1583">
        <v>166.4</v>
      </c>
      <c r="D71" s="1584">
        <v>171.6</v>
      </c>
      <c r="E71" s="1584">
        <v>164.88</v>
      </c>
      <c r="F71" s="1585">
        <v>173.52</v>
      </c>
      <c r="G71" s="257">
        <f>SUM(C71:F71)</f>
        <v>676.4</v>
      </c>
      <c r="H71" s="258"/>
      <c r="I71" s="1583">
        <v>181.09</v>
      </c>
      <c r="J71" s="1584">
        <v>203.84</v>
      </c>
      <c r="K71" s="1584">
        <v>187.72</v>
      </c>
      <c r="L71" s="1585">
        <v>207.34</v>
      </c>
      <c r="M71" s="257">
        <f>SUM(I71:L71)</f>
        <v>779.99</v>
      </c>
      <c r="N71" s="258"/>
      <c r="O71" s="1583">
        <v>174.9</v>
      </c>
      <c r="P71" s="1584">
        <v>174.56</v>
      </c>
      <c r="Q71" s="1584">
        <v>179.69</v>
      </c>
      <c r="R71" s="1585">
        <v>186.72</v>
      </c>
      <c r="S71" s="257">
        <f>SUM(O71:R71)</f>
        <v>715.87000000000012</v>
      </c>
      <c r="T71" s="258"/>
      <c r="U71" s="1583">
        <v>194.08</v>
      </c>
      <c r="V71" s="1584">
        <v>165.23</v>
      </c>
      <c r="W71" s="1584">
        <v>195.3</v>
      </c>
      <c r="X71" s="1584">
        <v>221.76</v>
      </c>
      <c r="Y71" s="1632">
        <v>776.37</v>
      </c>
      <c r="Z71" s="258"/>
      <c r="AA71" s="1583">
        <v>228.6</v>
      </c>
      <c r="AB71" s="1584">
        <v>235.06</v>
      </c>
      <c r="AC71" s="1584">
        <v>236.88</v>
      </c>
      <c r="AD71" s="1585">
        <v>242.34</v>
      </c>
      <c r="AE71" s="1585">
        <v>942.88</v>
      </c>
      <c r="AF71" s="258"/>
      <c r="AG71" s="369">
        <f t="shared" ref="AG71:AJ76" si="22">+AG64*AG$18</f>
        <v>261.60000000000002</v>
      </c>
      <c r="AH71" s="258">
        <f t="shared" si="22"/>
        <v>242.62</v>
      </c>
      <c r="AI71" s="258">
        <f t="shared" si="22"/>
        <v>225.71300000000002</v>
      </c>
      <c r="AJ71" s="259">
        <f t="shared" si="22"/>
        <v>247.37999999999997</v>
      </c>
      <c r="AK71" s="1585">
        <v>977.31299999999999</v>
      </c>
      <c r="AL71" s="258"/>
      <c r="AM71" s="369">
        <f t="shared" ref="AM71:AP76" si="23">+AM64*AM$18</f>
        <v>252</v>
      </c>
      <c r="AN71" s="258">
        <f t="shared" si="23"/>
        <v>242.48</v>
      </c>
      <c r="AO71" s="258">
        <f t="shared" si="23"/>
        <v>247.8</v>
      </c>
      <c r="AP71" s="259">
        <f t="shared" si="23"/>
        <v>257.7</v>
      </c>
      <c r="AQ71" s="1632">
        <v>999.98</v>
      </c>
      <c r="AR71" s="258"/>
      <c r="AS71" s="369">
        <f t="shared" ref="AS71:AV76" si="24">+AS64*AS$18</f>
        <v>268.64</v>
      </c>
      <c r="AT71" s="258">
        <f t="shared" si="24"/>
        <v>242.34</v>
      </c>
      <c r="AU71" s="258">
        <f t="shared" si="24"/>
        <v>247.24000000000004</v>
      </c>
      <c r="AV71" s="259">
        <f t="shared" si="24"/>
        <v>260.75</v>
      </c>
      <c r="AW71" s="259">
        <f>SUM(AS71:AV71)</f>
        <v>1018.97</v>
      </c>
      <c r="AX71" s="258"/>
      <c r="AY71" s="369">
        <f t="shared" ref="AY71:AZ76" si="25">+AY64*AY$18</f>
        <v>256.5</v>
      </c>
      <c r="AZ71" s="258">
        <f t="shared" si="25"/>
        <v>250.38</v>
      </c>
      <c r="BA71" s="258">
        <f t="shared" ref="BA71:BB76" si="26">+BA64*BA$18</f>
        <v>273.78000000000003</v>
      </c>
      <c r="BB71" s="259">
        <f t="shared" si="26"/>
        <v>289.8</v>
      </c>
      <c r="BC71" s="259">
        <f>SUM(AY71:BB71)</f>
        <v>1070.46</v>
      </c>
      <c r="BD71" s="258"/>
      <c r="BE71" s="369">
        <f t="shared" ref="BE71:BF76" si="27">+BE64*BE$18</f>
        <v>298.12</v>
      </c>
      <c r="BF71" s="258">
        <f t="shared" si="27"/>
        <v>285.32000000000005</v>
      </c>
      <c r="BG71" s="258">
        <f t="shared" ref="BG71:BH76" si="28">+BG64*BG$18</f>
        <v>302.76</v>
      </c>
      <c r="BH71" s="258">
        <f t="shared" si="28"/>
        <v>344.41</v>
      </c>
      <c r="BI71" s="2095">
        <f>SUM(BE71:BH71)</f>
        <v>1230.6100000000001</v>
      </c>
      <c r="BJ71" s="258"/>
      <c r="BK71" s="369">
        <f t="shared" ref="BK71:BL76" si="29">+BK64*BK$18</f>
        <v>320.09999999999997</v>
      </c>
      <c r="BL71" s="258">
        <f t="shared" si="29"/>
        <v>319.58</v>
      </c>
      <c r="BM71" s="258">
        <f t="shared" ref="BM71:BN71" si="30">+BM64*BM$18</f>
        <v>334.2</v>
      </c>
      <c r="BN71" s="258">
        <f t="shared" si="30"/>
        <v>332.92</v>
      </c>
      <c r="BO71" s="259"/>
      <c r="BP71" s="258"/>
      <c r="BQ71" s="369">
        <f t="shared" ref="BQ71" si="31">+BQ64*BQ$18</f>
        <v>351.19</v>
      </c>
      <c r="BR71" s="258"/>
      <c r="BS71" s="258"/>
      <c r="BT71" s="259"/>
      <c r="BU71" s="259"/>
      <c r="BV71" s="258"/>
      <c r="BW71" s="369"/>
      <c r="BX71" s="258"/>
      <c r="BY71" s="258"/>
      <c r="BZ71" s="259"/>
      <c r="CA71" s="259"/>
      <c r="CB71" s="258"/>
      <c r="CC71" s="369"/>
      <c r="CD71" s="258"/>
      <c r="CE71" s="258"/>
      <c r="CF71" s="259"/>
      <c r="CG71" s="259"/>
      <c r="CH71" s="430"/>
      <c r="CI71" s="369"/>
      <c r="CJ71" s="258"/>
      <c r="CK71" s="258"/>
      <c r="CL71" s="259"/>
      <c r="CM71" s="259"/>
      <c r="CN71" s="430"/>
      <c r="CO71" s="430"/>
      <c r="CP71" s="430"/>
      <c r="CQ71" s="430"/>
      <c r="CR71" s="430"/>
      <c r="CS71" s="430"/>
      <c r="CT71" s="431"/>
      <c r="CU71" s="431"/>
      <c r="CV71" s="431"/>
      <c r="CW71" s="431"/>
      <c r="CX71" s="431"/>
      <c r="CY71" s="431"/>
      <c r="CZ71" s="431"/>
      <c r="DA71" s="431"/>
      <c r="DB71" s="431"/>
      <c r="DC71" s="431"/>
      <c r="DD71" s="431"/>
      <c r="DE71" s="431"/>
      <c r="DF71" s="431"/>
    </row>
    <row r="72" spans="1:110" ht="15" outlineLevel="1">
      <c r="A72" s="368" t="s">
        <v>179</v>
      </c>
      <c r="B72" s="258"/>
      <c r="C72" s="370"/>
      <c r="D72" s="260"/>
      <c r="E72" s="260"/>
      <c r="F72" s="256"/>
      <c r="G72" s="257"/>
      <c r="H72" s="258"/>
      <c r="I72" s="370"/>
      <c r="J72" s="260"/>
      <c r="K72" s="260"/>
      <c r="L72" s="256"/>
      <c r="M72" s="257"/>
      <c r="N72" s="258"/>
      <c r="O72" s="370"/>
      <c r="P72" s="260"/>
      <c r="Q72" s="260"/>
      <c r="R72" s="256"/>
      <c r="S72" s="257"/>
      <c r="T72" s="258"/>
      <c r="U72" s="370"/>
      <c r="V72" s="260"/>
      <c r="W72" s="260"/>
      <c r="X72" s="260"/>
      <c r="Y72" s="257"/>
      <c r="Z72" s="258"/>
      <c r="AA72" s="370"/>
      <c r="AB72" s="260"/>
      <c r="AC72" s="260"/>
      <c r="AD72" s="256"/>
      <c r="AE72" s="259"/>
      <c r="AF72" s="258"/>
      <c r="AG72" s="369">
        <f t="shared" si="22"/>
        <v>0</v>
      </c>
      <c r="AH72" s="258">
        <f t="shared" si="22"/>
        <v>0</v>
      </c>
      <c r="AI72" s="258">
        <f t="shared" si="22"/>
        <v>43.075000000000003</v>
      </c>
      <c r="AJ72" s="259">
        <f t="shared" si="22"/>
        <v>106.02</v>
      </c>
      <c r="AK72" s="1585">
        <v>149.095</v>
      </c>
      <c r="AL72" s="258"/>
      <c r="AM72" s="369">
        <f t="shared" si="23"/>
        <v>117.6</v>
      </c>
      <c r="AN72" s="258">
        <f t="shared" si="23"/>
        <v>103.92</v>
      </c>
      <c r="AO72" s="258">
        <f t="shared" si="23"/>
        <v>115.64</v>
      </c>
      <c r="AP72" s="259">
        <f t="shared" si="23"/>
        <v>120.26</v>
      </c>
      <c r="AQ72" s="1632">
        <v>457.42</v>
      </c>
      <c r="AR72" s="258"/>
      <c r="AS72" s="369">
        <f t="shared" si="24"/>
        <v>117.53</v>
      </c>
      <c r="AT72" s="258">
        <f t="shared" si="24"/>
        <v>138.47999999999999</v>
      </c>
      <c r="AU72" s="258">
        <f t="shared" si="24"/>
        <v>141.28</v>
      </c>
      <c r="AV72" s="259">
        <f t="shared" si="24"/>
        <v>135.59</v>
      </c>
      <c r="AW72" s="259">
        <f t="shared" ref="AW72:AW77" si="32">SUM(AS72:AV72)</f>
        <v>532.88</v>
      </c>
      <c r="AX72" s="258"/>
      <c r="AY72" s="369">
        <f t="shared" si="25"/>
        <v>133.38</v>
      </c>
      <c r="AZ72" s="258">
        <f t="shared" si="25"/>
        <v>144.44999999999999</v>
      </c>
      <c r="BA72" s="258">
        <f t="shared" si="26"/>
        <v>152.1</v>
      </c>
      <c r="BB72" s="259">
        <f t="shared" si="26"/>
        <v>144.9</v>
      </c>
      <c r="BC72" s="259">
        <f t="shared" ref="BC72:BC77" si="33">SUM(AY72:BB72)</f>
        <v>574.82999999999993</v>
      </c>
      <c r="BD72" s="258"/>
      <c r="BE72" s="369">
        <f t="shared" si="27"/>
        <v>143.92000000000002</v>
      </c>
      <c r="BF72" s="258">
        <f t="shared" si="27"/>
        <v>163.04</v>
      </c>
      <c r="BG72" s="258">
        <f t="shared" si="28"/>
        <v>167.04</v>
      </c>
      <c r="BH72" s="258">
        <f t="shared" si="28"/>
        <v>177.76</v>
      </c>
      <c r="BI72" s="257">
        <f t="shared" ref="BI72:BI77" si="34">SUM(BE72:BH72)</f>
        <v>651.76</v>
      </c>
      <c r="BJ72" s="258"/>
      <c r="BK72" s="369">
        <f t="shared" si="29"/>
        <v>149.38000000000002</v>
      </c>
      <c r="BL72" s="258">
        <f t="shared" si="29"/>
        <v>176.32</v>
      </c>
      <c r="BM72" s="258">
        <f t="shared" ref="BM72:BN72" si="35">+BM65*BM$18</f>
        <v>178.24</v>
      </c>
      <c r="BN72" s="258">
        <f t="shared" si="35"/>
        <v>190.24</v>
      </c>
      <c r="BO72" s="259"/>
      <c r="BP72" s="258"/>
      <c r="BQ72" s="369">
        <f t="shared" ref="BQ72" si="36">+BQ65*BQ$18</f>
        <v>169.54000000000002</v>
      </c>
      <c r="BR72" s="258"/>
      <c r="BS72" s="258"/>
      <c r="BT72" s="259"/>
      <c r="BU72" s="259"/>
      <c r="BV72" s="258"/>
      <c r="BW72" s="369"/>
      <c r="BX72" s="258"/>
      <c r="BY72" s="258"/>
      <c r="BZ72" s="259"/>
      <c r="CA72" s="259"/>
      <c r="CB72" s="258"/>
      <c r="CC72" s="369"/>
      <c r="CD72" s="258"/>
      <c r="CE72" s="258"/>
      <c r="CF72" s="259"/>
      <c r="CG72" s="259"/>
      <c r="CH72" s="430"/>
      <c r="CI72" s="369"/>
      <c r="CJ72" s="258"/>
      <c r="CK72" s="258"/>
      <c r="CL72" s="259"/>
      <c r="CM72" s="259"/>
      <c r="CN72" s="430"/>
      <c r="CO72" s="430"/>
      <c r="CP72" s="430"/>
      <c r="CQ72" s="430"/>
      <c r="CR72" s="430"/>
      <c r="CS72" s="430"/>
      <c r="CT72" s="431"/>
      <c r="CU72" s="431"/>
      <c r="CV72" s="431"/>
      <c r="CW72" s="431"/>
      <c r="CX72" s="431"/>
      <c r="CY72" s="431"/>
      <c r="CZ72" s="431"/>
      <c r="DA72" s="431"/>
      <c r="DB72" s="431"/>
      <c r="DC72" s="431"/>
      <c r="DD72" s="431"/>
      <c r="DE72" s="431"/>
      <c r="DF72" s="431"/>
    </row>
    <row r="73" spans="1:110" ht="15" outlineLevel="1">
      <c r="A73" s="368" t="s">
        <v>180</v>
      </c>
      <c r="B73" s="258"/>
      <c r="C73" s="1583">
        <v>25.6</v>
      </c>
      <c r="D73" s="1584">
        <v>26.4</v>
      </c>
      <c r="E73" s="1584">
        <v>54.96</v>
      </c>
      <c r="F73" s="1585">
        <v>57.84</v>
      </c>
      <c r="G73" s="257">
        <f>SUM(C73:F73)</f>
        <v>164.8</v>
      </c>
      <c r="H73" s="258"/>
      <c r="I73" s="1583">
        <v>55.72</v>
      </c>
      <c r="J73" s="1584">
        <v>58.24</v>
      </c>
      <c r="K73" s="1584">
        <v>57.76</v>
      </c>
      <c r="L73" s="1585">
        <v>74.05</v>
      </c>
      <c r="M73" s="257">
        <f>SUM(I73:L73)</f>
        <v>245.76999999999998</v>
      </c>
      <c r="N73" s="258"/>
      <c r="O73" s="1583">
        <v>58.3</v>
      </c>
      <c r="P73" s="1584">
        <v>65.459999999999994</v>
      </c>
      <c r="Q73" s="1584">
        <v>52.85</v>
      </c>
      <c r="R73" s="1585">
        <v>70.02</v>
      </c>
      <c r="S73" s="257">
        <f>SUM(O73:R73)</f>
        <v>246.63</v>
      </c>
      <c r="T73" s="258"/>
      <c r="U73" s="1583">
        <v>60.65</v>
      </c>
      <c r="V73" s="1584">
        <v>76.260000000000005</v>
      </c>
      <c r="W73" s="1584">
        <v>83.7</v>
      </c>
      <c r="X73" s="1584">
        <v>126.72</v>
      </c>
      <c r="Y73" s="1632">
        <v>347.33</v>
      </c>
      <c r="Z73" s="258"/>
      <c r="AA73" s="1583">
        <v>106.68</v>
      </c>
      <c r="AB73" s="1584">
        <v>134.32</v>
      </c>
      <c r="AC73" s="1584">
        <v>135.36000000000001</v>
      </c>
      <c r="AD73" s="1585">
        <v>138.47999999999999</v>
      </c>
      <c r="AE73" s="1585">
        <v>514.84</v>
      </c>
      <c r="AF73" s="258"/>
      <c r="AG73" s="369">
        <f t="shared" si="22"/>
        <v>114.45</v>
      </c>
      <c r="AH73" s="258">
        <f t="shared" si="22"/>
        <v>121.31</v>
      </c>
      <c r="AI73" s="258">
        <f t="shared" si="22"/>
        <v>122.333</v>
      </c>
      <c r="AJ73" s="259">
        <f t="shared" si="22"/>
        <v>123.68999999999998</v>
      </c>
      <c r="AK73" s="1585">
        <v>481.78300000000002</v>
      </c>
      <c r="AL73" s="258"/>
      <c r="AM73" s="369">
        <f t="shared" si="23"/>
        <v>117.6</v>
      </c>
      <c r="AN73" s="258">
        <f t="shared" si="23"/>
        <v>121.24</v>
      </c>
      <c r="AO73" s="258">
        <f t="shared" si="23"/>
        <v>115.64</v>
      </c>
      <c r="AP73" s="259">
        <f t="shared" si="23"/>
        <v>120.26</v>
      </c>
      <c r="AQ73" s="1632">
        <v>474.74</v>
      </c>
      <c r="AR73" s="258"/>
      <c r="AS73" s="369">
        <f t="shared" si="24"/>
        <v>100.74</v>
      </c>
      <c r="AT73" s="258">
        <f t="shared" si="24"/>
        <v>103.86</v>
      </c>
      <c r="AU73" s="258">
        <f t="shared" si="24"/>
        <v>123.62000000000002</v>
      </c>
      <c r="AV73" s="259">
        <f t="shared" si="24"/>
        <v>135.59</v>
      </c>
      <c r="AW73" s="259">
        <f t="shared" si="32"/>
        <v>463.81000000000006</v>
      </c>
      <c r="AX73" s="258"/>
      <c r="AY73" s="369">
        <f t="shared" si="25"/>
        <v>112.86</v>
      </c>
      <c r="AZ73" s="258">
        <f t="shared" si="25"/>
        <v>96.300000000000011</v>
      </c>
      <c r="BA73" s="258">
        <f t="shared" si="26"/>
        <v>91.259999999999991</v>
      </c>
      <c r="BB73" s="259">
        <f t="shared" si="26"/>
        <v>93.149999999999991</v>
      </c>
      <c r="BC73" s="259">
        <f t="shared" si="33"/>
        <v>393.57</v>
      </c>
      <c r="BD73" s="258"/>
      <c r="BE73" s="369">
        <f t="shared" si="27"/>
        <v>92.52</v>
      </c>
      <c r="BF73" s="258">
        <f t="shared" si="27"/>
        <v>101.9</v>
      </c>
      <c r="BG73" s="258">
        <f t="shared" si="28"/>
        <v>93.96</v>
      </c>
      <c r="BH73" s="258">
        <f t="shared" si="28"/>
        <v>99.99</v>
      </c>
      <c r="BI73" s="257">
        <f t="shared" si="34"/>
        <v>388.37</v>
      </c>
      <c r="BJ73" s="258"/>
      <c r="BK73" s="369">
        <f t="shared" si="29"/>
        <v>96.03</v>
      </c>
      <c r="BL73" s="258">
        <f t="shared" si="29"/>
        <v>99.179999999999993</v>
      </c>
      <c r="BM73" s="258">
        <f t="shared" ref="BM73:BN73" si="37">+BM66*BM$18</f>
        <v>89.12</v>
      </c>
      <c r="BN73" s="258">
        <f t="shared" si="37"/>
        <v>107.00999999999999</v>
      </c>
      <c r="BO73" s="259"/>
      <c r="BP73" s="258"/>
      <c r="BQ73" s="369">
        <f t="shared" ref="BQ73" si="38">+BQ66*BQ$18</f>
        <v>108.99</v>
      </c>
      <c r="BR73" s="258"/>
      <c r="BS73" s="258"/>
      <c r="BT73" s="259"/>
      <c r="BU73" s="259"/>
      <c r="BV73" s="258"/>
      <c r="BW73" s="369"/>
      <c r="BX73" s="258"/>
      <c r="BY73" s="258"/>
      <c r="BZ73" s="259"/>
      <c r="CA73" s="259"/>
      <c r="CB73" s="258"/>
      <c r="CC73" s="369"/>
      <c r="CD73" s="258"/>
      <c r="CE73" s="258"/>
      <c r="CF73" s="259"/>
      <c r="CG73" s="259"/>
      <c r="CH73" s="430"/>
      <c r="CI73" s="369"/>
      <c r="CJ73" s="258"/>
      <c r="CK73" s="258"/>
      <c r="CL73" s="259"/>
      <c r="CM73" s="259"/>
      <c r="CN73" s="430"/>
      <c r="CO73" s="430"/>
      <c r="CP73" s="430"/>
      <c r="CQ73" s="430"/>
      <c r="CR73" s="430"/>
      <c r="CS73" s="430"/>
      <c r="CT73" s="431"/>
      <c r="CU73" s="431"/>
      <c r="CV73" s="431"/>
      <c r="CW73" s="431"/>
      <c r="CX73" s="431"/>
      <c r="CY73" s="431"/>
      <c r="CZ73" s="431"/>
      <c r="DA73" s="431"/>
      <c r="DB73" s="431"/>
      <c r="DC73" s="431"/>
      <c r="DD73" s="431"/>
      <c r="DE73" s="431"/>
      <c r="DF73" s="431"/>
    </row>
    <row r="74" spans="1:110" ht="15" outlineLevel="1">
      <c r="A74" s="368" t="s">
        <v>185</v>
      </c>
      <c r="B74" s="258"/>
      <c r="C74" s="1583">
        <v>89.6</v>
      </c>
      <c r="D74" s="1584">
        <v>66</v>
      </c>
      <c r="E74" s="1584">
        <v>82.44</v>
      </c>
      <c r="F74" s="1585">
        <v>101.22</v>
      </c>
      <c r="G74" s="257">
        <f>SUM(C74:F74)</f>
        <v>339.26</v>
      </c>
      <c r="H74" s="258"/>
      <c r="I74" s="1583">
        <v>111.44</v>
      </c>
      <c r="J74" s="1584">
        <v>101.92</v>
      </c>
      <c r="K74" s="1584">
        <v>101.08</v>
      </c>
      <c r="L74" s="1585">
        <v>118.48</v>
      </c>
      <c r="M74" s="257">
        <f>SUM(I74:L74)</f>
        <v>432.92</v>
      </c>
      <c r="N74" s="258"/>
      <c r="O74" s="1583">
        <v>116.6</v>
      </c>
      <c r="P74" s="1584">
        <v>87.28</v>
      </c>
      <c r="Q74" s="1584">
        <v>95.13</v>
      </c>
      <c r="R74" s="1585">
        <v>93.36</v>
      </c>
      <c r="S74" s="257">
        <f>SUM(O74:R74)</f>
        <v>392.37</v>
      </c>
      <c r="T74" s="258"/>
      <c r="U74" s="1583">
        <v>133.43</v>
      </c>
      <c r="V74" s="1584">
        <v>127.1</v>
      </c>
      <c r="W74" s="1584">
        <v>153.44999999999999</v>
      </c>
      <c r="X74" s="1584">
        <v>190.08</v>
      </c>
      <c r="Y74" s="1632">
        <v>604.05999999999995</v>
      </c>
      <c r="Z74" s="258"/>
      <c r="AA74" s="1583">
        <v>198.12</v>
      </c>
      <c r="AB74" s="1584">
        <v>218.27</v>
      </c>
      <c r="AC74" s="1584">
        <v>219.96</v>
      </c>
      <c r="AD74" s="1585">
        <v>225.03</v>
      </c>
      <c r="AE74" s="1585">
        <v>861.38</v>
      </c>
      <c r="AF74" s="258"/>
      <c r="AG74" s="369">
        <f t="shared" si="22"/>
        <v>212.55</v>
      </c>
      <c r="AH74" s="258">
        <f t="shared" si="22"/>
        <v>225.29</v>
      </c>
      <c r="AI74" s="258">
        <f t="shared" si="22"/>
        <v>223.99</v>
      </c>
      <c r="AJ74" s="259">
        <f t="shared" si="22"/>
        <v>229.71</v>
      </c>
      <c r="AK74" s="1585">
        <v>891.54</v>
      </c>
      <c r="AL74" s="258"/>
      <c r="AM74" s="369">
        <f t="shared" si="23"/>
        <v>218.4</v>
      </c>
      <c r="AN74" s="258">
        <f t="shared" si="23"/>
        <v>225.16</v>
      </c>
      <c r="AO74" s="258">
        <f t="shared" si="23"/>
        <v>231.28</v>
      </c>
      <c r="AP74" s="259">
        <f t="shared" si="23"/>
        <v>240.52</v>
      </c>
      <c r="AQ74" s="1632">
        <v>915.36</v>
      </c>
      <c r="AR74" s="258"/>
      <c r="AS74" s="369">
        <f t="shared" si="24"/>
        <v>235.06</v>
      </c>
      <c r="AT74" s="258">
        <f t="shared" si="24"/>
        <v>242.34</v>
      </c>
      <c r="AU74" s="258">
        <f t="shared" si="24"/>
        <v>247.24000000000004</v>
      </c>
      <c r="AV74" s="259">
        <f t="shared" si="24"/>
        <v>239.89000000000001</v>
      </c>
      <c r="AW74" s="259">
        <f t="shared" si="32"/>
        <v>964.53</v>
      </c>
      <c r="AX74" s="258"/>
      <c r="AY74" s="369">
        <f t="shared" si="25"/>
        <v>266.76</v>
      </c>
      <c r="AZ74" s="258">
        <f t="shared" si="25"/>
        <v>240.75</v>
      </c>
      <c r="BA74" s="258">
        <f t="shared" si="26"/>
        <v>243.35999999999999</v>
      </c>
      <c r="BB74" s="259">
        <f t="shared" si="26"/>
        <v>248.39999999999998</v>
      </c>
      <c r="BC74" s="259">
        <f t="shared" si="33"/>
        <v>999.27</v>
      </c>
      <c r="BD74" s="258"/>
      <c r="BE74" s="369">
        <f t="shared" si="27"/>
        <v>257</v>
      </c>
      <c r="BF74" s="258">
        <f t="shared" si="27"/>
        <v>234.37</v>
      </c>
      <c r="BG74" s="258">
        <f t="shared" si="28"/>
        <v>240.12</v>
      </c>
      <c r="BH74" s="258">
        <f t="shared" si="28"/>
        <v>244.42</v>
      </c>
      <c r="BI74" s="257">
        <f t="shared" si="34"/>
        <v>975.91</v>
      </c>
      <c r="BJ74" s="258"/>
      <c r="BK74" s="369">
        <f t="shared" si="29"/>
        <v>266.75</v>
      </c>
      <c r="BL74" s="258">
        <f t="shared" si="29"/>
        <v>264.48</v>
      </c>
      <c r="BM74" s="258">
        <f t="shared" ref="BM74:BN74" si="39">+BM67*BM$18</f>
        <v>256.22000000000003</v>
      </c>
      <c r="BN74" s="258">
        <f t="shared" si="39"/>
        <v>297.25</v>
      </c>
      <c r="BO74" s="259"/>
      <c r="BP74" s="258"/>
      <c r="BQ74" s="369">
        <f t="shared" ref="BQ74" si="40">+BQ67*BQ$18</f>
        <v>302.75</v>
      </c>
      <c r="BR74" s="258"/>
      <c r="BS74" s="258"/>
      <c r="BT74" s="259"/>
      <c r="BU74" s="259"/>
      <c r="BV74" s="258"/>
      <c r="BW74" s="369"/>
      <c r="BX74" s="258"/>
      <c r="BY74" s="258"/>
      <c r="BZ74" s="259"/>
      <c r="CA74" s="259"/>
      <c r="CB74" s="258"/>
      <c r="CC74" s="369"/>
      <c r="CD74" s="258"/>
      <c r="CE74" s="258"/>
      <c r="CF74" s="259"/>
      <c r="CG74" s="259"/>
      <c r="CH74" s="430"/>
      <c r="CI74" s="369"/>
      <c r="CJ74" s="258"/>
      <c r="CK74" s="258"/>
      <c r="CL74" s="259"/>
      <c r="CM74" s="259"/>
      <c r="CN74" s="430"/>
      <c r="CO74" s="430"/>
      <c r="CP74" s="430"/>
      <c r="CQ74" s="430"/>
      <c r="CR74" s="430"/>
      <c r="CS74" s="430"/>
      <c r="CT74" s="431"/>
      <c r="CU74" s="431"/>
      <c r="CV74" s="431"/>
      <c r="CW74" s="431"/>
      <c r="CX74" s="431"/>
      <c r="CY74" s="431"/>
      <c r="CZ74" s="431"/>
      <c r="DA74" s="431"/>
      <c r="DB74" s="431"/>
      <c r="DC74" s="431"/>
      <c r="DD74" s="431"/>
      <c r="DE74" s="431"/>
      <c r="DF74" s="431"/>
    </row>
    <row r="75" spans="1:110" ht="15" outlineLevel="1">
      <c r="A75" s="368" t="s">
        <v>182</v>
      </c>
      <c r="B75" s="258"/>
      <c r="C75" s="1583">
        <v>102.4</v>
      </c>
      <c r="D75" s="1584">
        <v>105.6</v>
      </c>
      <c r="E75" s="1584">
        <v>123.66</v>
      </c>
      <c r="F75" s="1585">
        <v>130.13999999999999</v>
      </c>
      <c r="G75" s="257">
        <f>SUM(C75:F75)</f>
        <v>461.79999999999995</v>
      </c>
      <c r="H75" s="258"/>
      <c r="I75" s="1583">
        <v>111.44</v>
      </c>
      <c r="J75" s="1584">
        <v>101.92</v>
      </c>
      <c r="K75" s="1584">
        <v>115.52</v>
      </c>
      <c r="L75" s="1585">
        <v>133.29</v>
      </c>
      <c r="M75" s="257">
        <f>SUM(I75:L75)</f>
        <v>462.16999999999996</v>
      </c>
      <c r="N75" s="258"/>
      <c r="O75" s="1583">
        <v>93.28</v>
      </c>
      <c r="P75" s="1584">
        <v>98.19</v>
      </c>
      <c r="Q75" s="1584">
        <v>95.13</v>
      </c>
      <c r="R75" s="1585">
        <v>105.03</v>
      </c>
      <c r="S75" s="257">
        <f>SUM(O75:R75)</f>
        <v>391.63</v>
      </c>
      <c r="T75" s="258"/>
      <c r="U75" s="1583">
        <v>109.17</v>
      </c>
      <c r="V75" s="1584">
        <v>114.39</v>
      </c>
      <c r="W75" s="1584">
        <v>153.44999999999999</v>
      </c>
      <c r="X75" s="1584">
        <v>190.08</v>
      </c>
      <c r="Y75" s="1632">
        <v>567.09</v>
      </c>
      <c r="Z75" s="258"/>
      <c r="AA75" s="1583">
        <v>137.16</v>
      </c>
      <c r="AB75" s="1584">
        <v>167.9</v>
      </c>
      <c r="AC75" s="1584">
        <v>169.2</v>
      </c>
      <c r="AD75" s="1585">
        <v>173.1</v>
      </c>
      <c r="AE75" s="1585">
        <v>647.36</v>
      </c>
      <c r="AF75" s="258"/>
      <c r="AG75" s="369">
        <f t="shared" si="22"/>
        <v>163.5</v>
      </c>
      <c r="AH75" s="258">
        <f t="shared" si="22"/>
        <v>173.3</v>
      </c>
      <c r="AI75" s="258">
        <f t="shared" si="22"/>
        <v>172.3</v>
      </c>
      <c r="AJ75" s="259">
        <f t="shared" si="22"/>
        <v>159.03</v>
      </c>
      <c r="AK75" s="1585">
        <v>668.13</v>
      </c>
      <c r="AL75" s="258"/>
      <c r="AM75" s="369">
        <f t="shared" si="23"/>
        <v>151.19999999999999</v>
      </c>
      <c r="AN75" s="258">
        <f t="shared" si="23"/>
        <v>155.88</v>
      </c>
      <c r="AO75" s="258">
        <f t="shared" si="23"/>
        <v>148.68</v>
      </c>
      <c r="AP75" s="259">
        <f t="shared" si="23"/>
        <v>171.8</v>
      </c>
      <c r="AQ75" s="1632">
        <v>627.55999999999995</v>
      </c>
      <c r="AR75" s="258"/>
      <c r="AS75" s="369">
        <f t="shared" si="24"/>
        <v>167.9</v>
      </c>
      <c r="AT75" s="258">
        <f t="shared" si="24"/>
        <v>155.79</v>
      </c>
      <c r="AU75" s="258">
        <f t="shared" si="24"/>
        <v>158.94</v>
      </c>
      <c r="AV75" s="259">
        <f t="shared" si="24"/>
        <v>166.88</v>
      </c>
      <c r="AW75" s="259">
        <f t="shared" si="32"/>
        <v>649.51</v>
      </c>
      <c r="AX75" s="258"/>
      <c r="AY75" s="369">
        <f t="shared" si="25"/>
        <v>133.38</v>
      </c>
      <c r="AZ75" s="258">
        <f t="shared" si="25"/>
        <v>125.19</v>
      </c>
      <c r="BA75" s="258">
        <f t="shared" si="26"/>
        <v>141.96</v>
      </c>
      <c r="BB75" s="259">
        <f t="shared" si="26"/>
        <v>134.55000000000001</v>
      </c>
      <c r="BC75" s="259">
        <f t="shared" si="33"/>
        <v>535.07999999999993</v>
      </c>
      <c r="BD75" s="258"/>
      <c r="BE75" s="369">
        <f t="shared" si="27"/>
        <v>123.36</v>
      </c>
      <c r="BF75" s="258">
        <f t="shared" si="27"/>
        <v>122.28</v>
      </c>
      <c r="BG75" s="258">
        <f t="shared" si="28"/>
        <v>125.28</v>
      </c>
      <c r="BH75" s="258">
        <f t="shared" si="28"/>
        <v>122.21</v>
      </c>
      <c r="BI75" s="257">
        <f t="shared" si="34"/>
        <v>493.12999999999994</v>
      </c>
      <c r="BJ75" s="258"/>
      <c r="BK75" s="369">
        <f t="shared" si="29"/>
        <v>117.37</v>
      </c>
      <c r="BL75" s="258">
        <f t="shared" si="29"/>
        <v>132.24</v>
      </c>
      <c r="BM75" s="258">
        <f t="shared" ref="BM75:BN75" si="41">+BM68*BM$18</f>
        <v>133.68</v>
      </c>
      <c r="BN75" s="258">
        <f t="shared" si="41"/>
        <v>130.79</v>
      </c>
      <c r="BO75" s="259"/>
      <c r="BP75" s="258"/>
      <c r="BQ75" s="369">
        <f t="shared" ref="BQ75" si="42">+BQ68*BQ$18</f>
        <v>145.32</v>
      </c>
      <c r="BR75" s="258"/>
      <c r="BS75" s="258"/>
      <c r="BT75" s="259"/>
      <c r="BU75" s="259"/>
      <c r="BV75" s="258"/>
      <c r="BW75" s="369"/>
      <c r="BX75" s="258"/>
      <c r="BY75" s="258"/>
      <c r="BZ75" s="259"/>
      <c r="CA75" s="259"/>
      <c r="CB75" s="258"/>
      <c r="CC75" s="369"/>
      <c r="CD75" s="258"/>
      <c r="CE75" s="258"/>
      <c r="CF75" s="259"/>
      <c r="CG75" s="259"/>
      <c r="CH75" s="430"/>
      <c r="CI75" s="369"/>
      <c r="CJ75" s="258"/>
      <c r="CK75" s="258"/>
      <c r="CL75" s="259"/>
      <c r="CM75" s="259"/>
      <c r="CN75" s="430"/>
      <c r="CO75" s="430"/>
      <c r="CP75" s="430"/>
      <c r="CQ75" s="430"/>
      <c r="CR75" s="430"/>
      <c r="CS75" s="430"/>
      <c r="CT75" s="431"/>
      <c r="CU75" s="431"/>
      <c r="CV75" s="431"/>
      <c r="CW75" s="431"/>
      <c r="CX75" s="431"/>
      <c r="CY75" s="431"/>
      <c r="CZ75" s="431"/>
      <c r="DA75" s="431"/>
      <c r="DB75" s="431"/>
      <c r="DC75" s="431"/>
      <c r="DD75" s="431"/>
      <c r="DE75" s="431"/>
      <c r="DF75" s="431"/>
    </row>
    <row r="76" spans="1:110" ht="15" outlineLevel="1">
      <c r="A76" s="368" t="s">
        <v>183</v>
      </c>
      <c r="B76" s="258"/>
      <c r="C76" s="369">
        <f>C18-SUM(C71:C75)</f>
        <v>71</v>
      </c>
      <c r="D76" s="258">
        <f>D18-SUM(D71:D75)</f>
        <v>58.399999999999977</v>
      </c>
      <c r="E76" s="258">
        <f>E18-SUM(E71:E75)</f>
        <v>43.060000000000059</v>
      </c>
      <c r="F76" s="259">
        <f>F18-SUM(F71:F75)</f>
        <v>61.279999999999973</v>
      </c>
      <c r="G76" s="257">
        <f>SUM(C76:F76)</f>
        <v>233.74</v>
      </c>
      <c r="H76" s="258"/>
      <c r="I76" s="369">
        <f>I18-SUM(I71:I75)</f>
        <v>71.31</v>
      </c>
      <c r="J76" s="258">
        <f>J18-SUM(J71:J75)</f>
        <v>64.079999999999984</v>
      </c>
      <c r="K76" s="258">
        <f>K18-SUM(K71:K75)</f>
        <v>77.920000000000016</v>
      </c>
      <c r="L76" s="259">
        <f>L18-SUM(L71:L75)</f>
        <v>60.840000000000032</v>
      </c>
      <c r="M76" s="257">
        <f>SUM(I76:L76)</f>
        <v>274.15000000000003</v>
      </c>
      <c r="N76" s="258"/>
      <c r="O76" s="369">
        <f>O18-SUM(O71:O75)</f>
        <v>81.920000000000073</v>
      </c>
      <c r="P76" s="258">
        <f>P18-SUM(P71:P75)</f>
        <v>72.510000000000048</v>
      </c>
      <c r="Q76" s="258">
        <f>Q18-SUM(Q71:Q75)</f>
        <v>73.200000000000045</v>
      </c>
      <c r="R76" s="259">
        <f>R18-SUM(R71:R75)</f>
        <v>88.87</v>
      </c>
      <c r="S76" s="257">
        <f>SUM(O76:R76)</f>
        <v>316.50000000000017</v>
      </c>
      <c r="T76" s="258"/>
      <c r="U76" s="369">
        <f>U18-SUM(U71:U75)</f>
        <v>86.669999999999959</v>
      </c>
      <c r="V76" s="258">
        <f>V18-SUM(V71:V75)</f>
        <v>89.019999999999982</v>
      </c>
      <c r="W76" s="258">
        <f>W18-SUM(W71:W75)</f>
        <v>117.10000000000002</v>
      </c>
      <c r="X76" s="259">
        <f>X18-SUM(X71:X75)</f>
        <v>91.3599999999999</v>
      </c>
      <c r="Y76" s="259">
        <f>SUM(U76:X76)</f>
        <v>384.14999999999986</v>
      </c>
      <c r="Z76" s="258"/>
      <c r="AA76" s="369">
        <f>AA18-SUM(AA71:AA75)</f>
        <v>82.440000000000055</v>
      </c>
      <c r="AB76" s="258">
        <f>AB18-SUM(AB71:AB75)</f>
        <v>89.450000000000045</v>
      </c>
      <c r="AC76" s="258">
        <f>AC18-SUM(AC71:AC75)</f>
        <v>74.599999999999909</v>
      </c>
      <c r="AD76" s="259">
        <f>AD18-SUM(AD71:AD75)</f>
        <v>97.049999999999955</v>
      </c>
      <c r="AE76" s="259">
        <f>SUM(AA76:AD76)</f>
        <v>343.53999999999996</v>
      </c>
      <c r="AF76" s="258"/>
      <c r="AG76" s="369">
        <f t="shared" si="22"/>
        <v>104.89999999999998</v>
      </c>
      <c r="AH76" s="258">
        <f t="shared" si="22"/>
        <v>94.480000000000018</v>
      </c>
      <c r="AI76" s="258">
        <f t="shared" si="22"/>
        <v>90.588999999999942</v>
      </c>
      <c r="AJ76" s="259">
        <f t="shared" si="22"/>
        <v>85.170000000000073</v>
      </c>
      <c r="AK76" s="259">
        <f>SUM(AG76:AJ76)</f>
        <v>375.13900000000001</v>
      </c>
      <c r="AL76" s="258"/>
      <c r="AM76" s="369">
        <f t="shared" si="23"/>
        <v>101.20000000000005</v>
      </c>
      <c r="AN76" s="258">
        <f t="shared" si="23"/>
        <v>123.32000000000005</v>
      </c>
      <c r="AO76" s="258">
        <f t="shared" si="23"/>
        <v>91.960000000000036</v>
      </c>
      <c r="AP76" s="259">
        <f t="shared" si="23"/>
        <v>102.46000000000004</v>
      </c>
      <c r="AQ76" s="257">
        <f>SUM(AM76:AP76)</f>
        <v>418.94000000000017</v>
      </c>
      <c r="AR76" s="258"/>
      <c r="AS76" s="369">
        <f t="shared" si="24"/>
        <v>118.13</v>
      </c>
      <c r="AT76" s="258">
        <f t="shared" si="24"/>
        <v>105.19000000000005</v>
      </c>
      <c r="AU76" s="258">
        <f t="shared" si="24"/>
        <v>90.679999999999836</v>
      </c>
      <c r="AV76" s="259">
        <f t="shared" si="24"/>
        <v>104.30000000000001</v>
      </c>
      <c r="AW76" s="259">
        <f t="shared" si="32"/>
        <v>418.2999999999999</v>
      </c>
      <c r="AX76" s="258"/>
      <c r="AY76" s="369">
        <f t="shared" si="25"/>
        <v>123.11999999999999</v>
      </c>
      <c r="AZ76" s="258">
        <f t="shared" si="25"/>
        <v>105.93</v>
      </c>
      <c r="BA76" s="258">
        <f t="shared" si="26"/>
        <v>111.54</v>
      </c>
      <c r="BB76" s="259">
        <f t="shared" si="26"/>
        <v>124.19999999999999</v>
      </c>
      <c r="BC76" s="259">
        <f t="shared" si="33"/>
        <v>464.79</v>
      </c>
      <c r="BD76" s="258"/>
      <c r="BE76" s="369">
        <f t="shared" si="27"/>
        <v>113.08</v>
      </c>
      <c r="BF76" s="258">
        <f t="shared" si="27"/>
        <v>112.09</v>
      </c>
      <c r="BG76" s="258">
        <f t="shared" si="28"/>
        <v>114.84</v>
      </c>
      <c r="BH76" s="258">
        <f t="shared" si="28"/>
        <v>122.21</v>
      </c>
      <c r="BI76" s="257">
        <f t="shared" si="34"/>
        <v>462.21999999999997</v>
      </c>
      <c r="BJ76" s="258"/>
      <c r="BK76" s="369">
        <f t="shared" si="29"/>
        <v>117.37</v>
      </c>
      <c r="BL76" s="258">
        <f t="shared" si="29"/>
        <v>110.2</v>
      </c>
      <c r="BM76" s="258">
        <f t="shared" ref="BM76:BN76" si="43">+BM69*BM$18</f>
        <v>122.54</v>
      </c>
      <c r="BN76" s="258">
        <f t="shared" si="43"/>
        <v>130.79</v>
      </c>
      <c r="BO76" s="259"/>
      <c r="BP76" s="258"/>
      <c r="BQ76" s="369">
        <f t="shared" ref="BQ76" si="44">+BQ69*BQ$18</f>
        <v>133.21</v>
      </c>
      <c r="BR76" s="258"/>
      <c r="BS76" s="258"/>
      <c r="BT76" s="259"/>
      <c r="BU76" s="259"/>
      <c r="BV76" s="258"/>
      <c r="BW76" s="369"/>
      <c r="BX76" s="258"/>
      <c r="BY76" s="258"/>
      <c r="BZ76" s="259"/>
      <c r="CA76" s="259"/>
      <c r="CB76" s="258"/>
      <c r="CC76" s="369"/>
      <c r="CD76" s="258"/>
      <c r="CE76" s="258"/>
      <c r="CF76" s="259"/>
      <c r="CG76" s="259"/>
      <c r="CH76" s="430"/>
      <c r="CI76" s="369"/>
      <c r="CJ76" s="258"/>
      <c r="CK76" s="258"/>
      <c r="CL76" s="259"/>
      <c r="CM76" s="259"/>
      <c r="CN76" s="430"/>
      <c r="CO76" s="430"/>
      <c r="CP76" s="430"/>
      <c r="CQ76" s="430"/>
      <c r="CR76" s="430"/>
      <c r="CS76" s="430"/>
      <c r="CT76" s="431"/>
      <c r="CU76" s="431"/>
      <c r="CV76" s="431"/>
      <c r="CW76" s="431"/>
      <c r="CX76" s="431"/>
      <c r="CY76" s="431"/>
      <c r="CZ76" s="431"/>
      <c r="DA76" s="431"/>
      <c r="DB76" s="431"/>
      <c r="DC76" s="431"/>
      <c r="DD76" s="431"/>
      <c r="DE76" s="431"/>
      <c r="DF76" s="431"/>
    </row>
    <row r="77" spans="1:110" ht="15" outlineLevel="1">
      <c r="A77" s="1399" t="s">
        <v>168</v>
      </c>
      <c r="C77" s="1400">
        <f>SUM(C71:C76)</f>
        <v>455</v>
      </c>
      <c r="D77" s="1401">
        <f>SUM(D71:D76)</f>
        <v>428</v>
      </c>
      <c r="E77" s="1401">
        <f>SUM(E71:E76)</f>
        <v>469</v>
      </c>
      <c r="F77" s="1402">
        <f>SUM(F71:F76)</f>
        <v>524</v>
      </c>
      <c r="G77" s="1403">
        <f>SUM(G71:G76)</f>
        <v>1876</v>
      </c>
      <c r="H77" s="372"/>
      <c r="I77" s="1400">
        <f>SUM(I71:I76)</f>
        <v>531</v>
      </c>
      <c r="J77" s="1401">
        <f>SUM(J71:J76)</f>
        <v>530</v>
      </c>
      <c r="K77" s="1401">
        <f>SUM(K71:K76)</f>
        <v>540</v>
      </c>
      <c r="L77" s="1402">
        <f>SUM(L71:L76)</f>
        <v>594</v>
      </c>
      <c r="M77" s="1403">
        <f>SUM(M71:M76)</f>
        <v>2195</v>
      </c>
      <c r="N77" s="372"/>
      <c r="O77" s="1400">
        <f>SUM(O71:O76)</f>
        <v>525</v>
      </c>
      <c r="P77" s="1401">
        <f>SUM(P71:P76)</f>
        <v>498</v>
      </c>
      <c r="Q77" s="1401">
        <f>SUM(Q71:Q76)</f>
        <v>496</v>
      </c>
      <c r="R77" s="1402">
        <f>SUM(R71:R76)</f>
        <v>544</v>
      </c>
      <c r="S77" s="1403">
        <f>SUM(S71:S76)</f>
        <v>2063</v>
      </c>
      <c r="T77" s="372"/>
      <c r="U77" s="1400">
        <f>SUM(U71:U76)</f>
        <v>584</v>
      </c>
      <c r="V77" s="1401">
        <f>SUM(V71:V76)</f>
        <v>572</v>
      </c>
      <c r="W77" s="1401">
        <f>SUM(W71:W76)</f>
        <v>703</v>
      </c>
      <c r="X77" s="1401">
        <f>SUM(X71:X76)</f>
        <v>820</v>
      </c>
      <c r="Y77" s="1403">
        <f>SUM(Y71:Y76)</f>
        <v>2679</v>
      </c>
      <c r="Z77" s="372"/>
      <c r="AA77" s="1400">
        <f>SUM(AA71:AA76)</f>
        <v>753</v>
      </c>
      <c r="AB77" s="1401">
        <f>SUM(AB71:AB76)</f>
        <v>845</v>
      </c>
      <c r="AC77" s="1401">
        <f>SUM(AC71:AC76)</f>
        <v>836</v>
      </c>
      <c r="AD77" s="1402">
        <f>SUM(AD71:AD76)</f>
        <v>876</v>
      </c>
      <c r="AE77" s="1403">
        <f>SUM(AE71:AE76)</f>
        <v>3310</v>
      </c>
      <c r="AF77" s="372"/>
      <c r="AG77" s="1400">
        <f>SUM(AG71:AG76)</f>
        <v>857</v>
      </c>
      <c r="AH77" s="1401">
        <f>SUM(AH71:AH76)</f>
        <v>857</v>
      </c>
      <c r="AI77" s="1401">
        <f>SUM(AI71:AI76)</f>
        <v>878</v>
      </c>
      <c r="AJ77" s="1402">
        <f>SUM(AJ71:AJ76)</f>
        <v>951</v>
      </c>
      <c r="AK77" s="1403">
        <f>SUM(AK71:AK76)</f>
        <v>3543</v>
      </c>
      <c r="AL77" s="372"/>
      <c r="AM77" s="1400">
        <f>SUM(AM71:AM76)</f>
        <v>958</v>
      </c>
      <c r="AN77" s="1401">
        <f>SUM(AN71:AN76)</f>
        <v>972</v>
      </c>
      <c r="AO77" s="1401">
        <f>SUM(AO71:AO76)</f>
        <v>951</v>
      </c>
      <c r="AP77" s="1402">
        <f>SUM(AP71:AP76)</f>
        <v>1013</v>
      </c>
      <c r="AQ77" s="1403">
        <f>SUM(AQ71:AQ76)</f>
        <v>3894</v>
      </c>
      <c r="AR77" s="372"/>
      <c r="AS77" s="1400">
        <f>SUM(AS71:AS76)</f>
        <v>1008</v>
      </c>
      <c r="AT77" s="1401">
        <f>SUM(AT71:AT76)</f>
        <v>988</v>
      </c>
      <c r="AU77" s="1401">
        <f>SUM(AU71:AU76)</f>
        <v>1009</v>
      </c>
      <c r="AV77" s="1401">
        <f>SUM(AV71:AV76)</f>
        <v>1043</v>
      </c>
      <c r="AW77" s="1403">
        <f t="shared" si="32"/>
        <v>4048</v>
      </c>
      <c r="AX77" s="372"/>
      <c r="AY77" s="1400">
        <f>SUM(AY71:AY76)</f>
        <v>1026</v>
      </c>
      <c r="AZ77" s="1401">
        <f>SUM(AZ71:AZ76)</f>
        <v>963</v>
      </c>
      <c r="BA77" s="1401">
        <f>SUM(BA71:BA76)</f>
        <v>1014</v>
      </c>
      <c r="BB77" s="1401">
        <f>SUM(BB71:BB76)</f>
        <v>1035</v>
      </c>
      <c r="BC77" s="1403">
        <f t="shared" si="33"/>
        <v>4038</v>
      </c>
      <c r="BD77" s="372"/>
      <c r="BE77" s="1400">
        <f>SUM(BE71:BE76)</f>
        <v>1028</v>
      </c>
      <c r="BF77" s="1401">
        <f>SUM(BF71:BF76)</f>
        <v>1019</v>
      </c>
      <c r="BG77" s="1401">
        <f>SUM(BG71:BG76)</f>
        <v>1044</v>
      </c>
      <c r="BH77" s="1401">
        <f>SUM(BH71:BH76)</f>
        <v>1111</v>
      </c>
      <c r="BI77" s="1403">
        <f t="shared" si="34"/>
        <v>4202</v>
      </c>
      <c r="BJ77" s="372"/>
      <c r="BK77" s="1400">
        <f>SUM(BK71:BK76)</f>
        <v>1067</v>
      </c>
      <c r="BL77" s="1401">
        <f>SUM(BL71:BL76)</f>
        <v>1102</v>
      </c>
      <c r="BM77" s="1401">
        <f>SUM(BM71:BM76)</f>
        <v>1114</v>
      </c>
      <c r="BN77" s="1401">
        <f>SUM(BN71:BN76)</f>
        <v>1189</v>
      </c>
      <c r="BO77" s="1402"/>
      <c r="BP77" s="372"/>
      <c r="BQ77" s="1400">
        <f>SUM(BQ71:BQ76)</f>
        <v>1211</v>
      </c>
      <c r="BR77" s="1401"/>
      <c r="BS77" s="1401"/>
      <c r="BT77" s="1402"/>
      <c r="BU77" s="1402"/>
      <c r="BV77" s="372"/>
      <c r="BW77" s="1400"/>
      <c r="BX77" s="1401"/>
      <c r="BY77" s="1401"/>
      <c r="BZ77" s="1402"/>
      <c r="CA77" s="1402"/>
      <c r="CB77" s="1348"/>
      <c r="CC77" s="1400"/>
      <c r="CD77" s="1401"/>
      <c r="CE77" s="1401"/>
      <c r="CF77" s="1402"/>
      <c r="CG77" s="1402"/>
      <c r="CH77" s="430"/>
      <c r="CI77" s="1400"/>
      <c r="CJ77" s="1401"/>
      <c r="CK77" s="1401"/>
      <c r="CL77" s="1402"/>
      <c r="CM77" s="1402"/>
      <c r="CN77" s="430"/>
      <c r="CO77" s="430"/>
      <c r="CP77" s="430"/>
      <c r="CQ77" s="430"/>
      <c r="CR77" s="430"/>
      <c r="CS77" s="430"/>
      <c r="CT77" s="431"/>
      <c r="CU77" s="431"/>
      <c r="CV77" s="431"/>
      <c r="CW77" s="431"/>
      <c r="CX77" s="431"/>
      <c r="CY77" s="431"/>
      <c r="CZ77" s="431"/>
      <c r="DA77" s="431"/>
      <c r="DB77" s="431"/>
      <c r="DC77" s="431"/>
      <c r="DD77" s="431"/>
      <c r="DE77" s="431"/>
      <c r="DF77" s="431"/>
    </row>
    <row r="78" spans="1:110" outlineLevel="1">
      <c r="A78" s="432" t="s">
        <v>169</v>
      </c>
      <c r="C78" s="433">
        <f>C$18-C77</f>
        <v>0</v>
      </c>
      <c r="D78" s="433">
        <f>D$18-D77</f>
        <v>0</v>
      </c>
      <c r="E78" s="433">
        <f>E$18-E77</f>
        <v>0</v>
      </c>
      <c r="F78" s="433">
        <f>F$18-F77</f>
        <v>0</v>
      </c>
      <c r="G78" s="433">
        <f>G$18-G77</f>
        <v>0</v>
      </c>
      <c r="H78" s="434"/>
      <c r="I78" s="433">
        <f>I$18-I77</f>
        <v>0</v>
      </c>
      <c r="J78" s="433">
        <f>J$18-J77</f>
        <v>0</v>
      </c>
      <c r="K78" s="433">
        <f>K$18-K77</f>
        <v>0</v>
      </c>
      <c r="L78" s="433">
        <f>L$18-L77</f>
        <v>0</v>
      </c>
      <c r="M78" s="433">
        <f>M$18-M77</f>
        <v>0</v>
      </c>
      <c r="N78" s="434"/>
      <c r="O78" s="433">
        <f>O$18-O77</f>
        <v>0</v>
      </c>
      <c r="P78" s="433">
        <f>P$18-P77</f>
        <v>0</v>
      </c>
      <c r="Q78" s="433">
        <f>Q$18-Q77</f>
        <v>0</v>
      </c>
      <c r="R78" s="433">
        <f>R$18-R77</f>
        <v>0</v>
      </c>
      <c r="S78" s="433">
        <f>S$18-S77</f>
        <v>0</v>
      </c>
      <c r="T78" s="434"/>
      <c r="U78" s="433">
        <f t="shared" ref="U78:AE78" si="45">U$18-U77</f>
        <v>0</v>
      </c>
      <c r="V78" s="433">
        <f t="shared" si="45"/>
        <v>0</v>
      </c>
      <c r="W78" s="433">
        <f t="shared" si="45"/>
        <v>0</v>
      </c>
      <c r="X78" s="433">
        <f t="shared" si="45"/>
        <v>0</v>
      </c>
      <c r="Y78" s="433">
        <f t="shared" si="45"/>
        <v>0</v>
      </c>
      <c r="Z78" s="434">
        <f t="shared" si="45"/>
        <v>0</v>
      </c>
      <c r="AA78" s="433">
        <f t="shared" si="45"/>
        <v>0</v>
      </c>
      <c r="AB78" s="433">
        <f t="shared" si="45"/>
        <v>0</v>
      </c>
      <c r="AC78" s="433">
        <f t="shared" si="45"/>
        <v>0</v>
      </c>
      <c r="AD78" s="433">
        <f t="shared" si="45"/>
        <v>0</v>
      </c>
      <c r="AE78" s="433">
        <f t="shared" si="45"/>
        <v>0</v>
      </c>
      <c r="AF78" s="434"/>
      <c r="AG78" s="433">
        <f>AG$18-AG77</f>
        <v>0</v>
      </c>
      <c r="AH78" s="433">
        <f>AH$18-AH77</f>
        <v>0</v>
      </c>
      <c r="AI78" s="433">
        <f>AI$18-AI77</f>
        <v>0</v>
      </c>
      <c r="AJ78" s="433">
        <f>AJ$18-AJ77</f>
        <v>0</v>
      </c>
      <c r="AK78" s="433">
        <f>AK$18-AK77</f>
        <v>0</v>
      </c>
      <c r="AL78" s="434"/>
      <c r="AM78" s="433">
        <f>AM$18-AM77</f>
        <v>0</v>
      </c>
      <c r="AN78" s="433">
        <f>AN$18-AN77</f>
        <v>0</v>
      </c>
      <c r="AO78" s="433">
        <f>AO$18-AO77</f>
        <v>0</v>
      </c>
      <c r="AP78" s="433">
        <f>AP$18-AP77</f>
        <v>0</v>
      </c>
      <c r="AQ78" s="433">
        <f>AQ$18-AQ77</f>
        <v>0</v>
      </c>
      <c r="AR78" s="434"/>
      <c r="AS78" s="433">
        <f>AS$18-AS77</f>
        <v>0</v>
      </c>
      <c r="AT78" s="433">
        <f>AT$18-AT77</f>
        <v>0</v>
      </c>
      <c r="AU78" s="433">
        <f>AU$18-AU77</f>
        <v>0</v>
      </c>
      <c r="AV78" s="433">
        <f>AV$18-AV77</f>
        <v>0</v>
      </c>
      <c r="AW78" s="433">
        <f>AW$18-AW77</f>
        <v>0</v>
      </c>
      <c r="AX78" s="434"/>
      <c r="AY78" s="433">
        <f>AY$18-AY77</f>
        <v>0</v>
      </c>
      <c r="AZ78" s="433">
        <f>AZ$18-AZ77</f>
        <v>0</v>
      </c>
      <c r="BA78" s="433">
        <f>BA$18-BA77</f>
        <v>0</v>
      </c>
      <c r="BB78" s="433">
        <f>BB$18-BB77</f>
        <v>0</v>
      </c>
      <c r="BC78" s="433">
        <f>BC$18-BC77</f>
        <v>0</v>
      </c>
      <c r="BD78" s="434"/>
      <c r="BE78" s="433">
        <f>BE$18-BE77</f>
        <v>0</v>
      </c>
      <c r="BF78" s="433">
        <f>BF$18-BF77</f>
        <v>0</v>
      </c>
      <c r="BG78" s="433">
        <f>BG$18-BG77</f>
        <v>0</v>
      </c>
      <c r="BH78" s="433">
        <f>BH$18-BH77</f>
        <v>0</v>
      </c>
      <c r="BI78" s="433">
        <f>BI$18-BI77</f>
        <v>0</v>
      </c>
      <c r="BJ78" s="434"/>
      <c r="BK78" s="433">
        <f>BK$18-BK77</f>
        <v>0</v>
      </c>
      <c r="BL78" s="433">
        <f>BL$18-BL77</f>
        <v>0</v>
      </c>
      <c r="BM78" s="433">
        <f>BM$18-BM77</f>
        <v>0</v>
      </c>
      <c r="BN78" s="433">
        <f>BN$18-BN77</f>
        <v>0</v>
      </c>
      <c r="BO78" s="433"/>
      <c r="BP78" s="434"/>
      <c r="BQ78" s="433">
        <f>BQ$18-BQ77</f>
        <v>0</v>
      </c>
      <c r="BR78" s="433"/>
      <c r="BS78" s="433"/>
      <c r="BT78" s="433"/>
      <c r="BU78" s="433"/>
      <c r="BV78" s="434"/>
      <c r="BW78" s="433"/>
      <c r="BX78" s="433"/>
      <c r="BY78" s="433"/>
      <c r="BZ78" s="433"/>
      <c r="CA78" s="433"/>
      <c r="CB78" s="434"/>
      <c r="CC78" s="433"/>
      <c r="CD78" s="433"/>
      <c r="CE78" s="433"/>
      <c r="CF78" s="433"/>
      <c r="CG78" s="433"/>
      <c r="CH78" s="435"/>
      <c r="CI78" s="433"/>
      <c r="CJ78" s="433"/>
      <c r="CK78" s="433"/>
      <c r="CL78" s="433"/>
      <c r="CM78" s="433"/>
      <c r="CN78" s="435"/>
      <c r="CO78" s="435"/>
      <c r="CP78" s="435"/>
      <c r="CQ78" s="435"/>
      <c r="CR78" s="435"/>
      <c r="CS78" s="435"/>
      <c r="CT78" s="436"/>
      <c r="CU78" s="436"/>
      <c r="CV78" s="436"/>
      <c r="CW78" s="436"/>
      <c r="CX78" s="436"/>
      <c r="CY78" s="436"/>
      <c r="CZ78" s="436"/>
      <c r="DA78" s="436"/>
      <c r="DB78" s="436"/>
      <c r="DC78" s="436"/>
      <c r="DD78" s="436"/>
      <c r="DE78" s="436"/>
      <c r="DF78" s="436"/>
    </row>
    <row r="79" spans="1:110" outlineLevel="1">
      <c r="A79" s="2060"/>
      <c r="C79" s="434"/>
      <c r="D79" s="434"/>
      <c r="E79" s="434"/>
      <c r="F79" s="434"/>
      <c r="G79" s="434"/>
      <c r="H79" s="434"/>
      <c r="I79" s="434"/>
      <c r="J79" s="434"/>
      <c r="K79" s="434"/>
      <c r="L79" s="434"/>
      <c r="M79" s="434"/>
      <c r="N79" s="434"/>
      <c r="O79" s="434"/>
      <c r="P79" s="434"/>
      <c r="Q79" s="434"/>
      <c r="R79" s="434"/>
      <c r="S79" s="434"/>
      <c r="T79" s="434"/>
      <c r="U79" s="434"/>
      <c r="V79" s="434"/>
      <c r="W79" s="434"/>
      <c r="X79" s="434"/>
      <c r="Y79" s="434"/>
      <c r="Z79" s="434"/>
      <c r="AA79" s="434"/>
      <c r="AB79" s="434"/>
      <c r="AC79" s="434"/>
      <c r="AD79" s="434"/>
      <c r="AE79" s="434"/>
      <c r="AF79" s="434"/>
      <c r="AG79" s="434"/>
      <c r="AH79" s="434"/>
      <c r="AI79" s="434"/>
      <c r="AJ79" s="434"/>
      <c r="AK79" s="434"/>
      <c r="AL79" s="434"/>
      <c r="AM79" s="434"/>
      <c r="AN79" s="434"/>
      <c r="AO79" s="434"/>
      <c r="AP79" s="434"/>
      <c r="AQ79" s="434"/>
      <c r="AR79" s="434"/>
      <c r="AS79" s="434"/>
      <c r="AT79" s="434"/>
      <c r="AU79" s="434"/>
      <c r="AV79" s="434"/>
      <c r="AW79" s="434"/>
      <c r="AX79" s="434"/>
      <c r="AY79" s="434"/>
      <c r="AZ79" s="434"/>
      <c r="BA79" s="434"/>
      <c r="BB79" s="434"/>
      <c r="BC79" s="434"/>
      <c r="BD79" s="434"/>
      <c r="BE79" s="434"/>
      <c r="BF79" s="434"/>
      <c r="BG79" s="434"/>
      <c r="BH79" s="434"/>
      <c r="BI79" s="434"/>
      <c r="BJ79" s="434"/>
      <c r="BK79" s="434"/>
      <c r="BL79" s="434"/>
      <c r="BM79" s="434"/>
      <c r="BN79" s="434"/>
      <c r="BO79" s="434"/>
      <c r="BP79" s="434"/>
      <c r="BQ79" s="434"/>
      <c r="BR79" s="434"/>
      <c r="BS79" s="434"/>
      <c r="BT79" s="434"/>
      <c r="BU79" s="434"/>
      <c r="BV79" s="434"/>
      <c r="BW79" s="434"/>
      <c r="BX79" s="434"/>
      <c r="BY79" s="434"/>
      <c r="BZ79" s="434"/>
      <c r="CA79" s="434"/>
      <c r="CB79" s="434"/>
      <c r="CC79" s="434"/>
      <c r="CD79" s="434"/>
      <c r="CE79" s="434"/>
      <c r="CF79" s="434"/>
      <c r="CG79" s="434"/>
      <c r="CH79" s="435"/>
      <c r="CI79" s="434"/>
      <c r="CJ79" s="434"/>
      <c r="CK79" s="434"/>
      <c r="CL79" s="434"/>
      <c r="CM79" s="434"/>
      <c r="CN79" s="435"/>
      <c r="CO79" s="435"/>
      <c r="CP79" s="435"/>
      <c r="CQ79" s="435"/>
      <c r="CR79" s="435"/>
      <c r="CS79" s="435"/>
      <c r="CT79" s="436"/>
      <c r="CU79" s="436"/>
      <c r="CV79" s="436"/>
      <c r="CW79" s="436"/>
      <c r="CX79" s="436"/>
      <c r="CY79" s="436"/>
      <c r="CZ79" s="436"/>
      <c r="DA79" s="436"/>
      <c r="DB79" s="436"/>
      <c r="DC79" s="436"/>
      <c r="DD79" s="436"/>
      <c r="DE79" s="436"/>
      <c r="DF79" s="436"/>
    </row>
    <row r="80" spans="1:110" ht="6" customHeight="1">
      <c r="A80" s="6"/>
      <c r="C80" s="6"/>
      <c r="D80" s="6"/>
      <c r="E80" s="6"/>
      <c r="F80" s="6"/>
      <c r="G80" s="6"/>
      <c r="I80" s="6"/>
      <c r="J80" s="6"/>
      <c r="K80" s="6"/>
      <c r="L80" s="6"/>
      <c r="M80" s="6"/>
      <c r="O80" s="6"/>
      <c r="P80" s="6"/>
      <c r="Q80" s="6"/>
      <c r="R80" s="6"/>
      <c r="S80" s="6"/>
      <c r="U80" s="6"/>
      <c r="V80" s="6"/>
      <c r="W80" s="6"/>
      <c r="X80" s="6"/>
      <c r="Y80" s="6"/>
      <c r="AA80" s="6"/>
      <c r="AB80" s="6"/>
      <c r="AC80" s="6"/>
      <c r="AD80" s="6"/>
      <c r="AE80" s="6"/>
      <c r="AG80" s="6"/>
      <c r="AH80" s="6"/>
      <c r="AI80" s="6"/>
      <c r="AJ80" s="6"/>
      <c r="AK80" s="6"/>
      <c r="AM80" s="6"/>
      <c r="AN80" s="6"/>
      <c r="AO80" s="6"/>
      <c r="AP80" s="6"/>
      <c r="AQ80" s="6"/>
      <c r="AS80" s="6"/>
      <c r="AT80" s="6"/>
      <c r="AU80" s="6"/>
      <c r="AV80" s="6"/>
      <c r="AW80" s="6"/>
      <c r="AY80" s="6"/>
      <c r="AZ80" s="6"/>
      <c r="BA80" s="6"/>
      <c r="BB80" s="6"/>
      <c r="BC80" s="6"/>
      <c r="BE80" s="6"/>
      <c r="BF80" s="6"/>
      <c r="BG80" s="6"/>
      <c r="BH80" s="6"/>
      <c r="BI80" s="6"/>
      <c r="BK80" s="6"/>
      <c r="BL80" s="6"/>
      <c r="BM80" s="6"/>
      <c r="BN80" s="6"/>
      <c r="BO80" s="6"/>
      <c r="BQ80" s="6"/>
      <c r="BR80" s="6"/>
      <c r="BS80" s="6"/>
      <c r="BT80" s="6"/>
      <c r="BU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I80" s="6"/>
      <c r="CJ80" s="6"/>
      <c r="CK80" s="6"/>
      <c r="CL80" s="6"/>
      <c r="CM80" s="6"/>
    </row>
    <row r="81" spans="1:110">
      <c r="A81" s="446" t="s">
        <v>186</v>
      </c>
      <c r="C81" s="35"/>
      <c r="D81" s="33"/>
      <c r="E81" s="33"/>
      <c r="F81" s="33"/>
      <c r="G81" s="32"/>
      <c r="H81" s="297"/>
      <c r="I81" s="35"/>
      <c r="J81" s="33"/>
      <c r="K81" s="33"/>
      <c r="L81" s="33"/>
      <c r="M81" s="32"/>
      <c r="N81" s="297"/>
      <c r="O81" s="35"/>
      <c r="P81" s="33"/>
      <c r="Q81" s="33"/>
      <c r="R81" s="33"/>
      <c r="S81" s="32"/>
      <c r="T81" s="297"/>
      <c r="U81" s="35"/>
      <c r="V81" s="33"/>
      <c r="W81" s="33"/>
      <c r="X81" s="34"/>
      <c r="Y81" s="32"/>
      <c r="Z81" s="297"/>
      <c r="AA81" s="35"/>
      <c r="AB81" s="33"/>
      <c r="AC81" s="33"/>
      <c r="AD81" s="34"/>
      <c r="AE81" s="32"/>
      <c r="AF81" s="297"/>
      <c r="AG81" s="35"/>
      <c r="AH81" s="33"/>
      <c r="AI81" s="33"/>
      <c r="AJ81" s="33"/>
      <c r="AK81" s="32"/>
      <c r="AL81" s="297"/>
      <c r="AM81" s="35"/>
      <c r="AN81" s="33"/>
      <c r="AO81" s="33"/>
      <c r="AP81" s="34"/>
      <c r="AQ81" s="32"/>
      <c r="AR81" s="297"/>
      <c r="AS81" s="35"/>
      <c r="AT81" s="33"/>
      <c r="AU81" s="33"/>
      <c r="AV81" s="34"/>
      <c r="AW81" s="32"/>
      <c r="AX81" s="297"/>
      <c r="AY81" s="35"/>
      <c r="AZ81" s="33"/>
      <c r="BA81" s="33"/>
      <c r="BB81" s="2026"/>
      <c r="BC81" s="32"/>
      <c r="BD81" s="297"/>
      <c r="BE81" s="35"/>
      <c r="BF81" s="33"/>
      <c r="BG81" s="33"/>
      <c r="BH81" s="34"/>
      <c r="BI81" s="32"/>
      <c r="BJ81" s="297"/>
      <c r="BK81" s="35"/>
      <c r="BL81" s="33"/>
      <c r="BM81" s="33"/>
      <c r="BN81" s="34"/>
      <c r="BO81" s="32"/>
      <c r="BP81" s="297"/>
      <c r="BQ81" s="35"/>
      <c r="BR81" s="33"/>
      <c r="BS81" s="33"/>
      <c r="BT81" s="34"/>
      <c r="BU81" s="32"/>
      <c r="BV81" s="297"/>
      <c r="BW81" s="35"/>
      <c r="BX81" s="33"/>
      <c r="BY81" s="33"/>
      <c r="BZ81" s="34"/>
      <c r="CA81" s="32"/>
      <c r="CB81" s="18"/>
      <c r="CC81" s="35"/>
      <c r="CD81" s="33"/>
      <c r="CE81" s="33"/>
      <c r="CF81" s="34"/>
      <c r="CG81" s="32"/>
      <c r="CH81" s="273"/>
      <c r="CI81" s="35"/>
      <c r="CJ81" s="33"/>
      <c r="CK81" s="33"/>
      <c r="CL81" s="34"/>
      <c r="CM81" s="32"/>
      <c r="CN81" s="273"/>
      <c r="CO81" s="273"/>
      <c r="CP81" s="273"/>
      <c r="CQ81" s="273"/>
      <c r="CR81" s="273"/>
      <c r="CS81" s="273"/>
      <c r="CT81" s="149"/>
      <c r="CU81" s="149"/>
      <c r="CV81" s="149"/>
      <c r="CW81" s="149"/>
      <c r="CX81" s="149"/>
      <c r="CY81" s="149"/>
      <c r="CZ81" s="149"/>
      <c r="DA81" s="149"/>
      <c r="DB81" s="149"/>
      <c r="DC81" s="149"/>
      <c r="DD81" s="149"/>
      <c r="DE81" s="149"/>
      <c r="DF81" s="149"/>
    </row>
    <row r="82" spans="1:110" hidden="1" outlineLevel="2">
      <c r="A82" s="1342" t="s">
        <v>97</v>
      </c>
      <c r="B82" s="260"/>
      <c r="C82" s="1323"/>
      <c r="D82" s="1324"/>
      <c r="E82" s="1324"/>
      <c r="F82" s="1324"/>
      <c r="G82" s="1325"/>
      <c r="H82" s="260"/>
      <c r="I82" s="1323"/>
      <c r="J82" s="1324"/>
      <c r="K82" s="1324"/>
      <c r="L82" s="1324"/>
      <c r="M82" s="1325"/>
      <c r="N82" s="260"/>
      <c r="O82" s="1323"/>
      <c r="P82" s="1324"/>
      <c r="Q82" s="1324"/>
      <c r="R82" s="1324"/>
      <c r="S82" s="1325"/>
      <c r="T82" s="260"/>
      <c r="U82" s="1404">
        <f>SUM(U83:U85)</f>
        <v>340</v>
      </c>
      <c r="V82" s="1348">
        <f>SUM(V83:V85)</f>
        <v>334</v>
      </c>
      <c r="W82" s="1348">
        <f>SUM(W83:W85)</f>
        <v>374</v>
      </c>
      <c r="X82" s="1348">
        <f>SUM(X83:X85)</f>
        <v>431</v>
      </c>
      <c r="Y82" s="1405">
        <f>SUM(Y83:Y85)</f>
        <v>1479</v>
      </c>
      <c r="Z82" s="260"/>
      <c r="AA82" s="1404">
        <f>SUM(AA83:AA85)</f>
        <v>404</v>
      </c>
      <c r="AB82" s="1348">
        <f>SUM(AB83:AB85)</f>
        <v>464</v>
      </c>
      <c r="AC82" s="1348">
        <f>SUM(AC83:AC85)</f>
        <v>453.00000000000006</v>
      </c>
      <c r="AD82" s="1348">
        <f>SUM(AD83:AD85)</f>
        <v>471</v>
      </c>
      <c r="AE82" s="1405">
        <f>SUM(AE83:AE85)</f>
        <v>1792.0000000000002</v>
      </c>
      <c r="AF82" s="260"/>
      <c r="AG82" s="1404">
        <f>SUM(AG83:AG85)</f>
        <v>461</v>
      </c>
      <c r="AH82" s="1348">
        <f>SUM(AH83:AH85)</f>
        <v>468.99999999999994</v>
      </c>
      <c r="AI82" s="1348">
        <f>SUM(AI83:AI85)</f>
        <v>391</v>
      </c>
      <c r="AJ82" s="1406">
        <f>SUM(AJ83:AJ85)</f>
        <v>401</v>
      </c>
      <c r="AK82" s="1405">
        <f>SUM(AK83:AK85)</f>
        <v>1722</v>
      </c>
      <c r="AL82" s="260"/>
      <c r="AM82" s="1404">
        <f>SUM(AM83:AM85)</f>
        <v>400.99999999999994</v>
      </c>
      <c r="AN82" s="1348">
        <f>SUM(AN83:AN85)</f>
        <v>405</v>
      </c>
      <c r="AO82" s="1348"/>
      <c r="AP82" s="1407"/>
      <c r="AQ82" s="1405"/>
      <c r="AR82" s="260"/>
      <c r="AS82" s="1404"/>
      <c r="AT82" s="1348"/>
      <c r="AU82" s="1348"/>
      <c r="AV82" s="1348"/>
      <c r="AW82" s="1405"/>
      <c r="AX82" s="260"/>
      <c r="AY82" s="1408"/>
      <c r="AZ82" s="1409"/>
      <c r="BA82" s="1409"/>
      <c r="BB82" s="1407"/>
      <c r="BC82" s="1406"/>
      <c r="BD82" s="260"/>
      <c r="BE82" s="1404"/>
      <c r="BF82" s="1348"/>
      <c r="BG82" s="1348"/>
      <c r="BH82" s="1348"/>
      <c r="BI82" s="1406"/>
      <c r="BJ82" s="260"/>
      <c r="BK82" s="1404"/>
      <c r="BL82" s="1348"/>
      <c r="BM82" s="1348"/>
      <c r="BN82" s="1348"/>
      <c r="BO82" s="1405"/>
      <c r="BP82" s="260"/>
      <c r="BQ82" s="1404"/>
      <c r="BR82" s="1348"/>
      <c r="BS82" s="1348"/>
      <c r="BT82" s="1348"/>
      <c r="BU82" s="1405"/>
      <c r="BV82" s="260"/>
      <c r="BW82" s="1404"/>
      <c r="BX82" s="1348"/>
      <c r="BY82" s="1348"/>
      <c r="BZ82" s="1348"/>
      <c r="CA82" s="1405"/>
      <c r="CB82" s="1348"/>
      <c r="CC82" s="1404"/>
      <c r="CD82" s="1348"/>
      <c r="CE82" s="1348"/>
      <c r="CF82" s="1348"/>
      <c r="CG82" s="1405"/>
      <c r="CH82" s="447"/>
      <c r="CI82" s="1404"/>
      <c r="CJ82" s="1348"/>
      <c r="CK82" s="1348"/>
      <c r="CL82" s="1348"/>
      <c r="CM82" s="1405"/>
      <c r="CN82" s="447"/>
      <c r="CO82" s="447"/>
      <c r="CP82" s="447"/>
      <c r="CQ82" s="447"/>
      <c r="CR82" s="447"/>
      <c r="CS82" s="447"/>
      <c r="CT82" s="448"/>
      <c r="CU82" s="448"/>
      <c r="CV82" s="448"/>
      <c r="CW82" s="448"/>
      <c r="CX82" s="448"/>
      <c r="CY82" s="448"/>
      <c r="CZ82" s="448"/>
      <c r="DA82" s="448"/>
      <c r="DB82" s="448"/>
      <c r="DC82" s="448"/>
      <c r="DD82" s="448"/>
      <c r="DE82" s="448"/>
      <c r="DF82" s="448"/>
    </row>
    <row r="83" spans="1:110" hidden="1" outlineLevel="2">
      <c r="A83" s="1342" t="s">
        <v>187</v>
      </c>
      <c r="B83" s="260"/>
      <c r="C83" s="1323"/>
      <c r="D83" s="1324"/>
      <c r="E83" s="1324"/>
      <c r="F83" s="1324"/>
      <c r="G83" s="1325"/>
      <c r="H83" s="260"/>
      <c r="I83" s="1323"/>
      <c r="J83" s="1324"/>
      <c r="K83" s="1324"/>
      <c r="L83" s="1324"/>
      <c r="M83" s="1325"/>
      <c r="N83" s="260"/>
      <c r="O83" s="1323"/>
      <c r="P83" s="1324"/>
      <c r="Q83" s="1324"/>
      <c r="R83" s="1324"/>
      <c r="S83" s="1325"/>
      <c r="T83" s="260"/>
      <c r="U83" s="1339">
        <f t="shared" ref="U83:X85" si="46">U106*U$11</f>
        <v>122.39999999999999</v>
      </c>
      <c r="V83" s="1340">
        <f t="shared" si="46"/>
        <v>120.24</v>
      </c>
      <c r="W83" s="1340">
        <f t="shared" si="46"/>
        <v>142.12</v>
      </c>
      <c r="X83" s="1340">
        <f t="shared" si="46"/>
        <v>176.70999999999998</v>
      </c>
      <c r="Y83" s="1326">
        <f>SUM(U83:X83)</f>
        <v>561.47</v>
      </c>
      <c r="Z83" s="260"/>
      <c r="AA83" s="1339">
        <f t="shared" ref="AA83:AD85" si="47">AA106*AA$11</f>
        <v>145.44</v>
      </c>
      <c r="AB83" s="1340">
        <f t="shared" si="47"/>
        <v>171.68</v>
      </c>
      <c r="AC83" s="1340">
        <f t="shared" si="47"/>
        <v>176.67000000000002</v>
      </c>
      <c r="AD83" s="1340">
        <f t="shared" si="47"/>
        <v>174.27</v>
      </c>
      <c r="AE83" s="1326">
        <f>SUM(AA83:AD83)</f>
        <v>668.06000000000006</v>
      </c>
      <c r="AF83" s="260"/>
      <c r="AG83" s="1339">
        <f t="shared" ref="AG83:AH85" si="48">AG106*AG$11</f>
        <v>170.57</v>
      </c>
      <c r="AH83" s="1340">
        <f t="shared" si="48"/>
        <v>164.14999999999998</v>
      </c>
      <c r="AI83" s="1340">
        <f t="shared" ref="AI83:AJ85" si="49">AI106*AI$8</f>
        <v>148.58000000000001</v>
      </c>
      <c r="AJ83" s="1338">
        <f t="shared" si="49"/>
        <v>156.39000000000001</v>
      </c>
      <c r="AK83" s="1326">
        <f>SUM(AG83:AJ83)</f>
        <v>639.68999999999994</v>
      </c>
      <c r="AL83" s="260"/>
      <c r="AM83" s="1339">
        <f t="shared" ref="AM83:AN85" si="50">AM106*AM$8</f>
        <v>144.35999999999999</v>
      </c>
      <c r="AN83" s="1340">
        <f t="shared" si="50"/>
        <v>145.79999999999998</v>
      </c>
      <c r="AO83" s="1340"/>
      <c r="AP83" s="1338"/>
      <c r="AQ83" s="1326"/>
      <c r="AR83" s="260"/>
      <c r="AS83" s="1339"/>
      <c r="AT83" s="1340"/>
      <c r="AU83" s="1340"/>
      <c r="AV83" s="1340"/>
      <c r="AW83" s="1326"/>
      <c r="AX83" s="260"/>
      <c r="AY83" s="1339"/>
      <c r="AZ83" s="1340"/>
      <c r="BA83" s="1340"/>
      <c r="BB83" s="1338"/>
      <c r="BC83" s="1338"/>
      <c r="BD83" s="260"/>
      <c r="BE83" s="1339"/>
      <c r="BF83" s="1340"/>
      <c r="BG83" s="1340"/>
      <c r="BH83" s="1340"/>
      <c r="BI83" s="1338"/>
      <c r="BJ83" s="260"/>
      <c r="BK83" s="1339"/>
      <c r="BL83" s="1340"/>
      <c r="BM83" s="1340"/>
      <c r="BN83" s="1340"/>
      <c r="BO83" s="1326"/>
      <c r="BP83" s="260"/>
      <c r="BQ83" s="1339"/>
      <c r="BR83" s="1340"/>
      <c r="BS83" s="1340"/>
      <c r="BT83" s="1340"/>
      <c r="BU83" s="1326"/>
      <c r="BV83" s="260"/>
      <c r="BW83" s="1339"/>
      <c r="BX83" s="1340"/>
      <c r="BY83" s="1340"/>
      <c r="BZ83" s="1340"/>
      <c r="CA83" s="1326"/>
      <c r="CB83" s="1340"/>
      <c r="CC83" s="1339"/>
      <c r="CD83" s="1340"/>
      <c r="CE83" s="1340"/>
      <c r="CF83" s="1340"/>
      <c r="CG83" s="1326"/>
      <c r="CH83" s="447"/>
      <c r="CI83" s="1339"/>
      <c r="CJ83" s="1340"/>
      <c r="CK83" s="1340"/>
      <c r="CL83" s="1340"/>
      <c r="CM83" s="1326"/>
      <c r="CN83" s="447"/>
      <c r="CO83" s="447"/>
      <c r="CP83" s="447"/>
      <c r="CQ83" s="447"/>
      <c r="CR83" s="447"/>
      <c r="CS83" s="447"/>
      <c r="CT83" s="448"/>
      <c r="CU83" s="448"/>
      <c r="CV83" s="448"/>
      <c r="CW83" s="448"/>
      <c r="CX83" s="448"/>
      <c r="CY83" s="448"/>
      <c r="CZ83" s="448"/>
      <c r="DA83" s="448"/>
      <c r="DB83" s="448"/>
      <c r="DC83" s="448"/>
      <c r="DD83" s="448"/>
      <c r="DE83" s="448"/>
      <c r="DF83" s="448"/>
    </row>
    <row r="84" spans="1:110" hidden="1" outlineLevel="2">
      <c r="A84" s="1342" t="s">
        <v>188</v>
      </c>
      <c r="B84" s="260"/>
      <c r="C84" s="1323"/>
      <c r="D84" s="1324"/>
      <c r="E84" s="1324"/>
      <c r="F84" s="1324"/>
      <c r="G84" s="1325"/>
      <c r="H84" s="260"/>
      <c r="I84" s="1323"/>
      <c r="J84" s="1324"/>
      <c r="K84" s="1324"/>
      <c r="L84" s="1324"/>
      <c r="M84" s="1325"/>
      <c r="N84" s="260"/>
      <c r="O84" s="1323"/>
      <c r="P84" s="1324"/>
      <c r="Q84" s="1324"/>
      <c r="R84" s="1324"/>
      <c r="S84" s="1325"/>
      <c r="T84" s="260"/>
      <c r="U84" s="1339">
        <f t="shared" si="46"/>
        <v>125.8</v>
      </c>
      <c r="V84" s="1340">
        <f t="shared" si="46"/>
        <v>100.2</v>
      </c>
      <c r="W84" s="1340">
        <f t="shared" si="46"/>
        <v>123.42</v>
      </c>
      <c r="X84" s="1340">
        <f t="shared" si="46"/>
        <v>137.92000000000002</v>
      </c>
      <c r="Y84" s="1326">
        <f t="shared" ref="Y84:Y93" si="51">SUM(U84:X84)</f>
        <v>487.34000000000003</v>
      </c>
      <c r="Z84" s="260"/>
      <c r="AA84" s="1339">
        <f t="shared" si="47"/>
        <v>141.39999999999998</v>
      </c>
      <c r="AB84" s="1340">
        <f t="shared" si="47"/>
        <v>139.19999999999999</v>
      </c>
      <c r="AC84" s="1340">
        <f t="shared" si="47"/>
        <v>135.9</v>
      </c>
      <c r="AD84" s="1340">
        <f t="shared" si="47"/>
        <v>150.72</v>
      </c>
      <c r="AE84" s="1326">
        <f>SUM(AA84:AD84)</f>
        <v>567.22</v>
      </c>
      <c r="AF84" s="260"/>
      <c r="AG84" s="1339">
        <f t="shared" si="48"/>
        <v>152.13</v>
      </c>
      <c r="AH84" s="1340">
        <f t="shared" si="48"/>
        <v>140.69999999999999</v>
      </c>
      <c r="AI84" s="1340">
        <f t="shared" si="49"/>
        <v>109.48</v>
      </c>
      <c r="AJ84" s="1338">
        <f t="shared" si="49"/>
        <v>112.28000000000002</v>
      </c>
      <c r="AK84" s="1326">
        <f t="shared" ref="AK84:AK93" si="52">SUM(AG84:AJ84)</f>
        <v>514.59</v>
      </c>
      <c r="AL84" s="260"/>
      <c r="AM84" s="1339">
        <f t="shared" si="50"/>
        <v>128.32</v>
      </c>
      <c r="AN84" s="1340">
        <f t="shared" si="50"/>
        <v>109.35000000000001</v>
      </c>
      <c r="AO84" s="1340"/>
      <c r="AP84" s="1338"/>
      <c r="AQ84" s="1326"/>
      <c r="AR84" s="260"/>
      <c r="AS84" s="1339"/>
      <c r="AT84" s="1340"/>
      <c r="AU84" s="1340"/>
      <c r="AV84" s="1340"/>
      <c r="AW84" s="1326"/>
      <c r="AX84" s="260"/>
      <c r="AY84" s="1339"/>
      <c r="AZ84" s="1340"/>
      <c r="BA84" s="1340"/>
      <c r="BB84" s="1338"/>
      <c r="BC84" s="1338"/>
      <c r="BD84" s="260"/>
      <c r="BE84" s="1339"/>
      <c r="BF84" s="1340"/>
      <c r="BG84" s="1340"/>
      <c r="BH84" s="1340"/>
      <c r="BI84" s="1338"/>
      <c r="BJ84" s="260"/>
      <c r="BK84" s="1339"/>
      <c r="BL84" s="1340"/>
      <c r="BM84" s="1340"/>
      <c r="BN84" s="1340"/>
      <c r="BO84" s="1326"/>
      <c r="BP84" s="260"/>
      <c r="BQ84" s="1339"/>
      <c r="BR84" s="1340"/>
      <c r="BS84" s="1340"/>
      <c r="BT84" s="1340"/>
      <c r="BU84" s="1326"/>
      <c r="BV84" s="260"/>
      <c r="BW84" s="1339"/>
      <c r="BX84" s="1340"/>
      <c r="BY84" s="1340"/>
      <c r="BZ84" s="1340"/>
      <c r="CA84" s="1326"/>
      <c r="CB84" s="1340"/>
      <c r="CC84" s="1339"/>
      <c r="CD84" s="1340"/>
      <c r="CE84" s="1340"/>
      <c r="CF84" s="1340"/>
      <c r="CG84" s="1326"/>
      <c r="CH84" s="447"/>
      <c r="CI84" s="1339"/>
      <c r="CJ84" s="1340"/>
      <c r="CK84" s="1340"/>
      <c r="CL84" s="1340"/>
      <c r="CM84" s="1326"/>
      <c r="CN84" s="447"/>
      <c r="CO84" s="447"/>
      <c r="CP84" s="447"/>
      <c r="CQ84" s="447"/>
      <c r="CR84" s="447"/>
      <c r="CS84" s="447"/>
      <c r="CT84" s="448"/>
      <c r="CU84" s="448"/>
      <c r="CV84" s="448"/>
      <c r="CW84" s="448"/>
      <c r="CX84" s="448"/>
      <c r="CY84" s="448"/>
      <c r="CZ84" s="448"/>
      <c r="DA84" s="448"/>
      <c r="DB84" s="448"/>
      <c r="DC84" s="448"/>
      <c r="DD84" s="448"/>
      <c r="DE84" s="448"/>
      <c r="DF84" s="448"/>
    </row>
    <row r="85" spans="1:110" hidden="1" outlineLevel="2">
      <c r="A85" s="1342" t="s">
        <v>189</v>
      </c>
      <c r="B85" s="260"/>
      <c r="C85" s="1323"/>
      <c r="D85" s="1324"/>
      <c r="E85" s="1324"/>
      <c r="F85" s="1324"/>
      <c r="G85" s="1325"/>
      <c r="H85" s="260"/>
      <c r="I85" s="1323"/>
      <c r="J85" s="1324"/>
      <c r="K85" s="1324"/>
      <c r="L85" s="1324"/>
      <c r="M85" s="1325"/>
      <c r="N85" s="260"/>
      <c r="O85" s="1323"/>
      <c r="P85" s="1324"/>
      <c r="Q85" s="1324"/>
      <c r="R85" s="1324"/>
      <c r="S85" s="1325"/>
      <c r="T85" s="260"/>
      <c r="U85" s="1339">
        <f t="shared" si="46"/>
        <v>91.800000000000011</v>
      </c>
      <c r="V85" s="1340">
        <f t="shared" si="46"/>
        <v>113.56</v>
      </c>
      <c r="W85" s="1340">
        <f t="shared" si="46"/>
        <v>108.46</v>
      </c>
      <c r="X85" s="1340">
        <f t="shared" si="46"/>
        <v>116.37</v>
      </c>
      <c r="Y85" s="1326">
        <f t="shared" si="51"/>
        <v>430.19</v>
      </c>
      <c r="Z85" s="260"/>
      <c r="AA85" s="1339">
        <f t="shared" si="47"/>
        <v>117.16</v>
      </c>
      <c r="AB85" s="1340">
        <f t="shared" si="47"/>
        <v>153.12</v>
      </c>
      <c r="AC85" s="1340">
        <f t="shared" si="47"/>
        <v>140.43</v>
      </c>
      <c r="AD85" s="1340">
        <f t="shared" si="47"/>
        <v>146.01</v>
      </c>
      <c r="AE85" s="1326">
        <f>SUM(AA85:AD85)</f>
        <v>556.72</v>
      </c>
      <c r="AF85" s="260"/>
      <c r="AG85" s="1339">
        <f t="shared" si="48"/>
        <v>138.29999999999998</v>
      </c>
      <c r="AH85" s="1340">
        <f t="shared" si="48"/>
        <v>164.14999999999998</v>
      </c>
      <c r="AI85" s="1340">
        <f t="shared" si="49"/>
        <v>132.94</v>
      </c>
      <c r="AJ85" s="1338">
        <f t="shared" si="49"/>
        <v>132.33000000000001</v>
      </c>
      <c r="AK85" s="1326">
        <f t="shared" si="52"/>
        <v>567.71999999999991</v>
      </c>
      <c r="AL85" s="260"/>
      <c r="AM85" s="1339">
        <f t="shared" si="50"/>
        <v>128.32</v>
      </c>
      <c r="AN85" s="1340">
        <f t="shared" si="50"/>
        <v>149.85</v>
      </c>
      <c r="AO85" s="1340"/>
      <c r="AP85" s="1338"/>
      <c r="AQ85" s="1326"/>
      <c r="AR85" s="260"/>
      <c r="AS85" s="1339"/>
      <c r="AT85" s="1340"/>
      <c r="AU85" s="1340"/>
      <c r="AV85" s="1340"/>
      <c r="AW85" s="1326"/>
      <c r="AX85" s="260"/>
      <c r="AY85" s="1339"/>
      <c r="AZ85" s="1340"/>
      <c r="BA85" s="1340"/>
      <c r="BB85" s="1338"/>
      <c r="BC85" s="1338"/>
      <c r="BD85" s="260"/>
      <c r="BE85" s="1339"/>
      <c r="BF85" s="1340"/>
      <c r="BG85" s="1340"/>
      <c r="BH85" s="1340"/>
      <c r="BI85" s="1338"/>
      <c r="BJ85" s="260"/>
      <c r="BK85" s="1339"/>
      <c r="BL85" s="1340"/>
      <c r="BM85" s="1340"/>
      <c r="BN85" s="1340"/>
      <c r="BO85" s="1326"/>
      <c r="BP85" s="260"/>
      <c r="BQ85" s="1339"/>
      <c r="BR85" s="1340"/>
      <c r="BS85" s="1340"/>
      <c r="BT85" s="1340"/>
      <c r="BU85" s="1326"/>
      <c r="BV85" s="260"/>
      <c r="BW85" s="1339"/>
      <c r="BX85" s="1340"/>
      <c r="BY85" s="1340"/>
      <c r="BZ85" s="1340"/>
      <c r="CA85" s="1326"/>
      <c r="CB85" s="1340"/>
      <c r="CC85" s="1339"/>
      <c r="CD85" s="1340"/>
      <c r="CE85" s="1340"/>
      <c r="CF85" s="1340"/>
      <c r="CG85" s="1326"/>
      <c r="CH85" s="447"/>
      <c r="CI85" s="1339"/>
      <c r="CJ85" s="1340"/>
      <c r="CK85" s="1340"/>
      <c r="CL85" s="1340"/>
      <c r="CM85" s="1326"/>
      <c r="CN85" s="447"/>
      <c r="CO85" s="447"/>
      <c r="CP85" s="447"/>
      <c r="CQ85" s="447"/>
      <c r="CR85" s="447"/>
      <c r="CS85" s="447"/>
      <c r="CT85" s="448"/>
      <c r="CU85" s="448"/>
      <c r="CV85" s="448"/>
      <c r="CW85" s="448"/>
      <c r="CX85" s="448"/>
      <c r="CY85" s="448"/>
      <c r="CZ85" s="448"/>
      <c r="DA85" s="448"/>
      <c r="DB85" s="448"/>
      <c r="DC85" s="448"/>
      <c r="DD85" s="448"/>
      <c r="DE85" s="448"/>
      <c r="DF85" s="448"/>
    </row>
    <row r="86" spans="1:110" hidden="1" outlineLevel="2">
      <c r="A86" s="1342" t="s">
        <v>99</v>
      </c>
      <c r="B86" s="260"/>
      <c r="C86" s="1404"/>
      <c r="D86" s="1348"/>
      <c r="E86" s="1348"/>
      <c r="F86" s="1348"/>
      <c r="G86" s="1405"/>
      <c r="H86" s="260"/>
      <c r="I86" s="1404"/>
      <c r="J86" s="1348"/>
      <c r="K86" s="1348"/>
      <c r="L86" s="1348"/>
      <c r="M86" s="1405"/>
      <c r="N86" s="260"/>
      <c r="O86" s="1404"/>
      <c r="P86" s="1348"/>
      <c r="Q86" s="1348"/>
      <c r="R86" s="1348"/>
      <c r="S86" s="1405"/>
      <c r="T86" s="260"/>
      <c r="U86" s="1404"/>
      <c r="V86" s="1348"/>
      <c r="W86" s="1348"/>
      <c r="X86" s="1348"/>
      <c r="Y86" s="1405"/>
      <c r="Z86" s="260"/>
      <c r="AA86" s="1404"/>
      <c r="AB86" s="1348"/>
      <c r="AC86" s="1348"/>
      <c r="AD86" s="1406"/>
      <c r="AE86" s="1406"/>
      <c r="AF86" s="260"/>
      <c r="AG86" s="1404"/>
      <c r="AH86" s="1348"/>
      <c r="AI86" s="1348">
        <f>SUM(AI87:AI89)</f>
        <v>106</v>
      </c>
      <c r="AJ86" s="1406">
        <f>SUM(AJ87:AJ89)</f>
        <v>156</v>
      </c>
      <c r="AK86" s="1405">
        <f>SUM(AK87:AK89)</f>
        <v>262</v>
      </c>
      <c r="AL86" s="260"/>
      <c r="AM86" s="1404">
        <f>SUM(AM87:AM89)</f>
        <v>163</v>
      </c>
      <c r="AN86" s="1348">
        <f>SUM(AN87:AN89)</f>
        <v>166</v>
      </c>
      <c r="AO86" s="1348"/>
      <c r="AP86" s="1406"/>
      <c r="AQ86" s="1405"/>
      <c r="AR86" s="260"/>
      <c r="AS86" s="1404"/>
      <c r="AT86" s="1348"/>
      <c r="AU86" s="1348"/>
      <c r="AV86" s="1348"/>
      <c r="AW86" s="1405"/>
      <c r="AX86" s="260"/>
      <c r="AY86" s="1404"/>
      <c r="AZ86" s="1348"/>
      <c r="BA86" s="1348"/>
      <c r="BB86" s="1406"/>
      <c r="BC86" s="1406"/>
      <c r="BD86" s="260"/>
      <c r="BE86" s="1404"/>
      <c r="BF86" s="1348"/>
      <c r="BG86" s="1348"/>
      <c r="BH86" s="1348"/>
      <c r="BI86" s="1406"/>
      <c r="BJ86" s="260"/>
      <c r="BK86" s="1404"/>
      <c r="BL86" s="1348"/>
      <c r="BM86" s="1348"/>
      <c r="BN86" s="1348"/>
      <c r="BO86" s="1405"/>
      <c r="BP86" s="260"/>
      <c r="BQ86" s="1404"/>
      <c r="BR86" s="1348"/>
      <c r="BS86" s="1348"/>
      <c r="BT86" s="1348"/>
      <c r="BU86" s="1405"/>
      <c r="BV86" s="260"/>
      <c r="BW86" s="1404"/>
      <c r="BX86" s="1348"/>
      <c r="BY86" s="1348"/>
      <c r="BZ86" s="1348"/>
      <c r="CA86" s="1405"/>
      <c r="CB86" s="1348"/>
      <c r="CC86" s="1404"/>
      <c r="CD86" s="1348"/>
      <c r="CE86" s="1348"/>
      <c r="CF86" s="1348"/>
      <c r="CG86" s="1405"/>
      <c r="CH86" s="449"/>
      <c r="CI86" s="1404"/>
      <c r="CJ86" s="1348"/>
      <c r="CK86" s="1348"/>
      <c r="CL86" s="1348"/>
      <c r="CM86" s="1405"/>
      <c r="CN86" s="449"/>
      <c r="CO86" s="449"/>
      <c r="CP86" s="449"/>
      <c r="CQ86" s="449"/>
      <c r="CR86" s="449"/>
      <c r="CS86" s="449"/>
      <c r="CT86" s="450"/>
      <c r="CU86" s="450"/>
      <c r="CV86" s="450"/>
      <c r="CW86" s="450"/>
      <c r="CX86" s="450"/>
      <c r="CY86" s="450"/>
      <c r="CZ86" s="450"/>
      <c r="DA86" s="450"/>
      <c r="DB86" s="450"/>
      <c r="DC86" s="450"/>
      <c r="DD86" s="450"/>
      <c r="DE86" s="450"/>
      <c r="DF86" s="450"/>
    </row>
    <row r="87" spans="1:110" hidden="1" outlineLevel="2">
      <c r="A87" s="1342" t="s">
        <v>187</v>
      </c>
      <c r="B87" s="260"/>
      <c r="C87" s="1339"/>
      <c r="D87" s="1340"/>
      <c r="E87" s="1340"/>
      <c r="F87" s="1340"/>
      <c r="G87" s="1326"/>
      <c r="H87" s="260"/>
      <c r="I87" s="1339"/>
      <c r="J87" s="1340"/>
      <c r="K87" s="1340"/>
      <c r="L87" s="1340"/>
      <c r="M87" s="1326"/>
      <c r="N87" s="260"/>
      <c r="O87" s="1339"/>
      <c r="P87" s="1340"/>
      <c r="Q87" s="1340"/>
      <c r="R87" s="1340"/>
      <c r="S87" s="1326"/>
      <c r="T87" s="260"/>
      <c r="U87" s="1339"/>
      <c r="V87" s="1340"/>
      <c r="W87" s="1340"/>
      <c r="X87" s="1340"/>
      <c r="Y87" s="1326"/>
      <c r="Z87" s="260"/>
      <c r="AA87" s="1339"/>
      <c r="AB87" s="1340"/>
      <c r="AC87" s="1340"/>
      <c r="AD87" s="1338"/>
      <c r="AE87" s="1338"/>
      <c r="AF87" s="260"/>
      <c r="AG87" s="1339"/>
      <c r="AH87" s="1340"/>
      <c r="AI87" s="1340">
        <f t="shared" ref="AI87:AJ89" si="53">AI110*AI$9</f>
        <v>42.400000000000006</v>
      </c>
      <c r="AJ87" s="1338">
        <f t="shared" si="53"/>
        <v>63.959999999999994</v>
      </c>
      <c r="AK87" s="1326">
        <f>SUM(AG87:AJ87)</f>
        <v>106.36</v>
      </c>
      <c r="AL87" s="260"/>
      <c r="AM87" s="1339">
        <f t="shared" ref="AM87:AN89" si="54">AM110*AM$9</f>
        <v>57.05</v>
      </c>
      <c r="AN87" s="1340">
        <f t="shared" si="54"/>
        <v>61.42</v>
      </c>
      <c r="AO87" s="1340"/>
      <c r="AP87" s="1338"/>
      <c r="AQ87" s="1326"/>
      <c r="AR87" s="260"/>
      <c r="AS87" s="1339"/>
      <c r="AT87" s="1340"/>
      <c r="AU87" s="1340"/>
      <c r="AV87" s="1340"/>
      <c r="AW87" s="1326"/>
      <c r="AX87" s="260"/>
      <c r="AY87" s="1339"/>
      <c r="AZ87" s="1340"/>
      <c r="BA87" s="1340"/>
      <c r="BB87" s="1338"/>
      <c r="BC87" s="1338"/>
      <c r="BD87" s="260"/>
      <c r="BE87" s="1339"/>
      <c r="BF87" s="1340"/>
      <c r="BG87" s="1340"/>
      <c r="BH87" s="1340"/>
      <c r="BI87" s="1338"/>
      <c r="BJ87" s="260"/>
      <c r="BK87" s="1339"/>
      <c r="BL87" s="1340"/>
      <c r="BM87" s="1340"/>
      <c r="BN87" s="1340"/>
      <c r="BO87" s="1326"/>
      <c r="BP87" s="260"/>
      <c r="BQ87" s="1339"/>
      <c r="BR87" s="1340"/>
      <c r="BS87" s="1340"/>
      <c r="BT87" s="1340"/>
      <c r="BU87" s="1326"/>
      <c r="BV87" s="260"/>
      <c r="BW87" s="1339"/>
      <c r="BX87" s="1340"/>
      <c r="BY87" s="1340"/>
      <c r="BZ87" s="1340"/>
      <c r="CA87" s="1326"/>
      <c r="CB87" s="1340"/>
      <c r="CC87" s="1339"/>
      <c r="CD87" s="1340"/>
      <c r="CE87" s="1340"/>
      <c r="CF87" s="1340"/>
      <c r="CG87" s="1326"/>
      <c r="CH87" s="447"/>
      <c r="CI87" s="1339"/>
      <c r="CJ87" s="1340"/>
      <c r="CK87" s="1340"/>
      <c r="CL87" s="1340"/>
      <c r="CM87" s="1326"/>
      <c r="CN87" s="447"/>
      <c r="CO87" s="447"/>
      <c r="CP87" s="447"/>
      <c r="CQ87" s="447"/>
      <c r="CR87" s="447"/>
      <c r="CS87" s="447"/>
      <c r="CT87" s="448"/>
      <c r="CU87" s="448"/>
      <c r="CV87" s="448"/>
      <c r="CW87" s="448"/>
      <c r="CX87" s="448"/>
      <c r="CY87" s="448"/>
      <c r="CZ87" s="448"/>
      <c r="DA87" s="448"/>
      <c r="DB87" s="448"/>
      <c r="DC87" s="448"/>
      <c r="DD87" s="448"/>
      <c r="DE87" s="448"/>
      <c r="DF87" s="448"/>
    </row>
    <row r="88" spans="1:110" hidden="1" outlineLevel="2">
      <c r="A88" s="1342" t="s">
        <v>188</v>
      </c>
      <c r="B88" s="260"/>
      <c r="C88" s="1339"/>
      <c r="D88" s="1340"/>
      <c r="E88" s="1340"/>
      <c r="F88" s="1340"/>
      <c r="G88" s="1326"/>
      <c r="H88" s="260"/>
      <c r="I88" s="1339"/>
      <c r="J88" s="1340"/>
      <c r="K88" s="1340"/>
      <c r="L88" s="1340"/>
      <c r="M88" s="1326"/>
      <c r="N88" s="260"/>
      <c r="O88" s="1339"/>
      <c r="P88" s="1340"/>
      <c r="Q88" s="1340"/>
      <c r="R88" s="1340"/>
      <c r="S88" s="1326"/>
      <c r="T88" s="260"/>
      <c r="U88" s="1339"/>
      <c r="V88" s="1340"/>
      <c r="W88" s="1340"/>
      <c r="X88" s="1340"/>
      <c r="Y88" s="1326"/>
      <c r="Z88" s="260"/>
      <c r="AA88" s="1339"/>
      <c r="AB88" s="1340"/>
      <c r="AC88" s="1340"/>
      <c r="AD88" s="1338"/>
      <c r="AE88" s="1338"/>
      <c r="AF88" s="260"/>
      <c r="AG88" s="1339"/>
      <c r="AH88" s="1340"/>
      <c r="AI88" s="1340">
        <f t="shared" si="53"/>
        <v>46.64</v>
      </c>
      <c r="AJ88" s="1338">
        <f t="shared" si="53"/>
        <v>68.64</v>
      </c>
      <c r="AK88" s="1326">
        <f>SUM(AG88:AJ88)</f>
        <v>115.28</v>
      </c>
      <c r="AL88" s="260"/>
      <c r="AM88" s="1339">
        <f t="shared" si="54"/>
        <v>76.61</v>
      </c>
      <c r="AN88" s="1340">
        <f t="shared" si="54"/>
        <v>78.02</v>
      </c>
      <c r="AO88" s="1340"/>
      <c r="AP88" s="1338"/>
      <c r="AQ88" s="1326"/>
      <c r="AR88" s="260"/>
      <c r="AS88" s="1339"/>
      <c r="AT88" s="1340"/>
      <c r="AU88" s="1340"/>
      <c r="AV88" s="1340"/>
      <c r="AW88" s="1326"/>
      <c r="AX88" s="260"/>
      <c r="AY88" s="1339"/>
      <c r="AZ88" s="1340"/>
      <c r="BA88" s="1340"/>
      <c r="BB88" s="1338"/>
      <c r="BC88" s="1338"/>
      <c r="BD88" s="260"/>
      <c r="BE88" s="1339"/>
      <c r="BF88" s="1340"/>
      <c r="BG88" s="1340"/>
      <c r="BH88" s="1340"/>
      <c r="BI88" s="1338"/>
      <c r="BJ88" s="260"/>
      <c r="BK88" s="1339"/>
      <c r="BL88" s="1340"/>
      <c r="BM88" s="1340"/>
      <c r="BN88" s="1340"/>
      <c r="BO88" s="1326"/>
      <c r="BP88" s="260"/>
      <c r="BQ88" s="1339"/>
      <c r="BR88" s="1340"/>
      <c r="BS88" s="1340"/>
      <c r="BT88" s="1340"/>
      <c r="BU88" s="1326"/>
      <c r="BV88" s="260"/>
      <c r="BW88" s="1339"/>
      <c r="BX88" s="1340"/>
      <c r="BY88" s="1340"/>
      <c r="BZ88" s="1340"/>
      <c r="CA88" s="1326"/>
      <c r="CB88" s="1340"/>
      <c r="CC88" s="1339"/>
      <c r="CD88" s="1340"/>
      <c r="CE88" s="1340"/>
      <c r="CF88" s="1340"/>
      <c r="CG88" s="1326"/>
      <c r="CH88" s="447"/>
      <c r="CI88" s="1339"/>
      <c r="CJ88" s="1340"/>
      <c r="CK88" s="1340"/>
      <c r="CL88" s="1340"/>
      <c r="CM88" s="1326"/>
      <c r="CN88" s="447"/>
      <c r="CO88" s="447"/>
      <c r="CP88" s="447"/>
      <c r="CQ88" s="447"/>
      <c r="CR88" s="447"/>
      <c r="CS88" s="447"/>
      <c r="CT88" s="448"/>
      <c r="CU88" s="448"/>
      <c r="CV88" s="448"/>
      <c r="CW88" s="448"/>
      <c r="CX88" s="448"/>
      <c r="CY88" s="448"/>
      <c r="CZ88" s="448"/>
      <c r="DA88" s="448"/>
      <c r="DB88" s="448"/>
      <c r="DC88" s="448"/>
      <c r="DD88" s="448"/>
      <c r="DE88" s="448"/>
      <c r="DF88" s="448"/>
    </row>
    <row r="89" spans="1:110" hidden="1" outlineLevel="2">
      <c r="A89" s="1342" t="s">
        <v>189</v>
      </c>
      <c r="B89" s="260"/>
      <c r="C89" s="1323"/>
      <c r="D89" s="1324"/>
      <c r="E89" s="1324"/>
      <c r="F89" s="1324"/>
      <c r="G89" s="1325"/>
      <c r="H89" s="260"/>
      <c r="I89" s="1323"/>
      <c r="J89" s="1324"/>
      <c r="K89" s="1324"/>
      <c r="L89" s="1324"/>
      <c r="M89" s="1325"/>
      <c r="N89" s="260"/>
      <c r="O89" s="1323"/>
      <c r="P89" s="1324"/>
      <c r="Q89" s="1324"/>
      <c r="R89" s="1324"/>
      <c r="S89" s="1325"/>
      <c r="T89" s="260"/>
      <c r="U89" s="1339"/>
      <c r="V89" s="1340"/>
      <c r="W89" s="1340"/>
      <c r="X89" s="1340"/>
      <c r="Y89" s="1326"/>
      <c r="Z89" s="260"/>
      <c r="AA89" s="1339"/>
      <c r="AB89" s="1340"/>
      <c r="AC89" s="1340"/>
      <c r="AD89" s="1338"/>
      <c r="AE89" s="1338"/>
      <c r="AF89" s="260"/>
      <c r="AG89" s="1339"/>
      <c r="AH89" s="1340"/>
      <c r="AI89" s="1340">
        <f t="shared" si="53"/>
        <v>16.96</v>
      </c>
      <c r="AJ89" s="1338">
        <f t="shared" si="53"/>
        <v>23.4</v>
      </c>
      <c r="AK89" s="1326">
        <f>SUM(AG89:AJ89)</f>
        <v>40.36</v>
      </c>
      <c r="AL89" s="260"/>
      <c r="AM89" s="1339">
        <f t="shared" si="54"/>
        <v>29.34</v>
      </c>
      <c r="AN89" s="1340">
        <f t="shared" si="54"/>
        <v>26.560000000000002</v>
      </c>
      <c r="AO89" s="1340"/>
      <c r="AP89" s="1338"/>
      <c r="AQ89" s="1338"/>
      <c r="AR89" s="260"/>
      <c r="AS89" s="1339"/>
      <c r="AT89" s="1340"/>
      <c r="AU89" s="1340"/>
      <c r="AV89" s="1340"/>
      <c r="AW89" s="1326"/>
      <c r="AX89" s="260"/>
      <c r="AY89" s="1339"/>
      <c r="AZ89" s="1340"/>
      <c r="BA89" s="1340"/>
      <c r="BB89" s="1338"/>
      <c r="BC89" s="1338"/>
      <c r="BD89" s="260"/>
      <c r="BE89" s="1339"/>
      <c r="BF89" s="1340"/>
      <c r="BG89" s="1340"/>
      <c r="BH89" s="1340"/>
      <c r="BI89" s="1338"/>
      <c r="BJ89" s="260"/>
      <c r="BK89" s="1339"/>
      <c r="BL89" s="1340"/>
      <c r="BM89" s="1340"/>
      <c r="BN89" s="1340"/>
      <c r="BO89" s="1326"/>
      <c r="BP89" s="260"/>
      <c r="BQ89" s="1339"/>
      <c r="BR89" s="1340"/>
      <c r="BS89" s="1340"/>
      <c r="BT89" s="1340"/>
      <c r="BU89" s="1326"/>
      <c r="BV89" s="260"/>
      <c r="BW89" s="1339"/>
      <c r="BX89" s="1340"/>
      <c r="BY89" s="1340"/>
      <c r="BZ89" s="1340"/>
      <c r="CA89" s="1326"/>
      <c r="CB89" s="1340"/>
      <c r="CC89" s="1339"/>
      <c r="CD89" s="1340"/>
      <c r="CE89" s="1340"/>
      <c r="CF89" s="1340"/>
      <c r="CG89" s="1326"/>
      <c r="CH89" s="447"/>
      <c r="CI89" s="1339"/>
      <c r="CJ89" s="1340"/>
      <c r="CK89" s="1340"/>
      <c r="CL89" s="1340"/>
      <c r="CM89" s="1326"/>
      <c r="CN89" s="447"/>
      <c r="CO89" s="447"/>
      <c r="CP89" s="447"/>
      <c r="CQ89" s="447"/>
      <c r="CR89" s="447"/>
      <c r="CS89" s="447"/>
      <c r="CT89" s="448"/>
      <c r="CU89" s="448"/>
      <c r="CV89" s="448"/>
      <c r="CW89" s="448"/>
      <c r="CX89" s="448"/>
      <c r="CY89" s="448"/>
      <c r="CZ89" s="448"/>
      <c r="DA89" s="448"/>
      <c r="DB89" s="448"/>
      <c r="DC89" s="448"/>
      <c r="DD89" s="448"/>
      <c r="DE89" s="448"/>
      <c r="DF89" s="448"/>
    </row>
    <row r="90" spans="1:110" hidden="1" outlineLevel="2">
      <c r="A90" s="1342" t="s">
        <v>101</v>
      </c>
      <c r="B90" s="260"/>
      <c r="C90" s="1323"/>
      <c r="D90" s="1324"/>
      <c r="E90" s="1324"/>
      <c r="F90" s="1324"/>
      <c r="G90" s="1325"/>
      <c r="H90" s="260"/>
      <c r="I90" s="1323"/>
      <c r="J90" s="1324"/>
      <c r="K90" s="1324"/>
      <c r="L90" s="1324"/>
      <c r="M90" s="1325"/>
      <c r="N90" s="260"/>
      <c r="O90" s="1323"/>
      <c r="P90" s="1324"/>
      <c r="Q90" s="1324"/>
      <c r="R90" s="1324"/>
      <c r="S90" s="1325"/>
      <c r="T90" s="260"/>
      <c r="U90" s="1404">
        <f>SUM(U91:U93)</f>
        <v>244.00000000000003</v>
      </c>
      <c r="V90" s="1348">
        <f>SUM(V91:V93)</f>
        <v>238</v>
      </c>
      <c r="W90" s="1348">
        <f>SUM(W91:W93)</f>
        <v>329</v>
      </c>
      <c r="X90" s="1348">
        <f>SUM(X91:X93)</f>
        <v>389</v>
      </c>
      <c r="Y90" s="1405">
        <f>SUM(Y91:Y93)</f>
        <v>1200</v>
      </c>
      <c r="Z90" s="260"/>
      <c r="AA90" s="1404">
        <f>SUM(AA91:AA93)</f>
        <v>349</v>
      </c>
      <c r="AB90" s="1348">
        <f>SUM(AB91:AB93)</f>
        <v>381</v>
      </c>
      <c r="AC90" s="1348">
        <f>SUM(AC91:AC93)</f>
        <v>383</v>
      </c>
      <c r="AD90" s="1348">
        <f>SUM(AD91:AD93)</f>
        <v>405</v>
      </c>
      <c r="AE90" s="1405">
        <f>SUM(AE91:AE93)</f>
        <v>1518</v>
      </c>
      <c r="AF90" s="260"/>
      <c r="AG90" s="1404">
        <f>SUM(AG91:AG93)</f>
        <v>396</v>
      </c>
      <c r="AH90" s="1348">
        <f>SUM(AH91:AH93)</f>
        <v>388</v>
      </c>
      <c r="AI90" s="1348">
        <f>SUM(AI91:AI93)</f>
        <v>381</v>
      </c>
      <c r="AJ90" s="1406">
        <f>SUM(AJ91:AJ93)</f>
        <v>394</v>
      </c>
      <c r="AK90" s="1405">
        <f>SUM(AK91:AK93)</f>
        <v>1559</v>
      </c>
      <c r="AL90" s="260"/>
      <c r="AM90" s="1404">
        <f>SUM(AM91:AM93)</f>
        <v>394</v>
      </c>
      <c r="AN90" s="1348">
        <f>SUM(AN91:AN93)</f>
        <v>401</v>
      </c>
      <c r="AO90" s="1348">
        <f>SUM(AO91:AO93)</f>
        <v>387</v>
      </c>
      <c r="AP90" s="1406">
        <f>SUM(AP91:AP93)</f>
        <v>412</v>
      </c>
      <c r="AQ90" s="1405">
        <f>SUM(AQ91:AQ93)</f>
        <v>1594</v>
      </c>
      <c r="AR90" s="260"/>
      <c r="AS90" s="1404">
        <f>SUM(AS91:AS93)</f>
        <v>417</v>
      </c>
      <c r="AT90" s="1348">
        <f>SUM(AT91:AT93)</f>
        <v>411</v>
      </c>
      <c r="AU90" s="1348">
        <f>SUM(AU91:AU93)</f>
        <v>417</v>
      </c>
      <c r="AV90" s="1348">
        <f>SUM(AV91:AV93)</f>
        <v>431.00000000000006</v>
      </c>
      <c r="AW90" s="1405">
        <f>SUM(AW91:AW93)</f>
        <v>1676</v>
      </c>
      <c r="AX90" s="260"/>
      <c r="AY90" s="1404"/>
      <c r="AZ90" s="1348"/>
      <c r="BA90" s="1348"/>
      <c r="BB90" s="1406"/>
      <c r="BC90" s="1406"/>
      <c r="BD90" s="260"/>
      <c r="BE90" s="1404"/>
      <c r="BF90" s="1348"/>
      <c r="BG90" s="1348"/>
      <c r="BH90" s="1348"/>
      <c r="BI90" s="1406"/>
      <c r="BJ90" s="260"/>
      <c r="BK90" s="1404"/>
      <c r="BL90" s="1348"/>
      <c r="BM90" s="1348"/>
      <c r="BN90" s="1348"/>
      <c r="BO90" s="1405"/>
      <c r="BP90" s="260"/>
      <c r="BQ90" s="1404"/>
      <c r="BR90" s="1348"/>
      <c r="BS90" s="1348"/>
      <c r="BT90" s="1348"/>
      <c r="BU90" s="1405"/>
      <c r="BV90" s="260"/>
      <c r="BW90" s="1404"/>
      <c r="BX90" s="1348"/>
      <c r="BY90" s="1348"/>
      <c r="BZ90" s="1348"/>
      <c r="CA90" s="1405"/>
      <c r="CB90" s="1348"/>
      <c r="CC90" s="1404"/>
      <c r="CD90" s="1348"/>
      <c r="CE90" s="1348"/>
      <c r="CF90" s="1348"/>
      <c r="CG90" s="1405"/>
      <c r="CH90" s="447"/>
      <c r="CI90" s="1404"/>
      <c r="CJ90" s="1348"/>
      <c r="CK90" s="1348"/>
      <c r="CL90" s="1348"/>
      <c r="CM90" s="1405"/>
      <c r="CN90" s="447"/>
      <c r="CO90" s="447"/>
      <c r="CP90" s="447"/>
      <c r="CQ90" s="447"/>
      <c r="CR90" s="447"/>
      <c r="CS90" s="447"/>
      <c r="CT90" s="448"/>
      <c r="CU90" s="448"/>
      <c r="CV90" s="448"/>
      <c r="CW90" s="448"/>
      <c r="CX90" s="448"/>
      <c r="CY90" s="448"/>
      <c r="CZ90" s="448"/>
      <c r="DA90" s="448"/>
      <c r="DB90" s="448"/>
      <c r="DC90" s="448"/>
      <c r="DD90" s="448"/>
      <c r="DE90" s="448"/>
      <c r="DF90" s="448"/>
    </row>
    <row r="91" spans="1:110" hidden="1" outlineLevel="2">
      <c r="A91" s="1342" t="s">
        <v>187</v>
      </c>
      <c r="B91" s="260"/>
      <c r="C91" s="1323"/>
      <c r="D91" s="1324"/>
      <c r="E91" s="1324"/>
      <c r="F91" s="1324"/>
      <c r="G91" s="1325"/>
      <c r="H91" s="260"/>
      <c r="I91" s="1323"/>
      <c r="J91" s="1324"/>
      <c r="K91" s="1324"/>
      <c r="L91" s="1324"/>
      <c r="M91" s="1325"/>
      <c r="N91" s="260"/>
      <c r="O91" s="1323"/>
      <c r="P91" s="1324"/>
      <c r="Q91" s="1324"/>
      <c r="R91" s="1324"/>
      <c r="S91" s="1325"/>
      <c r="T91" s="260"/>
      <c r="U91" s="1339">
        <f t="shared" ref="U91:X93" si="55">U114*U$10</f>
        <v>65.88000000000001</v>
      </c>
      <c r="V91" s="1340">
        <f t="shared" si="55"/>
        <v>61.88</v>
      </c>
      <c r="W91" s="1340">
        <f t="shared" si="55"/>
        <v>111.86000000000001</v>
      </c>
      <c r="X91" s="1340">
        <f t="shared" si="55"/>
        <v>140.04</v>
      </c>
      <c r="Y91" s="1326">
        <f t="shared" si="51"/>
        <v>379.66</v>
      </c>
      <c r="Z91" s="260"/>
      <c r="AA91" s="1339">
        <f t="shared" ref="AA91:AD93" si="56">AA114*AA$10</f>
        <v>104.7</v>
      </c>
      <c r="AB91" s="1340">
        <f t="shared" si="56"/>
        <v>110.49</v>
      </c>
      <c r="AC91" s="1340">
        <f t="shared" si="56"/>
        <v>118.73</v>
      </c>
      <c r="AD91" s="1340">
        <f t="shared" si="56"/>
        <v>125.55</v>
      </c>
      <c r="AE91" s="1326">
        <f>SUM(AA91:AD91)</f>
        <v>459.47</v>
      </c>
      <c r="AF91" s="260"/>
      <c r="AG91" s="1339">
        <f t="shared" ref="AG91:AJ93" si="57">AG114*AG$10</f>
        <v>122.76</v>
      </c>
      <c r="AH91" s="1340">
        <f t="shared" si="57"/>
        <v>112.52</v>
      </c>
      <c r="AI91" s="1340">
        <f t="shared" si="57"/>
        <v>118.11</v>
      </c>
      <c r="AJ91" s="1338">
        <f t="shared" si="57"/>
        <v>122.14</v>
      </c>
      <c r="AK91" s="1326">
        <f t="shared" si="52"/>
        <v>475.53</v>
      </c>
      <c r="AL91" s="260"/>
      <c r="AM91" s="1339">
        <f t="shared" ref="AM91:AP93" si="58">AM114*AM$10</f>
        <v>122.14</v>
      </c>
      <c r="AN91" s="1340">
        <f t="shared" si="58"/>
        <v>120.3</v>
      </c>
      <c r="AO91" s="1340">
        <f t="shared" si="58"/>
        <v>116.1</v>
      </c>
      <c r="AP91" s="1338">
        <f t="shared" si="58"/>
        <v>127.72</v>
      </c>
      <c r="AQ91" s="1326">
        <f>SUM(AM91:AP91)</f>
        <v>486.26</v>
      </c>
      <c r="AR91" s="260"/>
      <c r="AS91" s="1339">
        <f t="shared" ref="AS91:AV93" si="59">AS114*AS$10</f>
        <v>125.1</v>
      </c>
      <c r="AT91" s="1340">
        <f t="shared" si="59"/>
        <v>119.19</v>
      </c>
      <c r="AU91" s="1340">
        <f t="shared" si="59"/>
        <v>129.27000000000001</v>
      </c>
      <c r="AV91" s="1340">
        <f t="shared" si="59"/>
        <v>155.16</v>
      </c>
      <c r="AW91" s="1326">
        <f>SUM(AS91:AV91)</f>
        <v>528.72</v>
      </c>
      <c r="AX91" s="260"/>
      <c r="AY91" s="1339"/>
      <c r="AZ91" s="1340"/>
      <c r="BA91" s="1340"/>
      <c r="BB91" s="1338"/>
      <c r="BC91" s="1338"/>
      <c r="BD91" s="260"/>
      <c r="BE91" s="1339"/>
      <c r="BF91" s="1340"/>
      <c r="BG91" s="1340"/>
      <c r="BH91" s="1340"/>
      <c r="BI91" s="1338"/>
      <c r="BJ91" s="260"/>
      <c r="BK91" s="1339"/>
      <c r="BL91" s="1340"/>
      <c r="BM91" s="1340"/>
      <c r="BN91" s="1340"/>
      <c r="BO91" s="1326"/>
      <c r="BP91" s="260"/>
      <c r="BQ91" s="1339"/>
      <c r="BR91" s="1340"/>
      <c r="BS91" s="1340"/>
      <c r="BT91" s="1340"/>
      <c r="BU91" s="1326"/>
      <c r="BV91" s="260"/>
      <c r="BW91" s="1339"/>
      <c r="BX91" s="1340"/>
      <c r="BY91" s="1340"/>
      <c r="BZ91" s="1340"/>
      <c r="CA91" s="1326"/>
      <c r="CB91" s="1340"/>
      <c r="CC91" s="1339"/>
      <c r="CD91" s="1340"/>
      <c r="CE91" s="1340"/>
      <c r="CF91" s="1340"/>
      <c r="CG91" s="1326"/>
      <c r="CH91" s="447"/>
      <c r="CI91" s="1339"/>
      <c r="CJ91" s="1340"/>
      <c r="CK91" s="1340"/>
      <c r="CL91" s="1340"/>
      <c r="CM91" s="1326"/>
      <c r="CN91" s="447"/>
      <c r="CO91" s="447"/>
      <c r="CP91" s="447"/>
      <c r="CQ91" s="447"/>
      <c r="CR91" s="447"/>
      <c r="CS91" s="447"/>
      <c r="CT91" s="448"/>
      <c r="CU91" s="448"/>
      <c r="CV91" s="448"/>
      <c r="CW91" s="448"/>
      <c r="CX91" s="448"/>
      <c r="CY91" s="448"/>
      <c r="CZ91" s="448"/>
      <c r="DA91" s="448"/>
      <c r="DB91" s="448"/>
      <c r="DC91" s="448"/>
      <c r="DD91" s="448"/>
      <c r="DE91" s="448"/>
      <c r="DF91" s="448"/>
    </row>
    <row r="92" spans="1:110" hidden="1" outlineLevel="2">
      <c r="A92" s="1342" t="s">
        <v>188</v>
      </c>
      <c r="B92" s="260"/>
      <c r="C92" s="1323"/>
      <c r="D92" s="1324"/>
      <c r="E92" s="1324"/>
      <c r="F92" s="1324"/>
      <c r="G92" s="1325"/>
      <c r="H92" s="260"/>
      <c r="I92" s="1323"/>
      <c r="J92" s="1324"/>
      <c r="K92" s="1324"/>
      <c r="L92" s="1324"/>
      <c r="M92" s="1325"/>
      <c r="N92" s="260"/>
      <c r="O92" s="1323"/>
      <c r="P92" s="1324"/>
      <c r="Q92" s="1324"/>
      <c r="R92" s="1324"/>
      <c r="S92" s="1325"/>
      <c r="T92" s="260"/>
      <c r="U92" s="1339">
        <f t="shared" si="55"/>
        <v>82.960000000000008</v>
      </c>
      <c r="V92" s="1340">
        <f t="shared" si="55"/>
        <v>66.64</v>
      </c>
      <c r="W92" s="1340">
        <f t="shared" si="55"/>
        <v>105.28</v>
      </c>
      <c r="X92" s="1340">
        <f t="shared" si="55"/>
        <v>124.48</v>
      </c>
      <c r="Y92" s="1326">
        <f t="shared" si="51"/>
        <v>379.36</v>
      </c>
      <c r="Z92" s="260"/>
      <c r="AA92" s="1339">
        <f t="shared" si="56"/>
        <v>118.66000000000001</v>
      </c>
      <c r="AB92" s="1340">
        <f t="shared" si="56"/>
        <v>114.3</v>
      </c>
      <c r="AC92" s="1340">
        <f t="shared" si="56"/>
        <v>111.07</v>
      </c>
      <c r="AD92" s="1340">
        <f t="shared" si="56"/>
        <v>121.5</v>
      </c>
      <c r="AE92" s="1326">
        <f>SUM(AA92:AD92)</f>
        <v>465.53</v>
      </c>
      <c r="AF92" s="260"/>
      <c r="AG92" s="1339">
        <f t="shared" si="57"/>
        <v>118.8</v>
      </c>
      <c r="AH92" s="1340">
        <f t="shared" si="57"/>
        <v>112.52</v>
      </c>
      <c r="AI92" s="1340">
        <f t="shared" si="57"/>
        <v>110.49</v>
      </c>
      <c r="AJ92" s="1338">
        <f t="shared" si="57"/>
        <v>114.25999999999999</v>
      </c>
      <c r="AK92" s="1326">
        <f t="shared" si="52"/>
        <v>456.07</v>
      </c>
      <c r="AL92" s="260"/>
      <c r="AM92" s="1339">
        <f t="shared" si="58"/>
        <v>122.14</v>
      </c>
      <c r="AN92" s="1340">
        <f t="shared" si="58"/>
        <v>112.28000000000002</v>
      </c>
      <c r="AO92" s="1340">
        <f t="shared" si="58"/>
        <v>108.36000000000001</v>
      </c>
      <c r="AP92" s="1338">
        <f t="shared" si="58"/>
        <v>119.47999999999999</v>
      </c>
      <c r="AQ92" s="1326">
        <f>SUM(AM92:AP92)</f>
        <v>462.26</v>
      </c>
      <c r="AR92" s="260"/>
      <c r="AS92" s="1339">
        <f t="shared" si="59"/>
        <v>137.61000000000001</v>
      </c>
      <c r="AT92" s="1340">
        <f t="shared" si="59"/>
        <v>127.41</v>
      </c>
      <c r="AU92" s="1340">
        <f t="shared" si="59"/>
        <v>116.76</v>
      </c>
      <c r="AV92" s="1340">
        <f t="shared" si="59"/>
        <v>137.92000000000002</v>
      </c>
      <c r="AW92" s="1326">
        <f>SUM(AS92:AV92)</f>
        <v>519.70000000000005</v>
      </c>
      <c r="AX92" s="260"/>
      <c r="AY92" s="1339"/>
      <c r="AZ92" s="1340"/>
      <c r="BA92" s="1340"/>
      <c r="BB92" s="1338"/>
      <c r="BC92" s="1338"/>
      <c r="BD92" s="260"/>
      <c r="BE92" s="1339"/>
      <c r="BF92" s="1340"/>
      <c r="BG92" s="1340"/>
      <c r="BH92" s="1340"/>
      <c r="BI92" s="1338"/>
      <c r="BJ92" s="260"/>
      <c r="BK92" s="1339"/>
      <c r="BL92" s="1340"/>
      <c r="BM92" s="1340"/>
      <c r="BN92" s="1340"/>
      <c r="BO92" s="1326"/>
      <c r="BP92" s="260"/>
      <c r="BQ92" s="1339"/>
      <c r="BR92" s="1340"/>
      <c r="BS92" s="1340"/>
      <c r="BT92" s="1340"/>
      <c r="BU92" s="1326"/>
      <c r="BV92" s="260"/>
      <c r="BW92" s="1339"/>
      <c r="BX92" s="1340"/>
      <c r="BY92" s="1340"/>
      <c r="BZ92" s="1340"/>
      <c r="CA92" s="1326"/>
      <c r="CB92" s="1340"/>
      <c r="CC92" s="1339"/>
      <c r="CD92" s="1340"/>
      <c r="CE92" s="1340"/>
      <c r="CF92" s="1340"/>
      <c r="CG92" s="1326"/>
      <c r="CH92" s="447"/>
      <c r="CI92" s="1339"/>
      <c r="CJ92" s="1340"/>
      <c r="CK92" s="1340"/>
      <c r="CL92" s="1340"/>
      <c r="CM92" s="1326"/>
      <c r="CN92" s="447"/>
      <c r="CO92" s="447"/>
      <c r="CP92" s="447"/>
      <c r="CQ92" s="447"/>
      <c r="CR92" s="447"/>
      <c r="CS92" s="447"/>
      <c r="CT92" s="448"/>
      <c r="CU92" s="448"/>
      <c r="CV92" s="448"/>
      <c r="CW92" s="448"/>
      <c r="CX92" s="448"/>
      <c r="CY92" s="448"/>
      <c r="CZ92" s="448"/>
      <c r="DA92" s="448"/>
      <c r="DB92" s="448"/>
      <c r="DC92" s="448"/>
      <c r="DD92" s="448"/>
      <c r="DE92" s="448"/>
      <c r="DF92" s="448"/>
    </row>
    <row r="93" spans="1:110" hidden="1" outlineLevel="2">
      <c r="A93" s="1342" t="s">
        <v>189</v>
      </c>
      <c r="B93" s="260"/>
      <c r="C93" s="1323"/>
      <c r="D93" s="1324"/>
      <c r="E93" s="1324"/>
      <c r="F93" s="1324"/>
      <c r="G93" s="1325"/>
      <c r="H93" s="260"/>
      <c r="I93" s="1323"/>
      <c r="J93" s="1324"/>
      <c r="K93" s="1324"/>
      <c r="L93" s="1324"/>
      <c r="M93" s="1325"/>
      <c r="N93" s="260"/>
      <c r="O93" s="1323"/>
      <c r="P93" s="1324"/>
      <c r="Q93" s="1324"/>
      <c r="R93" s="1324"/>
      <c r="S93" s="1325"/>
      <c r="T93" s="260"/>
      <c r="U93" s="1339">
        <f t="shared" si="55"/>
        <v>95.16</v>
      </c>
      <c r="V93" s="1340">
        <f t="shared" si="55"/>
        <v>109.48</v>
      </c>
      <c r="W93" s="1340">
        <f t="shared" si="55"/>
        <v>111.86000000000001</v>
      </c>
      <c r="X93" s="1340">
        <f t="shared" si="55"/>
        <v>124.48</v>
      </c>
      <c r="Y93" s="1326">
        <f t="shared" si="51"/>
        <v>440.98</v>
      </c>
      <c r="Z93" s="260"/>
      <c r="AA93" s="1339">
        <f t="shared" si="56"/>
        <v>125.64</v>
      </c>
      <c r="AB93" s="1340">
        <f t="shared" si="56"/>
        <v>156.20999999999998</v>
      </c>
      <c r="AC93" s="1340">
        <f t="shared" si="56"/>
        <v>153.20000000000002</v>
      </c>
      <c r="AD93" s="1340">
        <f t="shared" si="56"/>
        <v>157.95000000000002</v>
      </c>
      <c r="AE93" s="1326">
        <f>SUM(AA93:AD93)</f>
        <v>593</v>
      </c>
      <c r="AF93" s="260"/>
      <c r="AG93" s="1339">
        <f t="shared" si="57"/>
        <v>154.44</v>
      </c>
      <c r="AH93" s="1340">
        <f t="shared" si="57"/>
        <v>162.96</v>
      </c>
      <c r="AI93" s="1340">
        <f t="shared" si="57"/>
        <v>152.4</v>
      </c>
      <c r="AJ93" s="1338">
        <f t="shared" si="57"/>
        <v>157.60000000000002</v>
      </c>
      <c r="AK93" s="1326">
        <f t="shared" si="52"/>
        <v>627.4</v>
      </c>
      <c r="AL93" s="260"/>
      <c r="AM93" s="1339">
        <f t="shared" si="58"/>
        <v>149.72</v>
      </c>
      <c r="AN93" s="1340">
        <f t="shared" si="58"/>
        <v>168.42</v>
      </c>
      <c r="AO93" s="1340">
        <f t="shared" si="58"/>
        <v>162.54</v>
      </c>
      <c r="AP93" s="1338">
        <f t="shared" si="58"/>
        <v>164.8</v>
      </c>
      <c r="AQ93" s="1326">
        <f>SUM(AM93:AP93)</f>
        <v>645.48</v>
      </c>
      <c r="AR93" s="260"/>
      <c r="AS93" s="1339">
        <f t="shared" si="59"/>
        <v>154.29</v>
      </c>
      <c r="AT93" s="1340">
        <f t="shared" si="59"/>
        <v>164.4</v>
      </c>
      <c r="AU93" s="1340">
        <f t="shared" si="59"/>
        <v>170.97</v>
      </c>
      <c r="AV93" s="1340">
        <f t="shared" si="59"/>
        <v>137.92000000000002</v>
      </c>
      <c r="AW93" s="1326">
        <f>SUM(AS93:AV93)</f>
        <v>627.57999999999993</v>
      </c>
      <c r="AX93" s="260"/>
      <c r="AY93" s="1339"/>
      <c r="AZ93" s="1340"/>
      <c r="BA93" s="1340"/>
      <c r="BB93" s="1338"/>
      <c r="BC93" s="1338"/>
      <c r="BD93" s="260"/>
      <c r="BE93" s="1339"/>
      <c r="BF93" s="1340"/>
      <c r="BG93" s="1340"/>
      <c r="BH93" s="1340"/>
      <c r="BI93" s="1338"/>
      <c r="BJ93" s="260"/>
      <c r="BK93" s="1339"/>
      <c r="BL93" s="1340"/>
      <c r="BM93" s="1340"/>
      <c r="BN93" s="1340"/>
      <c r="BO93" s="1326"/>
      <c r="BP93" s="260"/>
      <c r="BQ93" s="1339"/>
      <c r="BR93" s="1340"/>
      <c r="BS93" s="1340"/>
      <c r="BT93" s="1340"/>
      <c r="BU93" s="1326"/>
      <c r="BV93" s="260"/>
      <c r="BW93" s="1339"/>
      <c r="BX93" s="1340"/>
      <c r="BY93" s="1340"/>
      <c r="BZ93" s="1340"/>
      <c r="CA93" s="1326"/>
      <c r="CB93" s="1340"/>
      <c r="CC93" s="1339"/>
      <c r="CD93" s="1340"/>
      <c r="CE93" s="1340"/>
      <c r="CF93" s="1340"/>
      <c r="CG93" s="1326"/>
      <c r="CH93" s="447"/>
      <c r="CI93" s="1339"/>
      <c r="CJ93" s="1340"/>
      <c r="CK93" s="1340"/>
      <c r="CL93" s="1340"/>
      <c r="CM93" s="1326"/>
      <c r="CN93" s="447"/>
      <c r="CO93" s="447"/>
      <c r="CP93" s="447"/>
      <c r="CQ93" s="447"/>
      <c r="CR93" s="447"/>
      <c r="CS93" s="447"/>
      <c r="CT93" s="448"/>
      <c r="CU93" s="448"/>
      <c r="CV93" s="448"/>
      <c r="CW93" s="448"/>
      <c r="CX93" s="448"/>
      <c r="CY93" s="448"/>
      <c r="CZ93" s="448"/>
      <c r="DA93" s="448"/>
      <c r="DB93" s="448"/>
      <c r="DC93" s="448"/>
      <c r="DD93" s="448"/>
      <c r="DE93" s="448"/>
      <c r="DF93" s="448"/>
    </row>
    <row r="94" spans="1:110" hidden="1" outlineLevel="2">
      <c r="A94" s="1342" t="s">
        <v>103</v>
      </c>
      <c r="B94" s="260"/>
      <c r="C94" s="1404"/>
      <c r="D94" s="1348"/>
      <c r="E94" s="1348"/>
      <c r="F94" s="1348"/>
      <c r="G94" s="1405"/>
      <c r="H94" s="260"/>
      <c r="I94" s="1404"/>
      <c r="J94" s="1348"/>
      <c r="K94" s="1348"/>
      <c r="L94" s="1348"/>
      <c r="M94" s="1405"/>
      <c r="N94" s="260"/>
      <c r="O94" s="1404"/>
      <c r="P94" s="1348"/>
      <c r="Q94" s="1348"/>
      <c r="R94" s="1348"/>
      <c r="S94" s="1405"/>
      <c r="T94" s="260"/>
      <c r="U94" s="1404">
        <f t="shared" ref="U94:X97" si="60">+U86+U82</f>
        <v>340</v>
      </c>
      <c r="V94" s="1348">
        <f t="shared" si="60"/>
        <v>334</v>
      </c>
      <c r="W94" s="1348">
        <f t="shared" si="60"/>
        <v>374</v>
      </c>
      <c r="X94" s="1348">
        <f t="shared" si="60"/>
        <v>431</v>
      </c>
      <c r="Y94" s="1405">
        <f>SUM(Y95:Y97)</f>
        <v>1479</v>
      </c>
      <c r="Z94" s="260"/>
      <c r="AA94" s="1404">
        <f t="shared" ref="AA94:AD97" si="61">+AA86+AA82</f>
        <v>404</v>
      </c>
      <c r="AB94" s="1348">
        <f t="shared" si="61"/>
        <v>464</v>
      </c>
      <c r="AC94" s="1348">
        <f t="shared" si="61"/>
        <v>453.00000000000006</v>
      </c>
      <c r="AD94" s="1406">
        <f t="shared" si="61"/>
        <v>471</v>
      </c>
      <c r="AE94" s="1406">
        <f>SUM(AE95:AE97)</f>
        <v>1792.0000000000002</v>
      </c>
      <c r="AF94" s="260"/>
      <c r="AG94" s="1404">
        <f t="shared" ref="AG94:AJ97" si="62">+AG86+AG82</f>
        <v>461</v>
      </c>
      <c r="AH94" s="1348">
        <f t="shared" si="62"/>
        <v>468.99999999999994</v>
      </c>
      <c r="AI94" s="1348">
        <f t="shared" si="62"/>
        <v>497</v>
      </c>
      <c r="AJ94" s="1406">
        <f t="shared" si="62"/>
        <v>557</v>
      </c>
      <c r="AK94" s="1405">
        <f>SUM(AK95:AK97)</f>
        <v>1984</v>
      </c>
      <c r="AL94" s="260"/>
      <c r="AM94" s="1404">
        <f t="shared" ref="AM94:AN97" si="63">+AM86+AM82</f>
        <v>564</v>
      </c>
      <c r="AN94" s="1348">
        <f t="shared" si="63"/>
        <v>571</v>
      </c>
      <c r="AO94" s="1348">
        <f>SUM(AO95:AO97)</f>
        <v>564</v>
      </c>
      <c r="AP94" s="1406">
        <f>SUM(AP95:AP97)</f>
        <v>601</v>
      </c>
      <c r="AQ94" s="1405">
        <f>SUM(AQ95:AQ97)</f>
        <v>2300</v>
      </c>
      <c r="AR94" s="260"/>
      <c r="AS94" s="1404">
        <f>SUM(AS95:AS97)</f>
        <v>591</v>
      </c>
      <c r="AT94" s="1348">
        <f>SUM(AT95:AT97)</f>
        <v>577</v>
      </c>
      <c r="AU94" s="1348">
        <f>SUM(AU95:AU97)</f>
        <v>592</v>
      </c>
      <c r="AV94" s="1348">
        <f>SUM(AV95:AV97)</f>
        <v>612</v>
      </c>
      <c r="AW94" s="1405">
        <f>SUM(AW95:AW97)</f>
        <v>2372</v>
      </c>
      <c r="AX94" s="260"/>
      <c r="AY94" s="1404"/>
      <c r="AZ94" s="1348"/>
      <c r="BA94" s="1348"/>
      <c r="BB94" s="1406"/>
      <c r="BC94" s="1406"/>
      <c r="BD94" s="260"/>
      <c r="BE94" s="1404"/>
      <c r="BF94" s="1348"/>
      <c r="BG94" s="1348"/>
      <c r="BH94" s="1348"/>
      <c r="BI94" s="1406"/>
      <c r="BJ94" s="260"/>
      <c r="BK94" s="1404"/>
      <c r="BL94" s="1348"/>
      <c r="BM94" s="1348"/>
      <c r="BN94" s="1348"/>
      <c r="BO94" s="1405"/>
      <c r="BP94" s="260"/>
      <c r="BQ94" s="1404"/>
      <c r="BR94" s="1348"/>
      <c r="BS94" s="1348"/>
      <c r="BT94" s="1348"/>
      <c r="BU94" s="1405"/>
      <c r="BV94" s="260"/>
      <c r="BW94" s="1404"/>
      <c r="BX94" s="1348"/>
      <c r="BY94" s="1348"/>
      <c r="BZ94" s="1348"/>
      <c r="CA94" s="1405"/>
      <c r="CB94" s="1348"/>
      <c r="CC94" s="1404"/>
      <c r="CD94" s="1348"/>
      <c r="CE94" s="1348"/>
      <c r="CF94" s="1348"/>
      <c r="CG94" s="1405"/>
      <c r="CH94" s="449"/>
      <c r="CI94" s="1404"/>
      <c r="CJ94" s="1348"/>
      <c r="CK94" s="1348"/>
      <c r="CL94" s="1348"/>
      <c r="CM94" s="1405"/>
      <c r="CN94" s="449"/>
      <c r="CO94" s="449"/>
      <c r="CP94" s="449"/>
      <c r="CQ94" s="449"/>
      <c r="CR94" s="449"/>
      <c r="CS94" s="449"/>
      <c r="CT94" s="450"/>
      <c r="CU94" s="450"/>
      <c r="CV94" s="450"/>
      <c r="CW94" s="450"/>
      <c r="CX94" s="450"/>
      <c r="CY94" s="450"/>
      <c r="CZ94" s="450"/>
      <c r="DA94" s="450"/>
      <c r="DB94" s="450"/>
      <c r="DC94" s="450"/>
      <c r="DD94" s="450"/>
      <c r="DE94" s="450"/>
      <c r="DF94" s="450"/>
    </row>
    <row r="95" spans="1:110" hidden="1" outlineLevel="2">
      <c r="A95" s="1342" t="s">
        <v>187</v>
      </c>
      <c r="B95" s="260"/>
      <c r="C95" s="1339"/>
      <c r="D95" s="1340"/>
      <c r="E95" s="1340"/>
      <c r="F95" s="1340"/>
      <c r="G95" s="1326"/>
      <c r="H95" s="260"/>
      <c r="I95" s="1339"/>
      <c r="J95" s="1340"/>
      <c r="K95" s="1340"/>
      <c r="L95" s="1340"/>
      <c r="M95" s="1326"/>
      <c r="N95" s="260"/>
      <c r="O95" s="1339"/>
      <c r="P95" s="1340"/>
      <c r="Q95" s="1340"/>
      <c r="R95" s="1340"/>
      <c r="S95" s="1326"/>
      <c r="T95" s="260"/>
      <c r="U95" s="1339">
        <f t="shared" si="60"/>
        <v>122.39999999999999</v>
      </c>
      <c r="V95" s="1340">
        <f t="shared" si="60"/>
        <v>120.24</v>
      </c>
      <c r="W95" s="1340">
        <f t="shared" si="60"/>
        <v>142.12</v>
      </c>
      <c r="X95" s="1340">
        <f t="shared" si="60"/>
        <v>176.70999999999998</v>
      </c>
      <c r="Y95" s="1326">
        <f>SUM(U95:X95)</f>
        <v>561.47</v>
      </c>
      <c r="Z95" s="260"/>
      <c r="AA95" s="1339">
        <f t="shared" si="61"/>
        <v>145.44</v>
      </c>
      <c r="AB95" s="1340">
        <f t="shared" si="61"/>
        <v>171.68</v>
      </c>
      <c r="AC95" s="1340">
        <f t="shared" si="61"/>
        <v>176.67000000000002</v>
      </c>
      <c r="AD95" s="1338">
        <f t="shared" si="61"/>
        <v>174.27</v>
      </c>
      <c r="AE95" s="1338">
        <f>SUM(AA95:AD95)</f>
        <v>668.06000000000006</v>
      </c>
      <c r="AF95" s="260"/>
      <c r="AG95" s="1339">
        <f t="shared" si="62"/>
        <v>170.57</v>
      </c>
      <c r="AH95" s="1340">
        <f t="shared" si="62"/>
        <v>164.14999999999998</v>
      </c>
      <c r="AI95" s="1340">
        <f t="shared" si="62"/>
        <v>190.98000000000002</v>
      </c>
      <c r="AJ95" s="1338">
        <f t="shared" si="62"/>
        <v>220.35000000000002</v>
      </c>
      <c r="AK95" s="1326">
        <f>SUM(AG95:AJ95)</f>
        <v>746.05000000000007</v>
      </c>
      <c r="AL95" s="260"/>
      <c r="AM95" s="1339">
        <f t="shared" si="63"/>
        <v>201.40999999999997</v>
      </c>
      <c r="AN95" s="1340">
        <f t="shared" si="63"/>
        <v>207.21999999999997</v>
      </c>
      <c r="AO95" s="1340">
        <f t="shared" ref="AO95:AP97" si="64">AO118*AO$11</f>
        <v>191.76000000000002</v>
      </c>
      <c r="AP95" s="1338">
        <f t="shared" si="64"/>
        <v>210.35</v>
      </c>
      <c r="AQ95" s="1326">
        <f>SUM(AM95:AP95)</f>
        <v>810.74</v>
      </c>
      <c r="AR95" s="260"/>
      <c r="AS95" s="1339">
        <f t="shared" ref="AS95:AV97" si="65">AS118*AS$11</f>
        <v>206.85</v>
      </c>
      <c r="AT95" s="1340">
        <f t="shared" si="65"/>
        <v>201.95</v>
      </c>
      <c r="AU95" s="1340">
        <f t="shared" si="65"/>
        <v>219.04</v>
      </c>
      <c r="AV95" s="1340">
        <f t="shared" si="65"/>
        <v>220.32</v>
      </c>
      <c r="AW95" s="1326">
        <f>SUM(AS95:AV95)</f>
        <v>848.15999999999985</v>
      </c>
      <c r="AX95" s="260"/>
      <c r="AY95" s="1339"/>
      <c r="AZ95" s="1340"/>
      <c r="BA95" s="1340"/>
      <c r="BB95" s="1338"/>
      <c r="BC95" s="1338"/>
      <c r="BD95" s="260"/>
      <c r="BE95" s="1339"/>
      <c r="BF95" s="1340"/>
      <c r="BG95" s="1340"/>
      <c r="BH95" s="1340"/>
      <c r="BI95" s="1338"/>
      <c r="BJ95" s="260"/>
      <c r="BK95" s="1339"/>
      <c r="BL95" s="1340"/>
      <c r="BM95" s="1340"/>
      <c r="BN95" s="1340"/>
      <c r="BO95" s="1326"/>
      <c r="BP95" s="260"/>
      <c r="BQ95" s="1339"/>
      <c r="BR95" s="1340"/>
      <c r="BS95" s="1340"/>
      <c r="BT95" s="1340"/>
      <c r="BU95" s="1326"/>
      <c r="BV95" s="260"/>
      <c r="BW95" s="1339"/>
      <c r="BX95" s="1340"/>
      <c r="BY95" s="1340"/>
      <c r="BZ95" s="1340"/>
      <c r="CA95" s="1326"/>
      <c r="CB95" s="1340"/>
      <c r="CC95" s="1339"/>
      <c r="CD95" s="1340"/>
      <c r="CE95" s="1340"/>
      <c r="CF95" s="1340"/>
      <c r="CG95" s="1326"/>
      <c r="CH95" s="447"/>
      <c r="CI95" s="1339"/>
      <c r="CJ95" s="1340"/>
      <c r="CK95" s="1340"/>
      <c r="CL95" s="1340"/>
      <c r="CM95" s="1326"/>
      <c r="CN95" s="447"/>
      <c r="CO95" s="447"/>
      <c r="CP95" s="447"/>
      <c r="CQ95" s="447"/>
      <c r="CR95" s="447"/>
      <c r="CS95" s="447"/>
      <c r="CT95" s="448"/>
      <c r="CU95" s="448"/>
      <c r="CV95" s="448"/>
      <c r="CW95" s="448"/>
      <c r="CX95" s="448"/>
      <c r="CY95" s="448"/>
      <c r="CZ95" s="448"/>
      <c r="DA95" s="448"/>
      <c r="DB95" s="448"/>
      <c r="DC95" s="448"/>
      <c r="DD95" s="448"/>
      <c r="DE95" s="448"/>
      <c r="DF95" s="448"/>
    </row>
    <row r="96" spans="1:110" hidden="1" outlineLevel="2">
      <c r="A96" s="1342" t="s">
        <v>188</v>
      </c>
      <c r="B96" s="260"/>
      <c r="C96" s="1339"/>
      <c r="D96" s="1340"/>
      <c r="E96" s="1340"/>
      <c r="F96" s="1340"/>
      <c r="G96" s="1326"/>
      <c r="H96" s="260"/>
      <c r="I96" s="1339"/>
      <c r="J96" s="1340"/>
      <c r="K96" s="1340"/>
      <c r="L96" s="1340"/>
      <c r="M96" s="1326"/>
      <c r="N96" s="260"/>
      <c r="O96" s="1339"/>
      <c r="P96" s="1340"/>
      <c r="Q96" s="1340"/>
      <c r="R96" s="1340"/>
      <c r="S96" s="1326"/>
      <c r="T96" s="260"/>
      <c r="U96" s="1339">
        <f t="shared" si="60"/>
        <v>125.8</v>
      </c>
      <c r="V96" s="1340">
        <f t="shared" si="60"/>
        <v>100.2</v>
      </c>
      <c r="W96" s="1340">
        <f t="shared" si="60"/>
        <v>123.42</v>
      </c>
      <c r="X96" s="1340">
        <f t="shared" si="60"/>
        <v>137.92000000000002</v>
      </c>
      <c r="Y96" s="1326">
        <f>SUM(U96:X96)</f>
        <v>487.34000000000003</v>
      </c>
      <c r="Z96" s="260"/>
      <c r="AA96" s="1339">
        <f t="shared" si="61"/>
        <v>141.39999999999998</v>
      </c>
      <c r="AB96" s="1340">
        <f t="shared" si="61"/>
        <v>139.19999999999999</v>
      </c>
      <c r="AC96" s="1340">
        <f t="shared" si="61"/>
        <v>135.9</v>
      </c>
      <c r="AD96" s="1338">
        <f t="shared" si="61"/>
        <v>150.72</v>
      </c>
      <c r="AE96" s="1338">
        <f>SUM(AA96:AD96)</f>
        <v>567.22</v>
      </c>
      <c r="AF96" s="260"/>
      <c r="AG96" s="1339">
        <f t="shared" si="62"/>
        <v>152.13</v>
      </c>
      <c r="AH96" s="1340">
        <f t="shared" si="62"/>
        <v>140.69999999999999</v>
      </c>
      <c r="AI96" s="1340">
        <f t="shared" si="62"/>
        <v>156.12</v>
      </c>
      <c r="AJ96" s="1338">
        <f t="shared" si="62"/>
        <v>180.92000000000002</v>
      </c>
      <c r="AK96" s="1326">
        <f>SUM(AG96:AJ96)</f>
        <v>629.87</v>
      </c>
      <c r="AL96" s="260"/>
      <c r="AM96" s="1339">
        <f t="shared" si="63"/>
        <v>204.93</v>
      </c>
      <c r="AN96" s="1340">
        <f t="shared" si="63"/>
        <v>187.37</v>
      </c>
      <c r="AO96" s="1340">
        <f t="shared" si="64"/>
        <v>180.48</v>
      </c>
      <c r="AP96" s="1338">
        <f t="shared" si="64"/>
        <v>198.33</v>
      </c>
      <c r="AQ96" s="1326">
        <f>SUM(AM96:AP96)</f>
        <v>771.11</v>
      </c>
      <c r="AR96" s="260"/>
      <c r="AS96" s="1339">
        <f t="shared" si="65"/>
        <v>218.67</v>
      </c>
      <c r="AT96" s="1340">
        <f t="shared" si="65"/>
        <v>201.95</v>
      </c>
      <c r="AU96" s="1340">
        <f t="shared" si="65"/>
        <v>207.2</v>
      </c>
      <c r="AV96" s="1340">
        <f t="shared" si="65"/>
        <v>195.84</v>
      </c>
      <c r="AW96" s="1326">
        <f>SUM(AS96:AV96)</f>
        <v>823.66</v>
      </c>
      <c r="AX96" s="260"/>
      <c r="AY96" s="1339"/>
      <c r="AZ96" s="1340"/>
      <c r="BA96" s="1340"/>
      <c r="BB96" s="1338"/>
      <c r="BC96" s="1338"/>
      <c r="BD96" s="260"/>
      <c r="BE96" s="1339"/>
      <c r="BF96" s="1340"/>
      <c r="BG96" s="1340"/>
      <c r="BH96" s="1340"/>
      <c r="BI96" s="1338"/>
      <c r="BJ96" s="260"/>
      <c r="BK96" s="1339"/>
      <c r="BL96" s="1340"/>
      <c r="BM96" s="1340"/>
      <c r="BN96" s="1340"/>
      <c r="BO96" s="1326"/>
      <c r="BP96" s="260"/>
      <c r="BQ96" s="1339"/>
      <c r="BR96" s="1340"/>
      <c r="BS96" s="1340"/>
      <c r="BT96" s="1340"/>
      <c r="BU96" s="1326"/>
      <c r="BV96" s="260"/>
      <c r="BW96" s="1339"/>
      <c r="BX96" s="1340"/>
      <c r="BY96" s="1340"/>
      <c r="BZ96" s="1340"/>
      <c r="CA96" s="1326"/>
      <c r="CB96" s="1340"/>
      <c r="CC96" s="1339"/>
      <c r="CD96" s="1340"/>
      <c r="CE96" s="1340"/>
      <c r="CF96" s="1340"/>
      <c r="CG96" s="1326"/>
      <c r="CH96" s="447"/>
      <c r="CI96" s="1339"/>
      <c r="CJ96" s="1340"/>
      <c r="CK96" s="1340"/>
      <c r="CL96" s="1340"/>
      <c r="CM96" s="1326"/>
      <c r="CN96" s="447"/>
      <c r="CO96" s="447"/>
      <c r="CP96" s="447"/>
      <c r="CQ96" s="447"/>
      <c r="CR96" s="447"/>
      <c r="CS96" s="447"/>
      <c r="CT96" s="448"/>
      <c r="CU96" s="448"/>
      <c r="CV96" s="448"/>
      <c r="CW96" s="448"/>
      <c r="CX96" s="448"/>
      <c r="CY96" s="448"/>
      <c r="CZ96" s="448"/>
      <c r="DA96" s="448"/>
      <c r="DB96" s="448"/>
      <c r="DC96" s="448"/>
      <c r="DD96" s="448"/>
      <c r="DE96" s="448"/>
      <c r="DF96" s="448"/>
    </row>
    <row r="97" spans="1:110" hidden="1" outlineLevel="2">
      <c r="A97" s="1342" t="s">
        <v>189</v>
      </c>
      <c r="B97" s="260"/>
      <c r="C97" s="1323"/>
      <c r="D97" s="1324"/>
      <c r="E97" s="1324"/>
      <c r="F97" s="1324"/>
      <c r="G97" s="1325"/>
      <c r="H97" s="260"/>
      <c r="I97" s="1323"/>
      <c r="J97" s="1324"/>
      <c r="K97" s="1324"/>
      <c r="L97" s="1324"/>
      <c r="M97" s="1325"/>
      <c r="N97" s="260"/>
      <c r="O97" s="1323"/>
      <c r="P97" s="1324"/>
      <c r="Q97" s="1324"/>
      <c r="R97" s="1324"/>
      <c r="S97" s="1325"/>
      <c r="T97" s="260"/>
      <c r="U97" s="1339">
        <f t="shared" si="60"/>
        <v>91.800000000000011</v>
      </c>
      <c r="V97" s="1340">
        <f t="shared" si="60"/>
        <v>113.56</v>
      </c>
      <c r="W97" s="1340">
        <f t="shared" si="60"/>
        <v>108.46</v>
      </c>
      <c r="X97" s="1340">
        <f t="shared" si="60"/>
        <v>116.37</v>
      </c>
      <c r="Y97" s="1326">
        <f>SUM(U97:X97)</f>
        <v>430.19</v>
      </c>
      <c r="Z97" s="260"/>
      <c r="AA97" s="1339">
        <f t="shared" si="61"/>
        <v>117.16</v>
      </c>
      <c r="AB97" s="1340">
        <f t="shared" si="61"/>
        <v>153.12</v>
      </c>
      <c r="AC97" s="1340">
        <f t="shared" si="61"/>
        <v>140.43</v>
      </c>
      <c r="AD97" s="1338">
        <f t="shared" si="61"/>
        <v>146.01</v>
      </c>
      <c r="AE97" s="1338">
        <f>SUM(AA97:AD97)</f>
        <v>556.72</v>
      </c>
      <c r="AF97" s="260"/>
      <c r="AG97" s="1339">
        <f t="shared" si="62"/>
        <v>138.29999999999998</v>
      </c>
      <c r="AH97" s="1340">
        <f t="shared" si="62"/>
        <v>164.14999999999998</v>
      </c>
      <c r="AI97" s="1340">
        <f t="shared" si="62"/>
        <v>149.9</v>
      </c>
      <c r="AJ97" s="1338">
        <f t="shared" si="62"/>
        <v>155.73000000000002</v>
      </c>
      <c r="AK97" s="1326">
        <f>SUM(AG97:AJ97)</f>
        <v>608.07999999999993</v>
      </c>
      <c r="AL97" s="260"/>
      <c r="AM97" s="1339">
        <f t="shared" si="63"/>
        <v>157.66</v>
      </c>
      <c r="AN97" s="1340">
        <f t="shared" si="63"/>
        <v>176.41</v>
      </c>
      <c r="AO97" s="1340">
        <f t="shared" si="64"/>
        <v>191.76000000000002</v>
      </c>
      <c r="AP97" s="1338">
        <f t="shared" si="64"/>
        <v>192.32</v>
      </c>
      <c r="AQ97" s="1326">
        <f>SUM(AM97:AP97)</f>
        <v>718.15000000000009</v>
      </c>
      <c r="AR97" s="260"/>
      <c r="AS97" s="1339">
        <f t="shared" si="65"/>
        <v>165.48000000000002</v>
      </c>
      <c r="AT97" s="1340">
        <f t="shared" si="65"/>
        <v>173.1</v>
      </c>
      <c r="AU97" s="1340">
        <f t="shared" si="65"/>
        <v>165.76000000000002</v>
      </c>
      <c r="AV97" s="1340">
        <f t="shared" si="65"/>
        <v>195.84</v>
      </c>
      <c r="AW97" s="1326">
        <f>SUM(AS97:AV97)</f>
        <v>700.18000000000006</v>
      </c>
      <c r="AX97" s="260"/>
      <c r="AY97" s="1339"/>
      <c r="AZ97" s="1340"/>
      <c r="BA97" s="1340"/>
      <c r="BB97" s="1338"/>
      <c r="BC97" s="1338"/>
      <c r="BD97" s="260"/>
      <c r="BE97" s="1339"/>
      <c r="BF97" s="1340"/>
      <c r="BG97" s="1340"/>
      <c r="BH97" s="1340"/>
      <c r="BI97" s="1338"/>
      <c r="BJ97" s="260"/>
      <c r="BK97" s="1339"/>
      <c r="BL97" s="1340"/>
      <c r="BM97" s="1340"/>
      <c r="BN97" s="1340"/>
      <c r="BO97" s="1326"/>
      <c r="BP97" s="260"/>
      <c r="BQ97" s="1339"/>
      <c r="BR97" s="1340"/>
      <c r="BS97" s="1340"/>
      <c r="BT97" s="1340"/>
      <c r="BU97" s="1326"/>
      <c r="BV97" s="260"/>
      <c r="BW97" s="1339"/>
      <c r="BX97" s="1340"/>
      <c r="BY97" s="1340"/>
      <c r="BZ97" s="1340"/>
      <c r="CA97" s="1326"/>
      <c r="CB97" s="1340"/>
      <c r="CC97" s="1339"/>
      <c r="CD97" s="1340"/>
      <c r="CE97" s="1340"/>
      <c r="CF97" s="1340"/>
      <c r="CG97" s="1326"/>
      <c r="CH97" s="447"/>
      <c r="CI97" s="1339"/>
      <c r="CJ97" s="1340"/>
      <c r="CK97" s="1340"/>
      <c r="CL97" s="1340"/>
      <c r="CM97" s="1326"/>
      <c r="CN97" s="447"/>
      <c r="CO97" s="447"/>
      <c r="CP97" s="447"/>
      <c r="CQ97" s="447"/>
      <c r="CR97" s="447"/>
      <c r="CS97" s="447"/>
      <c r="CT97" s="448"/>
      <c r="CU97" s="448"/>
      <c r="CV97" s="448"/>
      <c r="CW97" s="448"/>
      <c r="CX97" s="448"/>
      <c r="CY97" s="448"/>
      <c r="CZ97" s="448"/>
      <c r="DA97" s="448"/>
      <c r="DB97" s="448"/>
      <c r="DC97" s="448"/>
      <c r="DD97" s="448"/>
      <c r="DE97" s="448"/>
      <c r="DF97" s="448"/>
    </row>
    <row r="98" spans="1:110" ht="15" hidden="1" outlineLevel="2">
      <c r="A98" s="1399" t="s">
        <v>168</v>
      </c>
      <c r="C98" s="1400">
        <f>SUM(C99:C101)</f>
        <v>455</v>
      </c>
      <c r="D98" s="1401">
        <f>SUM(D99:D101)</f>
        <v>428</v>
      </c>
      <c r="E98" s="1401">
        <f>SUM(E99:E101)</f>
        <v>468.99999999999994</v>
      </c>
      <c r="F98" s="1401">
        <f>SUM(F99:F101)</f>
        <v>524</v>
      </c>
      <c r="G98" s="1403">
        <f>SUM(C98:F98)</f>
        <v>1876</v>
      </c>
      <c r="H98" s="371"/>
      <c r="I98" s="1400">
        <f>SUM(I99:I101)</f>
        <v>531</v>
      </c>
      <c r="J98" s="1401">
        <f>SUM(J99:J101)</f>
        <v>530</v>
      </c>
      <c r="K98" s="1401">
        <f>SUM(K99:K101)</f>
        <v>540</v>
      </c>
      <c r="L98" s="1401">
        <f>SUM(L99:L101)</f>
        <v>594</v>
      </c>
      <c r="M98" s="1403">
        <f>SUM(I98:L98)</f>
        <v>2195</v>
      </c>
      <c r="N98" s="371"/>
      <c r="O98" s="1400">
        <f>SUM(O99:O101)</f>
        <v>525</v>
      </c>
      <c r="P98" s="1401">
        <f>SUM(P99:P101)</f>
        <v>498.00000000000011</v>
      </c>
      <c r="Q98" s="1401">
        <f>SUM(Q99:Q101)</f>
        <v>496</v>
      </c>
      <c r="R98" s="1401">
        <f>SUM(R99:R101)</f>
        <v>544</v>
      </c>
      <c r="S98" s="1403">
        <f>SUM(O98:R98)</f>
        <v>2063</v>
      </c>
      <c r="T98" s="371"/>
      <c r="U98" s="1400">
        <f>SUM(U90,U82)</f>
        <v>584</v>
      </c>
      <c r="V98" s="1401">
        <f>SUM(V90,V82)</f>
        <v>572</v>
      </c>
      <c r="W98" s="1401">
        <f>SUM(W90,W82)</f>
        <v>703</v>
      </c>
      <c r="X98" s="1401">
        <f>SUM(X90,X82)</f>
        <v>820</v>
      </c>
      <c r="Y98" s="1403">
        <f>SUM(Y90,Y82)</f>
        <v>2679</v>
      </c>
      <c r="Z98" s="371"/>
      <c r="AA98" s="1400">
        <f>SUM(AA90,AA82)</f>
        <v>753</v>
      </c>
      <c r="AB98" s="1401">
        <f>SUM(AB90,AB82)</f>
        <v>845</v>
      </c>
      <c r="AC98" s="1401">
        <f>SUM(AC90,AC82)</f>
        <v>836</v>
      </c>
      <c r="AD98" s="1401">
        <f>SUM(AD90,AD82)</f>
        <v>876</v>
      </c>
      <c r="AE98" s="1403">
        <f>SUM(AE90,AE82)</f>
        <v>3310</v>
      </c>
      <c r="AF98" s="371"/>
      <c r="AG98" s="1400">
        <f>SUM(AG90,AG82)</f>
        <v>857</v>
      </c>
      <c r="AH98" s="1401">
        <f>SUM(AH90,AH82)</f>
        <v>857</v>
      </c>
      <c r="AI98" s="1401">
        <f>SUM(AI90,AI82,AI86)</f>
        <v>878</v>
      </c>
      <c r="AJ98" s="1402">
        <f>SUM(AJ90,AJ82,AJ86)</f>
        <v>951</v>
      </c>
      <c r="AK98" s="1403">
        <f>SUM(AK90,AK82,AK86)</f>
        <v>3543</v>
      </c>
      <c r="AL98" s="371"/>
      <c r="AM98" s="1400">
        <f>SUM(AM90,AM82,AM86)</f>
        <v>958</v>
      </c>
      <c r="AN98" s="1401">
        <f>SUM(AN90,AN82,AN86)</f>
        <v>972</v>
      </c>
      <c r="AO98" s="1401">
        <f>AO90+AO94</f>
        <v>951</v>
      </c>
      <c r="AP98" s="1402">
        <f>AP90+AP94</f>
        <v>1013</v>
      </c>
      <c r="AQ98" s="1403">
        <f>AQ90+AQ94</f>
        <v>3894</v>
      </c>
      <c r="AR98" s="371"/>
      <c r="AS98" s="1400">
        <f>AS90+AS94</f>
        <v>1008</v>
      </c>
      <c r="AT98" s="1401">
        <f>AT90+AT94</f>
        <v>988</v>
      </c>
      <c r="AU98" s="1401">
        <f>AU90+AU94</f>
        <v>1009</v>
      </c>
      <c r="AV98" s="1401">
        <f>AV90+AV94</f>
        <v>1043</v>
      </c>
      <c r="AW98" s="1403">
        <f>AW90+AW94</f>
        <v>4048</v>
      </c>
      <c r="AX98" s="371"/>
      <c r="AY98" s="1400"/>
      <c r="AZ98" s="1401"/>
      <c r="BA98" s="1401"/>
      <c r="BB98" s="1402"/>
      <c r="BC98" s="1402"/>
      <c r="BD98" s="371"/>
      <c r="BE98" s="1400"/>
      <c r="BF98" s="1401"/>
      <c r="BG98" s="1401"/>
      <c r="BH98" s="1401"/>
      <c r="BI98" s="1402"/>
      <c r="BJ98" s="371"/>
      <c r="BK98" s="1400"/>
      <c r="BL98" s="1401"/>
      <c r="BM98" s="1401"/>
      <c r="BN98" s="1401"/>
      <c r="BO98" s="1403"/>
      <c r="BP98" s="371"/>
      <c r="BQ98" s="1400"/>
      <c r="BR98" s="1401"/>
      <c r="BS98" s="1401"/>
      <c r="BT98" s="1401"/>
      <c r="BU98" s="1403"/>
      <c r="BV98" s="371"/>
      <c r="BW98" s="1400"/>
      <c r="BX98" s="1401"/>
      <c r="BY98" s="1401"/>
      <c r="BZ98" s="1401"/>
      <c r="CA98" s="1403"/>
      <c r="CB98" s="1348"/>
      <c r="CC98" s="1400"/>
      <c r="CD98" s="1401"/>
      <c r="CE98" s="1401"/>
      <c r="CF98" s="1401"/>
      <c r="CG98" s="1403"/>
      <c r="CH98" s="430"/>
      <c r="CI98" s="1400"/>
      <c r="CJ98" s="1401"/>
      <c r="CK98" s="1401"/>
      <c r="CL98" s="1401"/>
      <c r="CM98" s="1403"/>
      <c r="CN98" s="430"/>
      <c r="CO98" s="430"/>
      <c r="CP98" s="430"/>
      <c r="CQ98" s="430"/>
      <c r="CR98" s="430"/>
      <c r="CS98" s="430"/>
      <c r="CT98" s="431"/>
      <c r="CU98" s="431"/>
      <c r="CV98" s="431"/>
      <c r="CW98" s="431"/>
      <c r="CX98" s="431"/>
      <c r="CY98" s="431"/>
      <c r="CZ98" s="431"/>
      <c r="DA98" s="431"/>
      <c r="DB98" s="431"/>
      <c r="DC98" s="431"/>
      <c r="DD98" s="431"/>
      <c r="DE98" s="431"/>
      <c r="DF98" s="431"/>
    </row>
    <row r="99" spans="1:110" outlineLevel="1" collapsed="1">
      <c r="A99" s="368" t="s">
        <v>187</v>
      </c>
      <c r="B99" s="260"/>
      <c r="C99" s="369">
        <f t="shared" ref="C99:F101" si="66">C$18*C122</f>
        <v>163.79999999999998</v>
      </c>
      <c r="D99" s="258">
        <f t="shared" si="66"/>
        <v>154.07999999999998</v>
      </c>
      <c r="E99" s="258">
        <f t="shared" si="66"/>
        <v>164.14999999999998</v>
      </c>
      <c r="F99" s="258">
        <f t="shared" si="66"/>
        <v>188.64</v>
      </c>
      <c r="G99" s="257">
        <f>SUM(C99:F99)</f>
        <v>670.67</v>
      </c>
      <c r="H99" s="260"/>
      <c r="I99" s="369">
        <f t="shared" ref="I99:L101" si="67">I$18*I122</f>
        <v>180.54000000000002</v>
      </c>
      <c r="J99" s="258">
        <f t="shared" si="67"/>
        <v>180.20000000000002</v>
      </c>
      <c r="K99" s="258">
        <f t="shared" si="67"/>
        <v>194.4</v>
      </c>
      <c r="L99" s="258">
        <f t="shared" si="67"/>
        <v>219.78</v>
      </c>
      <c r="M99" s="257">
        <f>SUM(I99:L99)</f>
        <v>774.92</v>
      </c>
      <c r="N99" s="260"/>
      <c r="O99" s="369">
        <f t="shared" ref="O99:R101" si="68">O$18*O122</f>
        <v>189</v>
      </c>
      <c r="P99" s="258">
        <f t="shared" si="68"/>
        <v>169.32000000000002</v>
      </c>
      <c r="Q99" s="258">
        <f t="shared" si="68"/>
        <v>173.6</v>
      </c>
      <c r="R99" s="258">
        <f t="shared" si="68"/>
        <v>195.84</v>
      </c>
      <c r="S99" s="257">
        <f>SUM(O99:R99)</f>
        <v>727.7600000000001</v>
      </c>
      <c r="T99" s="260"/>
      <c r="U99" s="369">
        <f t="shared" ref="U99:Y101" si="69">+U95+U91</f>
        <v>188.28</v>
      </c>
      <c r="V99" s="258">
        <f t="shared" si="69"/>
        <v>182.12</v>
      </c>
      <c r="W99" s="258">
        <f t="shared" si="69"/>
        <v>253.98000000000002</v>
      </c>
      <c r="X99" s="259">
        <f t="shared" si="69"/>
        <v>316.75</v>
      </c>
      <c r="Y99" s="257">
        <f t="shared" si="69"/>
        <v>941.13000000000011</v>
      </c>
      <c r="Z99" s="260"/>
      <c r="AA99" s="369">
        <f t="shared" ref="AA99:AE101" si="70">+AA95+AA91</f>
        <v>250.14</v>
      </c>
      <c r="AB99" s="258">
        <f t="shared" si="70"/>
        <v>282.17</v>
      </c>
      <c r="AC99" s="258">
        <f t="shared" si="70"/>
        <v>295.40000000000003</v>
      </c>
      <c r="AD99" s="259">
        <f t="shared" si="70"/>
        <v>299.82</v>
      </c>
      <c r="AE99" s="257">
        <f t="shared" si="70"/>
        <v>1127.5300000000002</v>
      </c>
      <c r="AF99" s="260"/>
      <c r="AG99" s="369">
        <f t="shared" ref="AG99:AK101" si="71">+AG95+AG91</f>
        <v>293.33</v>
      </c>
      <c r="AH99" s="258">
        <f t="shared" si="71"/>
        <v>276.66999999999996</v>
      </c>
      <c r="AI99" s="258">
        <f t="shared" si="71"/>
        <v>309.09000000000003</v>
      </c>
      <c r="AJ99" s="259">
        <f t="shared" si="71"/>
        <v>342.49</v>
      </c>
      <c r="AK99" s="257">
        <f t="shared" si="71"/>
        <v>1221.58</v>
      </c>
      <c r="AL99" s="260"/>
      <c r="AM99" s="369">
        <f t="shared" ref="AM99:AQ101" si="72">+AM95+AM91</f>
        <v>323.54999999999995</v>
      </c>
      <c r="AN99" s="258">
        <f t="shared" si="72"/>
        <v>327.52</v>
      </c>
      <c r="AO99" s="258">
        <f t="shared" si="72"/>
        <v>307.86</v>
      </c>
      <c r="AP99" s="259">
        <f t="shared" si="72"/>
        <v>338.07</v>
      </c>
      <c r="AQ99" s="257">
        <f t="shared" si="72"/>
        <v>1297</v>
      </c>
      <c r="AR99" s="260"/>
      <c r="AS99" s="369">
        <f t="shared" ref="AS99:AW101" si="73">+AS95+AS91</f>
        <v>331.95</v>
      </c>
      <c r="AT99" s="258">
        <f t="shared" si="73"/>
        <v>321.14</v>
      </c>
      <c r="AU99" s="258">
        <f t="shared" si="73"/>
        <v>348.31</v>
      </c>
      <c r="AV99" s="258">
        <f t="shared" si="73"/>
        <v>375.48</v>
      </c>
      <c r="AW99" s="257">
        <f t="shared" si="73"/>
        <v>1376.8799999999999</v>
      </c>
      <c r="AX99" s="260"/>
      <c r="AY99" s="369">
        <f t="shared" ref="AY99:AZ101" si="74">AY122*AY$18</f>
        <v>338.58000000000004</v>
      </c>
      <c r="AZ99" s="258">
        <f t="shared" si="74"/>
        <v>346.68</v>
      </c>
      <c r="BA99" s="1584">
        <v>366</v>
      </c>
      <c r="BB99" s="1584">
        <v>387</v>
      </c>
      <c r="BC99" s="257">
        <f>SUM(AY99:BB99)</f>
        <v>1438.26</v>
      </c>
      <c r="BD99" s="260"/>
      <c r="BE99" s="1583">
        <v>349</v>
      </c>
      <c r="BF99" s="1584">
        <v>350</v>
      </c>
      <c r="BG99" s="1584">
        <v>361</v>
      </c>
      <c r="BH99" s="1584">
        <v>396</v>
      </c>
      <c r="BI99" s="257">
        <f>SUM(BE99:BH99)</f>
        <v>1456</v>
      </c>
      <c r="BJ99" s="260"/>
      <c r="BK99" s="2143">
        <v>361</v>
      </c>
      <c r="BL99" s="1584">
        <v>375</v>
      </c>
      <c r="BM99" s="1584">
        <v>378</v>
      </c>
      <c r="BN99" s="1584">
        <v>418</v>
      </c>
      <c r="BO99" s="257"/>
      <c r="BP99" s="260"/>
      <c r="BQ99" s="2143">
        <v>393</v>
      </c>
      <c r="BR99" s="258"/>
      <c r="BS99" s="258"/>
      <c r="BT99" s="258"/>
      <c r="BU99" s="257"/>
      <c r="BV99" s="260"/>
      <c r="BW99" s="369"/>
      <c r="BX99" s="258"/>
      <c r="BY99" s="258"/>
      <c r="BZ99" s="258"/>
      <c r="CA99" s="257"/>
      <c r="CB99" s="258"/>
      <c r="CC99" s="369"/>
      <c r="CD99" s="258"/>
      <c r="CE99" s="258"/>
      <c r="CF99" s="258"/>
      <c r="CG99" s="257"/>
      <c r="CH99" s="447"/>
      <c r="CI99" s="369"/>
      <c r="CJ99" s="258"/>
      <c r="CK99" s="258"/>
      <c r="CL99" s="258"/>
      <c r="CM99" s="257"/>
      <c r="CN99" s="447"/>
      <c r="CO99" s="447"/>
      <c r="CP99" s="447"/>
      <c r="CQ99" s="447"/>
      <c r="CR99" s="447"/>
      <c r="CS99" s="447"/>
      <c r="CT99" s="448"/>
      <c r="CU99" s="448"/>
      <c r="CV99" s="448"/>
      <c r="CW99" s="448"/>
      <c r="CX99" s="448"/>
      <c r="CY99" s="448"/>
      <c r="CZ99" s="448"/>
      <c r="DA99" s="448"/>
      <c r="DB99" s="448"/>
      <c r="DC99" s="448"/>
      <c r="DD99" s="448"/>
      <c r="DE99" s="448"/>
      <c r="DF99" s="448"/>
    </row>
    <row r="100" spans="1:110" outlineLevel="1">
      <c r="A100" s="368" t="s">
        <v>188</v>
      </c>
      <c r="B100" s="260"/>
      <c r="C100" s="369">
        <f t="shared" si="66"/>
        <v>172.9</v>
      </c>
      <c r="D100" s="258">
        <f t="shared" si="66"/>
        <v>154.07999999999998</v>
      </c>
      <c r="E100" s="258">
        <f t="shared" si="66"/>
        <v>182.91</v>
      </c>
      <c r="F100" s="258">
        <f t="shared" si="66"/>
        <v>193.88</v>
      </c>
      <c r="G100" s="257">
        <f>SUM(C100:F100)</f>
        <v>703.77</v>
      </c>
      <c r="H100" s="260"/>
      <c r="I100" s="369">
        <f t="shared" si="67"/>
        <v>212.4</v>
      </c>
      <c r="J100" s="258">
        <f t="shared" si="67"/>
        <v>190.79999999999998</v>
      </c>
      <c r="K100" s="258">
        <f t="shared" si="67"/>
        <v>194.4</v>
      </c>
      <c r="L100" s="258">
        <f t="shared" si="67"/>
        <v>201.96</v>
      </c>
      <c r="M100" s="257">
        <f>SUM(I100:L100)</f>
        <v>799.56000000000006</v>
      </c>
      <c r="N100" s="260"/>
      <c r="O100" s="369">
        <f t="shared" si="68"/>
        <v>183.75</v>
      </c>
      <c r="P100" s="258">
        <f t="shared" si="68"/>
        <v>159.36000000000001</v>
      </c>
      <c r="Q100" s="258">
        <f t="shared" si="68"/>
        <v>153.76</v>
      </c>
      <c r="R100" s="258">
        <f t="shared" si="68"/>
        <v>179.52</v>
      </c>
      <c r="S100" s="257">
        <f>SUM(O100:R100)</f>
        <v>676.39</v>
      </c>
      <c r="T100" s="260"/>
      <c r="U100" s="369">
        <f t="shared" si="69"/>
        <v>208.76</v>
      </c>
      <c r="V100" s="258">
        <f t="shared" si="69"/>
        <v>166.84</v>
      </c>
      <c r="W100" s="258">
        <f t="shared" si="69"/>
        <v>228.7</v>
      </c>
      <c r="X100" s="259">
        <f t="shared" si="69"/>
        <v>262.40000000000003</v>
      </c>
      <c r="Y100" s="257">
        <f t="shared" si="69"/>
        <v>866.7</v>
      </c>
      <c r="Z100" s="260"/>
      <c r="AA100" s="369">
        <f t="shared" si="70"/>
        <v>260.06</v>
      </c>
      <c r="AB100" s="258">
        <f t="shared" si="70"/>
        <v>253.5</v>
      </c>
      <c r="AC100" s="258">
        <f t="shared" si="70"/>
        <v>246.97</v>
      </c>
      <c r="AD100" s="259">
        <f t="shared" si="70"/>
        <v>272.22000000000003</v>
      </c>
      <c r="AE100" s="257">
        <f t="shared" si="70"/>
        <v>1032.75</v>
      </c>
      <c r="AF100" s="260"/>
      <c r="AG100" s="369">
        <f t="shared" si="71"/>
        <v>270.93</v>
      </c>
      <c r="AH100" s="258">
        <f t="shared" si="71"/>
        <v>253.21999999999997</v>
      </c>
      <c r="AI100" s="258">
        <f t="shared" si="71"/>
        <v>266.61</v>
      </c>
      <c r="AJ100" s="259">
        <f t="shared" si="71"/>
        <v>295.18</v>
      </c>
      <c r="AK100" s="257">
        <f t="shared" si="71"/>
        <v>1085.94</v>
      </c>
      <c r="AL100" s="260"/>
      <c r="AM100" s="369">
        <f t="shared" si="72"/>
        <v>327.07</v>
      </c>
      <c r="AN100" s="258">
        <f t="shared" si="72"/>
        <v>299.65000000000003</v>
      </c>
      <c r="AO100" s="258">
        <f t="shared" si="72"/>
        <v>288.84000000000003</v>
      </c>
      <c r="AP100" s="259">
        <f t="shared" si="72"/>
        <v>317.81</v>
      </c>
      <c r="AQ100" s="257">
        <f t="shared" si="72"/>
        <v>1233.3699999999999</v>
      </c>
      <c r="AR100" s="260"/>
      <c r="AS100" s="369">
        <f t="shared" si="73"/>
        <v>356.28</v>
      </c>
      <c r="AT100" s="258">
        <f t="shared" si="73"/>
        <v>329.36</v>
      </c>
      <c r="AU100" s="258">
        <f t="shared" si="73"/>
        <v>323.95999999999998</v>
      </c>
      <c r="AV100" s="258">
        <f t="shared" si="73"/>
        <v>333.76</v>
      </c>
      <c r="AW100" s="257">
        <f t="shared" si="73"/>
        <v>1343.3600000000001</v>
      </c>
      <c r="AX100" s="260"/>
      <c r="AY100" s="369">
        <f t="shared" si="74"/>
        <v>359.09999999999997</v>
      </c>
      <c r="AZ100" s="258">
        <f t="shared" si="74"/>
        <v>298.52999999999997</v>
      </c>
      <c r="BA100" s="1584">
        <v>291</v>
      </c>
      <c r="BB100" s="1584">
        <v>302</v>
      </c>
      <c r="BC100" s="257">
        <f>SUM(AY100:BB100)</f>
        <v>1250.6299999999999</v>
      </c>
      <c r="BD100" s="260"/>
      <c r="BE100" s="1583">
        <v>327</v>
      </c>
      <c r="BF100" s="1584">
        <v>279</v>
      </c>
      <c r="BG100" s="1584">
        <v>292</v>
      </c>
      <c r="BH100" s="1584">
        <v>306</v>
      </c>
      <c r="BI100" s="257">
        <f>SUM(BE100:BH100)</f>
        <v>1204</v>
      </c>
      <c r="BJ100" s="260"/>
      <c r="BK100" s="2143">
        <v>321</v>
      </c>
      <c r="BL100" s="1584">
        <v>298</v>
      </c>
      <c r="BM100" s="1584">
        <v>326</v>
      </c>
      <c r="BN100" s="1584">
        <v>347</v>
      </c>
      <c r="BO100" s="257"/>
      <c r="BP100" s="260"/>
      <c r="BQ100" s="2143">
        <v>381</v>
      </c>
      <c r="BR100" s="258"/>
      <c r="BS100" s="258"/>
      <c r="BT100" s="258"/>
      <c r="BU100" s="257"/>
      <c r="BV100" s="260"/>
      <c r="BW100" s="369"/>
      <c r="BX100" s="258"/>
      <c r="BY100" s="258"/>
      <c r="BZ100" s="258"/>
      <c r="CA100" s="257"/>
      <c r="CB100" s="258"/>
      <c r="CC100" s="369"/>
      <c r="CD100" s="258"/>
      <c r="CE100" s="258"/>
      <c r="CF100" s="258"/>
      <c r="CG100" s="257"/>
      <c r="CH100" s="447"/>
      <c r="CI100" s="369"/>
      <c r="CJ100" s="258"/>
      <c r="CK100" s="258"/>
      <c r="CL100" s="258"/>
      <c r="CM100" s="257"/>
      <c r="CN100" s="447"/>
      <c r="CO100" s="447"/>
      <c r="CP100" s="447"/>
      <c r="CQ100" s="447"/>
      <c r="CR100" s="447"/>
      <c r="CS100" s="447"/>
      <c r="CT100" s="448"/>
      <c r="CU100" s="448"/>
      <c r="CV100" s="448"/>
      <c r="CW100" s="448"/>
      <c r="CX100" s="448"/>
      <c r="CY100" s="448"/>
      <c r="CZ100" s="448"/>
      <c r="DA100" s="448"/>
      <c r="DB100" s="448"/>
      <c r="DC100" s="448"/>
      <c r="DD100" s="448"/>
      <c r="DE100" s="448"/>
      <c r="DF100" s="448"/>
    </row>
    <row r="101" spans="1:110" outlineLevel="1">
      <c r="A101" s="368" t="s">
        <v>189</v>
      </c>
      <c r="B101" s="260"/>
      <c r="C101" s="369">
        <f t="shared" si="66"/>
        <v>118.3</v>
      </c>
      <c r="D101" s="451">
        <f t="shared" si="66"/>
        <v>119.84000000000002</v>
      </c>
      <c r="E101" s="451">
        <f t="shared" si="66"/>
        <v>121.94</v>
      </c>
      <c r="F101" s="451">
        <f t="shared" si="66"/>
        <v>141.48000000000002</v>
      </c>
      <c r="G101" s="452">
        <f>SUM(C101:F101)</f>
        <v>501.56000000000006</v>
      </c>
      <c r="H101" s="260"/>
      <c r="I101" s="369">
        <f t="shared" si="67"/>
        <v>138.06</v>
      </c>
      <c r="J101" s="451">
        <f t="shared" si="67"/>
        <v>159</v>
      </c>
      <c r="K101" s="451">
        <f t="shared" si="67"/>
        <v>151.20000000000002</v>
      </c>
      <c r="L101" s="451">
        <f t="shared" si="67"/>
        <v>172.26</v>
      </c>
      <c r="M101" s="452">
        <f>SUM(I101:L101)</f>
        <v>620.52</v>
      </c>
      <c r="N101" s="260"/>
      <c r="O101" s="369">
        <f t="shared" si="68"/>
        <v>152.25</v>
      </c>
      <c r="P101" s="451">
        <f t="shared" si="68"/>
        <v>169.32000000000002</v>
      </c>
      <c r="Q101" s="451">
        <f t="shared" si="68"/>
        <v>168.64000000000001</v>
      </c>
      <c r="R101" s="451">
        <f t="shared" si="68"/>
        <v>168.64</v>
      </c>
      <c r="S101" s="452">
        <f>SUM(O101:R101)</f>
        <v>658.85</v>
      </c>
      <c r="T101" s="260"/>
      <c r="U101" s="453">
        <f t="shared" si="69"/>
        <v>186.96</v>
      </c>
      <c r="V101" s="451">
        <f t="shared" si="69"/>
        <v>223.04000000000002</v>
      </c>
      <c r="W101" s="451">
        <f t="shared" si="69"/>
        <v>220.32</v>
      </c>
      <c r="X101" s="454">
        <f t="shared" si="69"/>
        <v>240.85000000000002</v>
      </c>
      <c r="Y101" s="452">
        <f t="shared" si="69"/>
        <v>871.17000000000007</v>
      </c>
      <c r="Z101" s="260"/>
      <c r="AA101" s="453">
        <f t="shared" si="70"/>
        <v>242.8</v>
      </c>
      <c r="AB101" s="451">
        <f t="shared" si="70"/>
        <v>309.33</v>
      </c>
      <c r="AC101" s="451">
        <f t="shared" si="70"/>
        <v>293.63</v>
      </c>
      <c r="AD101" s="454">
        <f t="shared" si="70"/>
        <v>303.96000000000004</v>
      </c>
      <c r="AE101" s="452">
        <f t="shared" si="70"/>
        <v>1149.72</v>
      </c>
      <c r="AF101" s="260"/>
      <c r="AG101" s="453">
        <f t="shared" si="71"/>
        <v>292.74</v>
      </c>
      <c r="AH101" s="451">
        <f t="shared" si="71"/>
        <v>327.11</v>
      </c>
      <c r="AI101" s="451">
        <f t="shared" si="71"/>
        <v>302.3</v>
      </c>
      <c r="AJ101" s="454">
        <f t="shared" si="71"/>
        <v>313.33000000000004</v>
      </c>
      <c r="AK101" s="452">
        <f t="shared" si="71"/>
        <v>1235.48</v>
      </c>
      <c r="AL101" s="260"/>
      <c r="AM101" s="453">
        <f t="shared" si="72"/>
        <v>307.38</v>
      </c>
      <c r="AN101" s="451">
        <f t="shared" si="72"/>
        <v>344.83</v>
      </c>
      <c r="AO101" s="451">
        <f t="shared" si="72"/>
        <v>354.3</v>
      </c>
      <c r="AP101" s="454">
        <f t="shared" si="72"/>
        <v>357.12</v>
      </c>
      <c r="AQ101" s="452">
        <f t="shared" si="72"/>
        <v>1363.63</v>
      </c>
      <c r="AR101" s="260"/>
      <c r="AS101" s="453">
        <f t="shared" si="73"/>
        <v>319.77</v>
      </c>
      <c r="AT101" s="451">
        <f t="shared" si="73"/>
        <v>337.5</v>
      </c>
      <c r="AU101" s="451">
        <f t="shared" si="73"/>
        <v>336.73</v>
      </c>
      <c r="AV101" s="451">
        <f t="shared" si="73"/>
        <v>333.76</v>
      </c>
      <c r="AW101" s="452">
        <f t="shared" si="73"/>
        <v>1327.76</v>
      </c>
      <c r="AX101" s="260"/>
      <c r="AY101" s="453">
        <f t="shared" si="74"/>
        <v>328.32</v>
      </c>
      <c r="AZ101" s="451">
        <f t="shared" si="74"/>
        <v>317.79000000000002</v>
      </c>
      <c r="BA101" s="2019">
        <v>357</v>
      </c>
      <c r="BB101" s="2019">
        <v>346</v>
      </c>
      <c r="BC101" s="257">
        <f>SUM(AY101:BB101)</f>
        <v>1349.1100000000001</v>
      </c>
      <c r="BD101" s="260"/>
      <c r="BE101" s="2018">
        <v>352</v>
      </c>
      <c r="BF101" s="2019">
        <v>390</v>
      </c>
      <c r="BG101" s="2019">
        <f>53+338</f>
        <v>391</v>
      </c>
      <c r="BH101" s="2019">
        <v>409</v>
      </c>
      <c r="BI101" s="257">
        <f>SUM(BE101:BH101)</f>
        <v>1542</v>
      </c>
      <c r="BJ101" s="260"/>
      <c r="BK101" s="2153">
        <v>385</v>
      </c>
      <c r="BL101" s="2019">
        <v>429</v>
      </c>
      <c r="BM101" s="2019">
        <v>410</v>
      </c>
      <c r="BN101" s="2019">
        <v>424</v>
      </c>
      <c r="BO101" s="452"/>
      <c r="BP101" s="260"/>
      <c r="BQ101" s="2153">
        <v>437</v>
      </c>
      <c r="BR101" s="451"/>
      <c r="BS101" s="451"/>
      <c r="BT101" s="451"/>
      <c r="BU101" s="452"/>
      <c r="BV101" s="260"/>
      <c r="BW101" s="453"/>
      <c r="BX101" s="451"/>
      <c r="BY101" s="451"/>
      <c r="BZ101" s="451"/>
      <c r="CA101" s="452"/>
      <c r="CB101" s="258"/>
      <c r="CC101" s="453"/>
      <c r="CD101" s="451"/>
      <c r="CE101" s="451"/>
      <c r="CF101" s="451"/>
      <c r="CG101" s="452"/>
      <c r="CH101" s="449"/>
      <c r="CI101" s="453"/>
      <c r="CJ101" s="451"/>
      <c r="CK101" s="451"/>
      <c r="CL101" s="451"/>
      <c r="CM101" s="452"/>
      <c r="CN101" s="449"/>
      <c r="CO101" s="449"/>
      <c r="CP101" s="449"/>
      <c r="CQ101" s="449"/>
      <c r="CR101" s="449"/>
      <c r="CS101" s="449"/>
      <c r="CT101" s="450"/>
      <c r="CU101" s="450"/>
      <c r="CV101" s="450"/>
      <c r="CW101" s="450"/>
      <c r="CX101" s="450"/>
      <c r="CY101" s="450"/>
      <c r="CZ101" s="450"/>
      <c r="DA101" s="450"/>
      <c r="DB101" s="450"/>
      <c r="DC101" s="450"/>
      <c r="DD101" s="450"/>
      <c r="DE101" s="450"/>
      <c r="DF101" s="450"/>
    </row>
    <row r="102" spans="1:110" ht="15" outlineLevel="1">
      <c r="A102" s="1410" t="s">
        <v>190</v>
      </c>
      <c r="C102" s="1411">
        <f>C$18-C98</f>
        <v>0</v>
      </c>
      <c r="D102" s="1412">
        <f>D$18-D98</f>
        <v>0</v>
      </c>
      <c r="E102" s="1412">
        <f>E$18-E98</f>
        <v>0</v>
      </c>
      <c r="F102" s="1412">
        <f>F$18-F98</f>
        <v>0</v>
      </c>
      <c r="G102" s="1413"/>
      <c r="H102" s="412"/>
      <c r="I102" s="1411">
        <f>I$18-I98</f>
        <v>0</v>
      </c>
      <c r="J102" s="1412">
        <f>J$18-J98</f>
        <v>0</v>
      </c>
      <c r="K102" s="1412">
        <f>K$18-K98</f>
        <v>0</v>
      </c>
      <c r="L102" s="1412">
        <f>L$18-L98</f>
        <v>0</v>
      </c>
      <c r="M102" s="1413"/>
      <c r="N102" s="412"/>
      <c r="O102" s="1411">
        <f>O$18-O98</f>
        <v>0</v>
      </c>
      <c r="P102" s="1412">
        <f>P$18-P98</f>
        <v>0</v>
      </c>
      <c r="Q102" s="1412">
        <f>Q$18-Q98</f>
        <v>0</v>
      </c>
      <c r="R102" s="1412">
        <f>R$18-R98</f>
        <v>0</v>
      </c>
      <c r="S102" s="1413"/>
      <c r="T102" s="412"/>
      <c r="U102" s="1414">
        <f>U$18-U98</f>
        <v>0</v>
      </c>
      <c r="V102" s="1412">
        <f>V$18-V98</f>
        <v>0</v>
      </c>
      <c r="W102" s="1412">
        <f>W$18-W98</f>
        <v>0</v>
      </c>
      <c r="X102" s="1415">
        <f>X$18-X98</f>
        <v>0</v>
      </c>
      <c r="Y102" s="1416">
        <f>Y$18-Y98</f>
        <v>0</v>
      </c>
      <c r="Z102" s="412"/>
      <c r="AA102" s="1414">
        <f>AA$18-AA98</f>
        <v>0</v>
      </c>
      <c r="AB102" s="1412">
        <f>AB$18-AB98</f>
        <v>0</v>
      </c>
      <c r="AC102" s="1412">
        <f>AC$18-AC98</f>
        <v>0</v>
      </c>
      <c r="AD102" s="1415">
        <f>AD$18-AD98</f>
        <v>0</v>
      </c>
      <c r="AE102" s="1416">
        <f>AE$18-AE98</f>
        <v>0</v>
      </c>
      <c r="AF102" s="412"/>
      <c r="AG102" s="1414">
        <f>AG$18-AG98</f>
        <v>0</v>
      </c>
      <c r="AH102" s="1412">
        <f>AH$18-AH98</f>
        <v>0</v>
      </c>
      <c r="AI102" s="1412">
        <f>AI$18-AI98</f>
        <v>0</v>
      </c>
      <c r="AJ102" s="1415">
        <f>AJ$18-AJ98</f>
        <v>0</v>
      </c>
      <c r="AK102" s="1416">
        <f>AK$18-AK98</f>
        <v>0</v>
      </c>
      <c r="AL102" s="412"/>
      <c r="AM102" s="1414">
        <f>AM$18-AM98</f>
        <v>0</v>
      </c>
      <c r="AN102" s="1412">
        <f>AN$18-AN98</f>
        <v>0</v>
      </c>
      <c r="AO102" s="1412">
        <f>AO$18-AO98</f>
        <v>0</v>
      </c>
      <c r="AP102" s="1415">
        <f>AP$18-AP98</f>
        <v>0</v>
      </c>
      <c r="AQ102" s="1416">
        <f>AQ$18-AQ98</f>
        <v>0</v>
      </c>
      <c r="AR102" s="412"/>
      <c r="AS102" s="1414">
        <f>AS$18-AS98</f>
        <v>0</v>
      </c>
      <c r="AT102" s="1412">
        <f>AT$18-AT98</f>
        <v>0</v>
      </c>
      <c r="AU102" s="1412">
        <f>AU$18-AU98</f>
        <v>0</v>
      </c>
      <c r="AV102" s="1415">
        <f>AV$18-AV98</f>
        <v>0</v>
      </c>
      <c r="AW102" s="1416">
        <f>AW$18-AW98</f>
        <v>0</v>
      </c>
      <c r="AX102" s="412"/>
      <c r="AY102" s="1414">
        <f>AY$18-SUM(AY99:AY101)</f>
        <v>0</v>
      </c>
      <c r="AZ102" s="1412">
        <f>AZ$18-SUM(AZ99:AZ101)</f>
        <v>0</v>
      </c>
      <c r="BA102" s="1412">
        <f>BA$18-SUM(BA99:BA101)</f>
        <v>0</v>
      </c>
      <c r="BB102" s="1415">
        <f>BB$18-SUM(BB99:BB101)</f>
        <v>0</v>
      </c>
      <c r="BC102" s="1988">
        <f>BC$18-SUM(BC99:BC101)</f>
        <v>0</v>
      </c>
      <c r="BD102" s="412"/>
      <c r="BE102" s="1414">
        <f>BE$18-SUM(BE99:BE101)</f>
        <v>0</v>
      </c>
      <c r="BF102" s="1412">
        <f>BF$18-SUM(BF99:BF101)</f>
        <v>0</v>
      </c>
      <c r="BG102" s="2022">
        <f>BG$18-SUM(BG99:BG101)</f>
        <v>0</v>
      </c>
      <c r="BH102" s="1412">
        <f>BH$18-SUM(BH99:BH101)</f>
        <v>0</v>
      </c>
      <c r="BI102" s="1988">
        <f>BI$18-SUM(BI99:BI101)</f>
        <v>0</v>
      </c>
      <c r="BJ102" s="412"/>
      <c r="BK102" s="1414">
        <f>BK$18-SUM(BK99:BK101)</f>
        <v>0</v>
      </c>
      <c r="BL102" s="1412">
        <f>BL$18-SUM(BL99:BL101)</f>
        <v>0</v>
      </c>
      <c r="BM102" s="1412">
        <f>BM$18-SUM(BM99:BM101)</f>
        <v>0</v>
      </c>
      <c r="BN102" s="1412">
        <f>BN$18-SUM(BN99:BN101)</f>
        <v>0</v>
      </c>
      <c r="BO102" s="1416"/>
      <c r="BP102" s="412"/>
      <c r="BQ102" s="1414">
        <f>BQ$18-SUM(BQ99:BQ101)</f>
        <v>0</v>
      </c>
      <c r="BR102" s="1412"/>
      <c r="BS102" s="1412"/>
      <c r="BT102" s="1412"/>
      <c r="BU102" s="1416"/>
      <c r="BV102" s="412"/>
      <c r="BW102" s="1414"/>
      <c r="BX102" s="1412"/>
      <c r="BY102" s="1412"/>
      <c r="BZ102" s="1412"/>
      <c r="CA102" s="1416"/>
      <c r="CB102" s="1387"/>
      <c r="CC102" s="1414"/>
      <c r="CD102" s="1412"/>
      <c r="CE102" s="1412"/>
      <c r="CF102" s="1412"/>
      <c r="CG102" s="1416"/>
      <c r="CH102" s="455"/>
      <c r="CI102" s="1414"/>
      <c r="CJ102" s="1412"/>
      <c r="CK102" s="1412"/>
      <c r="CL102" s="1412"/>
      <c r="CM102" s="1416"/>
      <c r="CN102" s="455"/>
      <c r="CO102" s="455"/>
      <c r="CP102" s="455"/>
      <c r="CQ102" s="455"/>
      <c r="CR102" s="455"/>
      <c r="CS102" s="455"/>
      <c r="CT102" s="456"/>
      <c r="CU102" s="456"/>
      <c r="CV102" s="456"/>
      <c r="CW102" s="456"/>
      <c r="CX102" s="456"/>
      <c r="CY102" s="456"/>
      <c r="CZ102" s="456"/>
      <c r="DA102" s="456"/>
      <c r="DB102" s="456"/>
      <c r="DC102" s="456"/>
      <c r="DD102" s="456"/>
      <c r="DE102" s="456"/>
      <c r="DF102" s="456"/>
    </row>
    <row r="103" spans="1:110" ht="6" customHeight="1">
      <c r="A103" s="246"/>
      <c r="C103" s="437"/>
      <c r="D103" s="437"/>
      <c r="E103" s="437"/>
      <c r="F103" s="437"/>
      <c r="G103" s="438"/>
      <c r="H103" s="298"/>
      <c r="I103" s="437"/>
      <c r="J103" s="437"/>
      <c r="K103" s="437"/>
      <c r="L103" s="437"/>
      <c r="M103" s="438"/>
      <c r="N103" s="298"/>
      <c r="O103" s="437"/>
      <c r="P103" s="437"/>
      <c r="Q103" s="437"/>
      <c r="R103" s="437"/>
      <c r="S103" s="438"/>
      <c r="T103" s="298"/>
      <c r="U103" s="437"/>
      <c r="V103" s="437"/>
      <c r="W103" s="437"/>
      <c r="X103" s="437"/>
      <c r="Y103" s="438"/>
      <c r="Z103" s="298"/>
      <c r="AA103" s="437"/>
      <c r="AB103" s="437"/>
      <c r="AC103" s="437"/>
      <c r="AD103" s="437"/>
      <c r="AE103" s="437"/>
      <c r="AF103" s="298"/>
      <c r="AG103" s="437"/>
      <c r="AH103" s="437"/>
      <c r="AI103" s="437"/>
      <c r="AJ103" s="437"/>
      <c r="AK103" s="437"/>
      <c r="AL103" s="298"/>
      <c r="AM103" s="437"/>
      <c r="AN103" s="437"/>
      <c r="AO103" s="437"/>
      <c r="AP103" s="437"/>
      <c r="AQ103" s="437"/>
      <c r="AR103" s="298"/>
      <c r="AS103" s="437"/>
      <c r="AT103" s="437"/>
      <c r="AU103" s="437"/>
      <c r="AV103" s="437"/>
      <c r="AW103" s="437"/>
      <c r="AX103" s="298"/>
      <c r="AY103" s="437"/>
      <c r="AZ103" s="437"/>
      <c r="BA103" s="437"/>
      <c r="BB103" s="437"/>
      <c r="BC103" s="437"/>
      <c r="BD103" s="298"/>
      <c r="BE103" s="437"/>
      <c r="BF103" s="437"/>
      <c r="BG103" s="437"/>
      <c r="BH103" s="437"/>
      <c r="BI103" s="437"/>
      <c r="BJ103" s="298"/>
      <c r="BK103" s="437"/>
      <c r="BL103" s="437"/>
      <c r="BM103" s="437"/>
      <c r="BN103" s="437"/>
      <c r="BO103" s="437"/>
      <c r="BP103" s="298"/>
      <c r="BQ103" s="437"/>
      <c r="BR103" s="437"/>
      <c r="BS103" s="437"/>
      <c r="BT103" s="437"/>
      <c r="BU103" s="437"/>
      <c r="BV103" s="298"/>
      <c r="BW103" s="437"/>
      <c r="BX103" s="437"/>
      <c r="BY103" s="437"/>
      <c r="BZ103" s="437"/>
      <c r="CA103" s="437"/>
      <c r="CB103" s="298"/>
      <c r="CC103" s="437"/>
      <c r="CD103" s="437"/>
      <c r="CE103" s="437"/>
      <c r="CF103" s="437"/>
      <c r="CG103" s="437"/>
      <c r="CH103" s="299"/>
      <c r="CI103" s="437"/>
      <c r="CJ103" s="437"/>
      <c r="CK103" s="437"/>
      <c r="CL103" s="437"/>
      <c r="CM103" s="437"/>
      <c r="CN103" s="299"/>
      <c r="CO103" s="299"/>
      <c r="CP103" s="299"/>
      <c r="CQ103" s="299"/>
      <c r="CR103" s="299"/>
      <c r="CS103" s="299"/>
    </row>
    <row r="104" spans="1:110">
      <c r="A104" s="2203" t="s">
        <v>191</v>
      </c>
      <c r="B104" s="2181"/>
      <c r="C104" s="2182"/>
      <c r="D104" s="2183"/>
      <c r="E104" s="2183"/>
      <c r="F104" s="2198"/>
      <c r="G104" s="2184"/>
      <c r="H104" s="2199"/>
      <c r="I104" s="2182"/>
      <c r="J104" s="2183"/>
      <c r="K104" s="2183"/>
      <c r="L104" s="2198"/>
      <c r="M104" s="2184"/>
      <c r="N104" s="2199"/>
      <c r="O104" s="2182"/>
      <c r="P104" s="2183"/>
      <c r="Q104" s="2183"/>
      <c r="R104" s="2198"/>
      <c r="S104" s="2184"/>
      <c r="T104" s="2199"/>
      <c r="U104" s="2182"/>
      <c r="V104" s="2183"/>
      <c r="W104" s="2183"/>
      <c r="X104" s="2198"/>
      <c r="Y104" s="2184"/>
      <c r="Z104" s="2199"/>
      <c r="AA104" s="2182"/>
      <c r="AB104" s="2183"/>
      <c r="AC104" s="2183"/>
      <c r="AD104" s="2198"/>
      <c r="AE104" s="2184"/>
      <c r="AF104" s="2199"/>
      <c r="AG104" s="2182"/>
      <c r="AH104" s="2183"/>
      <c r="AI104" s="2183"/>
      <c r="AJ104" s="2198"/>
      <c r="AK104" s="2184"/>
      <c r="AL104" s="2199"/>
      <c r="AM104" s="2182"/>
      <c r="AN104" s="2183"/>
      <c r="AO104" s="2183"/>
      <c r="AP104" s="2198"/>
      <c r="AQ104" s="2184"/>
      <c r="AR104" s="2199"/>
      <c r="AS104" s="2182"/>
      <c r="AT104" s="2183"/>
      <c r="AU104" s="2183"/>
      <c r="AV104" s="2198"/>
      <c r="AW104" s="2184"/>
      <c r="AX104" s="2199"/>
      <c r="AY104" s="2182"/>
      <c r="AZ104" s="2183"/>
      <c r="BA104" s="2183"/>
      <c r="BB104" s="2198"/>
      <c r="BC104" s="2184"/>
      <c r="BD104" s="2199"/>
      <c r="BE104" s="2182"/>
      <c r="BF104" s="2183"/>
      <c r="BG104" s="2183"/>
      <c r="BH104" s="2198"/>
      <c r="BI104" s="2184"/>
      <c r="BJ104" s="2199"/>
      <c r="BK104" s="2182"/>
      <c r="BL104" s="2183"/>
      <c r="BM104" s="2183"/>
      <c r="BN104" s="2198"/>
      <c r="BO104" s="2184"/>
      <c r="BP104" s="2199"/>
      <c r="BQ104" s="2182"/>
      <c r="BR104" s="2183"/>
      <c r="BS104" s="2183"/>
      <c r="BT104" s="2198"/>
      <c r="BU104" s="2184"/>
      <c r="BV104" s="2199"/>
      <c r="BW104" s="2182"/>
      <c r="BX104" s="2183"/>
      <c r="BY104" s="2183"/>
      <c r="BZ104" s="2198"/>
      <c r="CA104" s="2184"/>
      <c r="CB104" s="2108"/>
      <c r="CC104" s="30"/>
      <c r="CD104" s="28"/>
      <c r="CE104" s="28"/>
      <c r="CF104" s="361"/>
      <c r="CG104" s="360"/>
      <c r="CH104" s="149"/>
      <c r="CI104" s="30"/>
      <c r="CJ104" s="28"/>
      <c r="CK104" s="28"/>
      <c r="CL104" s="361"/>
      <c r="CM104" s="360"/>
      <c r="CN104" s="149"/>
      <c r="CO104" s="149"/>
      <c r="CP104" s="149"/>
      <c r="CQ104" s="149"/>
      <c r="CR104" s="149"/>
      <c r="CS104" s="149"/>
      <c r="CT104" s="149"/>
    </row>
    <row r="105" spans="1:110" ht="15" hidden="1" outlineLevel="2">
      <c r="A105" s="1417" t="s">
        <v>97</v>
      </c>
      <c r="C105" s="1418"/>
      <c r="D105" s="1419"/>
      <c r="E105" s="1419"/>
      <c r="F105" s="1420"/>
      <c r="G105" s="1421"/>
      <c r="H105" s="418"/>
      <c r="I105" s="1418"/>
      <c r="J105" s="1419"/>
      <c r="K105" s="1419"/>
      <c r="L105" s="1420"/>
      <c r="M105" s="1421"/>
      <c r="N105" s="418"/>
      <c r="O105" s="1418"/>
      <c r="P105" s="1419"/>
      <c r="Q105" s="1419"/>
      <c r="R105" s="1420"/>
      <c r="S105" s="1421"/>
      <c r="T105" s="418"/>
      <c r="U105" s="1422">
        <f>U82/U$98</f>
        <v>0.5821917808219178</v>
      </c>
      <c r="V105" s="1423">
        <f>V82/V$98</f>
        <v>0.58391608391608396</v>
      </c>
      <c r="W105" s="1423">
        <f>W82/W$98</f>
        <v>0.53200568990042674</v>
      </c>
      <c r="X105" s="1424">
        <f>X82/X$98</f>
        <v>0.525609756097561</v>
      </c>
      <c r="Y105" s="1425">
        <f>Y82/Y$98</f>
        <v>0.55207166853303469</v>
      </c>
      <c r="Z105" s="418"/>
      <c r="AA105" s="1426">
        <f>AA82/AA$98</f>
        <v>0.53652058432934924</v>
      </c>
      <c r="AB105" s="1427">
        <f>AB82/AB$98</f>
        <v>0.54911242603550292</v>
      </c>
      <c r="AC105" s="1427">
        <f>AC82/AC$98</f>
        <v>0.54186602870813405</v>
      </c>
      <c r="AD105" s="1425">
        <f>AD82/AD$98</f>
        <v>0.53767123287671237</v>
      </c>
      <c r="AE105" s="1425">
        <f>AE82/AE$98</f>
        <v>0.54138972809667685</v>
      </c>
      <c r="AF105" s="418"/>
      <c r="AG105" s="1426">
        <f>AG82/AG$98</f>
        <v>0.53792298716452747</v>
      </c>
      <c r="AH105" s="1427">
        <f>AH82/AH$98</f>
        <v>0.54725787631271872</v>
      </c>
      <c r="AI105" s="1427">
        <f>AI82/AI$98</f>
        <v>0.44533029612756264</v>
      </c>
      <c r="AJ105" s="1425">
        <f>AJ82/AJ$98</f>
        <v>0.4216614090431125</v>
      </c>
      <c r="AK105" s="1425">
        <f>AK82/AK$98</f>
        <v>0.48602878916172737</v>
      </c>
      <c r="AL105" s="418"/>
      <c r="AM105" s="1426">
        <f>AM82/AM$98</f>
        <v>0.41858037578288093</v>
      </c>
      <c r="AN105" s="1427">
        <f>AN82/AN$98</f>
        <v>0.41666666666666669</v>
      </c>
      <c r="AO105" s="1427"/>
      <c r="AP105" s="1425"/>
      <c r="AQ105" s="1437">
        <f>AQ82/AQ$98</f>
        <v>0</v>
      </c>
      <c r="AR105" s="418"/>
      <c r="AS105" s="1426"/>
      <c r="AT105" s="1427"/>
      <c r="AU105" s="1427"/>
      <c r="AV105" s="1425"/>
      <c r="AW105" s="1425"/>
      <c r="AX105" s="418"/>
      <c r="AY105" s="1426"/>
      <c r="AZ105" s="1427"/>
      <c r="BA105" s="1427"/>
      <c r="BB105" s="1425"/>
      <c r="BC105" s="1425"/>
      <c r="BD105" s="418"/>
      <c r="BE105" s="1426"/>
      <c r="BF105" s="1427"/>
      <c r="BG105" s="1427"/>
      <c r="BH105" s="1425"/>
      <c r="BI105" s="1425"/>
      <c r="BJ105" s="418"/>
      <c r="BK105" s="1426"/>
      <c r="BL105" s="1427"/>
      <c r="BM105" s="1427"/>
      <c r="BN105" s="1425"/>
      <c r="BO105" s="1425"/>
      <c r="BP105" s="418"/>
      <c r="BQ105" s="1426"/>
      <c r="BR105" s="1427"/>
      <c r="BS105" s="1427"/>
      <c r="BT105" s="1425"/>
      <c r="BU105" s="1425"/>
      <c r="BV105" s="418"/>
      <c r="BW105" s="1426"/>
      <c r="BX105" s="1427"/>
      <c r="BY105" s="1427"/>
      <c r="BZ105" s="1425"/>
      <c r="CA105" s="1425"/>
      <c r="CB105" s="1427"/>
      <c r="CC105" s="1426"/>
      <c r="CD105" s="1427"/>
      <c r="CE105" s="1427"/>
      <c r="CF105" s="1425"/>
      <c r="CG105" s="1425"/>
      <c r="CH105" s="457"/>
      <c r="CI105" s="1426"/>
      <c r="CJ105" s="1427"/>
      <c r="CK105" s="1427"/>
      <c r="CL105" s="1425"/>
      <c r="CM105" s="1425"/>
      <c r="CN105" s="457"/>
      <c r="CO105" s="457"/>
      <c r="CP105" s="457"/>
      <c r="CQ105" s="457"/>
      <c r="CR105" s="457"/>
      <c r="CS105" s="457"/>
      <c r="CT105" s="422"/>
      <c r="CU105" s="422"/>
      <c r="CV105" s="422"/>
      <c r="CW105" s="422"/>
      <c r="CX105" s="422"/>
      <c r="CY105" s="422"/>
      <c r="CZ105" s="422"/>
      <c r="DA105" s="422"/>
      <c r="DB105" s="422"/>
      <c r="DC105" s="422"/>
      <c r="DD105" s="422"/>
      <c r="DE105" s="422"/>
      <c r="DF105" s="422"/>
    </row>
    <row r="106" spans="1:110" ht="15" hidden="1" outlineLevel="2">
      <c r="A106" s="1428" t="s">
        <v>187</v>
      </c>
      <c r="C106" s="1429"/>
      <c r="D106" s="1430"/>
      <c r="E106" s="1430"/>
      <c r="F106" s="1431"/>
      <c r="G106" s="1432"/>
      <c r="H106" s="458"/>
      <c r="I106" s="1429"/>
      <c r="J106" s="1430"/>
      <c r="K106" s="1430"/>
      <c r="L106" s="1431"/>
      <c r="M106" s="1432"/>
      <c r="N106" s="458"/>
      <c r="O106" s="1429"/>
      <c r="P106" s="1430"/>
      <c r="Q106" s="1430"/>
      <c r="R106" s="1431"/>
      <c r="S106" s="1432"/>
      <c r="T106" s="458"/>
      <c r="U106" s="1633">
        <v>0.36</v>
      </c>
      <c r="V106" s="1634">
        <v>0.36</v>
      </c>
      <c r="W106" s="1634">
        <v>0.38</v>
      </c>
      <c r="X106" s="1635">
        <v>0.41</v>
      </c>
      <c r="Y106" s="1433">
        <f>Y83/Y$8</f>
        <v>0.45796900489396414</v>
      </c>
      <c r="Z106" s="458"/>
      <c r="AA106" s="1633">
        <v>0.36</v>
      </c>
      <c r="AB106" s="1634">
        <v>0.37</v>
      </c>
      <c r="AC106" s="1634">
        <v>0.39</v>
      </c>
      <c r="AD106" s="1635">
        <v>0.37</v>
      </c>
      <c r="AE106" s="1434">
        <f>AE83/AE$8</f>
        <v>0.440963696369637</v>
      </c>
      <c r="AF106" s="458"/>
      <c r="AG106" s="1633">
        <v>0.37</v>
      </c>
      <c r="AH106" s="1634">
        <v>0.35</v>
      </c>
      <c r="AI106" s="1634">
        <v>0.38</v>
      </c>
      <c r="AJ106" s="1635">
        <v>0.39</v>
      </c>
      <c r="AK106" s="1433">
        <f>AK83/AK$8</f>
        <v>0.40435524652338806</v>
      </c>
      <c r="AL106" s="458"/>
      <c r="AM106" s="1633">
        <v>0.36</v>
      </c>
      <c r="AN106" s="1634">
        <v>0.36</v>
      </c>
      <c r="AO106" s="1430"/>
      <c r="AP106" s="1431"/>
      <c r="AQ106" s="1433">
        <f>AQ83/AQ$8</f>
        <v>0</v>
      </c>
      <c r="AR106" s="458"/>
      <c r="AS106" s="1429"/>
      <c r="AT106" s="1435"/>
      <c r="AU106" s="1435"/>
      <c r="AV106" s="1434"/>
      <c r="AW106" s="1434"/>
      <c r="AX106" s="458"/>
      <c r="AY106" s="1436"/>
      <c r="AZ106" s="1435"/>
      <c r="BA106" s="1435"/>
      <c r="BB106" s="1434"/>
      <c r="BC106" s="1434"/>
      <c r="BD106" s="458"/>
      <c r="BE106" s="1436"/>
      <c r="BF106" s="1435"/>
      <c r="BG106" s="1435"/>
      <c r="BH106" s="1434"/>
      <c r="BI106" s="1434"/>
      <c r="BJ106" s="458"/>
      <c r="BK106" s="1436"/>
      <c r="BL106" s="1435"/>
      <c r="BM106" s="1435"/>
      <c r="BN106" s="1434"/>
      <c r="BO106" s="1434"/>
      <c r="BP106" s="458"/>
      <c r="BQ106" s="1436"/>
      <c r="BR106" s="1435"/>
      <c r="BS106" s="1435"/>
      <c r="BT106" s="1434"/>
      <c r="BU106" s="1434"/>
      <c r="BV106" s="458"/>
      <c r="BW106" s="1436"/>
      <c r="BX106" s="1435"/>
      <c r="BY106" s="1435"/>
      <c r="BZ106" s="1434"/>
      <c r="CA106" s="1434"/>
      <c r="CB106" s="1435"/>
      <c r="CC106" s="1436"/>
      <c r="CD106" s="1435"/>
      <c r="CE106" s="1435"/>
      <c r="CF106" s="1434"/>
      <c r="CG106" s="1434"/>
      <c r="CH106" s="457"/>
      <c r="CI106" s="1436"/>
      <c r="CJ106" s="1435"/>
      <c r="CK106" s="1435"/>
      <c r="CL106" s="1434"/>
      <c r="CM106" s="1434"/>
      <c r="CN106" s="457"/>
      <c r="CO106" s="457"/>
      <c r="CP106" s="457"/>
      <c r="CQ106" s="457"/>
      <c r="CR106" s="457"/>
      <c r="CS106" s="457"/>
      <c r="CT106" s="422"/>
      <c r="CU106" s="422"/>
      <c r="CV106" s="422"/>
      <c r="CW106" s="422"/>
      <c r="CX106" s="422"/>
      <c r="CY106" s="422"/>
      <c r="CZ106" s="422"/>
      <c r="DA106" s="422"/>
      <c r="DB106" s="422"/>
      <c r="DC106" s="422"/>
      <c r="DD106" s="422"/>
      <c r="DE106" s="422"/>
      <c r="DF106" s="422"/>
    </row>
    <row r="107" spans="1:110" ht="15" hidden="1" outlineLevel="2">
      <c r="A107" s="1428" t="s">
        <v>188</v>
      </c>
      <c r="C107" s="1429"/>
      <c r="D107" s="1430"/>
      <c r="E107" s="1430"/>
      <c r="F107" s="1431"/>
      <c r="G107" s="1432"/>
      <c r="H107" s="458"/>
      <c r="I107" s="1429"/>
      <c r="J107" s="1430"/>
      <c r="K107" s="1430"/>
      <c r="L107" s="1431"/>
      <c r="M107" s="1432"/>
      <c r="N107" s="458"/>
      <c r="O107" s="1429"/>
      <c r="P107" s="1430"/>
      <c r="Q107" s="1430"/>
      <c r="R107" s="1431"/>
      <c r="S107" s="1432"/>
      <c r="T107" s="458"/>
      <c r="U107" s="1633">
        <v>0.37</v>
      </c>
      <c r="V107" s="1634">
        <v>0.3</v>
      </c>
      <c r="W107" s="1634">
        <v>0.33</v>
      </c>
      <c r="X107" s="1635">
        <v>0.32</v>
      </c>
      <c r="Y107" s="1433">
        <f>Y84/Y$8</f>
        <v>0.39750407830342582</v>
      </c>
      <c r="Z107" s="458"/>
      <c r="AA107" s="1633">
        <v>0.35</v>
      </c>
      <c r="AB107" s="1634">
        <v>0.3</v>
      </c>
      <c r="AC107" s="1634">
        <v>0.3</v>
      </c>
      <c r="AD107" s="1635">
        <v>0.32</v>
      </c>
      <c r="AE107" s="1434">
        <f>AE84/AE$8</f>
        <v>0.37440264026402642</v>
      </c>
      <c r="AF107" s="458"/>
      <c r="AG107" s="1633">
        <v>0.33</v>
      </c>
      <c r="AH107" s="1634">
        <v>0.3</v>
      </c>
      <c r="AI107" s="1634">
        <v>0.28000000000000003</v>
      </c>
      <c r="AJ107" s="1635">
        <v>0.28000000000000003</v>
      </c>
      <c r="AK107" s="1433">
        <f>AK84/AK$8</f>
        <v>0.32527812895069536</v>
      </c>
      <c r="AL107" s="458"/>
      <c r="AM107" s="1633">
        <v>0.32</v>
      </c>
      <c r="AN107" s="1634">
        <v>0.27</v>
      </c>
      <c r="AO107" s="1430"/>
      <c r="AP107" s="1431"/>
      <c r="AQ107" s="1433">
        <f>AQ84/AQ$8</f>
        <v>0</v>
      </c>
      <c r="AR107" s="458"/>
      <c r="AS107" s="1429"/>
      <c r="AT107" s="1435"/>
      <c r="AU107" s="1435"/>
      <c r="AV107" s="1434"/>
      <c r="AW107" s="1434"/>
      <c r="AX107" s="458"/>
      <c r="AY107" s="1436"/>
      <c r="AZ107" s="1435"/>
      <c r="BA107" s="1435"/>
      <c r="BB107" s="1434"/>
      <c r="BC107" s="1434"/>
      <c r="BD107" s="458"/>
      <c r="BE107" s="1436"/>
      <c r="BF107" s="1435"/>
      <c r="BG107" s="1435"/>
      <c r="BH107" s="1434"/>
      <c r="BI107" s="1434"/>
      <c r="BJ107" s="458"/>
      <c r="BK107" s="1436"/>
      <c r="BL107" s="1435"/>
      <c r="BM107" s="1435"/>
      <c r="BN107" s="1434"/>
      <c r="BO107" s="1434"/>
      <c r="BP107" s="458"/>
      <c r="BQ107" s="1436"/>
      <c r="BR107" s="1435"/>
      <c r="BS107" s="1435"/>
      <c r="BT107" s="1434"/>
      <c r="BU107" s="1434"/>
      <c r="BV107" s="458"/>
      <c r="BW107" s="1436"/>
      <c r="BX107" s="1435"/>
      <c r="BY107" s="1435"/>
      <c r="BZ107" s="1434"/>
      <c r="CA107" s="1434"/>
      <c r="CB107" s="1435"/>
      <c r="CC107" s="1436"/>
      <c r="CD107" s="1435"/>
      <c r="CE107" s="1435"/>
      <c r="CF107" s="1434"/>
      <c r="CG107" s="1434"/>
      <c r="CH107" s="457"/>
      <c r="CI107" s="1436"/>
      <c r="CJ107" s="1435"/>
      <c r="CK107" s="1435"/>
      <c r="CL107" s="1434"/>
      <c r="CM107" s="1434"/>
      <c r="CN107" s="457"/>
      <c r="CO107" s="457"/>
      <c r="CP107" s="457"/>
      <c r="CQ107" s="457"/>
      <c r="CR107" s="457"/>
      <c r="CS107" s="457"/>
      <c r="CT107" s="422"/>
      <c r="CU107" s="422"/>
      <c r="CV107" s="422"/>
      <c r="CW107" s="422"/>
      <c r="CX107" s="422"/>
      <c r="CY107" s="422"/>
      <c r="CZ107" s="422"/>
      <c r="DA107" s="422"/>
      <c r="DB107" s="422"/>
      <c r="DC107" s="422"/>
      <c r="DD107" s="422"/>
      <c r="DE107" s="422"/>
      <c r="DF107" s="422"/>
    </row>
    <row r="108" spans="1:110" ht="15" hidden="1" outlineLevel="2">
      <c r="A108" s="1428" t="s">
        <v>189</v>
      </c>
      <c r="C108" s="1429"/>
      <c r="D108" s="1430"/>
      <c r="E108" s="1430"/>
      <c r="F108" s="1431"/>
      <c r="G108" s="1432"/>
      <c r="H108" s="458"/>
      <c r="I108" s="1429"/>
      <c r="J108" s="1430"/>
      <c r="K108" s="1430"/>
      <c r="L108" s="1431"/>
      <c r="M108" s="1432"/>
      <c r="N108" s="458"/>
      <c r="O108" s="1429"/>
      <c r="P108" s="1430"/>
      <c r="Q108" s="1430"/>
      <c r="R108" s="1431"/>
      <c r="S108" s="1432"/>
      <c r="T108" s="458"/>
      <c r="U108" s="1633">
        <v>0.27</v>
      </c>
      <c r="V108" s="1634">
        <v>0.34</v>
      </c>
      <c r="W108" s="1634">
        <v>0.28999999999999998</v>
      </c>
      <c r="X108" s="1635">
        <v>0.27</v>
      </c>
      <c r="Y108" s="1433">
        <f>Y85/Y$8</f>
        <v>0.35088907014681892</v>
      </c>
      <c r="Z108" s="458"/>
      <c r="AA108" s="1633">
        <v>0.28999999999999998</v>
      </c>
      <c r="AB108" s="1634">
        <v>0.33</v>
      </c>
      <c r="AC108" s="1634">
        <v>0.31</v>
      </c>
      <c r="AD108" s="1635">
        <v>0.31</v>
      </c>
      <c r="AE108" s="1434">
        <f>AE85/AE$8</f>
        <v>0.36747194719471948</v>
      </c>
      <c r="AF108" s="458"/>
      <c r="AG108" s="1633">
        <v>0.3</v>
      </c>
      <c r="AH108" s="1634">
        <v>0.35</v>
      </c>
      <c r="AI108" s="1634">
        <v>0.34</v>
      </c>
      <c r="AJ108" s="1635">
        <v>0.33</v>
      </c>
      <c r="AK108" s="1433">
        <f>AK85/AK$8</f>
        <v>0.35886219974715544</v>
      </c>
      <c r="AL108" s="458"/>
      <c r="AM108" s="1633">
        <v>0.32</v>
      </c>
      <c r="AN108" s="1634">
        <v>0.37</v>
      </c>
      <c r="AO108" s="1430"/>
      <c r="AP108" s="1431"/>
      <c r="AQ108" s="1433">
        <f>AQ85/AQ$8</f>
        <v>0</v>
      </c>
      <c r="AR108" s="458"/>
      <c r="AS108" s="1429"/>
      <c r="AT108" s="1435"/>
      <c r="AU108" s="1435"/>
      <c r="AV108" s="1434"/>
      <c r="AW108" s="1434"/>
      <c r="AX108" s="458"/>
      <c r="AY108" s="1436"/>
      <c r="AZ108" s="1435"/>
      <c r="BA108" s="1435"/>
      <c r="BB108" s="1434"/>
      <c r="BC108" s="1434"/>
      <c r="BD108" s="458"/>
      <c r="BE108" s="1436"/>
      <c r="BF108" s="1435"/>
      <c r="BG108" s="1435"/>
      <c r="BH108" s="1434"/>
      <c r="BI108" s="1434"/>
      <c r="BJ108" s="458"/>
      <c r="BK108" s="1436"/>
      <c r="BL108" s="1435"/>
      <c r="BM108" s="1435"/>
      <c r="BN108" s="1434"/>
      <c r="BO108" s="1434"/>
      <c r="BP108" s="458"/>
      <c r="BQ108" s="1436"/>
      <c r="BR108" s="1435"/>
      <c r="BS108" s="1435"/>
      <c r="BT108" s="1434"/>
      <c r="BU108" s="1434"/>
      <c r="BV108" s="458"/>
      <c r="BW108" s="1436"/>
      <c r="BX108" s="1435"/>
      <c r="BY108" s="1435"/>
      <c r="BZ108" s="1434"/>
      <c r="CA108" s="1434"/>
      <c r="CB108" s="1435"/>
      <c r="CC108" s="1436"/>
      <c r="CD108" s="1435"/>
      <c r="CE108" s="1435"/>
      <c r="CF108" s="1434"/>
      <c r="CG108" s="1434"/>
      <c r="CH108" s="457"/>
      <c r="CI108" s="1436"/>
      <c r="CJ108" s="1435"/>
      <c r="CK108" s="1435"/>
      <c r="CL108" s="1434"/>
      <c r="CM108" s="1434"/>
      <c r="CN108" s="457"/>
      <c r="CO108" s="457"/>
      <c r="CP108" s="457"/>
      <c r="CQ108" s="457"/>
      <c r="CR108" s="457"/>
      <c r="CS108" s="457"/>
      <c r="CT108" s="422"/>
      <c r="CU108" s="422"/>
      <c r="CV108" s="422"/>
      <c r="CW108" s="422"/>
      <c r="CX108" s="422"/>
      <c r="CY108" s="422"/>
      <c r="CZ108" s="422"/>
      <c r="DA108" s="422"/>
      <c r="DB108" s="422"/>
      <c r="DC108" s="422"/>
      <c r="DD108" s="422"/>
      <c r="DE108" s="422"/>
      <c r="DF108" s="422"/>
    </row>
    <row r="109" spans="1:110" ht="15" hidden="1" outlineLevel="2">
      <c r="A109" s="1417" t="s">
        <v>99</v>
      </c>
      <c r="C109" s="1426"/>
      <c r="D109" s="1427"/>
      <c r="E109" s="1427"/>
      <c r="F109" s="1425"/>
      <c r="G109" s="1437"/>
      <c r="H109" s="418"/>
      <c r="I109" s="1426"/>
      <c r="J109" s="1427"/>
      <c r="K109" s="1427"/>
      <c r="L109" s="1425"/>
      <c r="M109" s="1437"/>
      <c r="N109" s="418"/>
      <c r="O109" s="1426"/>
      <c r="P109" s="1427"/>
      <c r="Q109" s="1427"/>
      <c r="R109" s="1425"/>
      <c r="S109" s="1437"/>
      <c r="T109" s="418"/>
      <c r="U109" s="1426"/>
      <c r="V109" s="1427"/>
      <c r="W109" s="1427"/>
      <c r="X109" s="1425"/>
      <c r="Y109" s="1437"/>
      <c r="Z109" s="418"/>
      <c r="AA109" s="1426"/>
      <c r="AB109" s="1427"/>
      <c r="AC109" s="1427"/>
      <c r="AD109" s="1425"/>
      <c r="AE109" s="1425"/>
      <c r="AF109" s="418"/>
      <c r="AG109" s="1426"/>
      <c r="AH109" s="1427"/>
      <c r="AI109" s="1427">
        <f>AI86/AI$98</f>
        <v>0.12072892938496584</v>
      </c>
      <c r="AJ109" s="1425">
        <f>AJ86/AJ$98</f>
        <v>0.16403785488958991</v>
      </c>
      <c r="AK109" s="1425">
        <f>AK86/AK$98</f>
        <v>7.3948631103584531E-2</v>
      </c>
      <c r="AL109" s="418"/>
      <c r="AM109" s="1426">
        <f>AM86/AM$98</f>
        <v>0.17014613778705637</v>
      </c>
      <c r="AN109" s="1427">
        <f>AN86/AN$98</f>
        <v>0.17078189300411523</v>
      </c>
      <c r="AO109" s="1427"/>
      <c r="AP109" s="1425"/>
      <c r="AQ109" s="1437">
        <f>AQ86/AQ$98</f>
        <v>0</v>
      </c>
      <c r="AR109" s="418"/>
      <c r="AS109" s="1426"/>
      <c r="AT109" s="1427"/>
      <c r="AU109" s="1427"/>
      <c r="AV109" s="1425"/>
      <c r="AW109" s="1425"/>
      <c r="AX109" s="418"/>
      <c r="AY109" s="1426"/>
      <c r="AZ109" s="1427"/>
      <c r="BA109" s="1427"/>
      <c r="BB109" s="1425"/>
      <c r="BC109" s="1425"/>
      <c r="BD109" s="418"/>
      <c r="BE109" s="1426"/>
      <c r="BF109" s="1427"/>
      <c r="BG109" s="1427"/>
      <c r="BH109" s="1425"/>
      <c r="BI109" s="1425"/>
      <c r="BJ109" s="418"/>
      <c r="BK109" s="1426"/>
      <c r="BL109" s="1427"/>
      <c r="BM109" s="1427"/>
      <c r="BN109" s="1425"/>
      <c r="BO109" s="1425"/>
      <c r="BP109" s="418"/>
      <c r="BQ109" s="1426"/>
      <c r="BR109" s="1427"/>
      <c r="BS109" s="1427"/>
      <c r="BT109" s="1425"/>
      <c r="BU109" s="1425"/>
      <c r="BV109" s="418"/>
      <c r="BW109" s="1426"/>
      <c r="BX109" s="1427"/>
      <c r="BY109" s="1427"/>
      <c r="BZ109" s="1425"/>
      <c r="CA109" s="1425"/>
      <c r="CB109" s="1427"/>
      <c r="CC109" s="1426"/>
      <c r="CD109" s="1427"/>
      <c r="CE109" s="1427"/>
      <c r="CF109" s="1425"/>
      <c r="CG109" s="1425"/>
      <c r="CH109" s="457"/>
      <c r="CI109" s="1426"/>
      <c r="CJ109" s="1427"/>
      <c r="CK109" s="1427"/>
      <c r="CL109" s="1425"/>
      <c r="CM109" s="1425"/>
      <c r="CN109" s="457"/>
      <c r="CO109" s="457"/>
      <c r="CP109" s="457"/>
      <c r="CQ109" s="457"/>
      <c r="CR109" s="457"/>
      <c r="CS109" s="457"/>
      <c r="CT109" s="422"/>
      <c r="CU109" s="422"/>
      <c r="CV109" s="422"/>
      <c r="CW109" s="422"/>
      <c r="CX109" s="422"/>
      <c r="CY109" s="422"/>
      <c r="CZ109" s="422"/>
      <c r="DA109" s="422"/>
      <c r="DB109" s="422"/>
      <c r="DC109" s="422"/>
      <c r="DD109" s="422"/>
      <c r="DE109" s="422"/>
      <c r="DF109" s="422"/>
    </row>
    <row r="110" spans="1:110" ht="15" hidden="1" outlineLevel="2">
      <c r="A110" s="1428" t="s">
        <v>187</v>
      </c>
      <c r="C110" s="1429"/>
      <c r="D110" s="1430"/>
      <c r="E110" s="1430"/>
      <c r="F110" s="1431"/>
      <c r="G110" s="1432"/>
      <c r="H110" s="458"/>
      <c r="I110" s="1429"/>
      <c r="J110" s="1430"/>
      <c r="K110" s="1430"/>
      <c r="L110" s="1431"/>
      <c r="M110" s="1432"/>
      <c r="N110" s="458"/>
      <c r="O110" s="1429"/>
      <c r="P110" s="1430"/>
      <c r="Q110" s="1430"/>
      <c r="R110" s="1431"/>
      <c r="S110" s="1432"/>
      <c r="T110" s="458"/>
      <c r="U110" s="1429"/>
      <c r="V110" s="1430"/>
      <c r="W110" s="1430"/>
      <c r="X110" s="1431"/>
      <c r="Y110" s="1433"/>
      <c r="Z110" s="458"/>
      <c r="AA110" s="1429"/>
      <c r="AB110" s="1430"/>
      <c r="AC110" s="1430"/>
      <c r="AD110" s="1431"/>
      <c r="AE110" s="1434"/>
      <c r="AF110" s="458"/>
      <c r="AG110" s="1429"/>
      <c r="AH110" s="1430"/>
      <c r="AI110" s="1634">
        <v>0.4</v>
      </c>
      <c r="AJ110" s="1635">
        <v>0.41</v>
      </c>
      <c r="AK110" s="1434"/>
      <c r="AL110" s="458"/>
      <c r="AM110" s="1633">
        <v>0.35</v>
      </c>
      <c r="AN110" s="1634">
        <v>0.37</v>
      </c>
      <c r="AO110" s="1430"/>
      <c r="AP110" s="1431"/>
      <c r="AQ110" s="1433">
        <f>AQ87/AQ$9</f>
        <v>0</v>
      </c>
      <c r="AR110" s="458"/>
      <c r="AS110" s="1429"/>
      <c r="AT110" s="1430"/>
      <c r="AU110" s="1435"/>
      <c r="AV110" s="1434"/>
      <c r="AW110" s="1434"/>
      <c r="AX110" s="458"/>
      <c r="AY110" s="1436"/>
      <c r="AZ110" s="1435"/>
      <c r="BA110" s="1435"/>
      <c r="BB110" s="1434"/>
      <c r="BC110" s="1434"/>
      <c r="BD110" s="458"/>
      <c r="BE110" s="1436"/>
      <c r="BF110" s="1435"/>
      <c r="BG110" s="1435"/>
      <c r="BH110" s="1434"/>
      <c r="BI110" s="1434"/>
      <c r="BJ110" s="458"/>
      <c r="BK110" s="1436"/>
      <c r="BL110" s="1435"/>
      <c r="BM110" s="1435"/>
      <c r="BN110" s="1434"/>
      <c r="BO110" s="1434"/>
      <c r="BP110" s="458"/>
      <c r="BQ110" s="1436"/>
      <c r="BR110" s="1435"/>
      <c r="BS110" s="1435"/>
      <c r="BT110" s="1434"/>
      <c r="BU110" s="1434"/>
      <c r="BV110" s="458"/>
      <c r="BW110" s="1436"/>
      <c r="BX110" s="1435"/>
      <c r="BY110" s="1435"/>
      <c r="BZ110" s="1434"/>
      <c r="CA110" s="1434"/>
      <c r="CB110" s="1435"/>
      <c r="CC110" s="1436"/>
      <c r="CD110" s="1435"/>
      <c r="CE110" s="1435"/>
      <c r="CF110" s="1434"/>
      <c r="CG110" s="1434"/>
      <c r="CH110" s="457"/>
      <c r="CI110" s="1436"/>
      <c r="CJ110" s="1435"/>
      <c r="CK110" s="1435"/>
      <c r="CL110" s="1434"/>
      <c r="CM110" s="1434"/>
      <c r="CN110" s="457"/>
      <c r="CO110" s="457"/>
      <c r="CP110" s="457"/>
      <c r="CQ110" s="457"/>
      <c r="CR110" s="457"/>
      <c r="CS110" s="457"/>
      <c r="CT110" s="422"/>
      <c r="CU110" s="422"/>
      <c r="CV110" s="422"/>
      <c r="CW110" s="422"/>
      <c r="CX110" s="422"/>
      <c r="CY110" s="422"/>
      <c r="CZ110" s="422"/>
      <c r="DA110" s="422"/>
      <c r="DB110" s="422"/>
      <c r="DC110" s="422"/>
      <c r="DD110" s="422"/>
      <c r="DE110" s="422"/>
      <c r="DF110" s="422"/>
    </row>
    <row r="111" spans="1:110" ht="15" hidden="1" outlineLevel="2">
      <c r="A111" s="1428" t="s">
        <v>188</v>
      </c>
      <c r="C111" s="1429"/>
      <c r="D111" s="1430"/>
      <c r="E111" s="1430"/>
      <c r="F111" s="1431"/>
      <c r="G111" s="1432"/>
      <c r="H111" s="458"/>
      <c r="I111" s="1429"/>
      <c r="J111" s="1430"/>
      <c r="K111" s="1430"/>
      <c r="L111" s="1431"/>
      <c r="M111" s="1432"/>
      <c r="N111" s="458"/>
      <c r="O111" s="1429"/>
      <c r="P111" s="1430"/>
      <c r="Q111" s="1430"/>
      <c r="R111" s="1431"/>
      <c r="S111" s="1432"/>
      <c r="T111" s="458"/>
      <c r="U111" s="1429"/>
      <c r="V111" s="1430"/>
      <c r="W111" s="1430"/>
      <c r="X111" s="1431"/>
      <c r="Y111" s="1433"/>
      <c r="Z111" s="458"/>
      <c r="AA111" s="1429"/>
      <c r="AB111" s="1430"/>
      <c r="AC111" s="1430"/>
      <c r="AD111" s="1431"/>
      <c r="AE111" s="1434"/>
      <c r="AF111" s="458"/>
      <c r="AG111" s="1429"/>
      <c r="AH111" s="1430"/>
      <c r="AI111" s="1634">
        <v>0.44</v>
      </c>
      <c r="AJ111" s="1635">
        <v>0.44</v>
      </c>
      <c r="AK111" s="1434"/>
      <c r="AL111" s="458"/>
      <c r="AM111" s="1633">
        <v>0.47</v>
      </c>
      <c r="AN111" s="1634">
        <v>0.47</v>
      </c>
      <c r="AO111" s="1430"/>
      <c r="AP111" s="1431"/>
      <c r="AQ111" s="1433">
        <f>AQ88/AQ$9</f>
        <v>0</v>
      </c>
      <c r="AR111" s="458"/>
      <c r="AS111" s="1429"/>
      <c r="AT111" s="1430"/>
      <c r="AU111" s="1435"/>
      <c r="AV111" s="1434"/>
      <c r="AW111" s="1434"/>
      <c r="AX111" s="458"/>
      <c r="AY111" s="1436"/>
      <c r="AZ111" s="1435"/>
      <c r="BA111" s="1435"/>
      <c r="BB111" s="1434"/>
      <c r="BC111" s="1434"/>
      <c r="BD111" s="458"/>
      <c r="BE111" s="1436"/>
      <c r="BF111" s="1435"/>
      <c r="BG111" s="1435"/>
      <c r="BH111" s="1434"/>
      <c r="BI111" s="1434"/>
      <c r="BJ111" s="458"/>
      <c r="BK111" s="1436"/>
      <c r="BL111" s="1435"/>
      <c r="BM111" s="1435"/>
      <c r="BN111" s="1434"/>
      <c r="BO111" s="1434"/>
      <c r="BP111" s="458"/>
      <c r="BQ111" s="1436"/>
      <c r="BR111" s="1435"/>
      <c r="BS111" s="1435"/>
      <c r="BT111" s="1434"/>
      <c r="BU111" s="1434"/>
      <c r="BV111" s="458"/>
      <c r="BW111" s="1436"/>
      <c r="BX111" s="1435"/>
      <c r="BY111" s="1435"/>
      <c r="BZ111" s="1434"/>
      <c r="CA111" s="1434"/>
      <c r="CB111" s="1435"/>
      <c r="CC111" s="1436"/>
      <c r="CD111" s="1435"/>
      <c r="CE111" s="1435"/>
      <c r="CF111" s="1434"/>
      <c r="CG111" s="1434"/>
      <c r="CH111" s="457"/>
      <c r="CI111" s="1436"/>
      <c r="CJ111" s="1435"/>
      <c r="CK111" s="1435"/>
      <c r="CL111" s="1434"/>
      <c r="CM111" s="1434"/>
      <c r="CN111" s="457"/>
      <c r="CO111" s="457"/>
      <c r="CP111" s="457"/>
      <c r="CQ111" s="457"/>
      <c r="CR111" s="457"/>
      <c r="CS111" s="457"/>
      <c r="CT111" s="422"/>
      <c r="CU111" s="422"/>
      <c r="CV111" s="422"/>
      <c r="CW111" s="422"/>
      <c r="CX111" s="422"/>
      <c r="CY111" s="422"/>
      <c r="CZ111" s="422"/>
      <c r="DA111" s="422"/>
      <c r="DB111" s="422"/>
      <c r="DC111" s="422"/>
      <c r="DD111" s="422"/>
      <c r="DE111" s="422"/>
      <c r="DF111" s="422"/>
    </row>
    <row r="112" spans="1:110" ht="15" hidden="1" outlineLevel="2">
      <c r="A112" s="1428" t="s">
        <v>189</v>
      </c>
      <c r="C112" s="1429"/>
      <c r="D112" s="1430"/>
      <c r="E112" s="1430"/>
      <c r="F112" s="1431"/>
      <c r="G112" s="1432"/>
      <c r="H112" s="458"/>
      <c r="I112" s="1429"/>
      <c r="J112" s="1430"/>
      <c r="K112" s="1430"/>
      <c r="L112" s="1431"/>
      <c r="M112" s="1432"/>
      <c r="N112" s="458"/>
      <c r="O112" s="1429"/>
      <c r="P112" s="1430"/>
      <c r="Q112" s="1430"/>
      <c r="R112" s="1431"/>
      <c r="S112" s="1432"/>
      <c r="T112" s="458"/>
      <c r="U112" s="1429"/>
      <c r="V112" s="1430"/>
      <c r="W112" s="1430"/>
      <c r="X112" s="1431"/>
      <c r="Y112" s="1433"/>
      <c r="Z112" s="458"/>
      <c r="AA112" s="1429"/>
      <c r="AB112" s="1430"/>
      <c r="AC112" s="1430"/>
      <c r="AD112" s="1431"/>
      <c r="AE112" s="1434"/>
      <c r="AF112" s="458"/>
      <c r="AG112" s="1429"/>
      <c r="AH112" s="1430"/>
      <c r="AI112" s="1634">
        <v>0.16</v>
      </c>
      <c r="AJ112" s="1635">
        <v>0.15</v>
      </c>
      <c r="AK112" s="1434"/>
      <c r="AL112" s="458"/>
      <c r="AM112" s="1633">
        <v>0.18</v>
      </c>
      <c r="AN112" s="1634">
        <v>0.16</v>
      </c>
      <c r="AO112" s="1430"/>
      <c r="AP112" s="1431"/>
      <c r="AQ112" s="1433">
        <f>AQ89/AQ$9</f>
        <v>0</v>
      </c>
      <c r="AR112" s="458"/>
      <c r="AS112" s="1429"/>
      <c r="AT112" s="1430"/>
      <c r="AU112" s="1435"/>
      <c r="AV112" s="1434"/>
      <c r="AW112" s="1434"/>
      <c r="AX112" s="458"/>
      <c r="AY112" s="1436"/>
      <c r="AZ112" s="1435"/>
      <c r="BA112" s="1435"/>
      <c r="BB112" s="1434"/>
      <c r="BC112" s="1434"/>
      <c r="BD112" s="458"/>
      <c r="BE112" s="1436"/>
      <c r="BF112" s="1435"/>
      <c r="BG112" s="1435"/>
      <c r="BH112" s="1434"/>
      <c r="BI112" s="1434"/>
      <c r="BJ112" s="458"/>
      <c r="BK112" s="1436"/>
      <c r="BL112" s="1435"/>
      <c r="BM112" s="1435"/>
      <c r="BN112" s="1434"/>
      <c r="BO112" s="1434"/>
      <c r="BP112" s="458"/>
      <c r="BQ112" s="1436"/>
      <c r="BR112" s="1435"/>
      <c r="BS112" s="1435"/>
      <c r="BT112" s="1434"/>
      <c r="BU112" s="1434"/>
      <c r="BV112" s="458"/>
      <c r="BW112" s="1436"/>
      <c r="BX112" s="1435"/>
      <c r="BY112" s="1435"/>
      <c r="BZ112" s="1434"/>
      <c r="CA112" s="1434"/>
      <c r="CB112" s="1435"/>
      <c r="CC112" s="1436"/>
      <c r="CD112" s="1435"/>
      <c r="CE112" s="1435"/>
      <c r="CF112" s="1434"/>
      <c r="CG112" s="1434"/>
      <c r="CH112" s="457"/>
      <c r="CI112" s="1436"/>
      <c r="CJ112" s="1435"/>
      <c r="CK112" s="1435"/>
      <c r="CL112" s="1434"/>
      <c r="CM112" s="1434"/>
      <c r="CN112" s="457"/>
      <c r="CO112" s="457"/>
      <c r="CP112" s="457"/>
      <c r="CQ112" s="457"/>
      <c r="CR112" s="457"/>
      <c r="CS112" s="457"/>
      <c r="CT112" s="422"/>
      <c r="CU112" s="422"/>
      <c r="CV112" s="422"/>
      <c r="CW112" s="422"/>
      <c r="CX112" s="422"/>
      <c r="CY112" s="422"/>
      <c r="CZ112" s="422"/>
      <c r="DA112" s="422"/>
      <c r="DB112" s="422"/>
      <c r="DC112" s="422"/>
      <c r="DD112" s="422"/>
      <c r="DE112" s="422"/>
      <c r="DF112" s="422"/>
    </row>
    <row r="113" spans="1:110" ht="15" hidden="1" outlineLevel="2">
      <c r="A113" s="1417" t="s">
        <v>101</v>
      </c>
      <c r="C113" s="1418"/>
      <c r="D113" s="1419"/>
      <c r="E113" s="1419"/>
      <c r="F113" s="1420"/>
      <c r="G113" s="1421"/>
      <c r="H113" s="418"/>
      <c r="I113" s="1418"/>
      <c r="J113" s="1419"/>
      <c r="K113" s="1419"/>
      <c r="L113" s="1420"/>
      <c r="M113" s="1421"/>
      <c r="N113" s="418"/>
      <c r="O113" s="1418"/>
      <c r="P113" s="1419"/>
      <c r="Q113" s="1419"/>
      <c r="R113" s="1420"/>
      <c r="S113" s="1421"/>
      <c r="T113" s="418"/>
      <c r="U113" s="1426">
        <f>U90/U$98</f>
        <v>0.41780821917808225</v>
      </c>
      <c r="V113" s="1427">
        <f>V90/V$98</f>
        <v>0.41608391608391609</v>
      </c>
      <c r="W113" s="1427">
        <f>W90/W$98</f>
        <v>0.46799431009957326</v>
      </c>
      <c r="X113" s="1425">
        <f>X90/X$98</f>
        <v>0.474390243902439</v>
      </c>
      <c r="Y113" s="1437">
        <f>Y90/Y$98</f>
        <v>0.44792833146696531</v>
      </c>
      <c r="Z113" s="418"/>
      <c r="AA113" s="1426">
        <f>AA90/AA$98</f>
        <v>0.46347941567065071</v>
      </c>
      <c r="AB113" s="1427">
        <f>AB90/AB$98</f>
        <v>0.45088757396449702</v>
      </c>
      <c r="AC113" s="1427">
        <f>AC90/AC$98</f>
        <v>0.458133971291866</v>
      </c>
      <c r="AD113" s="1425">
        <f>AD90/AD$98</f>
        <v>0.46232876712328769</v>
      </c>
      <c r="AE113" s="1425">
        <f>AE90/AE$98</f>
        <v>0.45861027190332326</v>
      </c>
      <c r="AF113" s="418"/>
      <c r="AG113" s="1426">
        <f>AG90/AG$98</f>
        <v>0.46207701283547259</v>
      </c>
      <c r="AH113" s="1427">
        <f>AH90/AH$98</f>
        <v>0.45274212368728123</v>
      </c>
      <c r="AI113" s="1427">
        <f>AI90/AI$98</f>
        <v>0.43394077448747154</v>
      </c>
      <c r="AJ113" s="1425">
        <f>AJ90/AJ$98</f>
        <v>0.41430073606729756</v>
      </c>
      <c r="AK113" s="1425">
        <f>AK90/AK$98</f>
        <v>0.44002257973468811</v>
      </c>
      <c r="AL113" s="418"/>
      <c r="AM113" s="1426">
        <f>AM90/AM$98</f>
        <v>0.41127348643006262</v>
      </c>
      <c r="AN113" s="1427">
        <f>AN90/AN$98</f>
        <v>0.41255144032921809</v>
      </c>
      <c r="AO113" s="1427">
        <f>AO90/AO$98</f>
        <v>0.40694006309148267</v>
      </c>
      <c r="AP113" s="1425">
        <f>AP90/AP$98</f>
        <v>0.40671273445212242</v>
      </c>
      <c r="AQ113" s="1437">
        <f>AQ90/AQ$98</f>
        <v>0.40934771443246021</v>
      </c>
      <c r="AR113" s="418"/>
      <c r="AS113" s="1426">
        <f>AS90/AS$98</f>
        <v>0.41369047619047616</v>
      </c>
      <c r="AT113" s="1427">
        <f>AT90/AT$98</f>
        <v>0.41599190283400811</v>
      </c>
      <c r="AU113" s="1427">
        <f>AU90/AU$98</f>
        <v>0.41328047571853321</v>
      </c>
      <c r="AV113" s="1425">
        <f>AV90/AV$98</f>
        <v>0.41323106423777572</v>
      </c>
      <c r="AW113" s="1425"/>
      <c r="AX113" s="418"/>
      <c r="AY113" s="1426"/>
      <c r="AZ113" s="1427"/>
      <c r="BA113" s="1427"/>
      <c r="BB113" s="1425"/>
      <c r="BC113" s="1425"/>
      <c r="BD113" s="418"/>
      <c r="BE113" s="1426"/>
      <c r="BF113" s="1427"/>
      <c r="BG113" s="1427"/>
      <c r="BH113" s="1425"/>
      <c r="BI113" s="1425"/>
      <c r="BJ113" s="418"/>
      <c r="BK113" s="1426"/>
      <c r="BL113" s="1427"/>
      <c r="BM113" s="1427"/>
      <c r="BN113" s="1425"/>
      <c r="BO113" s="1425"/>
      <c r="BP113" s="418"/>
      <c r="BQ113" s="1426"/>
      <c r="BR113" s="1427"/>
      <c r="BS113" s="1427"/>
      <c r="BT113" s="1425"/>
      <c r="BU113" s="1425"/>
      <c r="BV113" s="418"/>
      <c r="BW113" s="1426"/>
      <c r="BX113" s="1427"/>
      <c r="BY113" s="1427"/>
      <c r="BZ113" s="1425"/>
      <c r="CA113" s="1425"/>
      <c r="CB113" s="1427"/>
      <c r="CC113" s="1426"/>
      <c r="CD113" s="1427"/>
      <c r="CE113" s="1427"/>
      <c r="CF113" s="1425"/>
      <c r="CG113" s="1425"/>
      <c r="CH113" s="457"/>
      <c r="CI113" s="1426"/>
      <c r="CJ113" s="1427"/>
      <c r="CK113" s="1427"/>
      <c r="CL113" s="1425"/>
      <c r="CM113" s="1425"/>
      <c r="CN113" s="457"/>
      <c r="CO113" s="457"/>
      <c r="CP113" s="457"/>
      <c r="CQ113" s="457"/>
      <c r="CR113" s="457"/>
      <c r="CS113" s="457"/>
      <c r="CT113" s="422"/>
      <c r="CU113" s="422"/>
      <c r="CV113" s="422"/>
      <c r="CW113" s="422"/>
      <c r="CX113" s="422"/>
      <c r="CY113" s="422"/>
      <c r="CZ113" s="422"/>
      <c r="DA113" s="422"/>
      <c r="DB113" s="422"/>
      <c r="DC113" s="422"/>
      <c r="DD113" s="422"/>
      <c r="DE113" s="422"/>
      <c r="DF113" s="422"/>
    </row>
    <row r="114" spans="1:110" ht="15" hidden="1" outlineLevel="2">
      <c r="A114" s="1428" t="s">
        <v>187</v>
      </c>
      <c r="C114" s="1429"/>
      <c r="D114" s="1430"/>
      <c r="E114" s="1430"/>
      <c r="F114" s="1431"/>
      <c r="G114" s="1432"/>
      <c r="H114" s="458"/>
      <c r="I114" s="1429"/>
      <c r="J114" s="1430"/>
      <c r="K114" s="1430"/>
      <c r="L114" s="1431"/>
      <c r="M114" s="1432"/>
      <c r="N114" s="458"/>
      <c r="O114" s="1429"/>
      <c r="P114" s="1430"/>
      <c r="Q114" s="1430"/>
      <c r="R114" s="1431"/>
      <c r="S114" s="1432"/>
      <c r="T114" s="458"/>
      <c r="U114" s="1633">
        <v>0.27</v>
      </c>
      <c r="V114" s="1634">
        <v>0.26</v>
      </c>
      <c r="W114" s="1634">
        <v>0.34</v>
      </c>
      <c r="X114" s="1635">
        <v>0.36</v>
      </c>
      <c r="Y114" s="1433">
        <f>Y91/Y$10</f>
        <v>0.31638333333333335</v>
      </c>
      <c r="Z114" s="458"/>
      <c r="AA114" s="1633">
        <v>0.3</v>
      </c>
      <c r="AB114" s="1634">
        <v>0.28999999999999998</v>
      </c>
      <c r="AC114" s="1634">
        <v>0.31</v>
      </c>
      <c r="AD114" s="1635">
        <v>0.31</v>
      </c>
      <c r="AE114" s="1434">
        <f>AE91/AE$10</f>
        <v>0.30268115942028989</v>
      </c>
      <c r="AF114" s="458"/>
      <c r="AG114" s="1633">
        <v>0.31</v>
      </c>
      <c r="AH114" s="1634">
        <v>0.28999999999999998</v>
      </c>
      <c r="AI114" s="1634">
        <v>0.31</v>
      </c>
      <c r="AJ114" s="1635">
        <v>0.31</v>
      </c>
      <c r="AK114" s="1434">
        <f>AK91/AK$10</f>
        <v>0.30502245028864655</v>
      </c>
      <c r="AL114" s="458"/>
      <c r="AM114" s="1633">
        <v>0.31</v>
      </c>
      <c r="AN114" s="1634">
        <v>0.3</v>
      </c>
      <c r="AO114" s="1634">
        <v>0.3</v>
      </c>
      <c r="AP114" s="1635">
        <v>0.31</v>
      </c>
      <c r="AQ114" s="1433">
        <f>AQ91/AQ$10</f>
        <v>0.30505646173149309</v>
      </c>
      <c r="AR114" s="458"/>
      <c r="AS114" s="1633">
        <v>0.3</v>
      </c>
      <c r="AT114" s="1634">
        <v>0.28999999999999998</v>
      </c>
      <c r="AU114" s="1634">
        <v>0.31</v>
      </c>
      <c r="AV114" s="1434">
        <f>AV118</f>
        <v>0.36</v>
      </c>
      <c r="AW114" s="1434"/>
      <c r="AX114" s="458"/>
      <c r="AY114" s="1436"/>
      <c r="AZ114" s="1435"/>
      <c r="BA114" s="1435"/>
      <c r="BB114" s="1434"/>
      <c r="BC114" s="1434"/>
      <c r="BD114" s="458"/>
      <c r="BE114" s="1436"/>
      <c r="BF114" s="1435"/>
      <c r="BG114" s="1435"/>
      <c r="BH114" s="1434"/>
      <c r="BI114" s="1434"/>
      <c r="BJ114" s="458"/>
      <c r="BK114" s="1436"/>
      <c r="BL114" s="1435"/>
      <c r="BM114" s="1435"/>
      <c r="BN114" s="1434"/>
      <c r="BO114" s="1434"/>
      <c r="BP114" s="458"/>
      <c r="BQ114" s="1436"/>
      <c r="BR114" s="1435"/>
      <c r="BS114" s="1435"/>
      <c r="BT114" s="1434"/>
      <c r="BU114" s="1434"/>
      <c r="BV114" s="458"/>
      <c r="BW114" s="1436"/>
      <c r="BX114" s="1435"/>
      <c r="BY114" s="1435"/>
      <c r="BZ114" s="1434"/>
      <c r="CA114" s="1434"/>
      <c r="CB114" s="1435"/>
      <c r="CC114" s="1436"/>
      <c r="CD114" s="1435"/>
      <c r="CE114" s="1435"/>
      <c r="CF114" s="1434"/>
      <c r="CG114" s="1434"/>
      <c r="CH114" s="457"/>
      <c r="CI114" s="1436"/>
      <c r="CJ114" s="1435"/>
      <c r="CK114" s="1435"/>
      <c r="CL114" s="1434"/>
      <c r="CM114" s="1434"/>
      <c r="CN114" s="457"/>
      <c r="CO114" s="457"/>
      <c r="CP114" s="457"/>
      <c r="CQ114" s="457"/>
      <c r="CR114" s="457"/>
      <c r="CS114" s="457"/>
      <c r="CT114" s="422"/>
      <c r="CU114" s="422"/>
      <c r="CV114" s="422"/>
      <c r="CW114" s="422"/>
      <c r="CX114" s="422"/>
      <c r="CY114" s="422"/>
      <c r="CZ114" s="422"/>
      <c r="DA114" s="422"/>
      <c r="DB114" s="422"/>
      <c r="DC114" s="422"/>
      <c r="DD114" s="422"/>
      <c r="DE114" s="422"/>
      <c r="DF114" s="422"/>
    </row>
    <row r="115" spans="1:110" ht="15" hidden="1" outlineLevel="2">
      <c r="A115" s="1428" t="s">
        <v>188</v>
      </c>
      <c r="C115" s="1429"/>
      <c r="D115" s="1430"/>
      <c r="E115" s="1430"/>
      <c r="F115" s="1431"/>
      <c r="G115" s="1432"/>
      <c r="H115" s="458"/>
      <c r="I115" s="1429"/>
      <c r="J115" s="1430"/>
      <c r="K115" s="1430"/>
      <c r="L115" s="1431"/>
      <c r="M115" s="1432"/>
      <c r="N115" s="458"/>
      <c r="O115" s="1429"/>
      <c r="P115" s="1430"/>
      <c r="Q115" s="1430"/>
      <c r="R115" s="1431"/>
      <c r="S115" s="1432"/>
      <c r="T115" s="458"/>
      <c r="U115" s="1633">
        <v>0.34</v>
      </c>
      <c r="V115" s="1634">
        <v>0.28000000000000003</v>
      </c>
      <c r="W115" s="1634">
        <v>0.32</v>
      </c>
      <c r="X115" s="1635">
        <v>0.32</v>
      </c>
      <c r="Y115" s="1433">
        <f>Y92/Y$10</f>
        <v>0.31613333333333332</v>
      </c>
      <c r="Z115" s="458"/>
      <c r="AA115" s="1633">
        <v>0.34</v>
      </c>
      <c r="AB115" s="1634">
        <v>0.3</v>
      </c>
      <c r="AC115" s="1634">
        <v>0.28999999999999998</v>
      </c>
      <c r="AD115" s="1635">
        <v>0.3</v>
      </c>
      <c r="AE115" s="1434">
        <f>AE92/AE$10</f>
        <v>0.30667325428194991</v>
      </c>
      <c r="AF115" s="458"/>
      <c r="AG115" s="1633">
        <v>0.3</v>
      </c>
      <c r="AH115" s="1634">
        <v>0.28999999999999998</v>
      </c>
      <c r="AI115" s="1634">
        <v>0.28999999999999998</v>
      </c>
      <c r="AJ115" s="1635">
        <v>0.28999999999999998</v>
      </c>
      <c r="AK115" s="1434">
        <f>AK92/AK$10</f>
        <v>0.29254008980115459</v>
      </c>
      <c r="AL115" s="458"/>
      <c r="AM115" s="1633">
        <v>0.31</v>
      </c>
      <c r="AN115" s="1634">
        <v>0.28000000000000003</v>
      </c>
      <c r="AO115" s="1634">
        <v>0.28000000000000003</v>
      </c>
      <c r="AP115" s="1635">
        <v>0.28999999999999998</v>
      </c>
      <c r="AQ115" s="1433">
        <f>AQ92/AQ$10</f>
        <v>0.28999999999999998</v>
      </c>
      <c r="AR115" s="458"/>
      <c r="AS115" s="1633">
        <v>0.33</v>
      </c>
      <c r="AT115" s="1634">
        <v>0.31</v>
      </c>
      <c r="AU115" s="1634">
        <v>0.28000000000000003</v>
      </c>
      <c r="AV115" s="1434">
        <f>AV119</f>
        <v>0.32</v>
      </c>
      <c r="AW115" s="1434"/>
      <c r="AX115" s="458"/>
      <c r="AY115" s="1436"/>
      <c r="AZ115" s="1435"/>
      <c r="BA115" s="1435"/>
      <c r="BB115" s="1434"/>
      <c r="BC115" s="1434"/>
      <c r="BD115" s="458"/>
      <c r="BE115" s="1436"/>
      <c r="BF115" s="1435"/>
      <c r="BG115" s="1435"/>
      <c r="BH115" s="1434"/>
      <c r="BI115" s="1434"/>
      <c r="BJ115" s="458"/>
      <c r="BK115" s="1436"/>
      <c r="BL115" s="1435"/>
      <c r="BM115" s="1435"/>
      <c r="BN115" s="1434"/>
      <c r="BO115" s="1434"/>
      <c r="BP115" s="458"/>
      <c r="BQ115" s="1436"/>
      <c r="BR115" s="1435"/>
      <c r="BS115" s="1435"/>
      <c r="BT115" s="1434"/>
      <c r="BU115" s="1434"/>
      <c r="BV115" s="458"/>
      <c r="BW115" s="1436"/>
      <c r="BX115" s="1435"/>
      <c r="BY115" s="1435"/>
      <c r="BZ115" s="1434"/>
      <c r="CA115" s="1434"/>
      <c r="CB115" s="1435"/>
      <c r="CC115" s="1436"/>
      <c r="CD115" s="1435"/>
      <c r="CE115" s="1435"/>
      <c r="CF115" s="1434"/>
      <c r="CG115" s="1434"/>
      <c r="CH115" s="457"/>
      <c r="CI115" s="1436"/>
      <c r="CJ115" s="1435"/>
      <c r="CK115" s="1435"/>
      <c r="CL115" s="1434"/>
      <c r="CM115" s="1434"/>
      <c r="CN115" s="457"/>
      <c r="CO115" s="457"/>
      <c r="CP115" s="457"/>
      <c r="CQ115" s="457"/>
      <c r="CR115" s="457"/>
      <c r="CS115" s="457"/>
      <c r="CT115" s="422"/>
      <c r="CU115" s="422"/>
      <c r="CV115" s="422"/>
      <c r="CW115" s="422"/>
      <c r="CX115" s="422"/>
      <c r="CY115" s="422"/>
      <c r="CZ115" s="422"/>
      <c r="DA115" s="422"/>
      <c r="DB115" s="422"/>
      <c r="DC115" s="422"/>
      <c r="DD115" s="422"/>
      <c r="DE115" s="422"/>
      <c r="DF115" s="422"/>
    </row>
    <row r="116" spans="1:110" ht="15" hidden="1" outlineLevel="2">
      <c r="A116" s="1428" t="s">
        <v>189</v>
      </c>
      <c r="C116" s="1429"/>
      <c r="D116" s="1430"/>
      <c r="E116" s="1430"/>
      <c r="F116" s="1431"/>
      <c r="G116" s="1432"/>
      <c r="H116" s="458"/>
      <c r="I116" s="1429"/>
      <c r="J116" s="1430"/>
      <c r="K116" s="1430"/>
      <c r="L116" s="1431"/>
      <c r="M116" s="1432"/>
      <c r="N116" s="458"/>
      <c r="O116" s="1429"/>
      <c r="P116" s="1430"/>
      <c r="Q116" s="1430"/>
      <c r="R116" s="1431"/>
      <c r="S116" s="1432"/>
      <c r="T116" s="458"/>
      <c r="U116" s="1633">
        <v>0.39</v>
      </c>
      <c r="V116" s="1634">
        <v>0.46</v>
      </c>
      <c r="W116" s="1634">
        <v>0.34</v>
      </c>
      <c r="X116" s="1635">
        <v>0.32</v>
      </c>
      <c r="Y116" s="1433">
        <f>Y93/Y$10</f>
        <v>0.36748333333333333</v>
      </c>
      <c r="Z116" s="458"/>
      <c r="AA116" s="1633">
        <v>0.36</v>
      </c>
      <c r="AB116" s="1634">
        <v>0.41</v>
      </c>
      <c r="AC116" s="1634">
        <v>0.4</v>
      </c>
      <c r="AD116" s="1635">
        <v>0.39</v>
      </c>
      <c r="AE116" s="1434">
        <f>AE93/AE$10</f>
        <v>0.39064558629776019</v>
      </c>
      <c r="AF116" s="458"/>
      <c r="AG116" s="1633">
        <v>0.39</v>
      </c>
      <c r="AH116" s="1634">
        <v>0.42</v>
      </c>
      <c r="AI116" s="1634">
        <v>0.4</v>
      </c>
      <c r="AJ116" s="1635">
        <v>0.4</v>
      </c>
      <c r="AK116" s="1434">
        <f>AK93/AK$10</f>
        <v>0.40243745991019886</v>
      </c>
      <c r="AL116" s="458"/>
      <c r="AM116" s="1633">
        <v>0.38</v>
      </c>
      <c r="AN116" s="1634">
        <v>0.42</v>
      </c>
      <c r="AO116" s="1634">
        <v>0.42</v>
      </c>
      <c r="AP116" s="1635">
        <v>0.4</v>
      </c>
      <c r="AQ116" s="1433">
        <f>AQ93/AQ$10</f>
        <v>0.40494353826850693</v>
      </c>
      <c r="AR116" s="458"/>
      <c r="AS116" s="1633">
        <v>0.37</v>
      </c>
      <c r="AT116" s="1634">
        <v>0.4</v>
      </c>
      <c r="AU116" s="1634">
        <v>0.41</v>
      </c>
      <c r="AV116" s="1434">
        <f>AV120</f>
        <v>0.32</v>
      </c>
      <c r="AW116" s="1434"/>
      <c r="AX116" s="458"/>
      <c r="AY116" s="1436"/>
      <c r="AZ116" s="1435"/>
      <c r="BA116" s="1435"/>
      <c r="BB116" s="1434"/>
      <c r="BC116" s="1434"/>
      <c r="BD116" s="458"/>
      <c r="BE116" s="1436"/>
      <c r="BF116" s="1435"/>
      <c r="BG116" s="1435"/>
      <c r="BH116" s="1434"/>
      <c r="BI116" s="1434"/>
      <c r="BJ116" s="458"/>
      <c r="BK116" s="1436"/>
      <c r="BL116" s="1435"/>
      <c r="BM116" s="1435"/>
      <c r="BN116" s="1434"/>
      <c r="BO116" s="1434"/>
      <c r="BP116" s="458"/>
      <c r="BQ116" s="1436"/>
      <c r="BR116" s="1435"/>
      <c r="BS116" s="1435"/>
      <c r="BT116" s="1434"/>
      <c r="BU116" s="1434"/>
      <c r="BV116" s="458"/>
      <c r="BW116" s="1436"/>
      <c r="BX116" s="1435"/>
      <c r="BY116" s="1435"/>
      <c r="BZ116" s="1434"/>
      <c r="CA116" s="1434"/>
      <c r="CB116" s="1435"/>
      <c r="CC116" s="1436"/>
      <c r="CD116" s="1435"/>
      <c r="CE116" s="1435"/>
      <c r="CF116" s="1434"/>
      <c r="CG116" s="1434"/>
      <c r="CH116" s="457"/>
      <c r="CI116" s="1436"/>
      <c r="CJ116" s="1435"/>
      <c r="CK116" s="1435"/>
      <c r="CL116" s="1434"/>
      <c r="CM116" s="1434"/>
      <c r="CN116" s="457"/>
      <c r="CO116" s="457"/>
      <c r="CP116" s="457"/>
      <c r="CQ116" s="457"/>
      <c r="CR116" s="457"/>
      <c r="CS116" s="457"/>
      <c r="CT116" s="422"/>
      <c r="CU116" s="422"/>
      <c r="CV116" s="422"/>
      <c r="CW116" s="422"/>
      <c r="CX116" s="422"/>
      <c r="CY116" s="422"/>
      <c r="CZ116" s="422"/>
      <c r="DA116" s="422"/>
      <c r="DB116" s="422"/>
      <c r="DC116" s="422"/>
      <c r="DD116" s="422"/>
      <c r="DE116" s="422"/>
      <c r="DF116" s="422"/>
    </row>
    <row r="117" spans="1:110" ht="15" hidden="1" outlineLevel="2">
      <c r="A117" s="1417" t="s">
        <v>103</v>
      </c>
      <c r="C117" s="1426"/>
      <c r="D117" s="1427"/>
      <c r="E117" s="1427"/>
      <c r="F117" s="1425"/>
      <c r="G117" s="1437"/>
      <c r="H117" s="418"/>
      <c r="I117" s="1426"/>
      <c r="J117" s="1427"/>
      <c r="K117" s="1427"/>
      <c r="L117" s="1425"/>
      <c r="M117" s="1437"/>
      <c r="N117" s="418"/>
      <c r="O117" s="1426"/>
      <c r="P117" s="1427"/>
      <c r="Q117" s="1427"/>
      <c r="R117" s="1425"/>
      <c r="S117" s="1437"/>
      <c r="T117" s="418"/>
      <c r="U117" s="1426"/>
      <c r="V117" s="1427"/>
      <c r="W117" s="1427"/>
      <c r="X117" s="1425"/>
      <c r="Y117" s="1437"/>
      <c r="Z117" s="418"/>
      <c r="AA117" s="1426"/>
      <c r="AB117" s="1427"/>
      <c r="AC117" s="1427"/>
      <c r="AD117" s="1425"/>
      <c r="AE117" s="1425"/>
      <c r="AF117" s="418"/>
      <c r="AG117" s="1426"/>
      <c r="AH117" s="1427"/>
      <c r="AI117" s="1427"/>
      <c r="AJ117" s="1425"/>
      <c r="AK117" s="1425"/>
      <c r="AL117" s="418"/>
      <c r="AM117" s="1426"/>
      <c r="AN117" s="1427"/>
      <c r="AO117" s="1427"/>
      <c r="AP117" s="1425"/>
      <c r="AQ117" s="1437"/>
      <c r="AR117" s="418"/>
      <c r="AS117" s="1426">
        <f>AS94/AS$98</f>
        <v>0.58630952380952384</v>
      </c>
      <c r="AT117" s="1427">
        <f>AT94/AT$98</f>
        <v>0.58400809716599189</v>
      </c>
      <c r="AU117" s="1427">
        <f>AU94/AU$98</f>
        <v>0.58671952428146679</v>
      </c>
      <c r="AV117" s="1425">
        <f>AV94/AV$98</f>
        <v>0.58676893576222433</v>
      </c>
      <c r="AW117" s="1425"/>
      <c r="AX117" s="418"/>
      <c r="AY117" s="1426"/>
      <c r="AZ117" s="1427"/>
      <c r="BA117" s="1427"/>
      <c r="BB117" s="1425"/>
      <c r="BC117" s="1425"/>
      <c r="BD117" s="418"/>
      <c r="BE117" s="1426"/>
      <c r="BF117" s="1427"/>
      <c r="BG117" s="1427"/>
      <c r="BH117" s="1425"/>
      <c r="BI117" s="1425"/>
      <c r="BJ117" s="418"/>
      <c r="BK117" s="1426"/>
      <c r="BL117" s="1427"/>
      <c r="BM117" s="1427"/>
      <c r="BN117" s="1425"/>
      <c r="BO117" s="1425"/>
      <c r="BP117" s="418"/>
      <c r="BQ117" s="1426"/>
      <c r="BR117" s="1427"/>
      <c r="BS117" s="1427"/>
      <c r="BT117" s="1425"/>
      <c r="BU117" s="1425"/>
      <c r="BV117" s="418"/>
      <c r="BW117" s="1426"/>
      <c r="BX117" s="1427"/>
      <c r="BY117" s="1427"/>
      <c r="BZ117" s="1425"/>
      <c r="CA117" s="1425"/>
      <c r="CB117" s="1427"/>
      <c r="CC117" s="1426"/>
      <c r="CD117" s="1427"/>
      <c r="CE117" s="1427"/>
      <c r="CF117" s="1425"/>
      <c r="CG117" s="1425"/>
      <c r="CH117" s="457"/>
      <c r="CI117" s="1426"/>
      <c r="CJ117" s="1427"/>
      <c r="CK117" s="1427"/>
      <c r="CL117" s="1425"/>
      <c r="CM117" s="1425"/>
      <c r="CN117" s="457"/>
      <c r="CO117" s="457"/>
      <c r="CP117" s="457"/>
      <c r="CQ117" s="457"/>
      <c r="CR117" s="457"/>
      <c r="CS117" s="457"/>
      <c r="CT117" s="422"/>
      <c r="CU117" s="422"/>
      <c r="CV117" s="422"/>
      <c r="CW117" s="422"/>
      <c r="CX117" s="422"/>
      <c r="CY117" s="422"/>
      <c r="CZ117" s="422"/>
      <c r="DA117" s="422"/>
      <c r="DB117" s="422"/>
      <c r="DC117" s="422"/>
      <c r="DD117" s="422"/>
      <c r="DE117" s="422"/>
      <c r="DF117" s="422"/>
    </row>
    <row r="118" spans="1:110" ht="15" hidden="1" outlineLevel="2">
      <c r="A118" s="1428" t="s">
        <v>187</v>
      </c>
      <c r="C118" s="1429"/>
      <c r="D118" s="1430"/>
      <c r="E118" s="1430"/>
      <c r="F118" s="1431"/>
      <c r="G118" s="1432"/>
      <c r="H118" s="458"/>
      <c r="I118" s="1429"/>
      <c r="J118" s="1430"/>
      <c r="K118" s="1430"/>
      <c r="L118" s="1431"/>
      <c r="M118" s="1432"/>
      <c r="N118" s="458"/>
      <c r="O118" s="1429"/>
      <c r="P118" s="1430"/>
      <c r="Q118" s="1430"/>
      <c r="R118" s="1431"/>
      <c r="S118" s="1432"/>
      <c r="T118" s="458"/>
      <c r="U118" s="1429"/>
      <c r="V118" s="1430"/>
      <c r="W118" s="1430"/>
      <c r="X118" s="1431"/>
      <c r="Y118" s="1433"/>
      <c r="Z118" s="458"/>
      <c r="AA118" s="1429"/>
      <c r="AB118" s="1430"/>
      <c r="AC118" s="1430"/>
      <c r="AD118" s="1431"/>
      <c r="AE118" s="1434"/>
      <c r="AF118" s="458"/>
      <c r="AG118" s="1429"/>
      <c r="AH118" s="1430"/>
      <c r="AI118" s="1430"/>
      <c r="AJ118" s="1431"/>
      <c r="AK118" s="1434"/>
      <c r="AL118" s="458"/>
      <c r="AM118" s="1429"/>
      <c r="AN118" s="1430"/>
      <c r="AO118" s="1634">
        <v>0.34</v>
      </c>
      <c r="AP118" s="1635">
        <v>0.35</v>
      </c>
      <c r="AQ118" s="1433"/>
      <c r="AR118" s="458"/>
      <c r="AS118" s="1633">
        <v>0.35</v>
      </c>
      <c r="AT118" s="1634">
        <v>0.35</v>
      </c>
      <c r="AU118" s="1634">
        <v>0.37</v>
      </c>
      <c r="AV118" s="1434">
        <f>AV122</f>
        <v>0.36</v>
      </c>
      <c r="AW118" s="1434"/>
      <c r="AX118" s="458"/>
      <c r="AY118" s="1436"/>
      <c r="AZ118" s="1435"/>
      <c r="BA118" s="1435"/>
      <c r="BB118" s="1434"/>
      <c r="BC118" s="1434"/>
      <c r="BD118" s="458"/>
      <c r="BE118" s="1436"/>
      <c r="BF118" s="1435"/>
      <c r="BG118" s="1435"/>
      <c r="BH118" s="1434"/>
      <c r="BI118" s="1434"/>
      <c r="BJ118" s="458"/>
      <c r="BK118" s="1436"/>
      <c r="BL118" s="1435"/>
      <c r="BM118" s="1435"/>
      <c r="BN118" s="1434"/>
      <c r="BO118" s="1434"/>
      <c r="BP118" s="458"/>
      <c r="BQ118" s="1436"/>
      <c r="BR118" s="1435"/>
      <c r="BS118" s="1435"/>
      <c r="BT118" s="1434"/>
      <c r="BU118" s="1434"/>
      <c r="BV118" s="458"/>
      <c r="BW118" s="1436"/>
      <c r="BX118" s="1435"/>
      <c r="BY118" s="1435"/>
      <c r="BZ118" s="1434"/>
      <c r="CA118" s="1434"/>
      <c r="CB118" s="1435"/>
      <c r="CC118" s="1436"/>
      <c r="CD118" s="1435"/>
      <c r="CE118" s="1435"/>
      <c r="CF118" s="1434"/>
      <c r="CG118" s="1434"/>
      <c r="CH118" s="457"/>
      <c r="CI118" s="1436"/>
      <c r="CJ118" s="1435"/>
      <c r="CK118" s="1435"/>
      <c r="CL118" s="1434"/>
      <c r="CM118" s="1434"/>
      <c r="CN118" s="457"/>
      <c r="CO118" s="457"/>
      <c r="CP118" s="457"/>
      <c r="CQ118" s="457"/>
      <c r="CR118" s="457"/>
      <c r="CS118" s="457"/>
      <c r="CT118" s="422"/>
      <c r="CU118" s="422"/>
      <c r="CV118" s="422"/>
      <c r="CW118" s="422"/>
      <c r="CX118" s="422"/>
      <c r="CY118" s="422"/>
      <c r="CZ118" s="422"/>
      <c r="DA118" s="422"/>
      <c r="DB118" s="422"/>
      <c r="DC118" s="422"/>
      <c r="DD118" s="422"/>
      <c r="DE118" s="422"/>
      <c r="DF118" s="422"/>
    </row>
    <row r="119" spans="1:110" ht="15" hidden="1" outlineLevel="2">
      <c r="A119" s="1428" t="s">
        <v>188</v>
      </c>
      <c r="C119" s="1429"/>
      <c r="D119" s="1430"/>
      <c r="E119" s="1430"/>
      <c r="F119" s="1431"/>
      <c r="G119" s="1432"/>
      <c r="H119" s="458"/>
      <c r="I119" s="1429"/>
      <c r="J119" s="1430"/>
      <c r="K119" s="1430"/>
      <c r="L119" s="1431"/>
      <c r="M119" s="1432"/>
      <c r="N119" s="458"/>
      <c r="O119" s="1429"/>
      <c r="P119" s="1430"/>
      <c r="Q119" s="1430"/>
      <c r="R119" s="1431"/>
      <c r="S119" s="1432"/>
      <c r="T119" s="458"/>
      <c r="U119" s="1429"/>
      <c r="V119" s="1430"/>
      <c r="W119" s="1430"/>
      <c r="X119" s="1431"/>
      <c r="Y119" s="1433"/>
      <c r="Z119" s="458"/>
      <c r="AA119" s="1429"/>
      <c r="AB119" s="1430"/>
      <c r="AC119" s="1430"/>
      <c r="AD119" s="1431"/>
      <c r="AE119" s="1434"/>
      <c r="AF119" s="458"/>
      <c r="AG119" s="1429"/>
      <c r="AH119" s="1430"/>
      <c r="AI119" s="1430"/>
      <c r="AJ119" s="1431"/>
      <c r="AK119" s="1434"/>
      <c r="AL119" s="458"/>
      <c r="AM119" s="1429"/>
      <c r="AN119" s="1430"/>
      <c r="AO119" s="1634">
        <v>0.32</v>
      </c>
      <c r="AP119" s="1635">
        <v>0.33</v>
      </c>
      <c r="AQ119" s="1433"/>
      <c r="AR119" s="458"/>
      <c r="AS119" s="1633">
        <v>0.37</v>
      </c>
      <c r="AT119" s="1634">
        <v>0.35</v>
      </c>
      <c r="AU119" s="1634">
        <v>0.35</v>
      </c>
      <c r="AV119" s="1434">
        <f>AV123</f>
        <v>0.32</v>
      </c>
      <c r="AW119" s="1434"/>
      <c r="AX119" s="458"/>
      <c r="AY119" s="1436"/>
      <c r="AZ119" s="1435"/>
      <c r="BA119" s="1435"/>
      <c r="BB119" s="1434"/>
      <c r="BC119" s="1434"/>
      <c r="BD119" s="458"/>
      <c r="BE119" s="1436"/>
      <c r="BF119" s="1435"/>
      <c r="BG119" s="1435"/>
      <c r="BH119" s="1434"/>
      <c r="BI119" s="1434"/>
      <c r="BJ119" s="458"/>
      <c r="BK119" s="1436"/>
      <c r="BL119" s="1435"/>
      <c r="BM119" s="1435"/>
      <c r="BN119" s="1434"/>
      <c r="BO119" s="1434"/>
      <c r="BP119" s="458"/>
      <c r="BQ119" s="1436"/>
      <c r="BR119" s="1435"/>
      <c r="BS119" s="1435"/>
      <c r="BT119" s="1434"/>
      <c r="BU119" s="1434"/>
      <c r="BV119" s="458"/>
      <c r="BW119" s="1436"/>
      <c r="BX119" s="1435"/>
      <c r="BY119" s="1435"/>
      <c r="BZ119" s="1434"/>
      <c r="CA119" s="1434"/>
      <c r="CB119" s="1435"/>
      <c r="CC119" s="1436"/>
      <c r="CD119" s="1435"/>
      <c r="CE119" s="1435"/>
      <c r="CF119" s="1434"/>
      <c r="CG119" s="1434"/>
      <c r="CH119" s="457"/>
      <c r="CI119" s="1436"/>
      <c r="CJ119" s="1435"/>
      <c r="CK119" s="1435"/>
      <c r="CL119" s="1434"/>
      <c r="CM119" s="1434"/>
      <c r="CN119" s="457"/>
      <c r="CO119" s="457"/>
      <c r="CP119" s="457"/>
      <c r="CQ119" s="457"/>
      <c r="CR119" s="457"/>
      <c r="CS119" s="457"/>
      <c r="CT119" s="422"/>
      <c r="CU119" s="422"/>
      <c r="CV119" s="422"/>
      <c r="CW119" s="422"/>
      <c r="CX119" s="422"/>
      <c r="CY119" s="422"/>
      <c r="CZ119" s="422"/>
      <c r="DA119" s="422"/>
      <c r="DB119" s="422"/>
      <c r="DC119" s="422"/>
      <c r="DD119" s="422"/>
      <c r="DE119" s="422"/>
      <c r="DF119" s="422"/>
    </row>
    <row r="120" spans="1:110" ht="15" hidden="1" outlineLevel="2">
      <c r="A120" s="1428" t="s">
        <v>189</v>
      </c>
      <c r="C120" s="1429"/>
      <c r="D120" s="1430"/>
      <c r="E120" s="1430"/>
      <c r="F120" s="1431"/>
      <c r="G120" s="1432"/>
      <c r="H120" s="458"/>
      <c r="I120" s="1429"/>
      <c r="J120" s="1430"/>
      <c r="K120" s="1430"/>
      <c r="L120" s="1431"/>
      <c r="M120" s="1432"/>
      <c r="N120" s="458"/>
      <c r="O120" s="1429"/>
      <c r="P120" s="1430"/>
      <c r="Q120" s="1430"/>
      <c r="R120" s="1431"/>
      <c r="S120" s="1432"/>
      <c r="T120" s="458"/>
      <c r="U120" s="1429"/>
      <c r="V120" s="1430"/>
      <c r="W120" s="1430"/>
      <c r="X120" s="1431"/>
      <c r="Y120" s="1433"/>
      <c r="Z120" s="458"/>
      <c r="AA120" s="1429"/>
      <c r="AB120" s="1430"/>
      <c r="AC120" s="1430"/>
      <c r="AD120" s="1431"/>
      <c r="AE120" s="1434"/>
      <c r="AF120" s="458"/>
      <c r="AG120" s="1429"/>
      <c r="AH120" s="1430"/>
      <c r="AI120" s="1430"/>
      <c r="AJ120" s="1431"/>
      <c r="AK120" s="1434"/>
      <c r="AL120" s="458"/>
      <c r="AM120" s="1429"/>
      <c r="AN120" s="1430"/>
      <c r="AO120" s="1634">
        <v>0.34</v>
      </c>
      <c r="AP120" s="1635">
        <v>0.32</v>
      </c>
      <c r="AQ120" s="1433"/>
      <c r="AR120" s="458"/>
      <c r="AS120" s="1633">
        <v>0.28000000000000003</v>
      </c>
      <c r="AT120" s="1634">
        <v>0.3</v>
      </c>
      <c r="AU120" s="1634">
        <v>0.28000000000000003</v>
      </c>
      <c r="AV120" s="1434">
        <f>AV124</f>
        <v>0.32</v>
      </c>
      <c r="AW120" s="1434"/>
      <c r="AX120" s="458"/>
      <c r="AY120" s="1436"/>
      <c r="AZ120" s="1435"/>
      <c r="BA120" s="1435"/>
      <c r="BB120" s="1434"/>
      <c r="BC120" s="1434"/>
      <c r="BD120" s="458"/>
      <c r="BE120" s="1436"/>
      <c r="BF120" s="1435"/>
      <c r="BG120" s="1435"/>
      <c r="BH120" s="1434"/>
      <c r="BI120" s="1434"/>
      <c r="BJ120" s="458"/>
      <c r="BK120" s="1436"/>
      <c r="BL120" s="1435"/>
      <c r="BM120" s="1435"/>
      <c r="BN120" s="1434"/>
      <c r="BO120" s="1434"/>
      <c r="BP120" s="458"/>
      <c r="BQ120" s="1436"/>
      <c r="BR120" s="1435"/>
      <c r="BS120" s="1435"/>
      <c r="BT120" s="1434"/>
      <c r="BU120" s="1434"/>
      <c r="BV120" s="458"/>
      <c r="BW120" s="1436"/>
      <c r="BX120" s="1435"/>
      <c r="BY120" s="1435"/>
      <c r="BZ120" s="1434"/>
      <c r="CA120" s="1434"/>
      <c r="CB120" s="1435"/>
      <c r="CC120" s="1436"/>
      <c r="CD120" s="1435"/>
      <c r="CE120" s="1435"/>
      <c r="CF120" s="1434"/>
      <c r="CG120" s="1434"/>
      <c r="CH120" s="457"/>
      <c r="CI120" s="1436"/>
      <c r="CJ120" s="1435"/>
      <c r="CK120" s="1435"/>
      <c r="CL120" s="1434"/>
      <c r="CM120" s="1434"/>
      <c r="CN120" s="457"/>
      <c r="CO120" s="457"/>
      <c r="CP120" s="457"/>
      <c r="CQ120" s="457"/>
      <c r="CR120" s="457"/>
      <c r="CS120" s="457"/>
      <c r="CT120" s="422"/>
      <c r="CU120" s="422"/>
      <c r="CV120" s="422"/>
      <c r="CW120" s="422"/>
      <c r="CX120" s="422"/>
      <c r="CY120" s="422"/>
      <c r="CZ120" s="422"/>
      <c r="DA120" s="422"/>
      <c r="DB120" s="422"/>
      <c r="DC120" s="422"/>
      <c r="DD120" s="422"/>
      <c r="DE120" s="422"/>
      <c r="DF120" s="422"/>
    </row>
    <row r="121" spans="1:110" ht="15" outlineLevel="1" collapsed="1">
      <c r="A121" s="326" t="s">
        <v>149</v>
      </c>
      <c r="C121" s="459"/>
      <c r="D121" s="236"/>
      <c r="E121" s="236"/>
      <c r="F121" s="460"/>
      <c r="G121" s="222"/>
      <c r="H121" s="236"/>
      <c r="I121" s="459"/>
      <c r="J121" s="236"/>
      <c r="K121" s="236"/>
      <c r="L121" s="460"/>
      <c r="M121" s="222"/>
      <c r="N121" s="418"/>
      <c r="O121" s="461"/>
      <c r="P121" s="462"/>
      <c r="Q121" s="462"/>
      <c r="R121" s="463"/>
      <c r="S121" s="464"/>
      <c r="T121" s="418"/>
      <c r="U121" s="461"/>
      <c r="V121" s="462"/>
      <c r="W121" s="462"/>
      <c r="X121" s="463"/>
      <c r="Y121" s="464"/>
      <c r="Z121" s="418"/>
      <c r="AA121" s="461"/>
      <c r="AB121" s="462"/>
      <c r="AC121" s="462"/>
      <c r="AD121" s="463"/>
      <c r="AE121" s="463"/>
      <c r="AF121" s="418"/>
      <c r="AG121" s="461"/>
      <c r="AH121" s="462"/>
      <c r="AI121" s="462"/>
      <c r="AJ121" s="463"/>
      <c r="AK121" s="463"/>
      <c r="AL121" s="418"/>
      <c r="AM121" s="461"/>
      <c r="AN121" s="462"/>
      <c r="AO121" s="462"/>
      <c r="AP121" s="463"/>
      <c r="AQ121" s="464"/>
      <c r="AR121" s="418"/>
      <c r="AS121" s="461">
        <f>AS98/AS$98</f>
        <v>1</v>
      </c>
      <c r="AT121" s="462">
        <f>AT98/AT$98</f>
        <v>1</v>
      </c>
      <c r="AU121" s="462">
        <f>AU98/AU$98</f>
        <v>1</v>
      </c>
      <c r="AV121" s="463">
        <f>AV98/AV$98</f>
        <v>1</v>
      </c>
      <c r="AW121" s="463"/>
      <c r="AX121" s="418"/>
      <c r="AY121" s="461">
        <f>SUM(AY122:AY124)</f>
        <v>1</v>
      </c>
      <c r="AZ121" s="462">
        <f>SUM(AZ122:AZ124)</f>
        <v>1</v>
      </c>
      <c r="BA121" s="462">
        <f>SUM(BA122:BA124)</f>
        <v>1</v>
      </c>
      <c r="BB121" s="462">
        <f>SUM(BB122:BB124)</f>
        <v>1</v>
      </c>
      <c r="BC121" s="762" t="s">
        <v>497</v>
      </c>
      <c r="BD121" s="418"/>
      <c r="BE121" s="461">
        <f>SUM(BE122:BE124)</f>
        <v>1</v>
      </c>
      <c r="BF121" s="462">
        <f>SUM(BF122:BF124)</f>
        <v>1</v>
      </c>
      <c r="BG121" s="462">
        <f>SUM(BG122:BG124)</f>
        <v>1</v>
      </c>
      <c r="BH121" s="463">
        <f>SUM(BH122:BH124)</f>
        <v>1</v>
      </c>
      <c r="BI121" s="762" t="s">
        <v>497</v>
      </c>
      <c r="BJ121" s="418"/>
      <c r="BK121" s="461">
        <f>SUM(BK122:BK124)</f>
        <v>1</v>
      </c>
      <c r="BL121" s="462">
        <f>SUM(BL122:BL124)</f>
        <v>1</v>
      </c>
      <c r="BM121" s="462">
        <f>SUM(BM122:BM124)</f>
        <v>1</v>
      </c>
      <c r="BN121" s="463">
        <f>SUM(BN122:BN124)</f>
        <v>1</v>
      </c>
      <c r="BO121" s="463"/>
      <c r="BP121" s="418"/>
      <c r="BQ121" s="461">
        <f>SUM(BQ122:BQ124)</f>
        <v>1</v>
      </c>
      <c r="BR121" s="462"/>
      <c r="BS121" s="462"/>
      <c r="BT121" s="463"/>
      <c r="BU121" s="463"/>
      <c r="BV121" s="418"/>
      <c r="BW121" s="461"/>
      <c r="BX121" s="462"/>
      <c r="BY121" s="462"/>
      <c r="BZ121" s="463"/>
      <c r="CA121" s="463"/>
      <c r="CB121" s="462"/>
      <c r="CC121" s="461"/>
      <c r="CD121" s="462"/>
      <c r="CE121" s="462"/>
      <c r="CF121" s="463"/>
      <c r="CG121" s="463"/>
      <c r="CH121" s="457"/>
      <c r="CI121" s="461"/>
      <c r="CJ121" s="462"/>
      <c r="CK121" s="462"/>
      <c r="CL121" s="463"/>
      <c r="CM121" s="463"/>
      <c r="CN121" s="457"/>
      <c r="CO121" s="457"/>
      <c r="CP121" s="457"/>
      <c r="CQ121" s="457"/>
      <c r="CR121" s="457"/>
      <c r="CS121" s="457"/>
      <c r="CT121" s="422"/>
      <c r="CU121" s="422"/>
      <c r="CV121" s="422"/>
      <c r="CW121" s="422"/>
      <c r="CX121" s="422"/>
      <c r="CY121" s="422"/>
      <c r="CZ121" s="422"/>
      <c r="DA121" s="422"/>
      <c r="DB121" s="422"/>
      <c r="DC121" s="422"/>
      <c r="DD121" s="422"/>
      <c r="DE121" s="422"/>
      <c r="DF121" s="422"/>
    </row>
    <row r="122" spans="1:110" ht="15" outlineLevel="1">
      <c r="A122" s="465" t="s">
        <v>187</v>
      </c>
      <c r="C122" s="1582">
        <v>0.36</v>
      </c>
      <c r="D122" s="1581">
        <v>0.36</v>
      </c>
      <c r="E122" s="1581">
        <v>0.35</v>
      </c>
      <c r="F122" s="1636">
        <v>0.36</v>
      </c>
      <c r="G122" s="222">
        <f>G99/G$18</f>
        <v>0.35749999999999998</v>
      </c>
      <c r="H122" s="236"/>
      <c r="I122" s="1582">
        <v>0.34</v>
      </c>
      <c r="J122" s="1581">
        <v>0.34</v>
      </c>
      <c r="K122" s="1581">
        <v>0.36</v>
      </c>
      <c r="L122" s="1636">
        <v>0.37</v>
      </c>
      <c r="M122" s="222">
        <f>M99/M$18</f>
        <v>0.35303872437357631</v>
      </c>
      <c r="N122" s="458"/>
      <c r="O122" s="1582">
        <v>0.36</v>
      </c>
      <c r="P122" s="1581">
        <v>0.34</v>
      </c>
      <c r="Q122" s="1581">
        <v>0.35</v>
      </c>
      <c r="R122" s="1636">
        <v>0.36</v>
      </c>
      <c r="S122" s="222">
        <f>S99/S$18</f>
        <v>0.35276781386330591</v>
      </c>
      <c r="T122" s="458"/>
      <c r="U122" s="466"/>
      <c r="V122" s="458"/>
      <c r="W122" s="458"/>
      <c r="X122" s="467"/>
      <c r="Y122" s="468"/>
      <c r="Z122" s="458"/>
      <c r="AA122" s="466"/>
      <c r="AB122" s="458"/>
      <c r="AC122" s="458"/>
      <c r="AD122" s="467"/>
      <c r="AE122" s="469"/>
      <c r="AF122" s="458"/>
      <c r="AG122" s="466"/>
      <c r="AH122" s="458"/>
      <c r="AI122" s="458"/>
      <c r="AJ122" s="467"/>
      <c r="AK122" s="469"/>
      <c r="AL122" s="458"/>
      <c r="AM122" s="466"/>
      <c r="AN122" s="458"/>
      <c r="AO122" s="458"/>
      <c r="AP122" s="467"/>
      <c r="AQ122" s="468"/>
      <c r="AR122" s="458"/>
      <c r="AS122" s="1640">
        <v>0.33</v>
      </c>
      <c r="AT122" s="1641">
        <v>0.32</v>
      </c>
      <c r="AU122" s="1641">
        <v>0.36</v>
      </c>
      <c r="AV122" s="1642">
        <v>0.36</v>
      </c>
      <c r="AW122" s="469"/>
      <c r="AX122" s="458"/>
      <c r="AY122" s="1640">
        <v>0.33</v>
      </c>
      <c r="AZ122" s="1641">
        <v>0.36</v>
      </c>
      <c r="BA122" s="471">
        <f t="shared" ref="BA122:BB124" si="75">+BA99/BA$18</f>
        <v>0.36094674556213019</v>
      </c>
      <c r="BB122" s="471">
        <f t="shared" si="75"/>
        <v>0.37391304347826088</v>
      </c>
      <c r="BC122" s="762" t="s">
        <v>497</v>
      </c>
      <c r="BD122" s="458"/>
      <c r="BE122" s="470">
        <f>+BE99/BE$18</f>
        <v>0.33949416342412453</v>
      </c>
      <c r="BF122" s="471">
        <f t="shared" ref="BF122:BG124" si="76">+BF99/BF$18</f>
        <v>0.3434739941118744</v>
      </c>
      <c r="BG122" s="471">
        <f t="shared" si="76"/>
        <v>0.3457854406130268</v>
      </c>
      <c r="BH122" s="469">
        <f>+BH99/BH$18</f>
        <v>0.35643564356435642</v>
      </c>
      <c r="BI122" s="762" t="s">
        <v>497</v>
      </c>
      <c r="BJ122" s="458"/>
      <c r="BK122" s="470">
        <f t="shared" ref="BK122:BL124" si="77">+BK99/BK$18</f>
        <v>0.33833177132146203</v>
      </c>
      <c r="BL122" s="471">
        <f t="shared" si="77"/>
        <v>0.34029038112522686</v>
      </c>
      <c r="BM122" s="471">
        <f t="shared" ref="BM122:BN122" si="78">+BM99/BM$18</f>
        <v>0.33931777378815081</v>
      </c>
      <c r="BN122" s="469">
        <f t="shared" si="78"/>
        <v>0.35155592935239699</v>
      </c>
      <c r="BO122" s="469"/>
      <c r="BP122" s="458"/>
      <c r="BQ122" s="470">
        <f t="shared" ref="BQ122" si="79">+BQ99/BQ$18</f>
        <v>0.32452518579686207</v>
      </c>
      <c r="BR122" s="471"/>
      <c r="BS122" s="471"/>
      <c r="BT122" s="469"/>
      <c r="BU122" s="469"/>
      <c r="BV122" s="458"/>
      <c r="BW122" s="470"/>
      <c r="BX122" s="471"/>
      <c r="BY122" s="471"/>
      <c r="BZ122" s="469"/>
      <c r="CA122" s="469"/>
      <c r="CB122" s="471"/>
      <c r="CC122" s="470"/>
      <c r="CD122" s="471"/>
      <c r="CE122" s="471"/>
      <c r="CF122" s="469"/>
      <c r="CG122" s="469"/>
      <c r="CH122" s="457"/>
      <c r="CI122" s="470"/>
      <c r="CJ122" s="471"/>
      <c r="CK122" s="471"/>
      <c r="CL122" s="469"/>
      <c r="CM122" s="469"/>
      <c r="CN122" s="457"/>
      <c r="CO122" s="457"/>
      <c r="CP122" s="457"/>
      <c r="CQ122" s="457"/>
      <c r="CR122" s="457"/>
      <c r="CS122" s="457"/>
      <c r="CT122" s="422"/>
      <c r="CU122" s="422"/>
      <c r="CV122" s="422"/>
      <c r="CW122" s="422"/>
      <c r="CX122" s="422"/>
      <c r="CY122" s="422"/>
      <c r="CZ122" s="422"/>
      <c r="DA122" s="422"/>
      <c r="DB122" s="422"/>
      <c r="DC122" s="422"/>
      <c r="DD122" s="422"/>
      <c r="DE122" s="422"/>
      <c r="DF122" s="422"/>
    </row>
    <row r="123" spans="1:110" ht="15" outlineLevel="1">
      <c r="A123" s="465" t="s">
        <v>188</v>
      </c>
      <c r="C123" s="1582">
        <v>0.38</v>
      </c>
      <c r="D123" s="1581">
        <v>0.36</v>
      </c>
      <c r="E123" s="1581">
        <v>0.39</v>
      </c>
      <c r="F123" s="1636">
        <v>0.37</v>
      </c>
      <c r="G123" s="222">
        <f>G100/G$18</f>
        <v>0.37514392324093815</v>
      </c>
      <c r="H123" s="236"/>
      <c r="I123" s="1582">
        <v>0.4</v>
      </c>
      <c r="J123" s="1581">
        <v>0.36</v>
      </c>
      <c r="K123" s="1581">
        <v>0.36</v>
      </c>
      <c r="L123" s="1636">
        <v>0.34</v>
      </c>
      <c r="M123" s="222">
        <f>M100/M$18</f>
        <v>0.36426423690205012</v>
      </c>
      <c r="N123" s="458"/>
      <c r="O123" s="1582">
        <v>0.35</v>
      </c>
      <c r="P123" s="1581">
        <v>0.32</v>
      </c>
      <c r="Q123" s="1581">
        <v>0.31</v>
      </c>
      <c r="R123" s="1636">
        <v>0.33</v>
      </c>
      <c r="S123" s="222">
        <f>S100/S$18</f>
        <v>0.32786718371303925</v>
      </c>
      <c r="T123" s="458"/>
      <c r="U123" s="466"/>
      <c r="V123" s="458"/>
      <c r="W123" s="458"/>
      <c r="X123" s="467"/>
      <c r="Y123" s="468"/>
      <c r="Z123" s="458"/>
      <c r="AA123" s="466"/>
      <c r="AB123" s="458"/>
      <c r="AC123" s="458"/>
      <c r="AD123" s="467"/>
      <c r="AE123" s="469"/>
      <c r="AF123" s="458"/>
      <c r="AG123" s="466"/>
      <c r="AH123" s="458"/>
      <c r="AI123" s="458"/>
      <c r="AJ123" s="467"/>
      <c r="AK123" s="469"/>
      <c r="AL123" s="458"/>
      <c r="AM123" s="466"/>
      <c r="AN123" s="458"/>
      <c r="AO123" s="458"/>
      <c r="AP123" s="467"/>
      <c r="AQ123" s="468"/>
      <c r="AR123" s="458"/>
      <c r="AS123" s="1640">
        <v>0.35</v>
      </c>
      <c r="AT123" s="1641">
        <v>0.34</v>
      </c>
      <c r="AU123" s="1641">
        <v>0.26</v>
      </c>
      <c r="AV123" s="1642">
        <v>0.32</v>
      </c>
      <c r="AW123" s="469"/>
      <c r="AX123" s="458"/>
      <c r="AY123" s="1640">
        <v>0.35</v>
      </c>
      <c r="AZ123" s="1641">
        <v>0.31</v>
      </c>
      <c r="BA123" s="471">
        <f t="shared" si="75"/>
        <v>0.28698224852071008</v>
      </c>
      <c r="BB123" s="471">
        <f t="shared" si="75"/>
        <v>0.29178743961352654</v>
      </c>
      <c r="BC123" s="762" t="s">
        <v>497</v>
      </c>
      <c r="BD123" s="458"/>
      <c r="BE123" s="470">
        <f>+BE100/BE$18</f>
        <v>0.31809338521400776</v>
      </c>
      <c r="BF123" s="471">
        <f t="shared" si="76"/>
        <v>0.27379784102060845</v>
      </c>
      <c r="BG123" s="471">
        <f t="shared" si="76"/>
        <v>0.27969348659003829</v>
      </c>
      <c r="BH123" s="469">
        <f>+BH100/BH$18</f>
        <v>0.27542754275427545</v>
      </c>
      <c r="BI123" s="762" t="s">
        <v>497</v>
      </c>
      <c r="BJ123" s="458"/>
      <c r="BK123" s="470">
        <f t="shared" si="77"/>
        <v>0.30084348641049674</v>
      </c>
      <c r="BL123" s="471">
        <f t="shared" si="77"/>
        <v>0.27041742286751363</v>
      </c>
      <c r="BM123" s="471">
        <f t="shared" ref="BM123:BN123" si="80">+BM100/BM$18</f>
        <v>0.29263913824057453</v>
      </c>
      <c r="BN123" s="469">
        <f t="shared" si="80"/>
        <v>0.29184188393608074</v>
      </c>
      <c r="BO123" s="469"/>
      <c r="BP123" s="458"/>
      <c r="BQ123" s="470">
        <f t="shared" ref="BQ123" si="81">+BQ100/BQ$18</f>
        <v>0.31461601981833198</v>
      </c>
      <c r="BR123" s="471"/>
      <c r="BS123" s="471"/>
      <c r="BT123" s="469"/>
      <c r="BU123" s="469"/>
      <c r="BV123" s="458"/>
      <c r="BW123" s="470"/>
      <c r="BX123" s="471"/>
      <c r="BY123" s="471"/>
      <c r="BZ123" s="469"/>
      <c r="CA123" s="469"/>
      <c r="CB123" s="471"/>
      <c r="CC123" s="470"/>
      <c r="CD123" s="471"/>
      <c r="CE123" s="471"/>
      <c r="CF123" s="469"/>
      <c r="CG123" s="469"/>
      <c r="CH123" s="457"/>
      <c r="CI123" s="470"/>
      <c r="CJ123" s="471"/>
      <c r="CK123" s="471"/>
      <c r="CL123" s="469"/>
      <c r="CM123" s="469"/>
      <c r="CN123" s="457"/>
      <c r="CO123" s="457"/>
      <c r="CP123" s="457"/>
      <c r="CQ123" s="457"/>
      <c r="CR123" s="457"/>
      <c r="CS123" s="457"/>
      <c r="CT123" s="422"/>
      <c r="CU123" s="422"/>
      <c r="CV123" s="422"/>
      <c r="CW123" s="422"/>
      <c r="CX123" s="422"/>
      <c r="CY123" s="422"/>
      <c r="CZ123" s="422"/>
      <c r="DA123" s="422"/>
      <c r="DB123" s="422"/>
      <c r="DC123" s="422"/>
      <c r="DD123" s="422"/>
      <c r="DE123" s="422"/>
      <c r="DF123" s="422"/>
    </row>
    <row r="124" spans="1:110" ht="15" outlineLevel="1">
      <c r="A124" s="472" t="s">
        <v>189</v>
      </c>
      <c r="C124" s="1637">
        <v>0.26</v>
      </c>
      <c r="D124" s="1638">
        <v>0.28000000000000003</v>
      </c>
      <c r="E124" s="1638">
        <v>0.26</v>
      </c>
      <c r="F124" s="1639">
        <v>0.27</v>
      </c>
      <c r="G124" s="243">
        <f>G101/G$18</f>
        <v>0.26735607675906187</v>
      </c>
      <c r="H124" s="236"/>
      <c r="I124" s="1637">
        <v>0.26</v>
      </c>
      <c r="J124" s="1638">
        <v>0.3</v>
      </c>
      <c r="K124" s="1638">
        <v>0.28000000000000003</v>
      </c>
      <c r="L124" s="1639">
        <v>0.28999999999999998</v>
      </c>
      <c r="M124" s="243">
        <f>M101/M$18</f>
        <v>0.28269703872437357</v>
      </c>
      <c r="N124" s="458"/>
      <c r="O124" s="1637">
        <v>0.28999999999999998</v>
      </c>
      <c r="P124" s="1638">
        <v>0.34</v>
      </c>
      <c r="Q124" s="1638">
        <v>0.34</v>
      </c>
      <c r="R124" s="1639">
        <v>0.31</v>
      </c>
      <c r="S124" s="243">
        <f>S101/S$18</f>
        <v>0.3193650024236549</v>
      </c>
      <c r="T124" s="458"/>
      <c r="U124" s="473"/>
      <c r="V124" s="474"/>
      <c r="W124" s="474"/>
      <c r="X124" s="475"/>
      <c r="Y124" s="476"/>
      <c r="Z124" s="458"/>
      <c r="AA124" s="473"/>
      <c r="AB124" s="474"/>
      <c r="AC124" s="474"/>
      <c r="AD124" s="475"/>
      <c r="AE124" s="477"/>
      <c r="AF124" s="458"/>
      <c r="AG124" s="473"/>
      <c r="AH124" s="474"/>
      <c r="AI124" s="474"/>
      <c r="AJ124" s="475"/>
      <c r="AK124" s="477"/>
      <c r="AL124" s="458"/>
      <c r="AM124" s="473"/>
      <c r="AN124" s="474"/>
      <c r="AO124" s="474"/>
      <c r="AP124" s="475"/>
      <c r="AQ124" s="476"/>
      <c r="AR124" s="458"/>
      <c r="AS124" s="1643">
        <v>0.32</v>
      </c>
      <c r="AT124" s="1644">
        <v>0.34</v>
      </c>
      <c r="AU124" s="1644">
        <v>0.38</v>
      </c>
      <c r="AV124" s="1645">
        <v>0.32</v>
      </c>
      <c r="AW124" s="477"/>
      <c r="AX124" s="458"/>
      <c r="AY124" s="1643">
        <v>0.32</v>
      </c>
      <c r="AZ124" s="1644">
        <v>0.33</v>
      </c>
      <c r="BA124" s="479">
        <f t="shared" si="75"/>
        <v>0.35207100591715978</v>
      </c>
      <c r="BB124" s="479">
        <f t="shared" si="75"/>
        <v>0.33429951690821258</v>
      </c>
      <c r="BC124" s="765" t="s">
        <v>497</v>
      </c>
      <c r="BD124" s="458"/>
      <c r="BE124" s="478">
        <f>+BE101/BE$18</f>
        <v>0.34241245136186771</v>
      </c>
      <c r="BF124" s="479">
        <f t="shared" si="76"/>
        <v>0.38272816486751715</v>
      </c>
      <c r="BG124" s="479">
        <f t="shared" si="76"/>
        <v>0.37452107279693486</v>
      </c>
      <c r="BH124" s="477">
        <f>+BH101/BH$18</f>
        <v>0.36813681368136814</v>
      </c>
      <c r="BI124" s="765" t="s">
        <v>497</v>
      </c>
      <c r="BJ124" s="458"/>
      <c r="BK124" s="478">
        <f t="shared" si="77"/>
        <v>0.36082474226804123</v>
      </c>
      <c r="BL124" s="479">
        <f t="shared" si="77"/>
        <v>0.38929219600725951</v>
      </c>
      <c r="BM124" s="479">
        <f t="shared" ref="BM124:BN124" si="82">+BM101/BM$18</f>
        <v>0.36804308797127466</v>
      </c>
      <c r="BN124" s="477">
        <f t="shared" si="82"/>
        <v>0.35660218671152227</v>
      </c>
      <c r="BO124" s="477"/>
      <c r="BP124" s="458"/>
      <c r="BQ124" s="478">
        <f t="shared" ref="BQ124" si="83">+BQ101/BQ$18</f>
        <v>0.36085879438480595</v>
      </c>
      <c r="BR124" s="479"/>
      <c r="BS124" s="479"/>
      <c r="BT124" s="477"/>
      <c r="BU124" s="477"/>
      <c r="BV124" s="458"/>
      <c r="BW124" s="478"/>
      <c r="BX124" s="479"/>
      <c r="BY124" s="479"/>
      <c r="BZ124" s="477"/>
      <c r="CA124" s="477"/>
      <c r="CB124" s="471"/>
      <c r="CC124" s="478"/>
      <c r="CD124" s="479"/>
      <c r="CE124" s="479"/>
      <c r="CF124" s="477"/>
      <c r="CG124" s="477"/>
      <c r="CH124" s="457"/>
      <c r="CI124" s="478"/>
      <c r="CJ124" s="479"/>
      <c r="CK124" s="479"/>
      <c r="CL124" s="477"/>
      <c r="CM124" s="477"/>
      <c r="CN124" s="457"/>
      <c r="CO124" s="457"/>
      <c r="CP124" s="457"/>
      <c r="CQ124" s="457"/>
      <c r="CR124" s="457"/>
      <c r="CS124" s="457"/>
      <c r="CT124" s="422"/>
      <c r="CU124" s="422"/>
      <c r="CV124" s="422"/>
      <c r="CW124" s="422"/>
      <c r="CX124" s="422"/>
      <c r="CY124" s="422"/>
      <c r="CZ124" s="422"/>
      <c r="DA124" s="422"/>
      <c r="DB124" s="422"/>
      <c r="DC124" s="422"/>
      <c r="DD124" s="422"/>
      <c r="DE124" s="422"/>
      <c r="DF124" s="422"/>
    </row>
    <row r="125" spans="1:110" ht="6" customHeight="1">
      <c r="A125" s="232"/>
      <c r="C125" s="152"/>
      <c r="D125" s="152"/>
      <c r="E125" s="152"/>
      <c r="F125" s="152"/>
      <c r="G125" s="152"/>
      <c r="H125" s="152"/>
      <c r="I125" s="152"/>
      <c r="J125" s="152"/>
      <c r="K125" s="152"/>
      <c r="L125" s="152"/>
      <c r="M125" s="152"/>
      <c r="N125" s="152"/>
      <c r="O125" s="152"/>
      <c r="P125" s="152"/>
      <c r="Q125" s="152"/>
      <c r="R125" s="152"/>
      <c r="S125" s="152"/>
      <c r="T125" s="152"/>
      <c r="U125" s="152"/>
      <c r="V125" s="152"/>
      <c r="W125" s="152"/>
      <c r="X125" s="152"/>
      <c r="Y125" s="152"/>
      <c r="Z125" s="152"/>
      <c r="AA125" s="152"/>
      <c r="AB125" s="152"/>
      <c r="AC125" s="152"/>
      <c r="AD125" s="152"/>
      <c r="AE125" s="152"/>
      <c r="AF125" s="152"/>
      <c r="AG125" s="152"/>
      <c r="AH125" s="152"/>
      <c r="AI125" s="152"/>
      <c r="AJ125" s="152"/>
      <c r="AK125" s="152"/>
      <c r="AL125" s="152"/>
      <c r="AM125" s="152"/>
      <c r="AN125" s="152"/>
      <c r="AO125" s="152"/>
      <c r="AP125" s="152"/>
      <c r="AQ125" s="152"/>
      <c r="AR125" s="152"/>
      <c r="AS125" s="152"/>
      <c r="AT125" s="152"/>
      <c r="AU125" s="152"/>
      <c r="AV125" s="152"/>
      <c r="AW125" s="152"/>
      <c r="AX125" s="152"/>
      <c r="AY125" s="152"/>
      <c r="AZ125" s="152"/>
      <c r="BA125" s="152"/>
      <c r="BB125" s="152"/>
      <c r="BC125" s="152"/>
      <c r="BD125" s="152"/>
      <c r="BE125" s="152"/>
      <c r="BF125" s="152"/>
      <c r="BG125" s="152"/>
      <c r="BH125" s="152"/>
      <c r="BI125" s="152"/>
      <c r="BJ125" s="152"/>
      <c r="BK125" s="152"/>
      <c r="BL125" s="152"/>
      <c r="BM125" s="152"/>
      <c r="BN125" s="152"/>
      <c r="BO125" s="152"/>
      <c r="BP125" s="152"/>
      <c r="BQ125" s="152"/>
      <c r="BR125" s="152"/>
      <c r="BS125" s="152"/>
      <c r="BT125" s="152"/>
      <c r="BU125" s="152"/>
      <c r="BV125" s="152"/>
      <c r="BW125" s="152"/>
      <c r="BX125" s="152"/>
      <c r="BY125" s="152"/>
      <c r="BZ125" s="152"/>
      <c r="CA125" s="152"/>
      <c r="CB125" s="152"/>
      <c r="CC125" s="152"/>
      <c r="CD125" s="152"/>
      <c r="CE125" s="152"/>
      <c r="CF125" s="152"/>
      <c r="CG125" s="152"/>
      <c r="CH125" s="480"/>
      <c r="CI125" s="152"/>
      <c r="CJ125" s="152"/>
      <c r="CK125" s="152"/>
      <c r="CL125" s="152"/>
      <c r="CM125" s="152"/>
      <c r="CN125" s="480"/>
      <c r="CO125" s="480"/>
      <c r="CP125" s="480"/>
      <c r="CQ125" s="480"/>
      <c r="CR125" s="480"/>
      <c r="CS125" s="480"/>
      <c r="CT125" s="480"/>
      <c r="CU125" s="480"/>
      <c r="CV125" s="480"/>
      <c r="CW125" s="480"/>
      <c r="CX125" s="480"/>
      <c r="CY125" s="480"/>
      <c r="CZ125" s="480"/>
      <c r="DA125" s="480"/>
      <c r="DB125" s="480"/>
      <c r="DC125" s="480"/>
      <c r="DD125" s="480"/>
      <c r="DE125" s="480"/>
      <c r="DF125" s="480"/>
    </row>
    <row r="126" spans="1:110" ht="6" customHeight="1">
      <c r="A126" s="246"/>
      <c r="C126" s="437"/>
      <c r="D126" s="437"/>
      <c r="E126" s="437"/>
      <c r="F126" s="437"/>
      <c r="G126" s="438"/>
      <c r="H126" s="298"/>
      <c r="I126" s="437"/>
      <c r="J126" s="437"/>
      <c r="K126" s="437"/>
      <c r="L126" s="437"/>
      <c r="M126" s="438"/>
      <c r="N126" s="298"/>
      <c r="O126" s="437"/>
      <c r="P126" s="437"/>
      <c r="Q126" s="437"/>
      <c r="R126" s="437"/>
      <c r="S126" s="438"/>
      <c r="T126" s="298"/>
      <c r="U126" s="437"/>
      <c r="V126" s="437"/>
      <c r="W126" s="437"/>
      <c r="X126" s="437"/>
      <c r="Y126" s="438"/>
      <c r="Z126" s="298"/>
      <c r="AA126" s="437"/>
      <c r="AB126" s="437"/>
      <c r="AC126" s="437"/>
      <c r="AD126" s="437"/>
      <c r="AE126" s="437"/>
      <c r="AF126" s="298"/>
      <c r="AG126" s="437"/>
      <c r="AH126" s="437"/>
      <c r="AI126" s="437"/>
      <c r="AJ126" s="437"/>
      <c r="AK126" s="437"/>
      <c r="AL126" s="298"/>
      <c r="AM126" s="437"/>
      <c r="AN126" s="437"/>
      <c r="AO126" s="437"/>
      <c r="AP126" s="437"/>
      <c r="AQ126" s="437"/>
      <c r="AR126" s="298"/>
      <c r="AS126" s="437"/>
      <c r="AT126" s="437"/>
      <c r="AU126" s="437"/>
      <c r="AV126" s="437"/>
      <c r="AW126" s="437"/>
      <c r="AX126" s="298"/>
      <c r="AY126" s="437"/>
      <c r="AZ126" s="437"/>
      <c r="BA126" s="437"/>
      <c r="BB126" s="437"/>
      <c r="BC126" s="437"/>
      <c r="BD126" s="298"/>
      <c r="BE126" s="437"/>
      <c r="BF126" s="437"/>
      <c r="BG126" s="437"/>
      <c r="BH126" s="437"/>
      <c r="BI126" s="437"/>
      <c r="BJ126" s="298"/>
      <c r="BK126" s="437"/>
      <c r="BL126" s="437"/>
      <c r="BM126" s="437"/>
      <c r="BN126" s="437"/>
      <c r="BO126" s="437"/>
      <c r="BP126" s="298"/>
      <c r="BQ126" s="437"/>
      <c r="BR126" s="437"/>
      <c r="BS126" s="437"/>
      <c r="BT126" s="437"/>
      <c r="BU126" s="437"/>
      <c r="BV126" s="298"/>
      <c r="BW126" s="437"/>
      <c r="BX126" s="437"/>
      <c r="BY126" s="437"/>
      <c r="BZ126" s="437"/>
      <c r="CA126" s="437"/>
      <c r="CB126" s="298"/>
      <c r="CC126" s="437"/>
      <c r="CD126" s="437"/>
      <c r="CE126" s="437"/>
      <c r="CF126" s="437"/>
      <c r="CG126" s="437"/>
      <c r="CH126" s="299"/>
      <c r="CI126" s="437"/>
      <c r="CJ126" s="437"/>
      <c r="CK126" s="437"/>
      <c r="CL126" s="437"/>
      <c r="CM126" s="437"/>
      <c r="CN126" s="299"/>
      <c r="CO126" s="299"/>
      <c r="CP126" s="299"/>
      <c r="CQ126" s="299"/>
      <c r="CR126" s="299"/>
      <c r="CS126" s="299"/>
    </row>
    <row r="127" spans="1:110">
      <c r="A127" s="2203" t="s">
        <v>508</v>
      </c>
      <c r="B127" s="2181"/>
      <c r="C127" s="2182"/>
      <c r="D127" s="2183"/>
      <c r="E127" s="2183"/>
      <c r="F127" s="2198"/>
      <c r="G127" s="2184"/>
      <c r="H127" s="2199"/>
      <c r="I127" s="2182"/>
      <c r="J127" s="2183"/>
      <c r="K127" s="2183"/>
      <c r="L127" s="2198"/>
      <c r="M127" s="2184"/>
      <c r="N127" s="2199"/>
      <c r="O127" s="2182"/>
      <c r="P127" s="2183"/>
      <c r="Q127" s="2183"/>
      <c r="R127" s="2198"/>
      <c r="S127" s="2184"/>
      <c r="T127" s="2199"/>
      <c r="U127" s="2182"/>
      <c r="V127" s="2183"/>
      <c r="W127" s="2183"/>
      <c r="X127" s="2198"/>
      <c r="Y127" s="2184"/>
      <c r="Z127" s="2199"/>
      <c r="AA127" s="2182"/>
      <c r="AB127" s="2183"/>
      <c r="AC127" s="2183"/>
      <c r="AD127" s="2198"/>
      <c r="AE127" s="2184"/>
      <c r="AF127" s="2199"/>
      <c r="AG127" s="2182"/>
      <c r="AH127" s="2183"/>
      <c r="AI127" s="2183"/>
      <c r="AJ127" s="2198"/>
      <c r="AK127" s="2184"/>
      <c r="AL127" s="2199"/>
      <c r="AM127" s="2182"/>
      <c r="AN127" s="2183"/>
      <c r="AO127" s="2183"/>
      <c r="AP127" s="2198"/>
      <c r="AQ127" s="2184"/>
      <c r="AR127" s="2199"/>
      <c r="AS127" s="2182"/>
      <c r="AT127" s="2183"/>
      <c r="AU127" s="2183"/>
      <c r="AV127" s="2198"/>
      <c r="AW127" s="2184"/>
      <c r="AX127" s="2199"/>
      <c r="AY127" s="2182"/>
      <c r="AZ127" s="2183"/>
      <c r="BA127" s="2183"/>
      <c r="BB127" s="2198"/>
      <c r="BC127" s="2184"/>
      <c r="BD127" s="2199"/>
      <c r="BE127" s="2182"/>
      <c r="BF127" s="2183"/>
      <c r="BG127" s="2183"/>
      <c r="BH127" s="2198"/>
      <c r="BI127" s="2184"/>
      <c r="BJ127" s="2199"/>
      <c r="BK127" s="2182"/>
      <c r="BL127" s="2183"/>
      <c r="BM127" s="2183"/>
      <c r="BN127" s="2183"/>
      <c r="BO127" s="2184"/>
      <c r="BP127" s="2199"/>
      <c r="BQ127" s="2182"/>
      <c r="BR127" s="2183"/>
      <c r="BS127" s="2183"/>
      <c r="BT127" s="2198"/>
      <c r="BU127" s="2184"/>
      <c r="BV127" s="2199"/>
      <c r="BW127" s="2182"/>
      <c r="BX127" s="2183"/>
      <c r="BY127" s="28"/>
      <c r="BZ127" s="361"/>
      <c r="CA127" s="360"/>
      <c r="CB127" s="2108"/>
      <c r="CC127" s="30"/>
      <c r="CD127" s="28"/>
      <c r="CE127" s="28"/>
      <c r="CF127" s="361"/>
      <c r="CG127" s="360"/>
      <c r="CH127" s="149"/>
      <c r="CI127" s="30"/>
      <c r="CJ127" s="28"/>
      <c r="CK127" s="28"/>
      <c r="CL127" s="361"/>
      <c r="CM127" s="360"/>
      <c r="CN127" s="149"/>
      <c r="CO127" s="149"/>
      <c r="CP127" s="149"/>
      <c r="CQ127" s="149"/>
      <c r="CR127" s="149"/>
      <c r="CS127" s="149"/>
      <c r="CT127" s="149"/>
    </row>
    <row r="128" spans="1:110" hidden="1" outlineLevel="3">
      <c r="A128" s="1438" t="s">
        <v>97</v>
      </c>
      <c r="C128" s="1439"/>
      <c r="D128" s="1440"/>
      <c r="E128" s="1440"/>
      <c r="F128" s="1441"/>
      <c r="G128" s="1442"/>
      <c r="H128" s="276"/>
      <c r="I128" s="1439"/>
      <c r="J128" s="1440"/>
      <c r="K128" s="1440"/>
      <c r="L128" s="1441"/>
      <c r="M128" s="1442"/>
      <c r="N128" s="276"/>
      <c r="O128" s="1439"/>
      <c r="P128" s="1440"/>
      <c r="Q128" s="1440"/>
      <c r="R128" s="1441"/>
      <c r="S128" s="1442"/>
      <c r="T128" s="276"/>
      <c r="U128" s="1439"/>
      <c r="V128" s="1440"/>
      <c r="W128" s="1440"/>
      <c r="X128" s="1441"/>
      <c r="Y128" s="1441"/>
      <c r="Z128" s="276"/>
      <c r="AA128" s="1358">
        <f t="shared" ref="AA128:AE131" si="84">AA82/U82-1</f>
        <v>0.18823529411764706</v>
      </c>
      <c r="AB128" s="1371">
        <f t="shared" si="84"/>
        <v>0.38922155688622762</v>
      </c>
      <c r="AC128" s="1371">
        <f t="shared" si="84"/>
        <v>0.21122994652406435</v>
      </c>
      <c r="AD128" s="1443">
        <f t="shared" si="84"/>
        <v>9.2807424593967625E-2</v>
      </c>
      <c r="AE128" s="1443">
        <f t="shared" si="84"/>
        <v>0.21162947937795829</v>
      </c>
      <c r="AF128" s="276"/>
      <c r="AG128" s="1358">
        <f>AG82/AA82-1</f>
        <v>0.14108910891089099</v>
      </c>
      <c r="AH128" s="1371">
        <f>AH82/AB82-1</f>
        <v>1.0775862068965303E-2</v>
      </c>
      <c r="AI128" s="1371">
        <f>AI82/AC82-1</f>
        <v>-0.13686534216335555</v>
      </c>
      <c r="AJ128" s="1371">
        <f>AJ82/AD82-1</f>
        <v>-0.14861995753715496</v>
      </c>
      <c r="AK128" s="1372">
        <f>AK82/AE82-1</f>
        <v>-3.9062500000000111E-2</v>
      </c>
      <c r="AL128" s="276"/>
      <c r="AM128" s="1358">
        <f t="shared" ref="AM128:AN131" si="85">AM82/AG82-1</f>
        <v>-0.13015184381778755</v>
      </c>
      <c r="AN128" s="1371">
        <f t="shared" si="85"/>
        <v>-0.13646055437100202</v>
      </c>
      <c r="AO128" s="1371"/>
      <c r="AP128" s="1371"/>
      <c r="AQ128" s="1372"/>
      <c r="AR128" s="276"/>
      <c r="AS128" s="1358"/>
      <c r="AT128" s="1371"/>
      <c r="AU128" s="1371"/>
      <c r="AV128" s="1443"/>
      <c r="AW128" s="1372"/>
      <c r="AX128" s="276"/>
      <c r="AY128" s="1358"/>
      <c r="AZ128" s="1371"/>
      <c r="BA128" s="1371"/>
      <c r="BB128" s="1443"/>
      <c r="BC128" s="1372"/>
      <c r="BD128" s="276"/>
      <c r="BE128" s="1358"/>
      <c r="BF128" s="1371"/>
      <c r="BG128" s="1371"/>
      <c r="BH128" s="1443"/>
      <c r="BI128" s="1372"/>
      <c r="BJ128" s="276"/>
      <c r="BK128" s="1358"/>
      <c r="BL128" s="1371"/>
      <c r="BM128" s="1371"/>
      <c r="BN128" s="1371"/>
      <c r="BO128" s="1372"/>
      <c r="BP128" s="276"/>
      <c r="BQ128" s="1358"/>
      <c r="BR128" s="1371"/>
      <c r="BS128" s="1371"/>
      <c r="BT128" s="1443"/>
      <c r="BU128" s="1372"/>
      <c r="BV128" s="276"/>
      <c r="BW128" s="1358"/>
      <c r="BX128" s="1371"/>
      <c r="BY128" s="1371"/>
      <c r="BZ128" s="1443"/>
      <c r="CA128" s="1372"/>
      <c r="CB128" s="1371"/>
      <c r="CC128" s="1358"/>
      <c r="CD128" s="1371"/>
      <c r="CE128" s="1371"/>
      <c r="CF128" s="1443"/>
      <c r="CG128" s="1372"/>
      <c r="CH128" s="299"/>
      <c r="CI128" s="1358"/>
      <c r="CJ128" s="1371"/>
      <c r="CK128" s="1371"/>
      <c r="CL128" s="1443"/>
      <c r="CM128" s="1372"/>
      <c r="CN128" s="299"/>
      <c r="CO128" s="299"/>
      <c r="CP128" s="299"/>
      <c r="CQ128" s="299"/>
      <c r="CR128" s="299"/>
      <c r="CS128" s="299"/>
    </row>
    <row r="129" spans="1:97" hidden="1" outlineLevel="3">
      <c r="A129" s="1444" t="s">
        <v>187</v>
      </c>
      <c r="C129" s="1375"/>
      <c r="D129" s="1366"/>
      <c r="E129" s="1366"/>
      <c r="F129" s="1441"/>
      <c r="G129" s="1442"/>
      <c r="H129" s="276"/>
      <c r="I129" s="1375"/>
      <c r="J129" s="1366"/>
      <c r="K129" s="1366"/>
      <c r="L129" s="1441"/>
      <c r="M129" s="1442"/>
      <c r="N129" s="276"/>
      <c r="O129" s="1375"/>
      <c r="P129" s="1366"/>
      <c r="Q129" s="1366"/>
      <c r="R129" s="1441"/>
      <c r="S129" s="1442"/>
      <c r="T129" s="276"/>
      <c r="U129" s="1375"/>
      <c r="V129" s="1366"/>
      <c r="W129" s="1366"/>
      <c r="X129" s="1441"/>
      <c r="Y129" s="1441"/>
      <c r="Z129" s="276"/>
      <c r="AA129" s="1375">
        <f t="shared" si="84"/>
        <v>0.18823529411764706</v>
      </c>
      <c r="AB129" s="1366">
        <f t="shared" si="84"/>
        <v>0.42781104457751185</v>
      </c>
      <c r="AC129" s="1366">
        <f t="shared" si="84"/>
        <v>0.24310441880101341</v>
      </c>
      <c r="AD129" s="1445">
        <f t="shared" si="84"/>
        <v>-1.3807933903004721E-2</v>
      </c>
      <c r="AE129" s="1445">
        <f t="shared" si="84"/>
        <v>0.18984095321210392</v>
      </c>
      <c r="AF129" s="276"/>
      <c r="AG129" s="1375">
        <f t="shared" ref="AG129:AI131" si="86">AG83/AA83-1</f>
        <v>0.17278602860286019</v>
      </c>
      <c r="AH129" s="1366">
        <f t="shared" si="86"/>
        <v>-4.3860671015843566E-2</v>
      </c>
      <c r="AI129" s="1366">
        <f t="shared" si="86"/>
        <v>-0.15899700005660267</v>
      </c>
      <c r="AJ129" s="1366">
        <f>AI129</f>
        <v>-0.15899700005660267</v>
      </c>
      <c r="AK129" s="1389">
        <f>AK83/AE83-1</f>
        <v>-4.2466245546807335E-2</v>
      </c>
      <c r="AL129" s="276"/>
      <c r="AM129" s="1375">
        <f t="shared" si="85"/>
        <v>-0.15366125344433379</v>
      </c>
      <c r="AN129" s="1366">
        <f t="shared" si="85"/>
        <v>-0.11178799878160217</v>
      </c>
      <c r="AO129" s="1366"/>
      <c r="AP129" s="1366"/>
      <c r="AQ129" s="1389"/>
      <c r="AR129" s="276"/>
      <c r="AS129" s="1375"/>
      <c r="AT129" s="1446"/>
      <c r="AU129" s="1446"/>
      <c r="AV129" s="1447"/>
      <c r="AW129" s="1389"/>
      <c r="AX129" s="276"/>
      <c r="AY129" s="1375"/>
      <c r="AZ129" s="1446"/>
      <c r="BA129" s="1446"/>
      <c r="BB129" s="1447"/>
      <c r="BC129" s="1389"/>
      <c r="BD129" s="276"/>
      <c r="BE129" s="1375"/>
      <c r="BF129" s="1446"/>
      <c r="BG129" s="1446"/>
      <c r="BH129" s="1447"/>
      <c r="BI129" s="1389"/>
      <c r="BJ129" s="276"/>
      <c r="BK129" s="1375"/>
      <c r="BL129" s="1446"/>
      <c r="BM129" s="1446"/>
      <c r="BN129" s="1446"/>
      <c r="BO129" s="1389"/>
      <c r="BP129" s="276"/>
      <c r="BQ129" s="1375"/>
      <c r="BR129" s="1446"/>
      <c r="BS129" s="1446"/>
      <c r="BT129" s="1447"/>
      <c r="BU129" s="1389"/>
      <c r="BV129" s="276"/>
      <c r="BW129" s="1375"/>
      <c r="BX129" s="1446"/>
      <c r="BY129" s="1446"/>
      <c r="BZ129" s="1447"/>
      <c r="CA129" s="1389"/>
      <c r="CB129" s="1366"/>
      <c r="CC129" s="1375"/>
      <c r="CD129" s="1446"/>
      <c r="CE129" s="1446"/>
      <c r="CF129" s="1447"/>
      <c r="CG129" s="1389"/>
      <c r="CH129" s="299"/>
      <c r="CI129" s="1375"/>
      <c r="CJ129" s="1446"/>
      <c r="CK129" s="1446"/>
      <c r="CL129" s="1447"/>
      <c r="CM129" s="1389"/>
      <c r="CN129" s="299"/>
      <c r="CO129" s="299"/>
      <c r="CP129" s="299"/>
      <c r="CQ129" s="299"/>
      <c r="CR129" s="299"/>
      <c r="CS129" s="299"/>
    </row>
    <row r="130" spans="1:97" hidden="1" outlineLevel="3">
      <c r="A130" s="1444" t="s">
        <v>188</v>
      </c>
      <c r="C130" s="1375"/>
      <c r="D130" s="1366"/>
      <c r="E130" s="1366"/>
      <c r="F130" s="1441"/>
      <c r="G130" s="1442"/>
      <c r="H130" s="276"/>
      <c r="I130" s="1375"/>
      <c r="J130" s="1366"/>
      <c r="K130" s="1366"/>
      <c r="L130" s="1441"/>
      <c r="M130" s="1442"/>
      <c r="N130" s="276"/>
      <c r="O130" s="1375"/>
      <c r="P130" s="1366"/>
      <c r="Q130" s="1366"/>
      <c r="R130" s="1441"/>
      <c r="S130" s="1442"/>
      <c r="T130" s="276"/>
      <c r="U130" s="1375"/>
      <c r="V130" s="1366"/>
      <c r="W130" s="1366"/>
      <c r="X130" s="1441"/>
      <c r="Y130" s="1441"/>
      <c r="Z130" s="276"/>
      <c r="AA130" s="1375">
        <f t="shared" si="84"/>
        <v>0.12400635930047677</v>
      </c>
      <c r="AB130" s="1366">
        <f t="shared" si="84"/>
        <v>0.38922155688622739</v>
      </c>
      <c r="AC130" s="1366">
        <f t="shared" si="84"/>
        <v>0.10111813320369478</v>
      </c>
      <c r="AD130" s="1445">
        <f t="shared" si="84"/>
        <v>9.2807424593967403E-2</v>
      </c>
      <c r="AE130" s="1445">
        <f t="shared" si="84"/>
        <v>0.1639102064267246</v>
      </c>
      <c r="AF130" s="276"/>
      <c r="AG130" s="1375">
        <f t="shared" si="86"/>
        <v>7.5884016973126078E-2</v>
      </c>
      <c r="AH130" s="1366">
        <f t="shared" si="86"/>
        <v>1.0775862068965525E-2</v>
      </c>
      <c r="AI130" s="1366">
        <f t="shared" si="86"/>
        <v>-0.1944076526857984</v>
      </c>
      <c r="AJ130" s="1366">
        <f>AI130</f>
        <v>-0.1944076526857984</v>
      </c>
      <c r="AK130" s="1389">
        <f>AK84/AE84-1</f>
        <v>-9.2785867917210219E-2</v>
      </c>
      <c r="AL130" s="276"/>
      <c r="AM130" s="1375">
        <f t="shared" si="85"/>
        <v>-0.15651087885361203</v>
      </c>
      <c r="AN130" s="1366">
        <f t="shared" si="85"/>
        <v>-0.22281449893390182</v>
      </c>
      <c r="AO130" s="1366"/>
      <c r="AP130" s="1366"/>
      <c r="AQ130" s="1389"/>
      <c r="AR130" s="276"/>
      <c r="AS130" s="1375"/>
      <c r="AT130" s="1446"/>
      <c r="AU130" s="1446"/>
      <c r="AV130" s="1447"/>
      <c r="AW130" s="1389"/>
      <c r="AX130" s="276"/>
      <c r="AY130" s="1375"/>
      <c r="AZ130" s="1446"/>
      <c r="BA130" s="1446"/>
      <c r="BB130" s="1447"/>
      <c r="BC130" s="1389"/>
      <c r="BD130" s="276"/>
      <c r="BE130" s="1375"/>
      <c r="BF130" s="1446"/>
      <c r="BG130" s="1446"/>
      <c r="BH130" s="1447"/>
      <c r="BI130" s="1389"/>
      <c r="BJ130" s="276"/>
      <c r="BK130" s="1375"/>
      <c r="BL130" s="1446"/>
      <c r="BM130" s="1446"/>
      <c r="BN130" s="1446"/>
      <c r="BO130" s="1389"/>
      <c r="BP130" s="276"/>
      <c r="BQ130" s="1375"/>
      <c r="BR130" s="1446"/>
      <c r="BS130" s="1446"/>
      <c r="BT130" s="1447"/>
      <c r="BU130" s="1389"/>
      <c r="BV130" s="276"/>
      <c r="BW130" s="1375"/>
      <c r="BX130" s="1446"/>
      <c r="BY130" s="1446"/>
      <c r="BZ130" s="1447"/>
      <c r="CA130" s="1389"/>
      <c r="CB130" s="1366"/>
      <c r="CC130" s="1375"/>
      <c r="CD130" s="1446"/>
      <c r="CE130" s="1446"/>
      <c r="CF130" s="1447"/>
      <c r="CG130" s="1389"/>
      <c r="CH130" s="299"/>
      <c r="CI130" s="1375"/>
      <c r="CJ130" s="1446"/>
      <c r="CK130" s="1446"/>
      <c r="CL130" s="1447"/>
      <c r="CM130" s="1389"/>
      <c r="CN130" s="299"/>
      <c r="CO130" s="299"/>
      <c r="CP130" s="299"/>
      <c r="CQ130" s="299"/>
      <c r="CR130" s="299"/>
      <c r="CS130" s="299"/>
    </row>
    <row r="131" spans="1:97" hidden="1" outlineLevel="3">
      <c r="A131" s="1444" t="s">
        <v>189</v>
      </c>
      <c r="C131" s="1375"/>
      <c r="D131" s="1366"/>
      <c r="E131" s="1366"/>
      <c r="F131" s="1441"/>
      <c r="G131" s="1442"/>
      <c r="H131" s="276"/>
      <c r="I131" s="1375"/>
      <c r="J131" s="1366"/>
      <c r="K131" s="1366"/>
      <c r="L131" s="1441"/>
      <c r="M131" s="1442"/>
      <c r="N131" s="276"/>
      <c r="O131" s="1375"/>
      <c r="P131" s="1366"/>
      <c r="Q131" s="1366"/>
      <c r="R131" s="1441"/>
      <c r="S131" s="1442"/>
      <c r="T131" s="276"/>
      <c r="U131" s="1375"/>
      <c r="V131" s="1366"/>
      <c r="W131" s="1366"/>
      <c r="X131" s="1441"/>
      <c r="Y131" s="1441"/>
      <c r="Z131" s="276"/>
      <c r="AA131" s="1375">
        <f t="shared" si="84"/>
        <v>0.2762527233115466</v>
      </c>
      <c r="AB131" s="1366">
        <f t="shared" si="84"/>
        <v>0.34836209933075035</v>
      </c>
      <c r="AC131" s="1366">
        <f t="shared" si="84"/>
        <v>0.29476304628434469</v>
      </c>
      <c r="AD131" s="1445">
        <f t="shared" si="84"/>
        <v>0.25470482083011081</v>
      </c>
      <c r="AE131" s="1445">
        <f t="shared" si="84"/>
        <v>0.29412585136800029</v>
      </c>
      <c r="AF131" s="276"/>
      <c r="AG131" s="1375">
        <f t="shared" si="86"/>
        <v>0.18043700921816308</v>
      </c>
      <c r="AH131" s="1366">
        <f t="shared" si="86"/>
        <v>7.2035005224660109E-2</v>
      </c>
      <c r="AI131" s="1366">
        <f t="shared" si="86"/>
        <v>-5.3336181727551168E-2</v>
      </c>
      <c r="AJ131" s="1366">
        <f>AI131</f>
        <v>-5.3336181727551168E-2</v>
      </c>
      <c r="AK131" s="1389">
        <f>AK85/AE85-1</f>
        <v>1.9758586003735923E-2</v>
      </c>
      <c r="AL131" s="276"/>
      <c r="AM131" s="1375">
        <f t="shared" si="85"/>
        <v>-7.2161966738973127E-2</v>
      </c>
      <c r="AN131" s="1366">
        <f t="shared" si="85"/>
        <v>-8.7115443192202213E-2</v>
      </c>
      <c r="AO131" s="1366"/>
      <c r="AP131" s="1366"/>
      <c r="AQ131" s="1389"/>
      <c r="AR131" s="276"/>
      <c r="AS131" s="1375"/>
      <c r="AT131" s="1446"/>
      <c r="AU131" s="1446"/>
      <c r="AV131" s="1447"/>
      <c r="AW131" s="1389"/>
      <c r="AX131" s="276"/>
      <c r="AY131" s="1375"/>
      <c r="AZ131" s="1446"/>
      <c r="BA131" s="1446"/>
      <c r="BB131" s="1447"/>
      <c r="BC131" s="1389"/>
      <c r="BD131" s="276"/>
      <c r="BE131" s="1375"/>
      <c r="BF131" s="1446"/>
      <c r="BG131" s="1446"/>
      <c r="BH131" s="1447"/>
      <c r="BI131" s="1389"/>
      <c r="BJ131" s="276"/>
      <c r="BK131" s="1375"/>
      <c r="BL131" s="1446"/>
      <c r="BM131" s="1446"/>
      <c r="BN131" s="1446"/>
      <c r="BO131" s="1389"/>
      <c r="BP131" s="276"/>
      <c r="BQ131" s="1375"/>
      <c r="BR131" s="1446"/>
      <c r="BS131" s="1446"/>
      <c r="BT131" s="1447"/>
      <c r="BU131" s="1389"/>
      <c r="BV131" s="276"/>
      <c r="BW131" s="1375"/>
      <c r="BX131" s="1446"/>
      <c r="BY131" s="1446"/>
      <c r="BZ131" s="1447"/>
      <c r="CA131" s="1389"/>
      <c r="CB131" s="1366"/>
      <c r="CC131" s="1375"/>
      <c r="CD131" s="1446"/>
      <c r="CE131" s="1446"/>
      <c r="CF131" s="1447"/>
      <c r="CG131" s="1389"/>
      <c r="CH131" s="299"/>
      <c r="CI131" s="1375"/>
      <c r="CJ131" s="1446"/>
      <c r="CK131" s="1446"/>
      <c r="CL131" s="1447"/>
      <c r="CM131" s="1389"/>
      <c r="CN131" s="299"/>
      <c r="CO131" s="299"/>
      <c r="CP131" s="299"/>
      <c r="CQ131" s="299"/>
      <c r="CR131" s="299"/>
      <c r="CS131" s="299"/>
    </row>
    <row r="132" spans="1:97" hidden="1" outlineLevel="3">
      <c r="A132" s="1448" t="s">
        <v>99</v>
      </c>
      <c r="C132" s="1358"/>
      <c r="D132" s="1371"/>
      <c r="E132" s="1371"/>
      <c r="F132" s="1443"/>
      <c r="G132" s="1372"/>
      <c r="H132" s="276"/>
      <c r="I132" s="1358"/>
      <c r="J132" s="1371"/>
      <c r="K132" s="1371"/>
      <c r="L132" s="1443"/>
      <c r="M132" s="1372"/>
      <c r="N132" s="276"/>
      <c r="O132" s="1358"/>
      <c r="P132" s="1371"/>
      <c r="Q132" s="1371"/>
      <c r="R132" s="1443"/>
      <c r="S132" s="1372"/>
      <c r="T132" s="276"/>
      <c r="U132" s="1358"/>
      <c r="V132" s="1371"/>
      <c r="W132" s="1371"/>
      <c r="X132" s="1443"/>
      <c r="Y132" s="1372"/>
      <c r="Z132" s="276"/>
      <c r="AA132" s="1358"/>
      <c r="AB132" s="1371"/>
      <c r="AC132" s="1371"/>
      <c r="AD132" s="1443"/>
      <c r="AE132" s="1372"/>
      <c r="AF132" s="276"/>
      <c r="AG132" s="1358"/>
      <c r="AH132" s="1371"/>
      <c r="AI132" s="1371"/>
      <c r="AJ132" s="1371"/>
      <c r="AK132" s="1372"/>
      <c r="AL132" s="276"/>
      <c r="AM132" s="1358"/>
      <c r="AN132" s="1371"/>
      <c r="AO132" s="1371"/>
      <c r="AP132" s="1443"/>
      <c r="AQ132" s="1372"/>
      <c r="AR132" s="276"/>
      <c r="AS132" s="1358"/>
      <c r="AT132" s="1371"/>
      <c r="AU132" s="1371"/>
      <c r="AV132" s="1443"/>
      <c r="AW132" s="1372"/>
      <c r="AX132" s="276"/>
      <c r="AY132" s="1358"/>
      <c r="AZ132" s="1371"/>
      <c r="BA132" s="1371"/>
      <c r="BB132" s="1443"/>
      <c r="BC132" s="1372"/>
      <c r="BD132" s="276"/>
      <c r="BE132" s="1358"/>
      <c r="BF132" s="1371"/>
      <c r="BG132" s="1371"/>
      <c r="BH132" s="1443"/>
      <c r="BI132" s="1372"/>
      <c r="BJ132" s="276"/>
      <c r="BK132" s="1358"/>
      <c r="BL132" s="1371"/>
      <c r="BM132" s="1371"/>
      <c r="BN132" s="1371"/>
      <c r="BO132" s="1372"/>
      <c r="BP132" s="276"/>
      <c r="BQ132" s="1358"/>
      <c r="BR132" s="1371"/>
      <c r="BS132" s="1371"/>
      <c r="BT132" s="1443"/>
      <c r="BU132" s="1372"/>
      <c r="BV132" s="276"/>
      <c r="BW132" s="1358"/>
      <c r="BX132" s="1371"/>
      <c r="BY132" s="1371"/>
      <c r="BZ132" s="1443"/>
      <c r="CA132" s="1372"/>
      <c r="CB132" s="1371"/>
      <c r="CC132" s="1358"/>
      <c r="CD132" s="1371"/>
      <c r="CE132" s="1371"/>
      <c r="CF132" s="1443"/>
      <c r="CG132" s="1372"/>
      <c r="CH132" s="299"/>
      <c r="CI132" s="1358"/>
      <c r="CJ132" s="1371"/>
      <c r="CK132" s="1371"/>
      <c r="CL132" s="1443"/>
      <c r="CM132" s="1372"/>
      <c r="CN132" s="299"/>
      <c r="CO132" s="299"/>
      <c r="CP132" s="299"/>
      <c r="CQ132" s="299"/>
      <c r="CR132" s="299"/>
      <c r="CS132" s="299"/>
    </row>
    <row r="133" spans="1:97" hidden="1" outlineLevel="3">
      <c r="A133" s="1444" t="s">
        <v>187</v>
      </c>
      <c r="C133" s="1375"/>
      <c r="D133" s="1366"/>
      <c r="E133" s="1366"/>
      <c r="F133" s="1445"/>
      <c r="G133" s="1389"/>
      <c r="H133" s="276"/>
      <c r="I133" s="1375"/>
      <c r="J133" s="1366"/>
      <c r="K133" s="1366"/>
      <c r="L133" s="1445"/>
      <c r="M133" s="1389"/>
      <c r="N133" s="276"/>
      <c r="O133" s="1375"/>
      <c r="P133" s="1366"/>
      <c r="Q133" s="1366"/>
      <c r="R133" s="1445"/>
      <c r="S133" s="1389"/>
      <c r="T133" s="276"/>
      <c r="U133" s="1375"/>
      <c r="V133" s="1366"/>
      <c r="W133" s="1366"/>
      <c r="X133" s="1445"/>
      <c r="Y133" s="1389"/>
      <c r="Z133" s="276"/>
      <c r="AA133" s="1375"/>
      <c r="AB133" s="1366"/>
      <c r="AC133" s="1366"/>
      <c r="AD133" s="1366"/>
      <c r="AE133" s="1389"/>
      <c r="AF133" s="276"/>
      <c r="AG133" s="1375"/>
      <c r="AH133" s="1366"/>
      <c r="AI133" s="1366"/>
      <c r="AJ133" s="1366"/>
      <c r="AK133" s="1389"/>
      <c r="AL133" s="276"/>
      <c r="AM133" s="1367"/>
      <c r="AN133" s="1446"/>
      <c r="AO133" s="1366"/>
      <c r="AP133" s="1447"/>
      <c r="AQ133" s="1445"/>
      <c r="AR133" s="276"/>
      <c r="AS133" s="1367"/>
      <c r="AT133" s="1446"/>
      <c r="AU133" s="1446"/>
      <c r="AV133" s="1447"/>
      <c r="AW133" s="1445"/>
      <c r="AX133" s="276"/>
      <c r="AY133" s="1367"/>
      <c r="AZ133" s="1446"/>
      <c r="BA133" s="1446"/>
      <c r="BB133" s="1447"/>
      <c r="BC133" s="1445"/>
      <c r="BD133" s="276"/>
      <c r="BE133" s="1367"/>
      <c r="BF133" s="1446"/>
      <c r="BG133" s="1446"/>
      <c r="BH133" s="1447"/>
      <c r="BI133" s="1445"/>
      <c r="BJ133" s="276"/>
      <c r="BK133" s="1367"/>
      <c r="BL133" s="1446"/>
      <c r="BM133" s="1446"/>
      <c r="BN133" s="1446"/>
      <c r="BO133" s="1445"/>
      <c r="BP133" s="276"/>
      <c r="BQ133" s="1367"/>
      <c r="BR133" s="1446"/>
      <c r="BS133" s="1446"/>
      <c r="BT133" s="1447"/>
      <c r="BU133" s="1445"/>
      <c r="BV133" s="276"/>
      <c r="BW133" s="1367"/>
      <c r="BX133" s="1446"/>
      <c r="BY133" s="1446"/>
      <c r="BZ133" s="1447"/>
      <c r="CA133" s="1445"/>
      <c r="CB133" s="1366"/>
      <c r="CC133" s="1367"/>
      <c r="CD133" s="1446"/>
      <c r="CE133" s="1446"/>
      <c r="CF133" s="1447"/>
      <c r="CG133" s="1445"/>
      <c r="CH133" s="299"/>
      <c r="CI133" s="1367"/>
      <c r="CJ133" s="1446"/>
      <c r="CK133" s="1446"/>
      <c r="CL133" s="1447"/>
      <c r="CM133" s="1445"/>
      <c r="CN133" s="299"/>
      <c r="CO133" s="299"/>
      <c r="CP133" s="299"/>
      <c r="CQ133" s="299"/>
      <c r="CR133" s="299"/>
      <c r="CS133" s="299"/>
    </row>
    <row r="134" spans="1:97" hidden="1" outlineLevel="3">
      <c r="A134" s="1444" t="s">
        <v>188</v>
      </c>
      <c r="C134" s="1375"/>
      <c r="D134" s="1366"/>
      <c r="E134" s="1366"/>
      <c r="F134" s="1445"/>
      <c r="G134" s="1389"/>
      <c r="H134" s="276"/>
      <c r="I134" s="1375"/>
      <c r="J134" s="1366"/>
      <c r="K134" s="1366"/>
      <c r="L134" s="1445"/>
      <c r="M134" s="1389"/>
      <c r="N134" s="276"/>
      <c r="O134" s="1375"/>
      <c r="P134" s="1366"/>
      <c r="Q134" s="1366"/>
      <c r="R134" s="1445"/>
      <c r="S134" s="1389"/>
      <c r="T134" s="276"/>
      <c r="U134" s="1375"/>
      <c r="V134" s="1366"/>
      <c r="W134" s="1366"/>
      <c r="X134" s="1445"/>
      <c r="Y134" s="1389"/>
      <c r="Z134" s="276"/>
      <c r="AA134" s="1375"/>
      <c r="AB134" s="1366"/>
      <c r="AC134" s="1366"/>
      <c r="AD134" s="1366"/>
      <c r="AE134" s="1389"/>
      <c r="AF134" s="276"/>
      <c r="AG134" s="1375"/>
      <c r="AH134" s="1366"/>
      <c r="AI134" s="1366"/>
      <c r="AJ134" s="1366"/>
      <c r="AK134" s="1389"/>
      <c r="AL134" s="276"/>
      <c r="AM134" s="1367"/>
      <c r="AN134" s="1446"/>
      <c r="AO134" s="1366"/>
      <c r="AP134" s="1447"/>
      <c r="AQ134" s="1445"/>
      <c r="AR134" s="276"/>
      <c r="AS134" s="1367"/>
      <c r="AT134" s="1446"/>
      <c r="AU134" s="1446"/>
      <c r="AV134" s="1447"/>
      <c r="AW134" s="1445"/>
      <c r="AX134" s="276"/>
      <c r="AY134" s="1367"/>
      <c r="AZ134" s="1446"/>
      <c r="BA134" s="1446"/>
      <c r="BB134" s="1447"/>
      <c r="BC134" s="1445"/>
      <c r="BD134" s="276"/>
      <c r="BE134" s="1367"/>
      <c r="BF134" s="1446"/>
      <c r="BG134" s="1446"/>
      <c r="BH134" s="1447"/>
      <c r="BI134" s="1445"/>
      <c r="BJ134" s="276"/>
      <c r="BK134" s="1367"/>
      <c r="BL134" s="1446"/>
      <c r="BM134" s="1446"/>
      <c r="BN134" s="1446"/>
      <c r="BO134" s="1445"/>
      <c r="BP134" s="276"/>
      <c r="BQ134" s="1367"/>
      <c r="BR134" s="1446"/>
      <c r="BS134" s="1446"/>
      <c r="BT134" s="1447"/>
      <c r="BU134" s="1445"/>
      <c r="BV134" s="276"/>
      <c r="BW134" s="1367"/>
      <c r="BX134" s="1446"/>
      <c r="BY134" s="1446"/>
      <c r="BZ134" s="1447"/>
      <c r="CA134" s="1445"/>
      <c r="CB134" s="1366"/>
      <c r="CC134" s="1367"/>
      <c r="CD134" s="1446"/>
      <c r="CE134" s="1446"/>
      <c r="CF134" s="1447"/>
      <c r="CG134" s="1445"/>
      <c r="CH134" s="299"/>
      <c r="CI134" s="1367"/>
      <c r="CJ134" s="1446"/>
      <c r="CK134" s="1446"/>
      <c r="CL134" s="1447"/>
      <c r="CM134" s="1445"/>
      <c r="CN134" s="299"/>
      <c r="CO134" s="299"/>
      <c r="CP134" s="299"/>
      <c r="CQ134" s="299"/>
      <c r="CR134" s="299"/>
      <c r="CS134" s="299"/>
    </row>
    <row r="135" spans="1:97" hidden="1" outlineLevel="3">
      <c r="A135" s="1444" t="s">
        <v>189</v>
      </c>
      <c r="C135" s="1375"/>
      <c r="D135" s="1366"/>
      <c r="E135" s="1366"/>
      <c r="F135" s="1445"/>
      <c r="G135" s="1389"/>
      <c r="H135" s="276"/>
      <c r="I135" s="1375"/>
      <c r="J135" s="1366"/>
      <c r="K135" s="1366"/>
      <c r="L135" s="1445"/>
      <c r="M135" s="1389"/>
      <c r="N135" s="276"/>
      <c r="O135" s="1375"/>
      <c r="P135" s="1366"/>
      <c r="Q135" s="1366"/>
      <c r="R135" s="1445"/>
      <c r="S135" s="1389"/>
      <c r="T135" s="276"/>
      <c r="U135" s="1375"/>
      <c r="V135" s="1366"/>
      <c r="W135" s="1366"/>
      <c r="X135" s="1445"/>
      <c r="Y135" s="1389"/>
      <c r="Z135" s="276"/>
      <c r="AA135" s="1375"/>
      <c r="AB135" s="1366"/>
      <c r="AC135" s="1366"/>
      <c r="AD135" s="1366"/>
      <c r="AE135" s="1389"/>
      <c r="AF135" s="276"/>
      <c r="AG135" s="1375"/>
      <c r="AH135" s="1366"/>
      <c r="AI135" s="1366"/>
      <c r="AJ135" s="1366"/>
      <c r="AK135" s="1389"/>
      <c r="AL135" s="276"/>
      <c r="AM135" s="1367"/>
      <c r="AN135" s="1446"/>
      <c r="AO135" s="1366"/>
      <c r="AP135" s="1447"/>
      <c r="AQ135" s="1445"/>
      <c r="AR135" s="276"/>
      <c r="AS135" s="1367"/>
      <c r="AT135" s="1446"/>
      <c r="AU135" s="1446"/>
      <c r="AV135" s="1447"/>
      <c r="AW135" s="1445"/>
      <c r="AX135" s="276"/>
      <c r="AY135" s="1367"/>
      <c r="AZ135" s="1446"/>
      <c r="BA135" s="1446"/>
      <c r="BB135" s="1447"/>
      <c r="BC135" s="1445"/>
      <c r="BD135" s="276"/>
      <c r="BE135" s="1367"/>
      <c r="BF135" s="1446"/>
      <c r="BG135" s="1446"/>
      <c r="BH135" s="1447"/>
      <c r="BI135" s="1445"/>
      <c r="BJ135" s="276"/>
      <c r="BK135" s="1367"/>
      <c r="BL135" s="1446"/>
      <c r="BM135" s="1446"/>
      <c r="BN135" s="1446"/>
      <c r="BO135" s="1445"/>
      <c r="BP135" s="276"/>
      <c r="BQ135" s="1367"/>
      <c r="BR135" s="1446"/>
      <c r="BS135" s="1446"/>
      <c r="BT135" s="1447"/>
      <c r="BU135" s="1445"/>
      <c r="BV135" s="276"/>
      <c r="BW135" s="1367"/>
      <c r="BX135" s="1446"/>
      <c r="BY135" s="1446"/>
      <c r="BZ135" s="1447"/>
      <c r="CA135" s="1445"/>
      <c r="CB135" s="1366"/>
      <c r="CC135" s="1367"/>
      <c r="CD135" s="1446"/>
      <c r="CE135" s="1446"/>
      <c r="CF135" s="1447"/>
      <c r="CG135" s="1445"/>
      <c r="CH135" s="299"/>
      <c r="CI135" s="1367"/>
      <c r="CJ135" s="1446"/>
      <c r="CK135" s="1446"/>
      <c r="CL135" s="1447"/>
      <c r="CM135" s="1445"/>
      <c r="CN135" s="299"/>
      <c r="CO135" s="299"/>
      <c r="CP135" s="299"/>
      <c r="CQ135" s="299"/>
      <c r="CR135" s="299"/>
      <c r="CS135" s="299"/>
    </row>
    <row r="136" spans="1:97" hidden="1" outlineLevel="3">
      <c r="A136" s="1438" t="s">
        <v>101</v>
      </c>
      <c r="C136" s="1439"/>
      <c r="D136" s="1440"/>
      <c r="E136" s="1440"/>
      <c r="F136" s="1441"/>
      <c r="G136" s="1442"/>
      <c r="H136" s="276"/>
      <c r="I136" s="1439"/>
      <c r="J136" s="1440"/>
      <c r="K136" s="1440"/>
      <c r="L136" s="1441"/>
      <c r="M136" s="1442"/>
      <c r="N136" s="276"/>
      <c r="O136" s="1439"/>
      <c r="P136" s="1440"/>
      <c r="Q136" s="1440"/>
      <c r="R136" s="1441"/>
      <c r="S136" s="1442"/>
      <c r="T136" s="276"/>
      <c r="U136" s="1439"/>
      <c r="V136" s="1440"/>
      <c r="W136" s="1440"/>
      <c r="X136" s="1441"/>
      <c r="Y136" s="1441"/>
      <c r="Z136" s="276"/>
      <c r="AA136" s="1358">
        <f>AA90/U90-1</f>
        <v>0.43032786885245877</v>
      </c>
      <c r="AB136" s="1371">
        <f>AB90/V90-1</f>
        <v>0.60084033613445387</v>
      </c>
      <c r="AC136" s="1371">
        <f>AC90/W90-1</f>
        <v>0.16413373860182379</v>
      </c>
      <c r="AD136" s="1443">
        <f>AD90/X90-1</f>
        <v>4.1131105398457546E-2</v>
      </c>
      <c r="AE136" s="1443">
        <f>AE90/Y90-1</f>
        <v>0.2649999999999999</v>
      </c>
      <c r="AF136" s="276"/>
      <c r="AG136" s="1358">
        <f t="shared" ref="AG136:AJ147" si="87">AG90/AA90-1</f>
        <v>0.13467048710601714</v>
      </c>
      <c r="AH136" s="1371">
        <f t="shared" si="87"/>
        <v>1.8372703412073532E-2</v>
      </c>
      <c r="AI136" s="1371">
        <f t="shared" si="87"/>
        <v>-5.2219321148825326E-3</v>
      </c>
      <c r="AJ136" s="1371">
        <f>AJ90/AD90-1</f>
        <v>-2.7160493827160459E-2</v>
      </c>
      <c r="AK136" s="1372">
        <f>AK90/AE90-1</f>
        <v>2.7009222661396493E-2</v>
      </c>
      <c r="AL136" s="276"/>
      <c r="AM136" s="1358">
        <f t="shared" ref="AM136:AQ147" si="88">AM90/AG90-1</f>
        <v>-5.050505050505083E-3</v>
      </c>
      <c r="AN136" s="1371">
        <f t="shared" si="88"/>
        <v>3.3505154639175361E-2</v>
      </c>
      <c r="AO136" s="1371">
        <f t="shared" si="88"/>
        <v>1.5748031496062964E-2</v>
      </c>
      <c r="AP136" s="1371">
        <f>AP90/AJ90-1</f>
        <v>4.5685279187817285E-2</v>
      </c>
      <c r="AQ136" s="1372">
        <f>AQ90/AK90-1</f>
        <v>2.2450288646568284E-2</v>
      </c>
      <c r="AR136" s="276"/>
      <c r="AS136" s="1358">
        <f t="shared" ref="AS136:AS147" si="89">AS90/AM90-1</f>
        <v>5.8375634517766395E-2</v>
      </c>
      <c r="AT136" s="1371">
        <f t="shared" ref="AT136:AT147" si="90">AT90/AN90-1</f>
        <v>2.4937655860349128E-2</v>
      </c>
      <c r="AU136" s="1371">
        <f t="shared" ref="AU136:AU147" si="91">AU90/AO90-1</f>
        <v>7.7519379844961156E-2</v>
      </c>
      <c r="AV136" s="1371">
        <f t="shared" ref="AV136:AV147" si="92">AV90/AP90-1</f>
        <v>4.6116504854369023E-2</v>
      </c>
      <c r="AW136" s="1372">
        <f t="shared" ref="AW136:AW147" si="93">AW90/AQ90-1</f>
        <v>5.144291091593467E-2</v>
      </c>
      <c r="AX136" s="276"/>
      <c r="AY136" s="1358"/>
      <c r="AZ136" s="1371"/>
      <c r="BA136" s="1371"/>
      <c r="BB136" s="1443"/>
      <c r="BC136" s="1372"/>
      <c r="BD136" s="276"/>
      <c r="BE136" s="1358"/>
      <c r="BF136" s="1371"/>
      <c r="BG136" s="1371"/>
      <c r="BH136" s="1443"/>
      <c r="BI136" s="1372"/>
      <c r="BJ136" s="276"/>
      <c r="BK136" s="1358"/>
      <c r="BL136" s="1371"/>
      <c r="BM136" s="1371"/>
      <c r="BN136" s="1371"/>
      <c r="BO136" s="1372"/>
      <c r="BP136" s="276"/>
      <c r="BQ136" s="1358"/>
      <c r="BR136" s="1371"/>
      <c r="BS136" s="1371"/>
      <c r="BT136" s="1443"/>
      <c r="BU136" s="1372"/>
      <c r="BV136" s="276"/>
      <c r="BW136" s="1358"/>
      <c r="BX136" s="1371"/>
      <c r="BY136" s="1371"/>
      <c r="BZ136" s="1443"/>
      <c r="CA136" s="1372"/>
      <c r="CB136" s="1371"/>
      <c r="CC136" s="1358"/>
      <c r="CD136" s="1371"/>
      <c r="CE136" s="1371"/>
      <c r="CF136" s="1443"/>
      <c r="CG136" s="1372"/>
      <c r="CH136" s="299"/>
      <c r="CI136" s="1358"/>
      <c r="CJ136" s="1371"/>
      <c r="CK136" s="1371"/>
      <c r="CL136" s="1443"/>
      <c r="CM136" s="1372"/>
      <c r="CN136" s="299"/>
      <c r="CO136" s="299"/>
      <c r="CP136" s="299"/>
      <c r="CQ136" s="299"/>
      <c r="CR136" s="299"/>
      <c r="CS136" s="299"/>
    </row>
    <row r="137" spans="1:97" hidden="1" outlineLevel="3">
      <c r="A137" s="1444" t="s">
        <v>187</v>
      </c>
      <c r="C137" s="1439"/>
      <c r="D137" s="1440"/>
      <c r="E137" s="1440"/>
      <c r="F137" s="1441"/>
      <c r="G137" s="1442"/>
      <c r="H137" s="276"/>
      <c r="I137" s="1439"/>
      <c r="J137" s="1440"/>
      <c r="K137" s="1440"/>
      <c r="L137" s="1441"/>
      <c r="M137" s="1442"/>
      <c r="N137" s="276"/>
      <c r="O137" s="1439"/>
      <c r="P137" s="1440"/>
      <c r="Q137" s="1440"/>
      <c r="R137" s="1441"/>
      <c r="S137" s="1442"/>
      <c r="T137" s="276"/>
      <c r="U137" s="1439"/>
      <c r="V137" s="1440"/>
      <c r="W137" s="1440"/>
      <c r="X137" s="1441"/>
      <c r="Y137" s="1441"/>
      <c r="Z137" s="276"/>
      <c r="AA137" s="1375">
        <f t="shared" ref="AA137:AE147" si="94">AA91/U91-1</f>
        <v>0.58925318761384315</v>
      </c>
      <c r="AB137" s="1366">
        <f t="shared" si="94"/>
        <v>0.78555268261150601</v>
      </c>
      <c r="AC137" s="1366">
        <f t="shared" si="94"/>
        <v>6.1416055784015544E-2</v>
      </c>
      <c r="AD137" s="1445">
        <f t="shared" si="94"/>
        <v>-0.10347043701799485</v>
      </c>
      <c r="AE137" s="1445">
        <f t="shared" si="94"/>
        <v>0.21021440236000632</v>
      </c>
      <c r="AF137" s="276"/>
      <c r="AG137" s="1375">
        <f t="shared" si="87"/>
        <v>0.17249283667621773</v>
      </c>
      <c r="AH137" s="1366">
        <f t="shared" si="87"/>
        <v>1.8372703412073532E-2</v>
      </c>
      <c r="AI137" s="1366">
        <f t="shared" si="87"/>
        <v>-5.2219321148825326E-3</v>
      </c>
      <c r="AJ137" s="1366">
        <f>AI137</f>
        <v>-5.2219321148825326E-3</v>
      </c>
      <c r="AK137" s="1389">
        <f t="shared" ref="AK137:AK147" si="95">AK91/AE91-1</f>
        <v>3.4953315776873328E-2</v>
      </c>
      <c r="AL137" s="276"/>
      <c r="AM137" s="1375">
        <f t="shared" si="88"/>
        <v>-5.050505050505083E-3</v>
      </c>
      <c r="AN137" s="1366">
        <f t="shared" si="88"/>
        <v>6.9143263419836565E-2</v>
      </c>
      <c r="AO137" s="1366">
        <f t="shared" si="88"/>
        <v>-1.7018034036068164E-2</v>
      </c>
      <c r="AP137" s="1366">
        <f t="shared" si="88"/>
        <v>4.5685279187817285E-2</v>
      </c>
      <c r="AQ137" s="1389">
        <f>AQ91/AK91-1</f>
        <v>2.2564296679494555E-2</v>
      </c>
      <c r="AR137" s="276"/>
      <c r="AS137" s="1375">
        <f t="shared" si="89"/>
        <v>2.4234485017193386E-2</v>
      </c>
      <c r="AT137" s="1366">
        <f t="shared" si="90"/>
        <v>-9.2269326683291908E-3</v>
      </c>
      <c r="AU137" s="1366">
        <f t="shared" si="91"/>
        <v>0.11343669250646005</v>
      </c>
      <c r="AV137" s="1366">
        <f t="shared" si="92"/>
        <v>0.21484497337926722</v>
      </c>
      <c r="AW137" s="1389">
        <f t="shared" si="93"/>
        <v>8.7319540986303679E-2</v>
      </c>
      <c r="AX137" s="276"/>
      <c r="AY137" s="1375"/>
      <c r="AZ137" s="1366"/>
      <c r="BA137" s="1446"/>
      <c r="BB137" s="1447"/>
      <c r="BC137" s="1389"/>
      <c r="BD137" s="276"/>
      <c r="BE137" s="1375"/>
      <c r="BF137" s="1366"/>
      <c r="BG137" s="1446"/>
      <c r="BH137" s="1447"/>
      <c r="BI137" s="1389"/>
      <c r="BJ137" s="276"/>
      <c r="BK137" s="1375"/>
      <c r="BL137" s="1366"/>
      <c r="BM137" s="1446"/>
      <c r="BN137" s="1446"/>
      <c r="BO137" s="1389"/>
      <c r="BP137" s="276"/>
      <c r="BQ137" s="1375"/>
      <c r="BR137" s="1366"/>
      <c r="BS137" s="1446"/>
      <c r="BT137" s="1447"/>
      <c r="BU137" s="1389"/>
      <c r="BV137" s="276"/>
      <c r="BW137" s="1375"/>
      <c r="BX137" s="1366"/>
      <c r="BY137" s="1446"/>
      <c r="BZ137" s="1447"/>
      <c r="CA137" s="1389"/>
      <c r="CB137" s="1366"/>
      <c r="CC137" s="1375"/>
      <c r="CD137" s="1366"/>
      <c r="CE137" s="1446"/>
      <c r="CF137" s="1447"/>
      <c r="CG137" s="1389"/>
      <c r="CH137" s="299"/>
      <c r="CI137" s="1375"/>
      <c r="CJ137" s="1366"/>
      <c r="CK137" s="1446"/>
      <c r="CL137" s="1447"/>
      <c r="CM137" s="1389"/>
      <c r="CN137" s="299"/>
      <c r="CO137" s="299"/>
      <c r="CP137" s="299"/>
      <c r="CQ137" s="299"/>
      <c r="CR137" s="299"/>
      <c r="CS137" s="299"/>
    </row>
    <row r="138" spans="1:97" hidden="1" outlineLevel="3">
      <c r="A138" s="1444" t="s">
        <v>188</v>
      </c>
      <c r="C138" s="1439"/>
      <c r="D138" s="1440"/>
      <c r="E138" s="1440"/>
      <c r="F138" s="1441"/>
      <c r="G138" s="1442"/>
      <c r="H138" s="276"/>
      <c r="I138" s="1439"/>
      <c r="J138" s="1440"/>
      <c r="K138" s="1440"/>
      <c r="L138" s="1441"/>
      <c r="M138" s="1442"/>
      <c r="N138" s="276"/>
      <c r="O138" s="1439"/>
      <c r="P138" s="1440"/>
      <c r="Q138" s="1440"/>
      <c r="R138" s="1441"/>
      <c r="S138" s="1442"/>
      <c r="T138" s="276"/>
      <c r="U138" s="1439"/>
      <c r="V138" s="1440"/>
      <c r="W138" s="1440"/>
      <c r="X138" s="1441"/>
      <c r="Y138" s="1441"/>
      <c r="Z138" s="276"/>
      <c r="AA138" s="1375">
        <f t="shared" si="94"/>
        <v>0.43032786885245899</v>
      </c>
      <c r="AB138" s="1366">
        <f t="shared" si="94"/>
        <v>0.71518607442977178</v>
      </c>
      <c r="AC138" s="1366">
        <f t="shared" si="94"/>
        <v>5.4996200607902557E-2</v>
      </c>
      <c r="AD138" s="1445">
        <f t="shared" si="94"/>
        <v>-2.3939588688946078E-2</v>
      </c>
      <c r="AE138" s="1445">
        <f t="shared" si="94"/>
        <v>0.22714571910586234</v>
      </c>
      <c r="AF138" s="276"/>
      <c r="AG138" s="1375">
        <f t="shared" si="87"/>
        <v>1.1798415641326443E-3</v>
      </c>
      <c r="AH138" s="1366">
        <f t="shared" si="87"/>
        <v>-1.5573053368328926E-2</v>
      </c>
      <c r="AI138" s="1366">
        <f t="shared" si="87"/>
        <v>-5.2219321148825326E-3</v>
      </c>
      <c r="AJ138" s="1366">
        <f>AI138</f>
        <v>-5.2219321148825326E-3</v>
      </c>
      <c r="AK138" s="1389">
        <f t="shared" si="95"/>
        <v>-2.0320924537623686E-2</v>
      </c>
      <c r="AL138" s="276"/>
      <c r="AM138" s="1375">
        <f t="shared" si="88"/>
        <v>2.8114478114478203E-2</v>
      </c>
      <c r="AN138" s="1366">
        <f t="shared" si="88"/>
        <v>-2.1329541414857323E-3</v>
      </c>
      <c r="AO138" s="1366">
        <f t="shared" si="88"/>
        <v>-1.9277762693456268E-2</v>
      </c>
      <c r="AP138" s="1366">
        <f t="shared" si="88"/>
        <v>4.5685279187817285E-2</v>
      </c>
      <c r="AQ138" s="1389">
        <f>AQ92/AK92-1</f>
        <v>1.3572477909092884E-2</v>
      </c>
      <c r="AR138" s="276"/>
      <c r="AS138" s="1375">
        <f t="shared" si="89"/>
        <v>0.12665793351891286</v>
      </c>
      <c r="AT138" s="1366">
        <f t="shared" si="90"/>
        <v>0.13475240470252925</v>
      </c>
      <c r="AU138" s="1366">
        <f t="shared" si="91"/>
        <v>7.7519379844961156E-2</v>
      </c>
      <c r="AV138" s="1366">
        <f t="shared" si="92"/>
        <v>0.1543354536324073</v>
      </c>
      <c r="AW138" s="1389">
        <f t="shared" si="93"/>
        <v>0.12425907497944899</v>
      </c>
      <c r="AX138" s="276"/>
      <c r="AY138" s="1375"/>
      <c r="AZ138" s="1366"/>
      <c r="BA138" s="1446"/>
      <c r="BB138" s="1447"/>
      <c r="BC138" s="1389"/>
      <c r="BD138" s="276"/>
      <c r="BE138" s="1375"/>
      <c r="BF138" s="1366"/>
      <c r="BG138" s="1446"/>
      <c r="BH138" s="1447"/>
      <c r="BI138" s="1389"/>
      <c r="BJ138" s="276"/>
      <c r="BK138" s="1375"/>
      <c r="BL138" s="1366"/>
      <c r="BM138" s="1446"/>
      <c r="BN138" s="1446"/>
      <c r="BO138" s="1389"/>
      <c r="BP138" s="276"/>
      <c r="BQ138" s="1375"/>
      <c r="BR138" s="1366"/>
      <c r="BS138" s="1446"/>
      <c r="BT138" s="1447"/>
      <c r="BU138" s="1389"/>
      <c r="BV138" s="276"/>
      <c r="BW138" s="1375"/>
      <c r="BX138" s="1366"/>
      <c r="BY138" s="1446"/>
      <c r="BZ138" s="1447"/>
      <c r="CA138" s="1389"/>
      <c r="CB138" s="1366"/>
      <c r="CC138" s="1375"/>
      <c r="CD138" s="1366"/>
      <c r="CE138" s="1446"/>
      <c r="CF138" s="1447"/>
      <c r="CG138" s="1389"/>
      <c r="CH138" s="299"/>
      <c r="CI138" s="1375"/>
      <c r="CJ138" s="1366"/>
      <c r="CK138" s="1446"/>
      <c r="CL138" s="1447"/>
      <c r="CM138" s="1389"/>
      <c r="CN138" s="299"/>
      <c r="CO138" s="299"/>
      <c r="CP138" s="299"/>
      <c r="CQ138" s="299"/>
      <c r="CR138" s="299"/>
      <c r="CS138" s="299"/>
    </row>
    <row r="139" spans="1:97" hidden="1" outlineLevel="3">
      <c r="A139" s="1444" t="s">
        <v>189</v>
      </c>
      <c r="C139" s="1439"/>
      <c r="D139" s="1440"/>
      <c r="E139" s="1440"/>
      <c r="F139" s="1441"/>
      <c r="G139" s="1442"/>
      <c r="H139" s="276"/>
      <c r="I139" s="1439"/>
      <c r="J139" s="1440"/>
      <c r="K139" s="1440"/>
      <c r="L139" s="1441"/>
      <c r="M139" s="1442"/>
      <c r="N139" s="276"/>
      <c r="O139" s="1439"/>
      <c r="P139" s="1440"/>
      <c r="Q139" s="1440"/>
      <c r="R139" s="1441"/>
      <c r="S139" s="1442"/>
      <c r="T139" s="276"/>
      <c r="U139" s="1439"/>
      <c r="V139" s="1440"/>
      <c r="W139" s="1440"/>
      <c r="X139" s="1441"/>
      <c r="Y139" s="1441"/>
      <c r="Z139" s="276"/>
      <c r="AA139" s="1375">
        <f t="shared" si="94"/>
        <v>0.32030264817150078</v>
      </c>
      <c r="AB139" s="1366">
        <f t="shared" si="94"/>
        <v>0.42683595177201283</v>
      </c>
      <c r="AC139" s="1366">
        <f t="shared" si="94"/>
        <v>0.36956910423743961</v>
      </c>
      <c r="AD139" s="1445">
        <f t="shared" si="94"/>
        <v>0.26887853470437029</v>
      </c>
      <c r="AE139" s="1445">
        <f t="shared" si="94"/>
        <v>0.34473218740078915</v>
      </c>
      <c r="AF139" s="276"/>
      <c r="AG139" s="1375">
        <f t="shared" si="87"/>
        <v>0.22922636103151861</v>
      </c>
      <c r="AH139" s="1366">
        <f t="shared" si="87"/>
        <v>4.321106203188041E-2</v>
      </c>
      <c r="AI139" s="1366">
        <f t="shared" si="87"/>
        <v>-5.2219321148825326E-3</v>
      </c>
      <c r="AJ139" s="1366">
        <f>AI139</f>
        <v>-5.2219321148825326E-3</v>
      </c>
      <c r="AK139" s="1389">
        <f t="shared" si="95"/>
        <v>5.8010118043844816E-2</v>
      </c>
      <c r="AL139" s="276"/>
      <c r="AM139" s="1375">
        <f t="shared" si="88"/>
        <v>-3.0562030562030551E-2</v>
      </c>
      <c r="AN139" s="1366">
        <f t="shared" si="88"/>
        <v>3.3505154639175139E-2</v>
      </c>
      <c r="AO139" s="1366">
        <f t="shared" si="88"/>
        <v>6.6535433070866068E-2</v>
      </c>
      <c r="AP139" s="1366">
        <f t="shared" si="88"/>
        <v>4.5685279187817285E-2</v>
      </c>
      <c r="AQ139" s="1389">
        <f>AQ93/AK93-1</f>
        <v>2.8817341408989616E-2</v>
      </c>
      <c r="AR139" s="276"/>
      <c r="AS139" s="1375">
        <f t="shared" si="89"/>
        <v>3.0523644135719952E-2</v>
      </c>
      <c r="AT139" s="1366">
        <f t="shared" si="90"/>
        <v>-2.386889918061974E-2</v>
      </c>
      <c r="AU139" s="1366">
        <f t="shared" si="91"/>
        <v>5.1864156515319282E-2</v>
      </c>
      <c r="AV139" s="1366">
        <f t="shared" si="92"/>
        <v>-0.1631067961165048</v>
      </c>
      <c r="AW139" s="1389">
        <f t="shared" si="93"/>
        <v>-2.7731300737435793E-2</v>
      </c>
      <c r="AX139" s="276"/>
      <c r="AY139" s="1375"/>
      <c r="AZ139" s="1366"/>
      <c r="BA139" s="1446"/>
      <c r="BB139" s="1447"/>
      <c r="BC139" s="1389"/>
      <c r="BD139" s="276"/>
      <c r="BE139" s="1375"/>
      <c r="BF139" s="1366"/>
      <c r="BG139" s="1446"/>
      <c r="BH139" s="1447"/>
      <c r="BI139" s="1389"/>
      <c r="BJ139" s="276"/>
      <c r="BK139" s="1375"/>
      <c r="BL139" s="1366"/>
      <c r="BM139" s="1446"/>
      <c r="BN139" s="1446"/>
      <c r="BO139" s="1389"/>
      <c r="BP139" s="276"/>
      <c r="BQ139" s="1375"/>
      <c r="BR139" s="1366"/>
      <c r="BS139" s="1446"/>
      <c r="BT139" s="1447"/>
      <c r="BU139" s="1389"/>
      <c r="BV139" s="276"/>
      <c r="BW139" s="1375"/>
      <c r="BX139" s="1366"/>
      <c r="BY139" s="1446"/>
      <c r="BZ139" s="1447"/>
      <c r="CA139" s="1389"/>
      <c r="CB139" s="1366"/>
      <c r="CC139" s="1375"/>
      <c r="CD139" s="1366"/>
      <c r="CE139" s="1446"/>
      <c r="CF139" s="1447"/>
      <c r="CG139" s="1389"/>
      <c r="CH139" s="299"/>
      <c r="CI139" s="1375"/>
      <c r="CJ139" s="1366"/>
      <c r="CK139" s="1446"/>
      <c r="CL139" s="1447"/>
      <c r="CM139" s="1389"/>
      <c r="CN139" s="299"/>
      <c r="CO139" s="299"/>
      <c r="CP139" s="299"/>
      <c r="CQ139" s="299"/>
      <c r="CR139" s="299"/>
      <c r="CS139" s="299"/>
    </row>
    <row r="140" spans="1:97" hidden="1" outlineLevel="3">
      <c r="A140" s="1438" t="s">
        <v>103</v>
      </c>
      <c r="C140" s="1439"/>
      <c r="D140" s="1440"/>
      <c r="E140" s="1440"/>
      <c r="F140" s="1441"/>
      <c r="G140" s="1442"/>
      <c r="H140" s="276"/>
      <c r="I140" s="1439"/>
      <c r="J140" s="1440"/>
      <c r="K140" s="1440"/>
      <c r="L140" s="1441"/>
      <c r="M140" s="1442"/>
      <c r="N140" s="276"/>
      <c r="O140" s="1439"/>
      <c r="P140" s="1440"/>
      <c r="Q140" s="1440"/>
      <c r="R140" s="1441"/>
      <c r="S140" s="1442"/>
      <c r="T140" s="276"/>
      <c r="U140" s="1358"/>
      <c r="V140" s="1371"/>
      <c r="W140" s="1371"/>
      <c r="X140" s="1371"/>
      <c r="Y140" s="1372"/>
      <c r="Z140" s="276"/>
      <c r="AA140" s="1358">
        <f t="shared" si="94"/>
        <v>0.18823529411764706</v>
      </c>
      <c r="AB140" s="1371">
        <f t="shared" si="94"/>
        <v>0.38922155688622762</v>
      </c>
      <c r="AC140" s="1371">
        <f t="shared" si="94"/>
        <v>0.21122994652406435</v>
      </c>
      <c r="AD140" s="1371">
        <f t="shared" si="94"/>
        <v>9.2807424593967625E-2</v>
      </c>
      <c r="AE140" s="1372">
        <f t="shared" si="94"/>
        <v>0.21162947937795829</v>
      </c>
      <c r="AF140" s="276"/>
      <c r="AG140" s="1358">
        <f t="shared" si="87"/>
        <v>0.14108910891089099</v>
      </c>
      <c r="AH140" s="1371">
        <f t="shared" si="87"/>
        <v>1.0775862068965303E-2</v>
      </c>
      <c r="AI140" s="1371">
        <f t="shared" si="87"/>
        <v>9.7130242825606894E-2</v>
      </c>
      <c r="AJ140" s="1371">
        <f t="shared" si="87"/>
        <v>0.18259023354564752</v>
      </c>
      <c r="AK140" s="1372">
        <f t="shared" si="95"/>
        <v>0.10714285714285698</v>
      </c>
      <c r="AL140" s="276"/>
      <c r="AM140" s="1358">
        <f t="shared" si="88"/>
        <v>0.22342733188720176</v>
      </c>
      <c r="AN140" s="1371">
        <f t="shared" si="88"/>
        <v>0.2174840085287848</v>
      </c>
      <c r="AO140" s="1371">
        <f t="shared" si="88"/>
        <v>0.13480885311871238</v>
      </c>
      <c r="AP140" s="1371">
        <f t="shared" si="88"/>
        <v>7.8994614003590646E-2</v>
      </c>
      <c r="AQ140" s="1372">
        <f t="shared" si="88"/>
        <v>0.15927419354838701</v>
      </c>
      <c r="AR140" s="276"/>
      <c r="AS140" s="1358">
        <f t="shared" si="89"/>
        <v>4.7872340425531901E-2</v>
      </c>
      <c r="AT140" s="1371">
        <f t="shared" si="90"/>
        <v>1.0507880910683109E-2</v>
      </c>
      <c r="AU140" s="1371">
        <f t="shared" si="91"/>
        <v>4.9645390070921946E-2</v>
      </c>
      <c r="AV140" s="1371">
        <f t="shared" si="92"/>
        <v>1.830282861896837E-2</v>
      </c>
      <c r="AW140" s="1372">
        <f t="shared" si="93"/>
        <v>3.1304347826087042E-2</v>
      </c>
      <c r="AX140" s="276"/>
      <c r="AY140" s="1358"/>
      <c r="AZ140" s="1371"/>
      <c r="BA140" s="1371"/>
      <c r="BB140" s="1443"/>
      <c r="BC140" s="1372"/>
      <c r="BD140" s="276"/>
      <c r="BE140" s="1358"/>
      <c r="BF140" s="1371"/>
      <c r="BG140" s="1371"/>
      <c r="BH140" s="1443"/>
      <c r="BI140" s="1372"/>
      <c r="BJ140" s="276"/>
      <c r="BK140" s="1358"/>
      <c r="BL140" s="1371"/>
      <c r="BM140" s="1371"/>
      <c r="BN140" s="1371"/>
      <c r="BO140" s="1372"/>
      <c r="BP140" s="276"/>
      <c r="BQ140" s="1358"/>
      <c r="BR140" s="1371"/>
      <c r="BS140" s="1371"/>
      <c r="BT140" s="1443"/>
      <c r="BU140" s="1372"/>
      <c r="BV140" s="276"/>
      <c r="BW140" s="1358"/>
      <c r="BX140" s="1371"/>
      <c r="BY140" s="1371"/>
      <c r="BZ140" s="1443"/>
      <c r="CA140" s="1372"/>
      <c r="CB140" s="1371"/>
      <c r="CC140" s="1358"/>
      <c r="CD140" s="1371"/>
      <c r="CE140" s="1371"/>
      <c r="CF140" s="1443"/>
      <c r="CG140" s="1372"/>
      <c r="CH140" s="299"/>
      <c r="CI140" s="1358"/>
      <c r="CJ140" s="1371"/>
      <c r="CK140" s="1371"/>
      <c r="CL140" s="1443"/>
      <c r="CM140" s="1372"/>
      <c r="CN140" s="299"/>
      <c r="CO140" s="299"/>
      <c r="CP140" s="299"/>
      <c r="CQ140" s="299"/>
      <c r="CR140" s="299"/>
      <c r="CS140" s="299"/>
    </row>
    <row r="141" spans="1:97" hidden="1" outlineLevel="3">
      <c r="A141" s="1444" t="s">
        <v>187</v>
      </c>
      <c r="C141" s="1439"/>
      <c r="D141" s="1440"/>
      <c r="E141" s="1440"/>
      <c r="F141" s="1441"/>
      <c r="G141" s="1442"/>
      <c r="H141" s="276"/>
      <c r="I141" s="1439"/>
      <c r="J141" s="1440"/>
      <c r="K141" s="1440"/>
      <c r="L141" s="1441"/>
      <c r="M141" s="1442"/>
      <c r="N141" s="276"/>
      <c r="O141" s="1439"/>
      <c r="P141" s="1440"/>
      <c r="Q141" s="1440"/>
      <c r="R141" s="1441"/>
      <c r="S141" s="1442"/>
      <c r="T141" s="276"/>
      <c r="U141" s="1375"/>
      <c r="V141" s="1366"/>
      <c r="W141" s="1366"/>
      <c r="X141" s="1366"/>
      <c r="Y141" s="1389"/>
      <c r="Z141" s="276"/>
      <c r="AA141" s="1375">
        <f t="shared" si="94"/>
        <v>0.18823529411764706</v>
      </c>
      <c r="AB141" s="1366">
        <f t="shared" si="94"/>
        <v>0.42781104457751185</v>
      </c>
      <c r="AC141" s="1366">
        <f t="shared" si="94"/>
        <v>0.24310441880101341</v>
      </c>
      <c r="AD141" s="1366">
        <f t="shared" si="94"/>
        <v>-1.3807933903004721E-2</v>
      </c>
      <c r="AE141" s="1389">
        <f t="shared" si="94"/>
        <v>0.18984095321210392</v>
      </c>
      <c r="AF141" s="276"/>
      <c r="AG141" s="1375">
        <f t="shared" si="87"/>
        <v>0.17278602860286019</v>
      </c>
      <c r="AH141" s="1366">
        <f t="shared" si="87"/>
        <v>-4.3860671015843566E-2</v>
      </c>
      <c r="AI141" s="1366">
        <f t="shared" si="87"/>
        <v>8.0998471726948518E-2</v>
      </c>
      <c r="AJ141" s="1366">
        <f t="shared" si="87"/>
        <v>0.26441728352556382</v>
      </c>
      <c r="AK141" s="1389">
        <f t="shared" si="95"/>
        <v>0.11674101128641134</v>
      </c>
      <c r="AL141" s="276"/>
      <c r="AM141" s="1375">
        <f t="shared" si="88"/>
        <v>0.18080553438470992</v>
      </c>
      <c r="AN141" s="1366">
        <f t="shared" si="88"/>
        <v>0.26238196771245814</v>
      </c>
      <c r="AO141" s="1366">
        <f t="shared" si="88"/>
        <v>4.0841972981464636E-3</v>
      </c>
      <c r="AP141" s="1366">
        <f t="shared" si="88"/>
        <v>-4.5382346267302198E-2</v>
      </c>
      <c r="AQ141" s="1389">
        <f t="shared" si="88"/>
        <v>8.6710006031767151E-2</v>
      </c>
      <c r="AR141" s="276"/>
      <c r="AS141" s="1375">
        <f t="shared" si="89"/>
        <v>2.7009582443771496E-2</v>
      </c>
      <c r="AT141" s="1366">
        <f t="shared" si="90"/>
        <v>-2.5431908116977042E-2</v>
      </c>
      <c r="AU141" s="1366">
        <f t="shared" si="91"/>
        <v>0.14226115978306209</v>
      </c>
      <c r="AV141" s="1366">
        <f t="shared" si="92"/>
        <v>4.7397195150938876E-2</v>
      </c>
      <c r="AW141" s="1389">
        <f t="shared" si="93"/>
        <v>4.6155364235143104E-2</v>
      </c>
      <c r="AX141" s="276"/>
      <c r="AY141" s="1375"/>
      <c r="AZ141" s="1366"/>
      <c r="BA141" s="1446"/>
      <c r="BB141" s="1447"/>
      <c r="BC141" s="1389"/>
      <c r="BD141" s="276"/>
      <c r="BE141" s="1375"/>
      <c r="BF141" s="1366"/>
      <c r="BG141" s="1446"/>
      <c r="BH141" s="1447"/>
      <c r="BI141" s="1389"/>
      <c r="BJ141" s="276"/>
      <c r="BK141" s="1375"/>
      <c r="BL141" s="1366"/>
      <c r="BM141" s="1446"/>
      <c r="BN141" s="1446"/>
      <c r="BO141" s="1389"/>
      <c r="BP141" s="276"/>
      <c r="BQ141" s="1375"/>
      <c r="BR141" s="1366"/>
      <c r="BS141" s="1446"/>
      <c r="BT141" s="1447"/>
      <c r="BU141" s="1389"/>
      <c r="BV141" s="276"/>
      <c r="BW141" s="1375"/>
      <c r="BX141" s="1366"/>
      <c r="BY141" s="1446"/>
      <c r="BZ141" s="1447"/>
      <c r="CA141" s="1389"/>
      <c r="CB141" s="1366"/>
      <c r="CC141" s="1375"/>
      <c r="CD141" s="1366"/>
      <c r="CE141" s="1446"/>
      <c r="CF141" s="1447"/>
      <c r="CG141" s="1389"/>
      <c r="CH141" s="299"/>
      <c r="CI141" s="1375"/>
      <c r="CJ141" s="1366"/>
      <c r="CK141" s="1446"/>
      <c r="CL141" s="1447"/>
      <c r="CM141" s="1389"/>
      <c r="CN141" s="299"/>
      <c r="CO141" s="299"/>
      <c r="CP141" s="299"/>
      <c r="CQ141" s="299"/>
      <c r="CR141" s="299"/>
      <c r="CS141" s="299"/>
    </row>
    <row r="142" spans="1:97" hidden="1" outlineLevel="3">
      <c r="A142" s="1444" t="s">
        <v>188</v>
      </c>
      <c r="C142" s="1439"/>
      <c r="D142" s="1440"/>
      <c r="E142" s="1440"/>
      <c r="F142" s="1441"/>
      <c r="G142" s="1442"/>
      <c r="H142" s="276"/>
      <c r="I142" s="1439"/>
      <c r="J142" s="1440"/>
      <c r="K142" s="1440"/>
      <c r="L142" s="1441"/>
      <c r="M142" s="1442"/>
      <c r="N142" s="276"/>
      <c r="O142" s="1439"/>
      <c r="P142" s="1440"/>
      <c r="Q142" s="1440"/>
      <c r="R142" s="1441"/>
      <c r="S142" s="1442"/>
      <c r="T142" s="276"/>
      <c r="U142" s="1375"/>
      <c r="V142" s="1366"/>
      <c r="W142" s="1366"/>
      <c r="X142" s="1366"/>
      <c r="Y142" s="1389"/>
      <c r="Z142" s="276"/>
      <c r="AA142" s="1375">
        <f t="shared" si="94"/>
        <v>0.12400635930047677</v>
      </c>
      <c r="AB142" s="1366">
        <f t="shared" si="94"/>
        <v>0.38922155688622739</v>
      </c>
      <c r="AC142" s="1366">
        <f t="shared" si="94"/>
        <v>0.10111813320369478</v>
      </c>
      <c r="AD142" s="1366">
        <f t="shared" si="94"/>
        <v>9.2807424593967403E-2</v>
      </c>
      <c r="AE142" s="1389">
        <f t="shared" si="94"/>
        <v>0.1639102064267246</v>
      </c>
      <c r="AF142" s="276"/>
      <c r="AG142" s="1375">
        <f t="shared" si="87"/>
        <v>7.5884016973126078E-2</v>
      </c>
      <c r="AH142" s="1366">
        <f t="shared" si="87"/>
        <v>1.0775862068965525E-2</v>
      </c>
      <c r="AI142" s="1366">
        <f t="shared" si="87"/>
        <v>0.14878587196467996</v>
      </c>
      <c r="AJ142" s="1366">
        <f t="shared" si="87"/>
        <v>0.20037154989384298</v>
      </c>
      <c r="AK142" s="1389">
        <f t="shared" si="95"/>
        <v>0.11045097140439331</v>
      </c>
      <c r="AL142" s="276"/>
      <c r="AM142" s="1375">
        <f t="shared" si="88"/>
        <v>0.34707158351409984</v>
      </c>
      <c r="AN142" s="1366">
        <f t="shared" si="88"/>
        <v>0.33169864960909745</v>
      </c>
      <c r="AO142" s="1366">
        <f t="shared" si="88"/>
        <v>0.15603382013835509</v>
      </c>
      <c r="AP142" s="1366">
        <f t="shared" si="88"/>
        <v>9.623037806765411E-2</v>
      </c>
      <c r="AQ142" s="1389">
        <f t="shared" si="88"/>
        <v>0.22423674726530862</v>
      </c>
      <c r="AR142" s="276"/>
      <c r="AS142" s="1375">
        <f t="shared" si="89"/>
        <v>6.7047284438588761E-2</v>
      </c>
      <c r="AT142" s="1366">
        <f t="shared" si="90"/>
        <v>7.7813951006030724E-2</v>
      </c>
      <c r="AU142" s="1366">
        <f t="shared" si="91"/>
        <v>0.14804964539007082</v>
      </c>
      <c r="AV142" s="1366">
        <f t="shared" si="92"/>
        <v>-1.2554832854333786E-2</v>
      </c>
      <c r="AW142" s="1389">
        <f t="shared" si="93"/>
        <v>6.8148513182295645E-2</v>
      </c>
      <c r="AX142" s="276"/>
      <c r="AY142" s="1375"/>
      <c r="AZ142" s="1366"/>
      <c r="BA142" s="1446"/>
      <c r="BB142" s="1447"/>
      <c r="BC142" s="1389"/>
      <c r="BD142" s="276"/>
      <c r="BE142" s="1375"/>
      <c r="BF142" s="1366"/>
      <c r="BG142" s="1446"/>
      <c r="BH142" s="1447"/>
      <c r="BI142" s="1389"/>
      <c r="BJ142" s="276"/>
      <c r="BK142" s="1375"/>
      <c r="BL142" s="1366"/>
      <c r="BM142" s="1446"/>
      <c r="BN142" s="1446"/>
      <c r="BO142" s="1389"/>
      <c r="BP142" s="276"/>
      <c r="BQ142" s="1375"/>
      <c r="BR142" s="1366"/>
      <c r="BS142" s="1446"/>
      <c r="BT142" s="1447"/>
      <c r="BU142" s="1389"/>
      <c r="BV142" s="276"/>
      <c r="BW142" s="1375"/>
      <c r="BX142" s="1366"/>
      <c r="BY142" s="1446"/>
      <c r="BZ142" s="1447"/>
      <c r="CA142" s="1389"/>
      <c r="CB142" s="1366"/>
      <c r="CC142" s="1375"/>
      <c r="CD142" s="1366"/>
      <c r="CE142" s="1446"/>
      <c r="CF142" s="1447"/>
      <c r="CG142" s="1389"/>
      <c r="CH142" s="299"/>
      <c r="CI142" s="1375"/>
      <c r="CJ142" s="1366"/>
      <c r="CK142" s="1446"/>
      <c r="CL142" s="1447"/>
      <c r="CM142" s="1389"/>
      <c r="CN142" s="299"/>
      <c r="CO142" s="299"/>
      <c r="CP142" s="299"/>
      <c r="CQ142" s="299"/>
      <c r="CR142" s="299"/>
      <c r="CS142" s="299"/>
    </row>
    <row r="143" spans="1:97" hidden="1" outlineLevel="3">
      <c r="A143" s="1444" t="s">
        <v>189</v>
      </c>
      <c r="C143" s="1439"/>
      <c r="D143" s="1440"/>
      <c r="E143" s="1440"/>
      <c r="F143" s="1441"/>
      <c r="G143" s="1442"/>
      <c r="H143" s="276"/>
      <c r="I143" s="1439"/>
      <c r="J143" s="1440"/>
      <c r="K143" s="1440"/>
      <c r="L143" s="1441"/>
      <c r="M143" s="1442"/>
      <c r="N143" s="276"/>
      <c r="O143" s="1439"/>
      <c r="P143" s="1440"/>
      <c r="Q143" s="1440"/>
      <c r="R143" s="1441"/>
      <c r="S143" s="1442"/>
      <c r="T143" s="276"/>
      <c r="U143" s="1375"/>
      <c r="V143" s="1366"/>
      <c r="W143" s="1366"/>
      <c r="X143" s="1366"/>
      <c r="Y143" s="1389"/>
      <c r="Z143" s="276"/>
      <c r="AA143" s="1375">
        <f t="shared" si="94"/>
        <v>0.2762527233115466</v>
      </c>
      <c r="AB143" s="1366">
        <f t="shared" si="94"/>
        <v>0.34836209933075035</v>
      </c>
      <c r="AC143" s="1366">
        <f t="shared" si="94"/>
        <v>0.29476304628434469</v>
      </c>
      <c r="AD143" s="1366">
        <f t="shared" si="94"/>
        <v>0.25470482083011081</v>
      </c>
      <c r="AE143" s="1389">
        <f t="shared" si="94"/>
        <v>0.29412585136800029</v>
      </c>
      <c r="AF143" s="276"/>
      <c r="AG143" s="1375">
        <f t="shared" si="87"/>
        <v>0.18043700921816308</v>
      </c>
      <c r="AH143" s="1366">
        <f t="shared" si="87"/>
        <v>7.2035005224660109E-2</v>
      </c>
      <c r="AI143" s="1366">
        <f t="shared" si="87"/>
        <v>6.7435733105461804E-2</v>
      </c>
      <c r="AJ143" s="1366">
        <f t="shared" si="87"/>
        <v>6.6570782823094587E-2</v>
      </c>
      <c r="AK143" s="1389">
        <f t="shared" si="95"/>
        <v>9.2254634286535131E-2</v>
      </c>
      <c r="AL143" s="276"/>
      <c r="AM143" s="1375">
        <f t="shared" si="88"/>
        <v>0.13998553868402031</v>
      </c>
      <c r="AN143" s="1366">
        <f t="shared" si="88"/>
        <v>7.4687785561986075E-2</v>
      </c>
      <c r="AO143" s="1366">
        <f t="shared" si="88"/>
        <v>0.27925283522348243</v>
      </c>
      <c r="AP143" s="1366">
        <f t="shared" si="88"/>
        <v>0.23495794002440107</v>
      </c>
      <c r="AQ143" s="1389">
        <f t="shared" si="88"/>
        <v>0.18101236679384325</v>
      </c>
      <c r="AR143" s="276"/>
      <c r="AS143" s="1375">
        <f t="shared" si="89"/>
        <v>4.9600405936826242E-2</v>
      </c>
      <c r="AT143" s="1366">
        <f t="shared" si="90"/>
        <v>-1.8763108667309125E-2</v>
      </c>
      <c r="AU143" s="1366">
        <f t="shared" si="91"/>
        <v>-0.13558614935335833</v>
      </c>
      <c r="AV143" s="1366">
        <f t="shared" si="92"/>
        <v>1.830282861896837E-2</v>
      </c>
      <c r="AW143" s="1389">
        <f t="shared" si="93"/>
        <v>-2.5022627584766477E-2</v>
      </c>
      <c r="AX143" s="276"/>
      <c r="AY143" s="1375"/>
      <c r="AZ143" s="1366"/>
      <c r="BA143" s="1446"/>
      <c r="BB143" s="1447"/>
      <c r="BC143" s="1389"/>
      <c r="BD143" s="276"/>
      <c r="BE143" s="1375"/>
      <c r="BF143" s="1366"/>
      <c r="BG143" s="1446"/>
      <c r="BH143" s="1447"/>
      <c r="BI143" s="1389"/>
      <c r="BJ143" s="276"/>
      <c r="BK143" s="1375"/>
      <c r="BL143" s="1366"/>
      <c r="BM143" s="1446"/>
      <c r="BN143" s="1446"/>
      <c r="BO143" s="1389"/>
      <c r="BP143" s="276"/>
      <c r="BQ143" s="1375"/>
      <c r="BR143" s="1366"/>
      <c r="BS143" s="1446"/>
      <c r="BT143" s="1447"/>
      <c r="BU143" s="1389"/>
      <c r="BV143" s="276"/>
      <c r="BW143" s="1375"/>
      <c r="BX143" s="1366"/>
      <c r="BY143" s="1446"/>
      <c r="BZ143" s="1447"/>
      <c r="CA143" s="1389"/>
      <c r="CB143" s="1366"/>
      <c r="CC143" s="1375"/>
      <c r="CD143" s="1366"/>
      <c r="CE143" s="1446"/>
      <c r="CF143" s="1447"/>
      <c r="CG143" s="1389"/>
      <c r="CH143" s="299"/>
      <c r="CI143" s="1375"/>
      <c r="CJ143" s="1366"/>
      <c r="CK143" s="1446"/>
      <c r="CL143" s="1447"/>
      <c r="CM143" s="1389"/>
      <c r="CN143" s="299"/>
      <c r="CO143" s="299"/>
      <c r="CP143" s="299"/>
      <c r="CQ143" s="299"/>
      <c r="CR143" s="299"/>
      <c r="CS143" s="299"/>
    </row>
    <row r="144" spans="1:97" hidden="1" outlineLevel="2">
      <c r="A144" s="326" t="s">
        <v>149</v>
      </c>
      <c r="C144" s="282"/>
      <c r="D144" s="276"/>
      <c r="E144" s="276"/>
      <c r="F144" s="275"/>
      <c r="G144" s="484"/>
      <c r="H144" s="276"/>
      <c r="I144" s="390">
        <f>I98/C98-1</f>
        <v>0.16703296703296711</v>
      </c>
      <c r="J144" s="152">
        <f>J98/D98-1</f>
        <v>0.23831775700934577</v>
      </c>
      <c r="K144" s="152">
        <f>K98/E98-1</f>
        <v>0.15138592750533064</v>
      </c>
      <c r="L144" s="152">
        <f>L98/F98-1</f>
        <v>0.13358778625954204</v>
      </c>
      <c r="M144" s="391">
        <f>M98/G98-1</f>
        <v>0.17004264392324098</v>
      </c>
      <c r="N144" s="276"/>
      <c r="O144" s="390">
        <f>O98/I98-1</f>
        <v>-1.1299435028248594E-2</v>
      </c>
      <c r="P144" s="152">
        <f>P98/J98-1</f>
        <v>-6.0377358490565802E-2</v>
      </c>
      <c r="Q144" s="152">
        <f>Q98/K98-1</f>
        <v>-8.1481481481481488E-2</v>
      </c>
      <c r="R144" s="152">
        <f>R98/L98-1</f>
        <v>-8.4175084175084125E-2</v>
      </c>
      <c r="S144" s="391">
        <f>S98/M98-1</f>
        <v>-6.0136674259681056E-2</v>
      </c>
      <c r="T144" s="276"/>
      <c r="U144" s="390">
        <f>U98/O98-1</f>
        <v>0.11238095238095247</v>
      </c>
      <c r="V144" s="152">
        <f>V98/P98-1</f>
        <v>0.14859437751003979</v>
      </c>
      <c r="W144" s="152">
        <f>W98/Q98-1</f>
        <v>0.41733870967741926</v>
      </c>
      <c r="X144" s="152">
        <f>X98/R98-1</f>
        <v>0.50735294117647056</v>
      </c>
      <c r="Y144" s="391">
        <f>Y98/S98-1</f>
        <v>0.29859428017450318</v>
      </c>
      <c r="Z144" s="276"/>
      <c r="AA144" s="390">
        <f t="shared" si="94"/>
        <v>0.28938356164383561</v>
      </c>
      <c r="AB144" s="152">
        <f t="shared" si="94"/>
        <v>0.47727272727272729</v>
      </c>
      <c r="AC144" s="152">
        <f t="shared" si="94"/>
        <v>0.18918918918918926</v>
      </c>
      <c r="AD144" s="152">
        <f t="shared" si="94"/>
        <v>6.8292682926829329E-2</v>
      </c>
      <c r="AE144" s="391">
        <f t="shared" si="94"/>
        <v>0.23553564762971257</v>
      </c>
      <c r="AF144" s="276"/>
      <c r="AG144" s="390">
        <f t="shared" si="87"/>
        <v>0.13811420982735734</v>
      </c>
      <c r="AH144" s="152">
        <f t="shared" si="87"/>
        <v>1.4201183431952646E-2</v>
      </c>
      <c r="AI144" s="152">
        <f t="shared" si="87"/>
        <v>5.0239234449760861E-2</v>
      </c>
      <c r="AJ144" s="152">
        <f t="shared" si="87"/>
        <v>8.5616438356164393E-2</v>
      </c>
      <c r="AK144" s="391">
        <f t="shared" si="95"/>
        <v>7.0392749244712949E-2</v>
      </c>
      <c r="AL144" s="276"/>
      <c r="AM144" s="390">
        <f t="shared" si="88"/>
        <v>0.11785297549591589</v>
      </c>
      <c r="AN144" s="152">
        <f t="shared" si="88"/>
        <v>0.13418903150525097</v>
      </c>
      <c r="AO144" s="152">
        <f t="shared" si="88"/>
        <v>8.3143507972665232E-2</v>
      </c>
      <c r="AP144" s="152">
        <f t="shared" si="88"/>
        <v>6.5194532071503719E-2</v>
      </c>
      <c r="AQ144" s="391">
        <f>AQ98/AK98-1</f>
        <v>9.9068585944115162E-2</v>
      </c>
      <c r="AR144" s="276"/>
      <c r="AS144" s="390">
        <f t="shared" si="89"/>
        <v>5.2192066805845538E-2</v>
      </c>
      <c r="AT144" s="152">
        <f t="shared" si="90"/>
        <v>1.6460905349794164E-2</v>
      </c>
      <c r="AU144" s="152">
        <f t="shared" si="91"/>
        <v>6.0988433228180927E-2</v>
      </c>
      <c r="AV144" s="152">
        <f t="shared" si="92"/>
        <v>2.9615004935834133E-2</v>
      </c>
      <c r="AW144" s="391">
        <f t="shared" si="93"/>
        <v>3.9548022598870025E-2</v>
      </c>
      <c r="AX144" s="276"/>
      <c r="AY144" s="390">
        <f>AY77/AS77-1</f>
        <v>1.7857142857142794E-2</v>
      </c>
      <c r="AZ144" s="152">
        <f>AZ77/AT77-1</f>
        <v>-2.5303643724696401E-2</v>
      </c>
      <c r="BA144" s="1651">
        <v>4.9554013875123815E-3</v>
      </c>
      <c r="BB144" s="1651">
        <v>-7.6701821668264669E-3</v>
      </c>
      <c r="BC144" s="391">
        <f>BC77/AW77-1</f>
        <v>-2.4703557312253377E-3</v>
      </c>
      <c r="BD144" s="276"/>
      <c r="BE144" s="2025">
        <v>1.9493177387914784E-3</v>
      </c>
      <c r="BF144" s="1651">
        <v>5.8151609553478645E-2</v>
      </c>
      <c r="BG144" s="152">
        <f>BG77/BA77-1</f>
        <v>2.9585798816567976E-2</v>
      </c>
      <c r="BH144" s="481">
        <f>BH77/BB77-1</f>
        <v>7.3429951690821227E-2</v>
      </c>
      <c r="BI144" s="391">
        <f>BI77/BC77-1</f>
        <v>4.0614165428429994E-2</v>
      </c>
      <c r="BJ144" s="276"/>
      <c r="BK144" s="390">
        <f>BK77/BE77-1</f>
        <v>3.7937743190661566E-2</v>
      </c>
      <c r="BL144" s="152">
        <f>BL77/BF77-1</f>
        <v>8.1452404317958749E-2</v>
      </c>
      <c r="BM144" s="152">
        <f>BM77/BG77-1</f>
        <v>6.7049808429118674E-2</v>
      </c>
      <c r="BN144" s="152">
        <f>BN77/BH77-1</f>
        <v>7.0207020702070189E-2</v>
      </c>
      <c r="BO144" s="391"/>
      <c r="BP144" s="276"/>
      <c r="BQ144" s="390"/>
      <c r="BR144" s="152"/>
      <c r="BS144" s="152"/>
      <c r="BT144" s="481"/>
      <c r="BU144" s="391"/>
      <c r="BV144" s="276"/>
      <c r="BW144" s="390"/>
      <c r="BX144" s="152"/>
      <c r="BY144" s="152"/>
      <c r="BZ144" s="481"/>
      <c r="CA144" s="391"/>
      <c r="CB144" s="152"/>
      <c r="CC144" s="390"/>
      <c r="CD144" s="152"/>
      <c r="CE144" s="152"/>
      <c r="CF144" s="481"/>
      <c r="CG144" s="391"/>
      <c r="CH144" s="299"/>
      <c r="CI144" s="390"/>
      <c r="CJ144" s="152"/>
      <c r="CK144" s="152"/>
      <c r="CL144" s="481"/>
      <c r="CM144" s="391"/>
      <c r="CN144" s="299"/>
      <c r="CO144" s="299"/>
      <c r="CP144" s="299"/>
      <c r="CQ144" s="299"/>
      <c r="CR144" s="299"/>
      <c r="CS144" s="299"/>
    </row>
    <row r="145" spans="1:110" hidden="1" outlineLevel="2">
      <c r="A145" s="485" t="s">
        <v>187</v>
      </c>
      <c r="C145" s="282"/>
      <c r="D145" s="276"/>
      <c r="E145" s="276"/>
      <c r="F145" s="275"/>
      <c r="G145" s="484"/>
      <c r="H145" s="276"/>
      <c r="I145" s="233">
        <f t="shared" ref="I145:M147" si="96">I99/C99-1</f>
        <v>0.1021978021978025</v>
      </c>
      <c r="J145" s="234">
        <f t="shared" si="96"/>
        <v>0.16952232606438233</v>
      </c>
      <c r="K145" s="234">
        <f t="shared" si="96"/>
        <v>0.18428266829119733</v>
      </c>
      <c r="L145" s="234">
        <f t="shared" si="96"/>
        <v>0.16507633587786263</v>
      </c>
      <c r="M145" s="222">
        <f t="shared" si="96"/>
        <v>0.15544157335202113</v>
      </c>
      <c r="N145" s="276"/>
      <c r="O145" s="233">
        <f t="shared" ref="O145:S147" si="97">O99/I99-1</f>
        <v>4.6859421734795514E-2</v>
      </c>
      <c r="P145" s="234">
        <f t="shared" si="97"/>
        <v>-6.0377358490566024E-2</v>
      </c>
      <c r="Q145" s="234">
        <f t="shared" si="97"/>
        <v>-0.10699588477366262</v>
      </c>
      <c r="R145" s="234">
        <f t="shared" si="97"/>
        <v>-0.10892710892710888</v>
      </c>
      <c r="S145" s="222">
        <f t="shared" si="97"/>
        <v>-6.0857895008516794E-2</v>
      </c>
      <c r="T145" s="276"/>
      <c r="U145" s="233">
        <f t="shared" ref="U145:Y147" si="98">U99/O99-1</f>
        <v>-3.8095238095238182E-3</v>
      </c>
      <c r="V145" s="234">
        <f t="shared" si="98"/>
        <v>7.559650366170545E-2</v>
      </c>
      <c r="W145" s="234">
        <f t="shared" si="98"/>
        <v>0.46301843317972358</v>
      </c>
      <c r="X145" s="234">
        <f t="shared" si="98"/>
        <v>0.61739174836601296</v>
      </c>
      <c r="Y145" s="222">
        <f t="shared" si="98"/>
        <v>0.29318731449928537</v>
      </c>
      <c r="Z145" s="276"/>
      <c r="AA145" s="233">
        <f t="shared" si="94"/>
        <v>0.32855321861057996</v>
      </c>
      <c r="AB145" s="234">
        <f t="shared" si="94"/>
        <v>0.54936305732484092</v>
      </c>
      <c r="AC145" s="234">
        <f t="shared" si="94"/>
        <v>0.16308370737853384</v>
      </c>
      <c r="AD145" s="234">
        <f t="shared" si="94"/>
        <v>-5.3449092344119986E-2</v>
      </c>
      <c r="AE145" s="222">
        <f t="shared" si="94"/>
        <v>0.19805977920159812</v>
      </c>
      <c r="AF145" s="276"/>
      <c r="AG145" s="233">
        <f t="shared" si="87"/>
        <v>0.17266330854721357</v>
      </c>
      <c r="AH145" s="234">
        <f t="shared" si="87"/>
        <v>-1.9491795725981031E-2</v>
      </c>
      <c r="AI145" s="234">
        <f t="shared" si="87"/>
        <v>4.6343940419769858E-2</v>
      </c>
      <c r="AJ145" s="234">
        <f t="shared" si="87"/>
        <v>0.14231872456807415</v>
      </c>
      <c r="AK145" s="222">
        <f t="shared" si="95"/>
        <v>8.3412414747279229E-2</v>
      </c>
      <c r="AL145" s="276"/>
      <c r="AM145" s="233">
        <f t="shared" si="88"/>
        <v>0.10302389799884071</v>
      </c>
      <c r="AN145" s="234">
        <f t="shared" si="88"/>
        <v>0.18379296634980302</v>
      </c>
      <c r="AO145" s="234">
        <f>AO99/AI99-1</f>
        <v>-3.9794234688925734E-3</v>
      </c>
      <c r="AP145" s="234">
        <f t="shared" si="88"/>
        <v>-1.2905486291570623E-2</v>
      </c>
      <c r="AQ145" s="222">
        <f>AQ99/AK99-1</f>
        <v>6.1739714140703006E-2</v>
      </c>
      <c r="AR145" s="276"/>
      <c r="AS145" s="233">
        <f t="shared" si="89"/>
        <v>2.5961984237366842E-2</v>
      </c>
      <c r="AT145" s="234">
        <f t="shared" si="90"/>
        <v>-1.9479726428920374E-2</v>
      </c>
      <c r="AU145" s="234">
        <f t="shared" si="91"/>
        <v>0.13139089196387954</v>
      </c>
      <c r="AV145" s="234">
        <f t="shared" si="92"/>
        <v>0.11065755612742922</v>
      </c>
      <c r="AW145" s="222">
        <f t="shared" si="93"/>
        <v>6.158828064764843E-2</v>
      </c>
      <c r="AX145" s="276"/>
      <c r="AY145" s="233">
        <f t="shared" ref="AY145:BC147" si="99">AY99/AS99-1</f>
        <v>1.9972887483054924E-2</v>
      </c>
      <c r="AZ145" s="234">
        <f t="shared" si="99"/>
        <v>7.9529177305847965E-2</v>
      </c>
      <c r="BA145" s="1581">
        <v>4.8031925583531754E-2</v>
      </c>
      <c r="BB145" s="1581">
        <v>1.9894534995205992E-2</v>
      </c>
      <c r="BC145" s="222">
        <f t="shared" si="99"/>
        <v>4.4579048283074796E-2</v>
      </c>
      <c r="BD145" s="276"/>
      <c r="BE145" s="1582">
        <v>2.4868568728217744E-2</v>
      </c>
      <c r="BF145" s="1581">
        <v>1.4480212299526896E-2</v>
      </c>
      <c r="BG145" s="234">
        <f t="shared" ref="BG145:BI147" si="100">BG99/BA99-1</f>
        <v>-1.3661202185792365E-2</v>
      </c>
      <c r="BH145" s="221">
        <f t="shared" si="100"/>
        <v>2.3255813953488413E-2</v>
      </c>
      <c r="BI145" s="222">
        <f t="shared" si="100"/>
        <v>1.2334348448820087E-2</v>
      </c>
      <c r="BJ145" s="276"/>
      <c r="BK145" s="233">
        <f t="shared" ref="BK145:BN147" si="101">BK99/BE99-1</f>
        <v>3.4383954154727725E-2</v>
      </c>
      <c r="BL145" s="234">
        <f t="shared" si="101"/>
        <v>7.1428571428571397E-2</v>
      </c>
      <c r="BM145" s="234">
        <f t="shared" si="101"/>
        <v>4.7091412742382266E-2</v>
      </c>
      <c r="BN145" s="234">
        <f t="shared" si="101"/>
        <v>5.555555555555558E-2</v>
      </c>
      <c r="BO145" s="222"/>
      <c r="BP145" s="276"/>
      <c r="BQ145" s="233"/>
      <c r="BR145" s="234"/>
      <c r="BS145" s="482"/>
      <c r="BT145" s="483"/>
      <c r="BU145" s="222"/>
      <c r="BV145" s="276"/>
      <c r="BW145" s="233"/>
      <c r="BX145" s="234"/>
      <c r="BY145" s="482"/>
      <c r="BZ145" s="483"/>
      <c r="CA145" s="222"/>
      <c r="CB145" s="234"/>
      <c r="CC145" s="233"/>
      <c r="CD145" s="234"/>
      <c r="CE145" s="482"/>
      <c r="CF145" s="483"/>
      <c r="CG145" s="222"/>
      <c r="CH145" s="299"/>
      <c r="CI145" s="233"/>
      <c r="CJ145" s="234"/>
      <c r="CK145" s="482"/>
      <c r="CL145" s="483"/>
      <c r="CM145" s="222"/>
      <c r="CN145" s="299"/>
      <c r="CO145" s="299"/>
      <c r="CP145" s="299"/>
      <c r="CQ145" s="299"/>
      <c r="CR145" s="299"/>
      <c r="CS145" s="299"/>
    </row>
    <row r="146" spans="1:110" hidden="1" outlineLevel="2">
      <c r="A146" s="485" t="s">
        <v>188</v>
      </c>
      <c r="C146" s="282"/>
      <c r="D146" s="276"/>
      <c r="E146" s="276"/>
      <c r="F146" s="275"/>
      <c r="G146" s="484"/>
      <c r="H146" s="276"/>
      <c r="I146" s="233">
        <f t="shared" si="96"/>
        <v>0.22845575477154423</v>
      </c>
      <c r="J146" s="234">
        <f t="shared" si="96"/>
        <v>0.23831775700934577</v>
      </c>
      <c r="K146" s="234">
        <f t="shared" si="96"/>
        <v>6.2817779235689652E-2</v>
      </c>
      <c r="L146" s="234">
        <f t="shared" si="96"/>
        <v>4.1675263049308908E-2</v>
      </c>
      <c r="M146" s="222">
        <f t="shared" si="96"/>
        <v>0.13610980860224231</v>
      </c>
      <c r="N146" s="276"/>
      <c r="O146" s="233">
        <f t="shared" si="97"/>
        <v>-0.13488700564971756</v>
      </c>
      <c r="P146" s="234">
        <f t="shared" si="97"/>
        <v>-0.16477987421383633</v>
      </c>
      <c r="Q146" s="234">
        <f t="shared" si="97"/>
        <v>-0.20905349794238692</v>
      </c>
      <c r="R146" s="234">
        <f t="shared" si="97"/>
        <v>-0.11111111111111105</v>
      </c>
      <c r="S146" s="222">
        <f t="shared" si="97"/>
        <v>-0.15404722597428588</v>
      </c>
      <c r="T146" s="276"/>
      <c r="U146" s="233">
        <f t="shared" si="98"/>
        <v>0.13610884353741493</v>
      </c>
      <c r="V146" s="234">
        <f t="shared" si="98"/>
        <v>4.6937751004016093E-2</v>
      </c>
      <c r="W146" s="234">
        <f t="shared" si="98"/>
        <v>0.48738293444328828</v>
      </c>
      <c r="X146" s="234">
        <f t="shared" si="98"/>
        <v>0.46167557932263836</v>
      </c>
      <c r="Y146" s="222">
        <f t="shared" si="98"/>
        <v>0.28136134478629193</v>
      </c>
      <c r="Z146" s="276"/>
      <c r="AA146" s="233">
        <f t="shared" si="94"/>
        <v>0.24573673117455463</v>
      </c>
      <c r="AB146" s="234">
        <f t="shared" si="94"/>
        <v>0.51941980340445926</v>
      </c>
      <c r="AC146" s="234">
        <f t="shared" si="94"/>
        <v>7.9886313948404064E-2</v>
      </c>
      <c r="AD146" s="234">
        <f t="shared" si="94"/>
        <v>3.7423780487804814E-2</v>
      </c>
      <c r="AE146" s="222">
        <f t="shared" si="94"/>
        <v>0.19158878504672883</v>
      </c>
      <c r="AF146" s="276"/>
      <c r="AG146" s="233">
        <f t="shared" si="87"/>
        <v>4.1798046604629713E-2</v>
      </c>
      <c r="AH146" s="234">
        <f t="shared" si="87"/>
        <v>-1.104536489151986E-3</v>
      </c>
      <c r="AI146" s="234">
        <f t="shared" si="87"/>
        <v>7.9523828805118102E-2</v>
      </c>
      <c r="AJ146" s="234">
        <f t="shared" si="87"/>
        <v>8.4343545661597075E-2</v>
      </c>
      <c r="AK146" s="222">
        <f t="shared" si="95"/>
        <v>5.1503267973856293E-2</v>
      </c>
      <c r="AL146" s="276"/>
      <c r="AM146" s="233">
        <f t="shared" si="88"/>
        <v>0.207212195031927</v>
      </c>
      <c r="AN146" s="234">
        <f t="shared" si="88"/>
        <v>0.18335834452254973</v>
      </c>
      <c r="AO146" s="234">
        <f t="shared" si="88"/>
        <v>8.3380218296388087E-2</v>
      </c>
      <c r="AP146" s="234">
        <f t="shared" si="88"/>
        <v>7.6665085710413861E-2</v>
      </c>
      <c r="AQ146" s="222">
        <f>AQ100/AK100-1</f>
        <v>0.13576256515092888</v>
      </c>
      <c r="AR146" s="276"/>
      <c r="AS146" s="233">
        <f t="shared" si="89"/>
        <v>8.9308099183661005E-2</v>
      </c>
      <c r="AT146" s="234">
        <f t="shared" si="90"/>
        <v>9.9149007175037385E-2</v>
      </c>
      <c r="AU146" s="234">
        <f t="shared" si="91"/>
        <v>0.12158980750588544</v>
      </c>
      <c r="AV146" s="234">
        <f t="shared" si="92"/>
        <v>5.0187218778515508E-2</v>
      </c>
      <c r="AW146" s="222">
        <f t="shared" si="93"/>
        <v>8.9178429830464756E-2</v>
      </c>
      <c r="AX146" s="276"/>
      <c r="AY146" s="233">
        <f t="shared" si="99"/>
        <v>7.9151229370157949E-3</v>
      </c>
      <c r="AZ146" s="234">
        <f t="shared" si="99"/>
        <v>-9.3605780908428637E-2</v>
      </c>
      <c r="BA146" s="1581">
        <v>-6.0995184590690199E-2</v>
      </c>
      <c r="BB146" s="1581">
        <v>-6.9690795781399806E-2</v>
      </c>
      <c r="BC146" s="222">
        <f t="shared" si="99"/>
        <v>-6.9028406383992547E-2</v>
      </c>
      <c r="BD146" s="276"/>
      <c r="BE146" s="1582">
        <v>-7.8251183514341349E-2</v>
      </c>
      <c r="BF146" s="1581">
        <v>-5.460087763373811E-3</v>
      </c>
      <c r="BG146" s="234">
        <f t="shared" si="100"/>
        <v>3.4364261168384758E-3</v>
      </c>
      <c r="BH146" s="221">
        <f t="shared" si="100"/>
        <v>1.3245033112582849E-2</v>
      </c>
      <c r="BI146" s="222">
        <f t="shared" si="100"/>
        <v>-3.7285208255039337E-2</v>
      </c>
      <c r="BJ146" s="276"/>
      <c r="BK146" s="233">
        <f t="shared" si="101"/>
        <v>-1.834862385321101E-2</v>
      </c>
      <c r="BL146" s="234">
        <f t="shared" si="101"/>
        <v>6.8100358422939156E-2</v>
      </c>
      <c r="BM146" s="234">
        <f t="shared" si="101"/>
        <v>0.11643835616438358</v>
      </c>
      <c r="BN146" s="234">
        <f t="shared" si="101"/>
        <v>0.13398692810457513</v>
      </c>
      <c r="BO146" s="222"/>
      <c r="BP146" s="276"/>
      <c r="BQ146" s="233"/>
      <c r="BR146" s="234"/>
      <c r="BS146" s="482"/>
      <c r="BT146" s="483"/>
      <c r="BU146" s="222"/>
      <c r="BV146" s="276"/>
      <c r="BW146" s="233"/>
      <c r="BX146" s="234"/>
      <c r="BY146" s="482"/>
      <c r="BZ146" s="483"/>
      <c r="CA146" s="222"/>
      <c r="CB146" s="234"/>
      <c r="CC146" s="233"/>
      <c r="CD146" s="234"/>
      <c r="CE146" s="482"/>
      <c r="CF146" s="483"/>
      <c r="CG146" s="222"/>
      <c r="CH146" s="299"/>
      <c r="CI146" s="233"/>
      <c r="CJ146" s="234"/>
      <c r="CK146" s="482"/>
      <c r="CL146" s="483"/>
      <c r="CM146" s="222"/>
      <c r="CN146" s="299"/>
      <c r="CO146" s="299"/>
      <c r="CP146" s="299"/>
      <c r="CQ146" s="299"/>
      <c r="CR146" s="299"/>
      <c r="CS146" s="299"/>
    </row>
    <row r="147" spans="1:110" hidden="1" outlineLevel="2">
      <c r="A147" s="486" t="s">
        <v>189</v>
      </c>
      <c r="C147" s="284"/>
      <c r="D147" s="286"/>
      <c r="E147" s="286"/>
      <c r="F147" s="285"/>
      <c r="G147" s="487"/>
      <c r="H147" s="276"/>
      <c r="I147" s="241">
        <f t="shared" si="96"/>
        <v>0.16703296703296711</v>
      </c>
      <c r="J147" s="242">
        <f t="shared" si="96"/>
        <v>0.32676902536715602</v>
      </c>
      <c r="K147" s="242">
        <f t="shared" si="96"/>
        <v>0.23995407577497141</v>
      </c>
      <c r="L147" s="242">
        <f t="shared" si="96"/>
        <v>0.21755725190839681</v>
      </c>
      <c r="M147" s="243">
        <f t="shared" si="96"/>
        <v>0.23717999840497628</v>
      </c>
      <c r="N147" s="276"/>
      <c r="O147" s="241">
        <f t="shared" si="97"/>
        <v>0.10278139939156894</v>
      </c>
      <c r="P147" s="242">
        <f t="shared" si="97"/>
        <v>6.4905660377358565E-2</v>
      </c>
      <c r="Q147" s="242">
        <f t="shared" si="97"/>
        <v>0.1153439153439153</v>
      </c>
      <c r="R147" s="242">
        <f t="shared" si="97"/>
        <v>-2.1014745152676206E-2</v>
      </c>
      <c r="S147" s="243">
        <f t="shared" si="97"/>
        <v>6.177077290014843E-2</v>
      </c>
      <c r="T147" s="276"/>
      <c r="U147" s="241">
        <f t="shared" si="98"/>
        <v>0.22798029556650246</v>
      </c>
      <c r="V147" s="242">
        <f t="shared" si="98"/>
        <v>0.31726907630522083</v>
      </c>
      <c r="W147" s="242">
        <f t="shared" si="98"/>
        <v>0.30645161290322576</v>
      </c>
      <c r="X147" s="242">
        <f t="shared" si="98"/>
        <v>0.42819022770398507</v>
      </c>
      <c r="Y147" s="243">
        <f t="shared" si="98"/>
        <v>0.32225848068604401</v>
      </c>
      <c r="Z147" s="276"/>
      <c r="AA147" s="241">
        <f t="shared" si="94"/>
        <v>0.29867351305091994</v>
      </c>
      <c r="AB147" s="242">
        <f t="shared" si="94"/>
        <v>0.38688127690100416</v>
      </c>
      <c r="AC147" s="242">
        <f t="shared" si="94"/>
        <v>0.33274328249818441</v>
      </c>
      <c r="AD147" s="242">
        <f t="shared" si="94"/>
        <v>0.26203030932115423</v>
      </c>
      <c r="AE147" s="243">
        <f t="shared" si="94"/>
        <v>0.3197424153724302</v>
      </c>
      <c r="AF147" s="276"/>
      <c r="AG147" s="241">
        <f t="shared" si="87"/>
        <v>0.20568369028006583</v>
      </c>
      <c r="AH147" s="242">
        <f t="shared" si="87"/>
        <v>5.74790676623671E-2</v>
      </c>
      <c r="AI147" s="242">
        <f t="shared" si="87"/>
        <v>2.9526955692538381E-2</v>
      </c>
      <c r="AJ147" s="242">
        <f t="shared" si="87"/>
        <v>3.0826424529543317E-2</v>
      </c>
      <c r="AK147" s="243">
        <f t="shared" si="95"/>
        <v>7.4592074592074509E-2</v>
      </c>
      <c r="AL147" s="276"/>
      <c r="AM147" s="241">
        <f t="shared" si="88"/>
        <v>5.0010248001639557E-2</v>
      </c>
      <c r="AN147" s="242">
        <f t="shared" si="88"/>
        <v>5.4171379658218832E-2</v>
      </c>
      <c r="AO147" s="242">
        <f t="shared" si="88"/>
        <v>0.17201455507773744</v>
      </c>
      <c r="AP147" s="242">
        <f t="shared" si="88"/>
        <v>0.13975680592346706</v>
      </c>
      <c r="AQ147" s="243">
        <f>AQ101/AK101-1</f>
        <v>0.10372486806747183</v>
      </c>
      <c r="AR147" s="276"/>
      <c r="AS147" s="241">
        <f t="shared" si="89"/>
        <v>4.0308413039234825E-2</v>
      </c>
      <c r="AT147" s="242">
        <f t="shared" si="90"/>
        <v>-2.1256851202041571E-2</v>
      </c>
      <c r="AU147" s="242">
        <f t="shared" si="91"/>
        <v>-4.9590742308777802E-2</v>
      </c>
      <c r="AV147" s="242">
        <f t="shared" si="92"/>
        <v>-6.5412186379928405E-2</v>
      </c>
      <c r="AW147" s="243">
        <f t="shared" si="93"/>
        <v>-2.6304789422350705E-2</v>
      </c>
      <c r="AX147" s="276"/>
      <c r="AY147" s="241">
        <f t="shared" si="99"/>
        <v>2.673796791443861E-2</v>
      </c>
      <c r="AZ147" s="242">
        <f t="shared" si="99"/>
        <v>-5.8399999999999896E-2</v>
      </c>
      <c r="BA147" s="1638">
        <v>2.3846999079381259E-2</v>
      </c>
      <c r="BB147" s="1638">
        <v>2.3340124640460314E-2</v>
      </c>
      <c r="BC147" s="243">
        <f t="shared" si="99"/>
        <v>1.6079713201180956E-2</v>
      </c>
      <c r="BD147" s="276"/>
      <c r="BE147" s="1637">
        <v>6.6033138401559555E-2</v>
      </c>
      <c r="BF147" s="1638">
        <v>0.16554957676452986</v>
      </c>
      <c r="BG147" s="242">
        <f t="shared" si="100"/>
        <v>9.5238095238095344E-2</v>
      </c>
      <c r="BH147" s="305">
        <f t="shared" si="100"/>
        <v>0.18208092485549132</v>
      </c>
      <c r="BI147" s="243">
        <f t="shared" si="100"/>
        <v>0.14297573956163689</v>
      </c>
      <c r="BJ147" s="276"/>
      <c r="BK147" s="241">
        <f t="shared" si="101"/>
        <v>9.375E-2</v>
      </c>
      <c r="BL147" s="242">
        <f t="shared" si="101"/>
        <v>0.10000000000000009</v>
      </c>
      <c r="BM147" s="242">
        <f t="shared" si="101"/>
        <v>4.8593350383631773E-2</v>
      </c>
      <c r="BN147" s="242">
        <f t="shared" si="101"/>
        <v>3.6674816625916762E-2</v>
      </c>
      <c r="BO147" s="243"/>
      <c r="BP147" s="276"/>
      <c r="BQ147" s="241"/>
      <c r="BR147" s="242"/>
      <c r="BS147" s="488"/>
      <c r="BT147" s="489"/>
      <c r="BU147" s="243"/>
      <c r="BV147" s="276"/>
      <c r="BW147" s="241"/>
      <c r="BX147" s="242"/>
      <c r="BY147" s="488"/>
      <c r="BZ147" s="489"/>
      <c r="CA147" s="243"/>
      <c r="CB147" s="234"/>
      <c r="CC147" s="241"/>
      <c r="CD147" s="242"/>
      <c r="CE147" s="488"/>
      <c r="CF147" s="489"/>
      <c r="CG147" s="243"/>
      <c r="CH147" s="299"/>
      <c r="CI147" s="241"/>
      <c r="CJ147" s="242"/>
      <c r="CK147" s="488"/>
      <c r="CL147" s="489"/>
      <c r="CM147" s="243"/>
      <c r="CN147" s="299"/>
      <c r="CO147" s="299"/>
      <c r="CP147" s="299"/>
      <c r="CQ147" s="299"/>
      <c r="CR147" s="299"/>
      <c r="CS147" s="299"/>
    </row>
    <row r="148" spans="1:110" collapsed="1">
      <c r="A148" s="232"/>
      <c r="C148" s="298"/>
      <c r="D148" s="298"/>
      <c r="E148" s="298"/>
      <c r="F148" s="298"/>
      <c r="G148" s="202"/>
      <c r="H148" s="298"/>
      <c r="I148" s="298"/>
      <c r="J148" s="298"/>
      <c r="K148" s="298"/>
      <c r="L148" s="298"/>
      <c r="M148" s="202"/>
      <c r="N148" s="298"/>
      <c r="O148" s="298"/>
      <c r="P148" s="298"/>
      <c r="Q148" s="298"/>
      <c r="R148" s="298"/>
      <c r="S148" s="202"/>
      <c r="T148" s="298"/>
      <c r="U148" s="298"/>
      <c r="V148" s="298"/>
      <c r="W148" s="298"/>
      <c r="X148" s="298"/>
      <c r="Y148" s="202"/>
      <c r="Z148" s="298"/>
      <c r="AA148" s="298"/>
      <c r="AB148" s="298"/>
      <c r="AC148" s="298"/>
      <c r="AD148" s="298"/>
      <c r="AE148" s="298"/>
      <c r="AF148" s="298"/>
      <c r="AG148" s="298"/>
      <c r="AH148" s="298"/>
      <c r="AI148" s="298"/>
      <c r="AJ148" s="298"/>
      <c r="AK148" s="298"/>
      <c r="AL148" s="298"/>
      <c r="AM148" s="298"/>
      <c r="AN148" s="298"/>
      <c r="AO148" s="298"/>
      <c r="AP148" s="298"/>
      <c r="AQ148" s="298"/>
      <c r="AR148" s="298"/>
      <c r="AS148" s="298"/>
      <c r="AT148" s="298"/>
      <c r="AU148" s="298"/>
      <c r="AV148" s="298"/>
      <c r="AW148" s="298"/>
      <c r="AX148" s="298"/>
      <c r="AY148" s="298"/>
      <c r="AZ148" s="298"/>
      <c r="BA148" s="298"/>
      <c r="BB148" s="298"/>
      <c r="BC148" s="298"/>
      <c r="BD148" s="298"/>
      <c r="BE148" s="298"/>
      <c r="BF148" s="298"/>
      <c r="BG148" s="298"/>
      <c r="BH148" s="298"/>
      <c r="BI148" s="298"/>
      <c r="BJ148" s="298"/>
      <c r="BK148" s="298"/>
      <c r="BL148" s="298"/>
      <c r="BM148" s="298"/>
      <c r="BN148" s="298"/>
      <c r="BO148" s="298"/>
      <c r="BP148" s="298"/>
      <c r="BQ148" s="298"/>
      <c r="BR148" s="298"/>
      <c r="BS148" s="298"/>
      <c r="BT148" s="298"/>
      <c r="BU148" s="298"/>
      <c r="BV148" s="298"/>
      <c r="BW148" s="298"/>
      <c r="BX148" s="298"/>
      <c r="BY148" s="298"/>
      <c r="BZ148" s="298"/>
      <c r="CA148" s="298"/>
      <c r="CB148" s="298"/>
      <c r="CC148" s="298"/>
      <c r="CD148" s="298"/>
      <c r="CE148" s="298"/>
      <c r="CF148" s="298"/>
      <c r="CG148" s="298"/>
      <c r="CH148" s="299"/>
      <c r="CI148" s="298"/>
      <c r="CJ148" s="298"/>
      <c r="CK148" s="298"/>
      <c r="CL148" s="298"/>
      <c r="CM148" s="298"/>
      <c r="CN148" s="299"/>
      <c r="CO148" s="299"/>
      <c r="CP148" s="299"/>
      <c r="CQ148" s="299"/>
      <c r="CR148" s="299"/>
      <c r="CS148" s="299"/>
    </row>
    <row r="149" spans="1:110" s="79" customFormat="1" ht="15">
      <c r="A149" s="232"/>
      <c r="C149" s="152"/>
      <c r="D149" s="152"/>
      <c r="E149" s="152"/>
      <c r="F149" s="152"/>
      <c r="G149" s="152"/>
      <c r="H149" s="152"/>
      <c r="I149" s="152"/>
      <c r="J149" s="152"/>
      <c r="K149" s="152"/>
      <c r="L149" s="152"/>
      <c r="M149" s="152"/>
      <c r="N149" s="152"/>
      <c r="O149" s="152"/>
      <c r="P149" s="152"/>
      <c r="Q149" s="152"/>
      <c r="R149" s="152"/>
      <c r="S149" s="152"/>
      <c r="T149" s="152"/>
      <c r="U149" s="152"/>
      <c r="V149" s="152"/>
      <c r="W149" s="152"/>
      <c r="X149" s="152"/>
      <c r="Y149" s="152"/>
      <c r="Z149" s="152"/>
      <c r="AA149" s="152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480"/>
      <c r="CI149" s="152"/>
      <c r="CJ149" s="152"/>
      <c r="CK149" s="152"/>
      <c r="CL149" s="152"/>
      <c r="CM149" s="152"/>
      <c r="CN149" s="480"/>
      <c r="CO149" s="480"/>
      <c r="CP149" s="480"/>
      <c r="CQ149" s="480"/>
      <c r="CR149" s="480"/>
      <c r="CS149" s="480"/>
      <c r="CT149" s="480"/>
      <c r="CU149" s="480"/>
      <c r="CV149" s="480"/>
      <c r="CW149" s="480"/>
      <c r="CX149" s="480"/>
      <c r="CY149" s="480"/>
      <c r="CZ149" s="480"/>
      <c r="DA149" s="480"/>
      <c r="DB149" s="480"/>
      <c r="DC149" s="480"/>
      <c r="DD149" s="480"/>
      <c r="DE149" s="480"/>
      <c r="DF149" s="480"/>
    </row>
    <row r="150" spans="1:110">
      <c r="A150" s="2192" t="s">
        <v>194</v>
      </c>
      <c r="B150" s="2181"/>
      <c r="C150" s="2193"/>
      <c r="D150" s="2193"/>
      <c r="E150" s="2193"/>
      <c r="F150" s="2193"/>
      <c r="G150" s="2194"/>
      <c r="H150" s="2185"/>
      <c r="I150" s="2193"/>
      <c r="J150" s="2193"/>
      <c r="K150" s="2193"/>
      <c r="L150" s="2193"/>
      <c r="M150" s="2194"/>
      <c r="N150" s="2185"/>
      <c r="O150" s="2193"/>
      <c r="P150" s="2193"/>
      <c r="Q150" s="2193"/>
      <c r="R150" s="2193"/>
      <c r="S150" s="2194"/>
      <c r="T150" s="2185"/>
      <c r="U150" s="2195"/>
      <c r="V150" s="2193"/>
      <c r="W150" s="2193"/>
      <c r="X150" s="2193"/>
      <c r="Y150" s="2196"/>
      <c r="Z150" s="2185"/>
      <c r="AA150" s="2193"/>
      <c r="AB150" s="2193"/>
      <c r="AC150" s="2193"/>
      <c r="AD150" s="2193"/>
      <c r="AE150" s="2196"/>
      <c r="AF150" s="2185"/>
      <c r="AG150" s="2193"/>
      <c r="AH150" s="2193"/>
      <c r="AI150" s="2193"/>
      <c r="AJ150" s="2193"/>
      <c r="AK150" s="2196"/>
      <c r="AL150" s="2185"/>
      <c r="AM150" s="2197"/>
      <c r="AN150" s="2193"/>
      <c r="AO150" s="2193"/>
      <c r="AP150" s="2193"/>
      <c r="AQ150" s="2196"/>
      <c r="AR150" s="2185"/>
      <c r="AS150" s="2182"/>
      <c r="AT150" s="2183"/>
      <c r="AU150" s="2183"/>
      <c r="AV150" s="2183"/>
      <c r="AW150" s="2196"/>
      <c r="AX150" s="2185"/>
      <c r="AY150" s="2182"/>
      <c r="AZ150" s="2183"/>
      <c r="BA150" s="2183"/>
      <c r="BB150" s="2193"/>
      <c r="BC150" s="2196"/>
      <c r="BD150" s="2185"/>
      <c r="BE150" s="2193"/>
      <c r="BF150" s="2193"/>
      <c r="BG150" s="2193"/>
      <c r="BH150" s="2193"/>
      <c r="BI150" s="2196"/>
      <c r="BJ150" s="2185"/>
      <c r="BK150" s="2195"/>
      <c r="BL150" s="2193"/>
      <c r="BM150" s="2193"/>
      <c r="BN150" s="2193"/>
      <c r="BO150" s="2194"/>
      <c r="BP150" s="2185"/>
      <c r="BQ150" s="2195"/>
      <c r="BR150" s="2193"/>
      <c r="BS150" s="2193"/>
      <c r="BT150" s="2193"/>
      <c r="BU150" s="2194"/>
      <c r="BV150" s="2185"/>
      <c r="BW150" s="2195"/>
      <c r="BX150" s="2193"/>
      <c r="BY150" s="383"/>
      <c r="BZ150" s="383"/>
      <c r="CA150" s="384"/>
      <c r="CB150" s="2108"/>
      <c r="CC150" s="385"/>
      <c r="CD150" s="383"/>
      <c r="CE150" s="383"/>
      <c r="CF150" s="383"/>
      <c r="CG150" s="384"/>
      <c r="CH150" s="299"/>
      <c r="CI150" s="385"/>
      <c r="CJ150" s="383"/>
      <c r="CK150" s="383"/>
      <c r="CL150" s="383"/>
      <c r="CM150" s="384"/>
      <c r="CN150" s="299"/>
      <c r="CO150" s="299"/>
      <c r="CP150" s="299"/>
      <c r="CQ150" s="299"/>
      <c r="CR150" s="299"/>
      <c r="CS150" s="299"/>
    </row>
    <row r="151" spans="1:110" hidden="1" outlineLevel="2">
      <c r="A151" s="1449" t="s">
        <v>97</v>
      </c>
      <c r="C151" s="1646">
        <v>239</v>
      </c>
      <c r="D151" s="1647">
        <v>252</v>
      </c>
      <c r="E151" s="1647">
        <v>261</v>
      </c>
      <c r="F151" s="1647">
        <v>300</v>
      </c>
      <c r="G151" s="1452">
        <f>SUM(C151:F151)</f>
        <v>1052</v>
      </c>
      <c r="H151" s="494"/>
      <c r="I151" s="1646">
        <v>302</v>
      </c>
      <c r="J151" s="1647">
        <v>334</v>
      </c>
      <c r="K151" s="1647">
        <v>331</v>
      </c>
      <c r="L151" s="1647">
        <v>346</v>
      </c>
      <c r="M151" s="1452">
        <f>SUM(I151:L151)</f>
        <v>1313</v>
      </c>
      <c r="N151" s="494"/>
      <c r="O151" s="1646">
        <v>255</v>
      </c>
      <c r="P151" s="1647">
        <v>231</v>
      </c>
      <c r="Q151" s="1647">
        <v>237</v>
      </c>
      <c r="R151" s="1647">
        <v>291</v>
      </c>
      <c r="S151" s="1452">
        <f>SUM(O151:R151)</f>
        <v>1014</v>
      </c>
      <c r="T151" s="494"/>
      <c r="U151" s="1646">
        <v>275</v>
      </c>
      <c r="V151" s="1647">
        <v>269</v>
      </c>
      <c r="W151" s="1647">
        <v>333</v>
      </c>
      <c r="X151" s="1647">
        <v>402</v>
      </c>
      <c r="Y151" s="1452">
        <f>SUM(U151:X151)</f>
        <v>1279</v>
      </c>
      <c r="Z151" s="494"/>
      <c r="AA151" s="1646">
        <v>376</v>
      </c>
      <c r="AB151" s="1647">
        <v>406</v>
      </c>
      <c r="AC151" s="1647">
        <v>382</v>
      </c>
      <c r="AD151" s="1647">
        <v>433</v>
      </c>
      <c r="AE151" s="1452">
        <f>SUM(AA151:AD151)</f>
        <v>1597</v>
      </c>
      <c r="AF151" s="494"/>
      <c r="AG151" s="1646">
        <v>394</v>
      </c>
      <c r="AH151" s="1647">
        <v>410</v>
      </c>
      <c r="AI151" s="1647">
        <v>373</v>
      </c>
      <c r="AJ151" s="1647">
        <v>417</v>
      </c>
      <c r="AK151" s="1452">
        <f>SUM(AG151:AJ151)</f>
        <v>1594</v>
      </c>
      <c r="AL151" s="494"/>
      <c r="AM151" s="1646">
        <v>397</v>
      </c>
      <c r="AN151" s="1647">
        <v>416</v>
      </c>
      <c r="AO151" s="1647">
        <v>376</v>
      </c>
      <c r="AP151" s="1647">
        <f>AP154-AP152</f>
        <v>482</v>
      </c>
      <c r="AQ151" s="1452">
        <f>SUM(AM151:AP151)</f>
        <v>1671</v>
      </c>
      <c r="AR151" s="494"/>
      <c r="AS151" s="1450"/>
      <c r="AT151" s="1451"/>
      <c r="AU151" s="1453"/>
      <c r="AV151" s="1453"/>
      <c r="AW151" s="1454"/>
      <c r="AX151" s="494"/>
      <c r="AY151" s="1450"/>
      <c r="AZ151" s="1453"/>
      <c r="BA151" s="1453"/>
      <c r="BB151" s="1453"/>
      <c r="BC151" s="1454"/>
      <c r="BD151" s="494"/>
      <c r="BE151" s="1455"/>
      <c r="BF151" s="1453"/>
      <c r="BG151" s="1453"/>
      <c r="BH151" s="1453"/>
      <c r="BI151" s="1454"/>
      <c r="BJ151" s="494"/>
      <c r="BK151" s="1455"/>
      <c r="BL151" s="1453"/>
      <c r="BM151" s="1453"/>
      <c r="BN151" s="1453"/>
      <c r="BO151" s="1454"/>
      <c r="BP151" s="494"/>
      <c r="BQ151" s="1455"/>
      <c r="BR151" s="1453"/>
      <c r="BS151" s="1453"/>
      <c r="BT151" s="1453"/>
      <c r="BU151" s="1454"/>
      <c r="BV151" s="494"/>
      <c r="BW151" s="1455"/>
      <c r="BX151" s="1453"/>
      <c r="BY151" s="1453"/>
      <c r="BZ151" s="1453"/>
      <c r="CA151" s="1454"/>
      <c r="CB151" s="1336"/>
      <c r="CC151" s="1455"/>
      <c r="CD151" s="1453"/>
      <c r="CE151" s="1453"/>
      <c r="CF151" s="1453"/>
      <c r="CG151" s="1454"/>
      <c r="CH151" s="86"/>
      <c r="CI151" s="1455"/>
      <c r="CJ151" s="1453"/>
      <c r="CK151" s="1453"/>
      <c r="CL151" s="1453"/>
      <c r="CM151" s="1454"/>
      <c r="CN151" s="86"/>
      <c r="CO151" s="86"/>
      <c r="CP151" s="86"/>
      <c r="CQ151" s="86"/>
      <c r="CR151" s="86"/>
      <c r="CS151" s="86"/>
      <c r="CT151" s="86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</row>
    <row r="152" spans="1:110" hidden="1" outlineLevel="2">
      <c r="A152" s="1456" t="s">
        <v>99</v>
      </c>
      <c r="C152" s="1457"/>
      <c r="D152" s="1458"/>
      <c r="E152" s="1458"/>
      <c r="F152" s="1458"/>
      <c r="G152" s="1459"/>
      <c r="H152" s="495"/>
      <c r="I152" s="1457"/>
      <c r="J152" s="1458"/>
      <c r="K152" s="1458"/>
      <c r="L152" s="1458"/>
      <c r="M152" s="1459"/>
      <c r="N152" s="495"/>
      <c r="O152" s="1648">
        <v>52</v>
      </c>
      <c r="P152" s="1649">
        <v>56</v>
      </c>
      <c r="Q152" s="1649">
        <v>51</v>
      </c>
      <c r="R152" s="1649">
        <v>61</v>
      </c>
      <c r="S152" s="1459">
        <f>SUM(O152:R152)</f>
        <v>220</v>
      </c>
      <c r="T152" s="495"/>
      <c r="U152" s="1648">
        <v>61</v>
      </c>
      <c r="V152" s="1649">
        <v>62</v>
      </c>
      <c r="W152" s="1649">
        <v>58</v>
      </c>
      <c r="X152" s="1649">
        <v>66</v>
      </c>
      <c r="Y152" s="1650">
        <v>247</v>
      </c>
      <c r="Z152" s="495"/>
      <c r="AA152" s="1648">
        <v>66</v>
      </c>
      <c r="AB152" s="1649">
        <v>73</v>
      </c>
      <c r="AC152" s="1649">
        <v>63</v>
      </c>
      <c r="AD152" s="1649">
        <v>76</v>
      </c>
      <c r="AE152" s="1650">
        <v>278</v>
      </c>
      <c r="AF152" s="495"/>
      <c r="AG152" s="1648">
        <v>69</v>
      </c>
      <c r="AH152" s="1649">
        <v>66</v>
      </c>
      <c r="AI152" s="1649">
        <v>106</v>
      </c>
      <c r="AJ152" s="1649">
        <v>158</v>
      </c>
      <c r="AK152" s="1459">
        <f>SUM(AG152:AJ152)</f>
        <v>399</v>
      </c>
      <c r="AL152" s="495"/>
      <c r="AM152" s="1648">
        <v>165</v>
      </c>
      <c r="AN152" s="1649">
        <v>163</v>
      </c>
      <c r="AO152" s="1649">
        <v>160</v>
      </c>
      <c r="AP152" s="1649">
        <f>AO152</f>
        <v>160</v>
      </c>
      <c r="AQ152" s="1459">
        <f>SUM(AM152:AP152)</f>
        <v>648</v>
      </c>
      <c r="AR152" s="495"/>
      <c r="AS152" s="1457"/>
      <c r="AT152" s="1458"/>
      <c r="AU152" s="1336"/>
      <c r="AV152" s="1336"/>
      <c r="AW152" s="1333"/>
      <c r="AX152" s="495"/>
      <c r="AY152" s="1457"/>
      <c r="AZ152" s="1336"/>
      <c r="BA152" s="1336"/>
      <c r="BB152" s="1336"/>
      <c r="BC152" s="1333"/>
      <c r="BD152" s="495"/>
      <c r="BE152" s="1335"/>
      <c r="BF152" s="1336"/>
      <c r="BG152" s="1336"/>
      <c r="BH152" s="1336"/>
      <c r="BI152" s="1333"/>
      <c r="BJ152" s="495"/>
      <c r="BK152" s="1335"/>
      <c r="BL152" s="1336"/>
      <c r="BM152" s="1336"/>
      <c r="BN152" s="1336"/>
      <c r="BO152" s="1333"/>
      <c r="BP152" s="495"/>
      <c r="BQ152" s="1335"/>
      <c r="BR152" s="1336"/>
      <c r="BS152" s="1336"/>
      <c r="BT152" s="1336"/>
      <c r="BU152" s="1333"/>
      <c r="BV152" s="495"/>
      <c r="BW152" s="1335"/>
      <c r="BX152" s="1336"/>
      <c r="BY152" s="1336"/>
      <c r="BZ152" s="1336"/>
      <c r="CA152" s="1333"/>
      <c r="CB152" s="1336"/>
      <c r="CC152" s="1335"/>
      <c r="CD152" s="1336"/>
      <c r="CE152" s="1336"/>
      <c r="CF152" s="1336"/>
      <c r="CG152" s="1333"/>
      <c r="CH152" s="86"/>
      <c r="CI152" s="1335"/>
      <c r="CJ152" s="1336"/>
      <c r="CK152" s="1336"/>
      <c r="CL152" s="1336"/>
      <c r="CM152" s="1333"/>
      <c r="CN152" s="86"/>
      <c r="CO152" s="86"/>
      <c r="CP152" s="86"/>
      <c r="CQ152" s="86"/>
      <c r="CR152" s="86"/>
      <c r="CS152" s="86"/>
      <c r="CT152" s="86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</row>
    <row r="153" spans="1:110" hidden="1" outlineLevel="2">
      <c r="A153" s="1456" t="s">
        <v>101</v>
      </c>
      <c r="C153" s="1648">
        <v>194</v>
      </c>
      <c r="D153" s="1649">
        <v>205</v>
      </c>
      <c r="E153" s="1649">
        <v>210</v>
      </c>
      <c r="F153" s="1649">
        <v>233</v>
      </c>
      <c r="G153" s="1459">
        <f>SUM(C153:F153)</f>
        <v>842</v>
      </c>
      <c r="H153" s="495"/>
      <c r="I153" s="1648">
        <v>230</v>
      </c>
      <c r="J153" s="1649">
        <v>240</v>
      </c>
      <c r="K153" s="1649">
        <v>242</v>
      </c>
      <c r="L153" s="1649">
        <v>250</v>
      </c>
      <c r="M153" s="1459">
        <f>SUM(I153:L153)</f>
        <v>962</v>
      </c>
      <c r="N153" s="495"/>
      <c r="O153" s="1648">
        <v>216</v>
      </c>
      <c r="P153" s="1649">
        <v>194</v>
      </c>
      <c r="Q153" s="1649">
        <v>205</v>
      </c>
      <c r="R153" s="1649">
        <v>238</v>
      </c>
      <c r="S153" s="1459">
        <f>SUM(O153:R153)</f>
        <v>853</v>
      </c>
      <c r="T153" s="495"/>
      <c r="U153" s="1648">
        <v>242</v>
      </c>
      <c r="V153" s="1649">
        <v>231</v>
      </c>
      <c r="W153" s="1649">
        <v>350</v>
      </c>
      <c r="X153" s="1649">
        <v>401</v>
      </c>
      <c r="Y153" s="1459">
        <f>SUM(U153:X153)</f>
        <v>1224</v>
      </c>
      <c r="Z153" s="495"/>
      <c r="AA153" s="1648">
        <v>388</v>
      </c>
      <c r="AB153" s="1649">
        <v>380</v>
      </c>
      <c r="AC153" s="1649">
        <v>400</v>
      </c>
      <c r="AD153" s="1649">
        <v>421</v>
      </c>
      <c r="AE153" s="1459">
        <f>SUM(AA153:AD153)</f>
        <v>1589</v>
      </c>
      <c r="AF153" s="495"/>
      <c r="AG153" s="1648">
        <v>403</v>
      </c>
      <c r="AH153" s="1649">
        <v>408</v>
      </c>
      <c r="AI153" s="1649">
        <v>372</v>
      </c>
      <c r="AJ153" s="1649">
        <v>421</v>
      </c>
      <c r="AK153" s="1459">
        <f>SUM(AG153:AJ153)</f>
        <v>1604</v>
      </c>
      <c r="AL153" s="495"/>
      <c r="AM153" s="1648">
        <v>399</v>
      </c>
      <c r="AN153" s="1649">
        <v>408</v>
      </c>
      <c r="AO153" s="1649">
        <v>390</v>
      </c>
      <c r="AP153" s="1649">
        <f>1642-SUM(AM153:AO153)</f>
        <v>445</v>
      </c>
      <c r="AQ153" s="1459">
        <f>SUM(AM153:AP153)</f>
        <v>1642</v>
      </c>
      <c r="AR153" s="495"/>
      <c r="AS153" s="1648">
        <v>415</v>
      </c>
      <c r="AT153" s="1649">
        <v>432</v>
      </c>
      <c r="AU153" s="1649">
        <v>420</v>
      </c>
      <c r="AV153" s="1649">
        <v>480</v>
      </c>
      <c r="AW153" s="1459">
        <f>SUM(AS153:AV153)</f>
        <v>1747</v>
      </c>
      <c r="AX153" s="495"/>
      <c r="AY153" s="1648"/>
      <c r="AZ153" s="1649"/>
      <c r="BA153" s="1336"/>
      <c r="BB153" s="1336"/>
      <c r="BC153" s="1333"/>
      <c r="BD153" s="495"/>
      <c r="BE153" s="1335"/>
      <c r="BF153" s="1336"/>
      <c r="BG153" s="1336"/>
      <c r="BH153" s="1336"/>
      <c r="BI153" s="1333"/>
      <c r="BJ153" s="495"/>
      <c r="BK153" s="1335"/>
      <c r="BL153" s="1336"/>
      <c r="BM153" s="1336"/>
      <c r="BN153" s="1336"/>
      <c r="BO153" s="1333"/>
      <c r="BP153" s="495"/>
      <c r="BQ153" s="1335"/>
      <c r="BR153" s="1336"/>
      <c r="BS153" s="1336"/>
      <c r="BT153" s="1336"/>
      <c r="BU153" s="1333"/>
      <c r="BV153" s="495"/>
      <c r="BW153" s="1335"/>
      <c r="BX153" s="1336"/>
      <c r="BY153" s="1336"/>
      <c r="BZ153" s="1336"/>
      <c r="CA153" s="1333"/>
      <c r="CB153" s="1336"/>
      <c r="CC153" s="1335"/>
      <c r="CD153" s="1336"/>
      <c r="CE153" s="1336"/>
      <c r="CF153" s="1336"/>
      <c r="CG153" s="1333"/>
      <c r="CH153" s="86"/>
      <c r="CI153" s="1335"/>
      <c r="CJ153" s="1336"/>
      <c r="CK153" s="1336"/>
      <c r="CL153" s="1336"/>
      <c r="CM153" s="1333"/>
      <c r="CN153" s="86"/>
      <c r="CO153" s="86"/>
      <c r="CP153" s="86"/>
      <c r="CQ153" s="86"/>
      <c r="CR153" s="86"/>
      <c r="CS153" s="86"/>
      <c r="CT153" s="86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</row>
    <row r="154" spans="1:110" hidden="1" outlineLevel="2">
      <c r="A154" s="1456" t="s">
        <v>103</v>
      </c>
      <c r="C154" s="1461"/>
      <c r="D154" s="1460"/>
      <c r="E154" s="1460"/>
      <c r="F154" s="1460"/>
      <c r="G154" s="1462"/>
      <c r="H154" s="495"/>
      <c r="I154" s="1461"/>
      <c r="J154" s="1460"/>
      <c r="K154" s="1460"/>
      <c r="L154" s="1460"/>
      <c r="M154" s="1462"/>
      <c r="N154" s="495"/>
      <c r="O154" s="1461">
        <f>+O152+O151</f>
        <v>307</v>
      </c>
      <c r="P154" s="1460">
        <f>+P152+P151</f>
        <v>287</v>
      </c>
      <c r="Q154" s="1460">
        <f>+Q152+Q151</f>
        <v>288</v>
      </c>
      <c r="R154" s="1460">
        <f>+R152+R151</f>
        <v>352</v>
      </c>
      <c r="S154" s="1462">
        <f>+S152+S151</f>
        <v>1234</v>
      </c>
      <c r="T154" s="495"/>
      <c r="U154" s="1461">
        <f>+U152+U151</f>
        <v>336</v>
      </c>
      <c r="V154" s="1460">
        <f>+V152+V151</f>
        <v>331</v>
      </c>
      <c r="W154" s="1460">
        <f>+W152+W151</f>
        <v>391</v>
      </c>
      <c r="X154" s="1460">
        <f>+X152+X151</f>
        <v>468</v>
      </c>
      <c r="Y154" s="1462">
        <f>+Y152+Y151</f>
        <v>1526</v>
      </c>
      <c r="Z154" s="495"/>
      <c r="AA154" s="1461">
        <f>+AA152+AA151</f>
        <v>442</v>
      </c>
      <c r="AB154" s="1460">
        <f>+AB152+AB151</f>
        <v>479</v>
      </c>
      <c r="AC154" s="1460">
        <f>+AC152+AC151</f>
        <v>445</v>
      </c>
      <c r="AD154" s="1460">
        <f>+AD152+AD151</f>
        <v>509</v>
      </c>
      <c r="AE154" s="1462">
        <f>+AE152+AE151</f>
        <v>1875</v>
      </c>
      <c r="AF154" s="495"/>
      <c r="AG154" s="1461">
        <f>+AG152+AG151</f>
        <v>463</v>
      </c>
      <c r="AH154" s="1460">
        <f>+AH152+AH151</f>
        <v>476</v>
      </c>
      <c r="AI154" s="1460">
        <f>+AI152+AI151</f>
        <v>479</v>
      </c>
      <c r="AJ154" s="1460">
        <f>+AJ152+AJ151</f>
        <v>575</v>
      </c>
      <c r="AK154" s="1462">
        <f>+AK152+AK151</f>
        <v>1993</v>
      </c>
      <c r="AL154" s="495"/>
      <c r="AM154" s="1461">
        <f>+AM152+AM151</f>
        <v>562</v>
      </c>
      <c r="AN154" s="1460">
        <f>+AN152+AN151</f>
        <v>579</v>
      </c>
      <c r="AO154" s="1460">
        <f>+AO152+AO151</f>
        <v>536</v>
      </c>
      <c r="AP154" s="1460">
        <f>2319-SUM(AM154:AO154)</f>
        <v>642</v>
      </c>
      <c r="AQ154" s="1462">
        <f>+AQ152+AQ151</f>
        <v>2319</v>
      </c>
      <c r="AR154" s="495"/>
      <c r="AS154" s="1648">
        <v>564</v>
      </c>
      <c r="AT154" s="1649">
        <v>598</v>
      </c>
      <c r="AU154" s="1649">
        <v>597</v>
      </c>
      <c r="AV154" s="1649">
        <v>665</v>
      </c>
      <c r="AW154" s="1459">
        <f>SUM(AS154:AV154)</f>
        <v>2424</v>
      </c>
      <c r="AX154" s="495"/>
      <c r="AY154" s="1648"/>
      <c r="AZ154" s="1649"/>
      <c r="BA154" s="1460"/>
      <c r="BB154" s="1460"/>
      <c r="BC154" s="1462"/>
      <c r="BD154" s="495"/>
      <c r="BE154" s="1461"/>
      <c r="BF154" s="1460"/>
      <c r="BG154" s="1460"/>
      <c r="BH154" s="1460"/>
      <c r="BI154" s="1462"/>
      <c r="BJ154" s="495"/>
      <c r="BK154" s="1461"/>
      <c r="BL154" s="1460"/>
      <c r="BM154" s="1460"/>
      <c r="BN154" s="1460"/>
      <c r="BO154" s="1462"/>
      <c r="BP154" s="495"/>
      <c r="BQ154" s="1461"/>
      <c r="BR154" s="1460"/>
      <c r="BS154" s="1460"/>
      <c r="BT154" s="1460"/>
      <c r="BU154" s="1462"/>
      <c r="BV154" s="495"/>
      <c r="BW154" s="1461"/>
      <c r="BX154" s="1460"/>
      <c r="BY154" s="1460"/>
      <c r="BZ154" s="1460"/>
      <c r="CA154" s="1462"/>
      <c r="CB154" s="1460"/>
      <c r="CC154" s="1461"/>
      <c r="CD154" s="1460"/>
      <c r="CE154" s="1460"/>
      <c r="CF154" s="1460"/>
      <c r="CG154" s="1462"/>
      <c r="CH154" s="497"/>
      <c r="CI154" s="1461"/>
      <c r="CJ154" s="1460"/>
      <c r="CK154" s="1460"/>
      <c r="CL154" s="1460"/>
      <c r="CM154" s="1462"/>
      <c r="CN154" s="497"/>
      <c r="CO154" s="497"/>
      <c r="CP154" s="497"/>
      <c r="CQ154" s="497"/>
      <c r="CR154" s="497"/>
      <c r="CS154" s="497"/>
      <c r="CT154" s="497"/>
      <c r="CU154" s="496"/>
      <c r="CV154" s="496"/>
      <c r="CW154" s="496"/>
      <c r="CX154" s="496"/>
      <c r="CY154" s="496"/>
      <c r="CZ154" s="496"/>
      <c r="DA154" s="496"/>
      <c r="DB154" s="496"/>
      <c r="DC154" s="496"/>
      <c r="DD154" s="496"/>
      <c r="DE154" s="496"/>
      <c r="DF154" s="496"/>
    </row>
    <row r="155" spans="1:110" outlineLevel="1" collapsed="1">
      <c r="A155" s="501" t="s">
        <v>105</v>
      </c>
      <c r="B155" s="328"/>
      <c r="C155" s="706"/>
      <c r="D155" s="705"/>
      <c r="E155" s="705"/>
      <c r="F155" s="705"/>
      <c r="G155" s="710"/>
      <c r="H155" s="705"/>
      <c r="I155" s="706"/>
      <c r="J155" s="705"/>
      <c r="K155" s="705"/>
      <c r="L155" s="705"/>
      <c r="M155" s="710"/>
      <c r="N155" s="705"/>
      <c r="O155" s="706"/>
      <c r="P155" s="705"/>
      <c r="Q155" s="705"/>
      <c r="R155" s="705"/>
      <c r="S155" s="710"/>
      <c r="T155" s="705"/>
      <c r="U155" s="706"/>
      <c r="V155" s="705"/>
      <c r="W155" s="705"/>
      <c r="X155" s="705"/>
      <c r="Y155" s="710"/>
      <c r="Z155" s="705"/>
      <c r="AA155" s="706"/>
      <c r="AB155" s="705"/>
      <c r="AC155" s="705"/>
      <c r="AD155" s="705"/>
      <c r="AE155" s="710"/>
      <c r="AF155" s="705"/>
      <c r="AG155" s="1555">
        <v>507</v>
      </c>
      <c r="AH155" s="1554">
        <v>505</v>
      </c>
      <c r="AI155" s="1554">
        <v>472</v>
      </c>
      <c r="AJ155" s="1554">
        <v>544</v>
      </c>
      <c r="AK155" s="703">
        <f>SUM(AG155:AJ155)</f>
        <v>2028</v>
      </c>
      <c r="AL155" s="705"/>
      <c r="AM155" s="1555">
        <v>483</v>
      </c>
      <c r="AN155" s="1554">
        <v>497</v>
      </c>
      <c r="AO155" s="1554">
        <v>485</v>
      </c>
      <c r="AP155" s="1554">
        <v>580</v>
      </c>
      <c r="AQ155" s="703">
        <f>SUM(AM155:AP155)</f>
        <v>2045</v>
      </c>
      <c r="AR155" s="705"/>
      <c r="AS155" s="1555">
        <v>489</v>
      </c>
      <c r="AT155" s="1554">
        <v>502</v>
      </c>
      <c r="AU155" s="1554">
        <v>527</v>
      </c>
      <c r="AV155" s="1554">
        <v>620</v>
      </c>
      <c r="AW155" s="703">
        <f>SUM(AS155:AV155)</f>
        <v>2138</v>
      </c>
      <c r="AX155" s="705"/>
      <c r="AY155" s="1555">
        <v>488</v>
      </c>
      <c r="AZ155" s="1554">
        <v>506</v>
      </c>
      <c r="BA155" s="1554">
        <v>471</v>
      </c>
      <c r="BB155" s="705" t="s">
        <v>547</v>
      </c>
      <c r="BC155" s="710" t="s">
        <v>547</v>
      </c>
      <c r="BD155" s="705"/>
      <c r="BE155" s="1992" t="s">
        <v>547</v>
      </c>
      <c r="BF155" s="705"/>
      <c r="BG155" s="705"/>
      <c r="BH155" s="705"/>
      <c r="BI155" s="710"/>
      <c r="BJ155" s="705"/>
      <c r="BK155" s="706"/>
      <c r="BL155" s="705"/>
      <c r="BM155" s="705"/>
      <c r="BN155" s="705"/>
      <c r="BO155" s="710"/>
      <c r="BP155" s="705"/>
      <c r="BQ155" s="706"/>
      <c r="BR155" s="705"/>
      <c r="BS155" s="705"/>
      <c r="BT155" s="705"/>
      <c r="BU155" s="710"/>
      <c r="BV155" s="705"/>
      <c r="BW155" s="706"/>
      <c r="BX155" s="705"/>
      <c r="BY155" s="705"/>
      <c r="BZ155" s="705"/>
      <c r="CA155" s="710"/>
      <c r="CB155" s="705"/>
      <c r="CC155" s="706"/>
      <c r="CD155" s="705"/>
      <c r="CE155" s="705"/>
      <c r="CF155" s="705"/>
      <c r="CG155" s="710"/>
      <c r="CH155" s="497"/>
      <c r="CI155" s="706"/>
      <c r="CJ155" s="705"/>
      <c r="CK155" s="705"/>
      <c r="CL155" s="705"/>
      <c r="CM155" s="710"/>
      <c r="CN155" s="497"/>
      <c r="CO155" s="497"/>
      <c r="CP155" s="497"/>
      <c r="CQ155" s="497"/>
      <c r="CR155" s="497"/>
      <c r="CS155" s="497"/>
      <c r="CT155" s="497"/>
      <c r="CU155" s="496"/>
      <c r="CV155" s="496"/>
      <c r="CW155" s="496"/>
      <c r="CX155" s="496"/>
      <c r="CY155" s="496"/>
      <c r="CZ155" s="496"/>
      <c r="DA155" s="496"/>
      <c r="DB155" s="496"/>
      <c r="DC155" s="496"/>
      <c r="DD155" s="496"/>
      <c r="DE155" s="496"/>
      <c r="DF155" s="496"/>
    </row>
    <row r="156" spans="1:110" outlineLevel="1">
      <c r="A156" s="501" t="s">
        <v>99</v>
      </c>
      <c r="B156" s="328"/>
      <c r="C156" s="706"/>
      <c r="D156" s="705"/>
      <c r="E156" s="705"/>
      <c r="F156" s="705"/>
      <c r="G156" s="710"/>
      <c r="H156" s="705"/>
      <c r="I156" s="706"/>
      <c r="J156" s="705"/>
      <c r="K156" s="705"/>
      <c r="L156" s="705"/>
      <c r="M156" s="710"/>
      <c r="N156" s="705"/>
      <c r="O156" s="706"/>
      <c r="P156" s="705"/>
      <c r="Q156" s="705"/>
      <c r="R156" s="705"/>
      <c r="S156" s="710"/>
      <c r="T156" s="705"/>
      <c r="U156" s="706"/>
      <c r="V156" s="705"/>
      <c r="W156" s="705"/>
      <c r="X156" s="705"/>
      <c r="Y156" s="710"/>
      <c r="Z156" s="705"/>
      <c r="AA156" s="706"/>
      <c r="AB156" s="705"/>
      <c r="AC156" s="705"/>
      <c r="AD156" s="705"/>
      <c r="AE156" s="710"/>
      <c r="AF156" s="705"/>
      <c r="AG156" s="1555">
        <v>62</v>
      </c>
      <c r="AH156" s="1554">
        <v>58</v>
      </c>
      <c r="AI156" s="1554">
        <v>102</v>
      </c>
      <c r="AJ156" s="1554">
        <v>151</v>
      </c>
      <c r="AK156" s="703">
        <f>SUM(AG156:AJ156)</f>
        <v>373</v>
      </c>
      <c r="AL156" s="705"/>
      <c r="AM156" s="1555">
        <v>159</v>
      </c>
      <c r="AN156" s="1554">
        <v>155</v>
      </c>
      <c r="AO156" s="1554">
        <v>151</v>
      </c>
      <c r="AP156" s="1554">
        <v>179</v>
      </c>
      <c r="AQ156" s="703">
        <f>SUM(AM156:AP156)</f>
        <v>644</v>
      </c>
      <c r="AR156" s="705"/>
      <c r="AS156" s="1555">
        <v>156</v>
      </c>
      <c r="AT156" s="1554">
        <v>175</v>
      </c>
      <c r="AU156" s="1554">
        <v>169</v>
      </c>
      <c r="AV156" s="1554">
        <v>171</v>
      </c>
      <c r="AW156" s="703">
        <f>SUM(AS156:AV156)</f>
        <v>671</v>
      </c>
      <c r="AX156" s="705"/>
      <c r="AY156" s="1555">
        <v>158</v>
      </c>
      <c r="AZ156" s="1554">
        <v>168</v>
      </c>
      <c r="BA156" s="1554">
        <v>168</v>
      </c>
      <c r="BB156" s="705" t="s">
        <v>547</v>
      </c>
      <c r="BC156" s="921" t="s">
        <v>547</v>
      </c>
      <c r="BD156" s="705"/>
      <c r="BE156" s="1992" t="s">
        <v>547</v>
      </c>
      <c r="BF156" s="705"/>
      <c r="BG156" s="705"/>
      <c r="BH156" s="705"/>
      <c r="BI156" s="710"/>
      <c r="BJ156" s="705"/>
      <c r="BK156" s="706"/>
      <c r="BL156" s="705"/>
      <c r="BM156" s="705"/>
      <c r="BN156" s="705"/>
      <c r="BO156" s="710"/>
      <c r="BP156" s="705"/>
      <c r="BQ156" s="706"/>
      <c r="BR156" s="705"/>
      <c r="BS156" s="705"/>
      <c r="BT156" s="705"/>
      <c r="BU156" s="710"/>
      <c r="BV156" s="705"/>
      <c r="BW156" s="706"/>
      <c r="BX156" s="705"/>
      <c r="BY156" s="705"/>
      <c r="BZ156" s="705"/>
      <c r="CA156" s="710"/>
      <c r="CB156" s="705"/>
      <c r="CC156" s="706"/>
      <c r="CD156" s="705"/>
      <c r="CE156" s="705"/>
      <c r="CF156" s="705"/>
      <c r="CG156" s="710"/>
      <c r="CH156" s="497"/>
      <c r="CI156" s="706"/>
      <c r="CJ156" s="705"/>
      <c r="CK156" s="705"/>
      <c r="CL156" s="705"/>
      <c r="CM156" s="710"/>
      <c r="CN156" s="497"/>
      <c r="CO156" s="497"/>
      <c r="CP156" s="497"/>
      <c r="CQ156" s="497"/>
      <c r="CR156" s="497"/>
      <c r="CS156" s="497"/>
      <c r="CT156" s="497"/>
      <c r="CU156" s="496"/>
      <c r="CV156" s="496"/>
      <c r="CW156" s="496"/>
      <c r="CX156" s="496"/>
      <c r="CY156" s="496"/>
      <c r="CZ156" s="496"/>
      <c r="DA156" s="496"/>
      <c r="DB156" s="496"/>
      <c r="DC156" s="496"/>
      <c r="DD156" s="496"/>
      <c r="DE156" s="496"/>
      <c r="DF156" s="496"/>
    </row>
    <row r="157" spans="1:110" outlineLevel="1">
      <c r="A157" s="501" t="s">
        <v>107</v>
      </c>
      <c r="B157" s="328"/>
      <c r="C157" s="706"/>
      <c r="D157" s="705"/>
      <c r="E157" s="705"/>
      <c r="F157" s="705"/>
      <c r="G157" s="710"/>
      <c r="H157" s="705"/>
      <c r="I157" s="706"/>
      <c r="J157" s="705"/>
      <c r="K157" s="705"/>
      <c r="L157" s="705"/>
      <c r="M157" s="710"/>
      <c r="N157" s="705"/>
      <c r="O157" s="706"/>
      <c r="P157" s="705"/>
      <c r="Q157" s="705"/>
      <c r="R157" s="705"/>
      <c r="S157" s="710"/>
      <c r="T157" s="705"/>
      <c r="U157" s="706"/>
      <c r="V157" s="705"/>
      <c r="W157" s="705"/>
      <c r="X157" s="705"/>
      <c r="Y157" s="710"/>
      <c r="Z157" s="705"/>
      <c r="AA157" s="706"/>
      <c r="AB157" s="705"/>
      <c r="AC157" s="705"/>
      <c r="AD157" s="705"/>
      <c r="AE157" s="710"/>
      <c r="AF157" s="705"/>
      <c r="AG157" s="1555">
        <v>297</v>
      </c>
      <c r="AH157" s="1554">
        <v>321</v>
      </c>
      <c r="AI157" s="1554">
        <v>277</v>
      </c>
      <c r="AJ157" s="1554">
        <v>301</v>
      </c>
      <c r="AK157" s="703">
        <f>SUM(AG157:AJ157)</f>
        <v>1196</v>
      </c>
      <c r="AL157" s="705"/>
      <c r="AM157" s="1555">
        <v>319</v>
      </c>
      <c r="AN157" s="1554">
        <v>335</v>
      </c>
      <c r="AO157" s="1554">
        <v>290</v>
      </c>
      <c r="AP157" s="1554">
        <v>328</v>
      </c>
      <c r="AQ157" s="703">
        <f>SUM(AM157:AP157)</f>
        <v>1272</v>
      </c>
      <c r="AR157" s="705"/>
      <c r="AS157" s="1555">
        <v>334</v>
      </c>
      <c r="AT157" s="1554">
        <v>354</v>
      </c>
      <c r="AU157" s="1554">
        <v>321</v>
      </c>
      <c r="AV157" s="1554">
        <v>353</v>
      </c>
      <c r="AW157" s="703">
        <f>SUM(AS157:AV157)</f>
        <v>1362</v>
      </c>
      <c r="AX157" s="705"/>
      <c r="AY157" s="1555">
        <v>349</v>
      </c>
      <c r="AZ157" s="1554">
        <v>365</v>
      </c>
      <c r="BA157" s="1554">
        <v>314</v>
      </c>
      <c r="BB157" s="705" t="s">
        <v>547</v>
      </c>
      <c r="BC157" s="710" t="s">
        <v>547</v>
      </c>
      <c r="BD157" s="705"/>
      <c r="BE157" s="1992" t="s">
        <v>547</v>
      </c>
      <c r="BF157" s="705"/>
      <c r="BG157" s="705"/>
      <c r="BH157" s="705"/>
      <c r="BI157" s="710"/>
      <c r="BJ157" s="705"/>
      <c r="BK157" s="706"/>
      <c r="BL157" s="705"/>
      <c r="BM157" s="705"/>
      <c r="BN157" s="705"/>
      <c r="BO157" s="710"/>
      <c r="BP157" s="705"/>
      <c r="BQ157" s="706"/>
      <c r="BR157" s="705"/>
      <c r="BS157" s="705"/>
      <c r="BT157" s="705"/>
      <c r="BU157" s="710"/>
      <c r="BV157" s="705"/>
      <c r="BW157" s="706"/>
      <c r="BX157" s="705"/>
      <c r="BY157" s="705"/>
      <c r="BZ157" s="705"/>
      <c r="CA157" s="710"/>
      <c r="CB157" s="705"/>
      <c r="CC157" s="706"/>
      <c r="CD157" s="705"/>
      <c r="CE157" s="705"/>
      <c r="CF157" s="705"/>
      <c r="CG157" s="710"/>
      <c r="CH157" s="497"/>
      <c r="CI157" s="706"/>
      <c r="CJ157" s="705"/>
      <c r="CK157" s="705"/>
      <c r="CL157" s="705"/>
      <c r="CM157" s="710"/>
      <c r="CN157" s="497"/>
      <c r="CO157" s="497"/>
      <c r="CP157" s="497"/>
      <c r="CQ157" s="497"/>
      <c r="CR157" s="497"/>
      <c r="CS157" s="497"/>
      <c r="CT157" s="497"/>
      <c r="CU157" s="496"/>
      <c r="CV157" s="496"/>
      <c r="CW157" s="496"/>
      <c r="CX157" s="496"/>
      <c r="CY157" s="496"/>
      <c r="CZ157" s="496"/>
      <c r="DA157" s="496"/>
      <c r="DB157" s="496"/>
      <c r="DC157" s="496"/>
      <c r="DD157" s="496"/>
      <c r="DE157" s="496"/>
      <c r="DF157" s="496"/>
    </row>
    <row r="158" spans="1:110" outlineLevel="1">
      <c r="A158" s="502" t="s">
        <v>195</v>
      </c>
      <c r="B158" s="328"/>
      <c r="C158" s="1795">
        <f>SUM(C151:C153)</f>
        <v>433</v>
      </c>
      <c r="D158" s="1796">
        <f>SUM(D151:D153)</f>
        <v>457</v>
      </c>
      <c r="E158" s="1796">
        <f>SUM(E151:E153)</f>
        <v>471</v>
      </c>
      <c r="F158" s="1796">
        <f>SUM(F151:F153)</f>
        <v>533</v>
      </c>
      <c r="G158" s="1797">
        <f>SUM(G151:G153)</f>
        <v>1894</v>
      </c>
      <c r="H158" s="1798"/>
      <c r="I158" s="1795">
        <f>SUM(I151:I153)</f>
        <v>532</v>
      </c>
      <c r="J158" s="1796">
        <f>SUM(J151:J153)</f>
        <v>574</v>
      </c>
      <c r="K158" s="1796">
        <f>SUM(K151:K153)</f>
        <v>573</v>
      </c>
      <c r="L158" s="1796">
        <f>SUM(L151:L153)</f>
        <v>596</v>
      </c>
      <c r="M158" s="1797">
        <f>SUM(M151:M153)</f>
        <v>2275</v>
      </c>
      <c r="N158" s="1798"/>
      <c r="O158" s="1795">
        <f>SUM(O151:O153)</f>
        <v>523</v>
      </c>
      <c r="P158" s="1796">
        <f>SUM(P151:P153)</f>
        <v>481</v>
      </c>
      <c r="Q158" s="1796">
        <f>SUM(Q151:Q153)</f>
        <v>493</v>
      </c>
      <c r="R158" s="1796">
        <f>SUM(R151:R153)</f>
        <v>590</v>
      </c>
      <c r="S158" s="1797">
        <f>SUM(S151:S153)</f>
        <v>2087</v>
      </c>
      <c r="T158" s="1798"/>
      <c r="U158" s="1795">
        <f>SUM(U151:U153)</f>
        <v>578</v>
      </c>
      <c r="V158" s="1796">
        <f>SUM(V151:V153)</f>
        <v>562</v>
      </c>
      <c r="W158" s="1796">
        <f>SUM(W151:W153)</f>
        <v>741</v>
      </c>
      <c r="X158" s="1796">
        <f>SUM(X151:X153)</f>
        <v>869</v>
      </c>
      <c r="Y158" s="1801">
        <f>SUM(Y151:Y153)</f>
        <v>2750</v>
      </c>
      <c r="Z158" s="1802"/>
      <c r="AA158" s="1803">
        <f>SUM(AA151:AA153)</f>
        <v>830</v>
      </c>
      <c r="AB158" s="1804">
        <f>SUM(AB151:AB153)</f>
        <v>859</v>
      </c>
      <c r="AC158" s="1804">
        <f>SUM(AC151:AC153)</f>
        <v>845</v>
      </c>
      <c r="AD158" s="1805">
        <v>1752</v>
      </c>
      <c r="AE158" s="1801">
        <f>SUM(AE151:AE153)</f>
        <v>3464</v>
      </c>
      <c r="AF158" s="1798"/>
      <c r="AG158" s="1803">
        <f>SUM(AG155:AG157)</f>
        <v>866</v>
      </c>
      <c r="AH158" s="1804">
        <f>SUM(AH155:AH157)</f>
        <v>884</v>
      </c>
      <c r="AI158" s="1804">
        <f>SUM(AI155:AI157)</f>
        <v>851</v>
      </c>
      <c r="AJ158" s="1804">
        <f>SUM(AJ155:AJ157)</f>
        <v>996</v>
      </c>
      <c r="AK158" s="1801">
        <f>SUM(AK155:AK157)</f>
        <v>3597</v>
      </c>
      <c r="AL158" s="1798"/>
      <c r="AM158" s="1803">
        <f>SUM(AM155:AM157)</f>
        <v>961</v>
      </c>
      <c r="AN158" s="1804">
        <f>SUM(AN155:AN157)</f>
        <v>987</v>
      </c>
      <c r="AO158" s="1804">
        <f>SUM(AO155:AO157)</f>
        <v>926</v>
      </c>
      <c r="AP158" s="1819">
        <f>SUM(AP155:AP157)</f>
        <v>1087</v>
      </c>
      <c r="AQ158" s="1801">
        <f>SUM(AQ155:AQ157)</f>
        <v>3961</v>
      </c>
      <c r="AR158" s="1798"/>
      <c r="AS158" s="1803">
        <f>SUM(AS155:AS157)</f>
        <v>979</v>
      </c>
      <c r="AT158" s="1804">
        <f>SUM(AT155:AT157)</f>
        <v>1031</v>
      </c>
      <c r="AU158" s="1804">
        <f>SUM(AU155:AU157)</f>
        <v>1017</v>
      </c>
      <c r="AV158" s="1804">
        <f>SUM(AV155:AV157)</f>
        <v>1144</v>
      </c>
      <c r="AW158" s="1806">
        <f>SUM(AW155:AW157)</f>
        <v>4171</v>
      </c>
      <c r="AX158" s="1798"/>
      <c r="AY158" s="1807">
        <f>SUM(AY155:AY157)</f>
        <v>995</v>
      </c>
      <c r="AZ158" s="1804">
        <f>SUM(AZ155:AZ157)</f>
        <v>1039</v>
      </c>
      <c r="BA158" s="1804">
        <f>SUM(BA155:BA157)</f>
        <v>953</v>
      </c>
      <c r="BB158" s="1808" t="s">
        <v>547</v>
      </c>
      <c r="BC158" s="1806" t="s">
        <v>547</v>
      </c>
      <c r="BD158" s="1798"/>
      <c r="BE158" s="1993" t="s">
        <v>547</v>
      </c>
      <c r="BF158" s="1808"/>
      <c r="BG158" s="1808"/>
      <c r="BH158" s="1928"/>
      <c r="BI158" s="1806"/>
      <c r="BJ158" s="1798"/>
      <c r="BK158" s="1807"/>
      <c r="BL158" s="1808"/>
      <c r="BM158" s="1808"/>
      <c r="BN158" s="1928"/>
      <c r="BO158" s="1806"/>
      <c r="BP158" s="1798"/>
      <c r="BQ158" s="1799"/>
      <c r="BR158" s="1800"/>
      <c r="BS158" s="1800"/>
      <c r="BT158" s="1800"/>
      <c r="BU158" s="1806"/>
      <c r="BV158" s="1798"/>
      <c r="BW158" s="1799"/>
      <c r="BX158" s="1800"/>
      <c r="BY158" s="1800"/>
      <c r="BZ158" s="1800"/>
      <c r="CA158" s="1806"/>
      <c r="CB158" s="2119"/>
      <c r="CC158" s="1799"/>
      <c r="CD158" s="1800"/>
      <c r="CE158" s="1800"/>
      <c r="CF158" s="1800"/>
      <c r="CG158" s="1806"/>
      <c r="CH158" s="499"/>
      <c r="CI158" s="1799"/>
      <c r="CJ158" s="1800"/>
      <c r="CK158" s="1800"/>
      <c r="CL158" s="1800"/>
      <c r="CM158" s="1806"/>
      <c r="CN158" s="499"/>
      <c r="CO158" s="499"/>
      <c r="CP158" s="499"/>
      <c r="CQ158" s="499"/>
      <c r="CR158" s="499"/>
      <c r="CS158" s="499"/>
      <c r="CT158" s="499"/>
      <c r="CU158" s="499"/>
      <c r="CV158" s="499"/>
      <c r="CW158" s="499"/>
      <c r="CX158" s="499"/>
      <c r="CY158" s="499"/>
      <c r="CZ158" s="499"/>
      <c r="DA158" s="499"/>
      <c r="DB158" s="499"/>
      <c r="DC158" s="499"/>
      <c r="DD158" s="499"/>
      <c r="DE158" s="499"/>
      <c r="DF158" s="499"/>
    </row>
    <row r="159" spans="1:110" ht="6" customHeight="1">
      <c r="A159" s="79"/>
      <c r="C159" s="299"/>
      <c r="D159" s="299"/>
      <c r="E159" s="299"/>
      <c r="F159" s="299"/>
      <c r="G159" s="273"/>
      <c r="H159" s="298"/>
      <c r="I159" s="299"/>
      <c r="J159" s="299"/>
      <c r="K159" s="299"/>
      <c r="L159" s="299"/>
      <c r="M159" s="273"/>
      <c r="N159" s="298"/>
      <c r="O159" s="299"/>
      <c r="P159" s="299"/>
      <c r="Q159" s="299"/>
      <c r="R159" s="299"/>
      <c r="S159" s="273"/>
      <c r="T159" s="298"/>
      <c r="U159" s="299"/>
      <c r="V159" s="299"/>
      <c r="W159" s="299"/>
      <c r="X159" s="299"/>
      <c r="Y159" s="273"/>
      <c r="Z159" s="298"/>
      <c r="AA159" s="299"/>
      <c r="AB159" s="299"/>
      <c r="AC159" s="299"/>
      <c r="AD159" s="299"/>
      <c r="AE159" s="299"/>
      <c r="AF159" s="298"/>
      <c r="AG159" s="500"/>
      <c r="AH159" s="500"/>
      <c r="AI159" s="500"/>
      <c r="AJ159" s="500"/>
      <c r="AK159" s="500"/>
      <c r="AL159" s="298"/>
      <c r="AM159" s="500"/>
      <c r="AN159" s="500"/>
      <c r="AO159" s="500"/>
      <c r="AP159" s="500"/>
      <c r="AQ159" s="500"/>
      <c r="AR159" s="298"/>
      <c r="AS159" s="500"/>
      <c r="AT159" s="500"/>
      <c r="AU159" s="500"/>
      <c r="AV159" s="500"/>
      <c r="AW159" s="500"/>
      <c r="AX159" s="298"/>
      <c r="AY159" s="299"/>
      <c r="AZ159" s="299"/>
      <c r="BA159" s="299"/>
      <c r="BB159" s="299"/>
      <c r="BC159" s="299"/>
      <c r="BD159" s="298"/>
      <c r="BE159" s="1994"/>
      <c r="BF159" s="299"/>
      <c r="BG159" s="299"/>
      <c r="BH159" s="299"/>
      <c r="BI159" s="299"/>
      <c r="BJ159" s="298"/>
      <c r="BK159" s="299"/>
      <c r="BL159" s="299"/>
      <c r="BM159" s="299"/>
      <c r="BN159" s="299"/>
      <c r="BO159" s="299"/>
      <c r="BP159" s="298"/>
      <c r="BQ159" s="299"/>
      <c r="BR159" s="299"/>
      <c r="BS159" s="299"/>
      <c r="BT159" s="299"/>
      <c r="BU159" s="299"/>
      <c r="BV159" s="298"/>
      <c r="BW159" s="299"/>
      <c r="BX159" s="299"/>
      <c r="BY159" s="299"/>
      <c r="BZ159" s="299"/>
      <c r="CA159" s="299"/>
      <c r="CB159" s="299"/>
      <c r="CC159" s="299"/>
      <c r="CD159" s="299"/>
      <c r="CE159" s="299"/>
      <c r="CF159" s="299"/>
      <c r="CG159" s="299"/>
      <c r="CH159" s="299"/>
      <c r="CI159" s="299"/>
      <c r="CJ159" s="299"/>
      <c r="CK159" s="299"/>
      <c r="CL159" s="299"/>
      <c r="CM159" s="299"/>
      <c r="CN159" s="299"/>
      <c r="CO159" s="299"/>
      <c r="CP159" s="299"/>
      <c r="CQ159" s="299"/>
      <c r="CR159" s="299"/>
      <c r="CS159" s="299"/>
    </row>
    <row r="160" spans="1:110">
      <c r="A160" s="446" t="s">
        <v>196</v>
      </c>
      <c r="C160" s="491"/>
      <c r="D160" s="492"/>
      <c r="E160" s="492"/>
      <c r="F160" s="492"/>
      <c r="G160" s="493"/>
      <c r="H160" s="298"/>
      <c r="I160" s="491"/>
      <c r="J160" s="492"/>
      <c r="K160" s="492"/>
      <c r="L160" s="492"/>
      <c r="M160" s="493"/>
      <c r="N160" s="298"/>
      <c r="O160" s="491"/>
      <c r="P160" s="492"/>
      <c r="Q160" s="492"/>
      <c r="R160" s="492"/>
      <c r="S160" s="493"/>
      <c r="T160" s="298"/>
      <c r="U160" s="491"/>
      <c r="V160" s="492"/>
      <c r="W160" s="492"/>
      <c r="X160" s="492"/>
      <c r="Y160" s="493"/>
      <c r="Z160" s="298"/>
      <c r="AA160" s="491"/>
      <c r="AB160" s="492"/>
      <c r="AC160" s="492"/>
      <c r="AD160" s="492"/>
      <c r="AE160" s="493"/>
      <c r="AF160" s="298"/>
      <c r="AG160" s="491"/>
      <c r="AH160" s="492"/>
      <c r="AI160" s="492"/>
      <c r="AJ160" s="492"/>
      <c r="AK160" s="493"/>
      <c r="AL160" s="298"/>
      <c r="AM160" s="491"/>
      <c r="AN160" s="492"/>
      <c r="AO160" s="492"/>
      <c r="AP160" s="492"/>
      <c r="AQ160" s="493"/>
      <c r="AR160" s="298"/>
      <c r="AS160" s="491"/>
      <c r="AT160" s="492"/>
      <c r="AU160" s="492"/>
      <c r="AV160" s="492"/>
      <c r="AW160" s="493"/>
      <c r="AX160" s="298"/>
      <c r="AY160" s="491"/>
      <c r="AZ160" s="492"/>
      <c r="BA160" s="492"/>
      <c r="BB160" s="492"/>
      <c r="BC160" s="493"/>
      <c r="BD160" s="298"/>
      <c r="BE160" s="1995"/>
      <c r="BF160" s="492"/>
      <c r="BG160" s="492"/>
      <c r="BH160" s="492"/>
      <c r="BI160" s="493"/>
      <c r="BJ160" s="298"/>
      <c r="BK160" s="491"/>
      <c r="BL160" s="492"/>
      <c r="BM160" s="492"/>
      <c r="BN160" s="492"/>
      <c r="BO160" s="493"/>
      <c r="BP160" s="298"/>
      <c r="BQ160" s="491"/>
      <c r="BR160" s="492"/>
      <c r="BS160" s="492"/>
      <c r="BT160" s="492"/>
      <c r="BU160" s="493"/>
      <c r="BV160" s="298"/>
      <c r="BW160" s="491"/>
      <c r="BX160" s="492"/>
      <c r="BY160" s="492"/>
      <c r="BZ160" s="492"/>
      <c r="CA160" s="493"/>
      <c r="CB160" s="298"/>
      <c r="CC160" s="491"/>
      <c r="CD160" s="492"/>
      <c r="CE160" s="492"/>
      <c r="CF160" s="492"/>
      <c r="CG160" s="493"/>
      <c r="CH160" s="299"/>
      <c r="CI160" s="491"/>
      <c r="CJ160" s="492"/>
      <c r="CK160" s="492"/>
      <c r="CL160" s="492"/>
      <c r="CM160" s="493"/>
      <c r="CN160" s="299"/>
      <c r="CO160" s="299"/>
      <c r="CP160" s="299"/>
      <c r="CQ160" s="299"/>
      <c r="CR160" s="299"/>
      <c r="CS160" s="299"/>
    </row>
    <row r="161" spans="1:110" hidden="1" outlineLevel="2">
      <c r="A161" s="1298" t="s">
        <v>97</v>
      </c>
      <c r="C161" s="1463"/>
      <c r="D161" s="1464"/>
      <c r="E161" s="1464"/>
      <c r="F161" s="1465"/>
      <c r="G161" s="1466"/>
      <c r="H161" s="234"/>
      <c r="I161" s="1463">
        <f>I151/C151-1</f>
        <v>0.26359832635983271</v>
      </c>
      <c r="J161" s="1464">
        <f>J151/D151-1</f>
        <v>0.32539682539682535</v>
      </c>
      <c r="K161" s="1464">
        <f>K151/E151-1</f>
        <v>0.26819923371647514</v>
      </c>
      <c r="L161" s="1465">
        <f>L151/F151-1</f>
        <v>0.15333333333333332</v>
      </c>
      <c r="M161" s="1466">
        <f>M151/G151-1</f>
        <v>0.24809885931558928</v>
      </c>
      <c r="N161" s="234"/>
      <c r="O161" s="1463">
        <f>O151/I151-1</f>
        <v>-0.1556291390728477</v>
      </c>
      <c r="P161" s="1464">
        <f>P151/J151-1</f>
        <v>-0.30838323353293418</v>
      </c>
      <c r="Q161" s="1464">
        <f>Q151/K151-1</f>
        <v>-0.28398791540785495</v>
      </c>
      <c r="R161" s="1465">
        <f>R151/L151-1</f>
        <v>-0.15895953757225434</v>
      </c>
      <c r="S161" s="1466">
        <f>S151/M151-1</f>
        <v>-0.2277227722772277</v>
      </c>
      <c r="T161" s="234"/>
      <c r="U161" s="1463">
        <f t="shared" ref="U161:Y164" si="102">U151/O151-1</f>
        <v>7.8431372549019551E-2</v>
      </c>
      <c r="V161" s="1464">
        <f t="shared" si="102"/>
        <v>0.16450216450216448</v>
      </c>
      <c r="W161" s="1464">
        <f t="shared" si="102"/>
        <v>0.40506329113924044</v>
      </c>
      <c r="X161" s="1465">
        <f t="shared" si="102"/>
        <v>0.38144329896907214</v>
      </c>
      <c r="Y161" s="1466">
        <f t="shared" si="102"/>
        <v>0.26134122287968431</v>
      </c>
      <c r="Z161" s="234"/>
      <c r="AA161" s="1463">
        <f t="shared" ref="AA161:AE164" si="103">AA151/U151-1</f>
        <v>0.3672727272727272</v>
      </c>
      <c r="AB161" s="1464">
        <f t="shared" si="103"/>
        <v>0.50929368029739774</v>
      </c>
      <c r="AC161" s="1464">
        <f t="shared" si="103"/>
        <v>0.14714714714714705</v>
      </c>
      <c r="AD161" s="1465">
        <f t="shared" si="103"/>
        <v>7.7114427860696555E-2</v>
      </c>
      <c r="AE161" s="1466">
        <f t="shared" si="103"/>
        <v>0.24863174354964812</v>
      </c>
      <c r="AF161" s="234"/>
      <c r="AG161" s="1463">
        <f t="shared" ref="AG161:AK164" si="104">AG151/AA151-1</f>
        <v>4.7872340425531901E-2</v>
      </c>
      <c r="AH161" s="1464">
        <f t="shared" si="104"/>
        <v>9.8522167487684609E-3</v>
      </c>
      <c r="AI161" s="1464">
        <f t="shared" si="104"/>
        <v>-2.3560209424083767E-2</v>
      </c>
      <c r="AJ161" s="1464">
        <f t="shared" si="104"/>
        <v>-3.6951501154734445E-2</v>
      </c>
      <c r="AK161" s="1466">
        <f t="shared" si="104"/>
        <v>-1.8785222291797243E-3</v>
      </c>
      <c r="AL161" s="234"/>
      <c r="AM161" s="1463">
        <f t="shared" ref="AM161:AQ167" si="105">AM151/AG151-1</f>
        <v>7.6142131979695105E-3</v>
      </c>
      <c r="AN161" s="1464">
        <f t="shared" si="105"/>
        <v>1.4634146341463428E-2</v>
      </c>
      <c r="AO161" s="1464">
        <f t="shared" si="105"/>
        <v>8.0428954423592547E-3</v>
      </c>
      <c r="AP161" s="1464">
        <f t="shared" si="105"/>
        <v>0.15587529976019177</v>
      </c>
      <c r="AQ161" s="1466">
        <f t="shared" si="105"/>
        <v>4.8306148055206943E-2</v>
      </c>
      <c r="AR161" s="234"/>
      <c r="AS161" s="1463"/>
      <c r="AT161" s="1464"/>
      <c r="AU161" s="1464"/>
      <c r="AV161" s="1464"/>
      <c r="AW161" s="1466"/>
      <c r="AX161" s="234"/>
      <c r="AY161" s="1463"/>
      <c r="AZ161" s="1464"/>
      <c r="BA161" s="1464"/>
      <c r="BB161" s="1464"/>
      <c r="BC161" s="1466"/>
      <c r="BD161" s="234"/>
      <c r="BE161" s="1996"/>
      <c r="BF161" s="1464"/>
      <c r="BG161" s="1464"/>
      <c r="BH161" s="1464"/>
      <c r="BI161" s="1466"/>
      <c r="BJ161" s="234"/>
      <c r="BK161" s="1463"/>
      <c r="BL161" s="1464"/>
      <c r="BM161" s="1464"/>
      <c r="BN161" s="1464"/>
      <c r="BO161" s="1466"/>
      <c r="BP161" s="234"/>
      <c r="BQ161" s="1463"/>
      <c r="BR161" s="1464"/>
      <c r="BS161" s="1464"/>
      <c r="BT161" s="1464"/>
      <c r="BU161" s="1466"/>
      <c r="BV161" s="234"/>
      <c r="BW161" s="1463"/>
      <c r="BX161" s="1464"/>
      <c r="BY161" s="1464"/>
      <c r="BZ161" s="1464"/>
      <c r="CA161" s="1466"/>
      <c r="CB161" s="1366"/>
      <c r="CC161" s="1463"/>
      <c r="CD161" s="1464"/>
      <c r="CE161" s="1464"/>
      <c r="CF161" s="1464"/>
      <c r="CG161" s="1466"/>
      <c r="CH161" s="299"/>
      <c r="CI161" s="1463"/>
      <c r="CJ161" s="1464"/>
      <c r="CK161" s="1464"/>
      <c r="CL161" s="1464"/>
      <c r="CM161" s="1466"/>
      <c r="CN161" s="299"/>
      <c r="CO161" s="299"/>
      <c r="CP161" s="299"/>
      <c r="CQ161" s="299"/>
      <c r="CR161" s="299"/>
      <c r="CS161" s="299"/>
    </row>
    <row r="162" spans="1:110" hidden="1" outlineLevel="2">
      <c r="A162" s="1298" t="str">
        <f>A152</f>
        <v>DGG</v>
      </c>
      <c r="C162" s="1375"/>
      <c r="D162" s="1366"/>
      <c r="E162" s="1366"/>
      <c r="F162" s="1445"/>
      <c r="G162" s="1389"/>
      <c r="H162" s="234"/>
      <c r="I162" s="1375"/>
      <c r="J162" s="1366"/>
      <c r="K162" s="1366"/>
      <c r="L162" s="1445"/>
      <c r="M162" s="1389"/>
      <c r="N162" s="234"/>
      <c r="O162" s="1375"/>
      <c r="P162" s="1366"/>
      <c r="Q162" s="1366"/>
      <c r="R162" s="1445"/>
      <c r="S162" s="1389"/>
      <c r="T162" s="234"/>
      <c r="U162" s="1375">
        <f t="shared" si="102"/>
        <v>0.17307692307692313</v>
      </c>
      <c r="V162" s="1366">
        <f t="shared" si="102"/>
        <v>0.10714285714285721</v>
      </c>
      <c r="W162" s="1366">
        <f t="shared" si="102"/>
        <v>0.13725490196078427</v>
      </c>
      <c r="X162" s="1445">
        <f t="shared" si="102"/>
        <v>8.1967213114754189E-2</v>
      </c>
      <c r="Y162" s="1389">
        <f t="shared" si="102"/>
        <v>0.1227272727272728</v>
      </c>
      <c r="Z162" s="234"/>
      <c r="AA162" s="1375">
        <f t="shared" si="103"/>
        <v>8.1967213114754189E-2</v>
      </c>
      <c r="AB162" s="1366">
        <f t="shared" si="103"/>
        <v>0.17741935483870974</v>
      </c>
      <c r="AC162" s="1366">
        <f t="shared" si="103"/>
        <v>8.6206896551724199E-2</v>
      </c>
      <c r="AD162" s="1445">
        <f t="shared" si="103"/>
        <v>0.1515151515151516</v>
      </c>
      <c r="AE162" s="1389">
        <f t="shared" si="103"/>
        <v>0.12550607287449389</v>
      </c>
      <c r="AF162" s="234"/>
      <c r="AG162" s="1375">
        <f t="shared" si="104"/>
        <v>4.5454545454545414E-2</v>
      </c>
      <c r="AH162" s="1366">
        <f t="shared" si="104"/>
        <v>-9.589041095890416E-2</v>
      </c>
      <c r="AI162" s="1366">
        <f t="shared" si="104"/>
        <v>0.68253968253968256</v>
      </c>
      <c r="AJ162" s="1366">
        <f t="shared" si="104"/>
        <v>1.0789473684210527</v>
      </c>
      <c r="AK162" s="1389">
        <f t="shared" si="104"/>
        <v>0.43525179856115104</v>
      </c>
      <c r="AL162" s="234"/>
      <c r="AM162" s="1375">
        <f t="shared" si="105"/>
        <v>1.3913043478260869</v>
      </c>
      <c r="AN162" s="1366">
        <f t="shared" si="105"/>
        <v>1.4696969696969697</v>
      </c>
      <c r="AO162" s="1366">
        <f t="shared" si="105"/>
        <v>0.50943396226415105</v>
      </c>
      <c r="AP162" s="1366">
        <f t="shared" si="105"/>
        <v>1.2658227848101333E-2</v>
      </c>
      <c r="AQ162" s="1389">
        <f t="shared" si="105"/>
        <v>0.62406015037593976</v>
      </c>
      <c r="AR162" s="234"/>
      <c r="AS162" s="1375"/>
      <c r="AT162" s="1366"/>
      <c r="AU162" s="1366"/>
      <c r="AV162" s="1366"/>
      <c r="AW162" s="1389"/>
      <c r="AX162" s="234"/>
      <c r="AY162" s="1375"/>
      <c r="AZ162" s="1366"/>
      <c r="BA162" s="1366"/>
      <c r="BB162" s="1366"/>
      <c r="BC162" s="1389"/>
      <c r="BD162" s="234"/>
      <c r="BE162" s="1997"/>
      <c r="BF162" s="1366"/>
      <c r="BG162" s="1366"/>
      <c r="BH162" s="1366"/>
      <c r="BI162" s="1389"/>
      <c r="BJ162" s="234"/>
      <c r="BK162" s="1375"/>
      <c r="BL162" s="1366"/>
      <c r="BM162" s="1366"/>
      <c r="BN162" s="1366"/>
      <c r="BO162" s="1389"/>
      <c r="BP162" s="234"/>
      <c r="BQ162" s="1375"/>
      <c r="BR162" s="1366"/>
      <c r="BS162" s="1366"/>
      <c r="BT162" s="1366"/>
      <c r="BU162" s="1389"/>
      <c r="BV162" s="234"/>
      <c r="BW162" s="1375"/>
      <c r="BX162" s="1366"/>
      <c r="BY162" s="1366"/>
      <c r="BZ162" s="1366"/>
      <c r="CA162" s="1389"/>
      <c r="CB162" s="1366"/>
      <c r="CC162" s="1375"/>
      <c r="CD162" s="1366"/>
      <c r="CE162" s="1366"/>
      <c r="CF162" s="1366"/>
      <c r="CG162" s="1389"/>
      <c r="CH162" s="299"/>
      <c r="CI162" s="1375"/>
      <c r="CJ162" s="1366"/>
      <c r="CK162" s="1366"/>
      <c r="CL162" s="1366"/>
      <c r="CM162" s="1389"/>
      <c r="CN162" s="299"/>
      <c r="CO162" s="299"/>
      <c r="CP162" s="299"/>
      <c r="CQ162" s="299"/>
      <c r="CR162" s="299"/>
      <c r="CS162" s="299"/>
    </row>
    <row r="163" spans="1:110" hidden="1" outlineLevel="2">
      <c r="A163" s="1298" t="s">
        <v>101</v>
      </c>
      <c r="C163" s="1375"/>
      <c r="D163" s="1464"/>
      <c r="E163" s="1464"/>
      <c r="F163" s="1445"/>
      <c r="G163" s="1389"/>
      <c r="H163" s="234"/>
      <c r="I163" s="1375">
        <f>I153/C153-1</f>
        <v>0.18556701030927836</v>
      </c>
      <c r="J163" s="1464">
        <f>J153/D153-1</f>
        <v>0.1707317073170731</v>
      </c>
      <c r="K163" s="1464">
        <f>K153/E153-1</f>
        <v>0.15238095238095228</v>
      </c>
      <c r="L163" s="1445">
        <f>L153/F153-1</f>
        <v>7.296137339055786E-2</v>
      </c>
      <c r="M163" s="1389">
        <f>M153/G153-1</f>
        <v>0.14251781472684089</v>
      </c>
      <c r="N163" s="234"/>
      <c r="O163" s="1375">
        <f>O153/I153-1</f>
        <v>-6.0869565217391286E-2</v>
      </c>
      <c r="P163" s="1464">
        <f>P153/J153-1</f>
        <v>-0.19166666666666665</v>
      </c>
      <c r="Q163" s="1464">
        <f>Q153/K153-1</f>
        <v>-0.15289256198347112</v>
      </c>
      <c r="R163" s="1445">
        <f>R153/L153-1</f>
        <v>-4.8000000000000043E-2</v>
      </c>
      <c r="S163" s="1389">
        <f>S153/M153-1</f>
        <v>-0.11330561330561328</v>
      </c>
      <c r="T163" s="234"/>
      <c r="U163" s="1375">
        <f t="shared" si="102"/>
        <v>0.12037037037037046</v>
      </c>
      <c r="V163" s="1464">
        <f t="shared" si="102"/>
        <v>0.19072164948453607</v>
      </c>
      <c r="W163" s="1464">
        <f t="shared" si="102"/>
        <v>0.70731707317073167</v>
      </c>
      <c r="X163" s="1445">
        <f t="shared" si="102"/>
        <v>0.68487394957983194</v>
      </c>
      <c r="Y163" s="1389">
        <f t="shared" si="102"/>
        <v>0.43493552168815941</v>
      </c>
      <c r="Z163" s="234"/>
      <c r="AA163" s="1375">
        <f t="shared" si="103"/>
        <v>0.60330578512396693</v>
      </c>
      <c r="AB163" s="1464">
        <f t="shared" si="103"/>
        <v>0.64502164502164505</v>
      </c>
      <c r="AC163" s="1464">
        <f t="shared" si="103"/>
        <v>0.14285714285714279</v>
      </c>
      <c r="AD163" s="1445">
        <f t="shared" si="103"/>
        <v>4.9875311720698257E-2</v>
      </c>
      <c r="AE163" s="1389">
        <f t="shared" si="103"/>
        <v>0.29820261437908502</v>
      </c>
      <c r="AF163" s="234"/>
      <c r="AG163" s="1375">
        <f t="shared" si="104"/>
        <v>3.8659793814433074E-2</v>
      </c>
      <c r="AH163" s="1464">
        <f t="shared" si="104"/>
        <v>7.3684210526315796E-2</v>
      </c>
      <c r="AI163" s="1464">
        <f t="shared" si="104"/>
        <v>-6.9999999999999951E-2</v>
      </c>
      <c r="AJ163" s="1464">
        <f t="shared" si="104"/>
        <v>0</v>
      </c>
      <c r="AK163" s="1389">
        <f t="shared" si="104"/>
        <v>9.4398993077406956E-3</v>
      </c>
      <c r="AL163" s="234"/>
      <c r="AM163" s="1375">
        <f t="shared" si="105"/>
        <v>-9.9255583126550695E-3</v>
      </c>
      <c r="AN163" s="1464">
        <f t="shared" si="105"/>
        <v>0</v>
      </c>
      <c r="AO163" s="1464">
        <f t="shared" si="105"/>
        <v>4.8387096774193505E-2</v>
      </c>
      <c r="AP163" s="1464">
        <f t="shared" si="105"/>
        <v>5.700712589073631E-2</v>
      </c>
      <c r="AQ163" s="1389">
        <f t="shared" si="105"/>
        <v>2.3690773067331694E-2</v>
      </c>
      <c r="AR163" s="234"/>
      <c r="AS163" s="1375">
        <f t="shared" ref="AS163:BA168" si="106">AS153/AM153-1</f>
        <v>4.0100250626566414E-2</v>
      </c>
      <c r="AT163" s="1464">
        <f t="shared" si="106"/>
        <v>5.8823529411764719E-2</v>
      </c>
      <c r="AU163" s="1464">
        <f t="shared" si="106"/>
        <v>7.6923076923076872E-2</v>
      </c>
      <c r="AV163" s="1464">
        <f t="shared" si="106"/>
        <v>7.8651685393258397E-2</v>
      </c>
      <c r="AW163" s="1389">
        <f t="shared" si="106"/>
        <v>6.3946406820950097E-2</v>
      </c>
      <c r="AX163" s="234"/>
      <c r="AY163" s="1375"/>
      <c r="AZ163" s="1464"/>
      <c r="BA163" s="1464"/>
      <c r="BB163" s="1464"/>
      <c r="BC163" s="1389"/>
      <c r="BD163" s="234"/>
      <c r="BE163" s="1997"/>
      <c r="BF163" s="1464"/>
      <c r="BG163" s="1464"/>
      <c r="BH163" s="1464"/>
      <c r="BI163" s="1389"/>
      <c r="BJ163" s="234"/>
      <c r="BK163" s="1375"/>
      <c r="BL163" s="1464"/>
      <c r="BM163" s="1464"/>
      <c r="BN163" s="1464"/>
      <c r="BO163" s="1389"/>
      <c r="BP163" s="234"/>
      <c r="BQ163" s="1375"/>
      <c r="BR163" s="1464"/>
      <c r="BS163" s="1464"/>
      <c r="BT163" s="1464"/>
      <c r="BU163" s="1389"/>
      <c r="BV163" s="234"/>
      <c r="BW163" s="1375"/>
      <c r="BX163" s="1464"/>
      <c r="BY163" s="1464"/>
      <c r="BZ163" s="1464"/>
      <c r="CA163" s="1389"/>
      <c r="CB163" s="1366"/>
      <c r="CC163" s="1375"/>
      <c r="CD163" s="1464"/>
      <c r="CE163" s="1464"/>
      <c r="CF163" s="1464"/>
      <c r="CG163" s="1389"/>
      <c r="CH163" s="299"/>
      <c r="CI163" s="1375"/>
      <c r="CJ163" s="1464"/>
      <c r="CK163" s="1464"/>
      <c r="CL163" s="1464"/>
      <c r="CM163" s="1389"/>
      <c r="CN163" s="299"/>
      <c r="CO163" s="299"/>
      <c r="CP163" s="299"/>
      <c r="CQ163" s="299"/>
      <c r="CR163" s="299"/>
      <c r="CS163" s="299"/>
    </row>
    <row r="164" spans="1:110" hidden="1" outlineLevel="2">
      <c r="A164" s="1298" t="s">
        <v>103</v>
      </c>
      <c r="C164" s="1375"/>
      <c r="D164" s="1366"/>
      <c r="E164" s="1366"/>
      <c r="F164" s="1445"/>
      <c r="G164" s="1389"/>
      <c r="H164" s="234"/>
      <c r="I164" s="1375"/>
      <c r="J164" s="1366"/>
      <c r="K164" s="1366"/>
      <c r="L164" s="1445"/>
      <c r="M164" s="1389"/>
      <c r="N164" s="234"/>
      <c r="O164" s="1375"/>
      <c r="P164" s="1366"/>
      <c r="Q164" s="1366"/>
      <c r="R164" s="1445"/>
      <c r="S164" s="1389"/>
      <c r="T164" s="234"/>
      <c r="U164" s="1375">
        <f t="shared" si="102"/>
        <v>9.446254071661242E-2</v>
      </c>
      <c r="V164" s="1366">
        <f t="shared" si="102"/>
        <v>0.1533101045296168</v>
      </c>
      <c r="W164" s="1366">
        <f t="shared" si="102"/>
        <v>0.35763888888888884</v>
      </c>
      <c r="X164" s="1445">
        <f t="shared" si="102"/>
        <v>0.32954545454545459</v>
      </c>
      <c r="Y164" s="1389">
        <f t="shared" si="102"/>
        <v>0.23662884927066452</v>
      </c>
      <c r="Z164" s="234"/>
      <c r="AA164" s="1375">
        <f t="shared" si="103"/>
        <v>0.31547619047619047</v>
      </c>
      <c r="AB164" s="1366">
        <f t="shared" si="103"/>
        <v>0.44712990936555896</v>
      </c>
      <c r="AC164" s="1366">
        <f t="shared" si="103"/>
        <v>0.13810741687979533</v>
      </c>
      <c r="AD164" s="1445">
        <f t="shared" si="103"/>
        <v>8.7606837606837518E-2</v>
      </c>
      <c r="AE164" s="1389">
        <f t="shared" si="103"/>
        <v>0.22870249017038002</v>
      </c>
      <c r="AF164" s="234"/>
      <c r="AG164" s="1375">
        <f t="shared" si="104"/>
        <v>4.7511312217194623E-2</v>
      </c>
      <c r="AH164" s="1366">
        <f t="shared" si="104"/>
        <v>-6.2630480167014113E-3</v>
      </c>
      <c r="AI164" s="1366">
        <f t="shared" si="104"/>
        <v>7.640449438202257E-2</v>
      </c>
      <c r="AJ164" s="1366">
        <f t="shared" si="104"/>
        <v>0.12966601178781922</v>
      </c>
      <c r="AK164" s="1389">
        <f t="shared" si="104"/>
        <v>6.2933333333333286E-2</v>
      </c>
      <c r="AL164" s="234"/>
      <c r="AM164" s="1375">
        <f t="shared" si="105"/>
        <v>0.21382289416846656</v>
      </c>
      <c r="AN164" s="1366">
        <f t="shared" si="105"/>
        <v>0.21638655462184864</v>
      </c>
      <c r="AO164" s="1366">
        <f t="shared" si="105"/>
        <v>0.1189979123173277</v>
      </c>
      <c r="AP164" s="1366">
        <f t="shared" si="105"/>
        <v>0.11652173913043473</v>
      </c>
      <c r="AQ164" s="1389">
        <f t="shared" si="105"/>
        <v>0.16357250376317101</v>
      </c>
      <c r="AR164" s="234"/>
      <c r="AS164" s="1375">
        <f t="shared" si="106"/>
        <v>3.558718861210064E-3</v>
      </c>
      <c r="AT164" s="1366">
        <f t="shared" si="106"/>
        <v>3.2815198618307395E-2</v>
      </c>
      <c r="AU164" s="1366">
        <f t="shared" si="106"/>
        <v>0.11380597014925375</v>
      </c>
      <c r="AV164" s="1366">
        <f t="shared" si="106"/>
        <v>3.5825545171339623E-2</v>
      </c>
      <c r="AW164" s="1389">
        <f t="shared" si="106"/>
        <v>4.5278137128072382E-2</v>
      </c>
      <c r="AX164" s="234"/>
      <c r="AY164" s="1375"/>
      <c r="AZ164" s="1366"/>
      <c r="BA164" s="1366"/>
      <c r="BB164" s="1366"/>
      <c r="BC164" s="1389"/>
      <c r="BD164" s="234"/>
      <c r="BE164" s="1997"/>
      <c r="BF164" s="1366"/>
      <c r="BG164" s="1366"/>
      <c r="BH164" s="1366"/>
      <c r="BI164" s="1389"/>
      <c r="BJ164" s="234"/>
      <c r="BK164" s="1375"/>
      <c r="BL164" s="1366"/>
      <c r="BM164" s="1366"/>
      <c r="BN164" s="1366"/>
      <c r="BO164" s="1389"/>
      <c r="BP164" s="234"/>
      <c r="BQ164" s="1375"/>
      <c r="BR164" s="1366"/>
      <c r="BS164" s="1366"/>
      <c r="BT164" s="1366"/>
      <c r="BU164" s="1389"/>
      <c r="BV164" s="234"/>
      <c r="BW164" s="1375"/>
      <c r="BX164" s="1366"/>
      <c r="BY164" s="1366"/>
      <c r="BZ164" s="1366"/>
      <c r="CA164" s="1389"/>
      <c r="CB164" s="1366"/>
      <c r="CC164" s="1375"/>
      <c r="CD164" s="1366"/>
      <c r="CE164" s="1366"/>
      <c r="CF164" s="1366"/>
      <c r="CG164" s="1389"/>
      <c r="CH164" s="299"/>
      <c r="CI164" s="1375"/>
      <c r="CJ164" s="1366"/>
      <c r="CK164" s="1366"/>
      <c r="CL164" s="1366"/>
      <c r="CM164" s="1389"/>
      <c r="CN164" s="299"/>
      <c r="CO164" s="299"/>
      <c r="CP164" s="299"/>
      <c r="CQ164" s="299"/>
      <c r="CR164" s="299"/>
      <c r="CS164" s="299"/>
    </row>
    <row r="165" spans="1:110" outlineLevel="1" collapsed="1">
      <c r="A165" s="501" t="s">
        <v>105</v>
      </c>
      <c r="C165" s="233"/>
      <c r="D165" s="234"/>
      <c r="E165" s="234"/>
      <c r="F165" s="221"/>
      <c r="G165" s="222"/>
      <c r="H165" s="234"/>
      <c r="I165" s="233"/>
      <c r="J165" s="234"/>
      <c r="K165" s="234"/>
      <c r="L165" s="221"/>
      <c r="M165" s="222"/>
      <c r="N165" s="234"/>
      <c r="O165" s="233"/>
      <c r="P165" s="234"/>
      <c r="Q165" s="234"/>
      <c r="R165" s="221"/>
      <c r="S165" s="222"/>
      <c r="T165" s="234"/>
      <c r="U165" s="233"/>
      <c r="V165" s="234"/>
      <c r="W165" s="234"/>
      <c r="X165" s="221"/>
      <c r="Y165" s="222"/>
      <c r="Z165" s="234"/>
      <c r="AA165" s="233"/>
      <c r="AB165" s="234"/>
      <c r="AC165" s="234"/>
      <c r="AD165" s="221"/>
      <c r="AE165" s="222"/>
      <c r="AF165" s="234"/>
      <c r="AG165" s="233"/>
      <c r="AH165" s="234"/>
      <c r="AI165" s="234"/>
      <c r="AJ165" s="234"/>
      <c r="AK165" s="222"/>
      <c r="AL165" s="234"/>
      <c r="AM165" s="233">
        <f t="shared" si="105"/>
        <v>-4.7337278106508895E-2</v>
      </c>
      <c r="AN165" s="234">
        <f t="shared" si="105"/>
        <v>-1.5841584158415856E-2</v>
      </c>
      <c r="AO165" s="234">
        <f t="shared" si="105"/>
        <v>2.754237288135597E-2</v>
      </c>
      <c r="AP165" s="234">
        <f t="shared" si="105"/>
        <v>6.6176470588235281E-2</v>
      </c>
      <c r="AQ165" s="222">
        <f t="shared" si="105"/>
        <v>8.3826429980276007E-3</v>
      </c>
      <c r="AR165" s="234"/>
      <c r="AS165" s="233">
        <f t="shared" si="106"/>
        <v>1.2422360248447228E-2</v>
      </c>
      <c r="AT165" s="234">
        <f t="shared" si="106"/>
        <v>1.0060362173038184E-2</v>
      </c>
      <c r="AU165" s="234">
        <f t="shared" si="106"/>
        <v>8.6597938144329811E-2</v>
      </c>
      <c r="AV165" s="234">
        <f t="shared" si="106"/>
        <v>6.8965517241379226E-2</v>
      </c>
      <c r="AW165" s="222">
        <f t="shared" si="106"/>
        <v>4.5476772616136918E-2</v>
      </c>
      <c r="AX165" s="234"/>
      <c r="AY165" s="233">
        <f t="shared" si="106"/>
        <v>-2.0449897750510759E-3</v>
      </c>
      <c r="AZ165" s="234">
        <f t="shared" si="106"/>
        <v>7.9681274900398336E-3</v>
      </c>
      <c r="BA165" s="234">
        <f t="shared" si="106"/>
        <v>-0.10626185958254264</v>
      </c>
      <c r="BB165" s="705" t="s">
        <v>547</v>
      </c>
      <c r="BC165" s="710" t="s">
        <v>547</v>
      </c>
      <c r="BD165" s="234"/>
      <c r="BE165" s="1998" t="s">
        <v>547</v>
      </c>
      <c r="BF165" s="234"/>
      <c r="BG165" s="234"/>
      <c r="BH165" s="234"/>
      <c r="BI165" s="222"/>
      <c r="BJ165" s="234"/>
      <c r="BK165" s="233"/>
      <c r="BL165" s="234"/>
      <c r="BM165" s="234"/>
      <c r="BN165" s="234"/>
      <c r="BO165" s="222"/>
      <c r="BP165" s="234"/>
      <c r="BQ165" s="233"/>
      <c r="BR165" s="234"/>
      <c r="BS165" s="234"/>
      <c r="BT165" s="234"/>
      <c r="BU165" s="222"/>
      <c r="BV165" s="234"/>
      <c r="BW165" s="233"/>
      <c r="BX165" s="234"/>
      <c r="BY165" s="234"/>
      <c r="BZ165" s="234"/>
      <c r="CA165" s="222"/>
      <c r="CB165" s="234"/>
      <c r="CC165" s="233"/>
      <c r="CD165" s="234"/>
      <c r="CE165" s="234"/>
      <c r="CF165" s="234"/>
      <c r="CG165" s="222"/>
      <c r="CH165" s="299"/>
      <c r="CI165" s="233"/>
      <c r="CJ165" s="234"/>
      <c r="CK165" s="234"/>
      <c r="CL165" s="234"/>
      <c r="CM165" s="222"/>
      <c r="CN165" s="299"/>
      <c r="CO165" s="299"/>
      <c r="CP165" s="299"/>
      <c r="CQ165" s="299"/>
      <c r="CR165" s="299"/>
      <c r="CS165" s="299"/>
    </row>
    <row r="166" spans="1:110" outlineLevel="1">
      <c r="A166" s="501" t="s">
        <v>99</v>
      </c>
      <c r="C166" s="233"/>
      <c r="D166" s="234"/>
      <c r="E166" s="234"/>
      <c r="F166" s="221"/>
      <c r="G166" s="222"/>
      <c r="H166" s="234"/>
      <c r="I166" s="233"/>
      <c r="J166" s="234"/>
      <c r="K166" s="234"/>
      <c r="L166" s="221"/>
      <c r="M166" s="222"/>
      <c r="N166" s="234"/>
      <c r="O166" s="233"/>
      <c r="P166" s="234"/>
      <c r="Q166" s="234"/>
      <c r="R166" s="221"/>
      <c r="S166" s="222"/>
      <c r="T166" s="234"/>
      <c r="U166" s="233"/>
      <c r="V166" s="234"/>
      <c r="W166" s="234"/>
      <c r="X166" s="221"/>
      <c r="Y166" s="222"/>
      <c r="Z166" s="234"/>
      <c r="AA166" s="233"/>
      <c r="AB166" s="234"/>
      <c r="AC166" s="234"/>
      <c r="AD166" s="221"/>
      <c r="AE166" s="222"/>
      <c r="AF166" s="234"/>
      <c r="AG166" s="233"/>
      <c r="AH166" s="234"/>
      <c r="AI166" s="234"/>
      <c r="AJ166" s="234"/>
      <c r="AK166" s="222"/>
      <c r="AL166" s="234"/>
      <c r="AM166" s="233">
        <f t="shared" si="105"/>
        <v>1.564516129032258</v>
      </c>
      <c r="AN166" s="234">
        <f t="shared" si="105"/>
        <v>1.6724137931034484</v>
      </c>
      <c r="AO166" s="234">
        <f t="shared" si="105"/>
        <v>0.48039215686274517</v>
      </c>
      <c r="AP166" s="234">
        <f t="shared" si="105"/>
        <v>0.185430463576159</v>
      </c>
      <c r="AQ166" s="222">
        <f t="shared" si="105"/>
        <v>0.72654155495978556</v>
      </c>
      <c r="AR166" s="234"/>
      <c r="AS166" s="233">
        <f t="shared" si="106"/>
        <v>-1.8867924528301883E-2</v>
      </c>
      <c r="AT166" s="234">
        <f t="shared" si="106"/>
        <v>0.12903225806451624</v>
      </c>
      <c r="AU166" s="234">
        <f t="shared" si="106"/>
        <v>0.11920529801324498</v>
      </c>
      <c r="AV166" s="234">
        <f t="shared" si="106"/>
        <v>-4.4692737430167551E-2</v>
      </c>
      <c r="AW166" s="222">
        <f t="shared" si="106"/>
        <v>4.1925465838509313E-2</v>
      </c>
      <c r="AX166" s="234"/>
      <c r="AY166" s="233">
        <f t="shared" si="106"/>
        <v>1.2820512820512775E-2</v>
      </c>
      <c r="AZ166" s="234">
        <f t="shared" si="106"/>
        <v>-4.0000000000000036E-2</v>
      </c>
      <c r="BA166" s="234">
        <f t="shared" si="106"/>
        <v>-5.9171597633136397E-3</v>
      </c>
      <c r="BB166" s="705" t="s">
        <v>547</v>
      </c>
      <c r="BC166" s="921" t="s">
        <v>547</v>
      </c>
      <c r="BD166" s="234"/>
      <c r="BE166" s="1998" t="s">
        <v>547</v>
      </c>
      <c r="BF166" s="234"/>
      <c r="BG166" s="234"/>
      <c r="BH166" s="234"/>
      <c r="BI166" s="222"/>
      <c r="BJ166" s="234"/>
      <c r="BK166" s="233"/>
      <c r="BL166" s="234"/>
      <c r="BM166" s="234"/>
      <c r="BN166" s="234"/>
      <c r="BO166" s="222"/>
      <c r="BP166" s="234"/>
      <c r="BQ166" s="233"/>
      <c r="BR166" s="234"/>
      <c r="BS166" s="234"/>
      <c r="BT166" s="234"/>
      <c r="BU166" s="222"/>
      <c r="BV166" s="234"/>
      <c r="BW166" s="233"/>
      <c r="BX166" s="234"/>
      <c r="BY166" s="234"/>
      <c r="BZ166" s="234"/>
      <c r="CA166" s="222"/>
      <c r="CB166" s="234"/>
      <c r="CC166" s="233"/>
      <c r="CD166" s="234"/>
      <c r="CE166" s="234"/>
      <c r="CF166" s="234"/>
      <c r="CG166" s="222"/>
      <c r="CH166" s="299"/>
      <c r="CI166" s="233"/>
      <c r="CJ166" s="234"/>
      <c r="CK166" s="234"/>
      <c r="CL166" s="234"/>
      <c r="CM166" s="222"/>
      <c r="CN166" s="299"/>
      <c r="CO166" s="299"/>
      <c r="CP166" s="299"/>
      <c r="CQ166" s="299"/>
      <c r="CR166" s="299"/>
      <c r="CS166" s="299"/>
    </row>
    <row r="167" spans="1:110" outlineLevel="1">
      <c r="A167" s="501" t="s">
        <v>107</v>
      </c>
      <c r="C167" s="233"/>
      <c r="D167" s="234"/>
      <c r="E167" s="234"/>
      <c r="F167" s="221"/>
      <c r="G167" s="222"/>
      <c r="H167" s="234"/>
      <c r="I167" s="233"/>
      <c r="J167" s="234"/>
      <c r="K167" s="234"/>
      <c r="L167" s="221"/>
      <c r="M167" s="222"/>
      <c r="N167" s="234"/>
      <c r="O167" s="233"/>
      <c r="P167" s="234"/>
      <c r="Q167" s="234"/>
      <c r="R167" s="221"/>
      <c r="S167" s="222"/>
      <c r="T167" s="234"/>
      <c r="U167" s="233"/>
      <c r="V167" s="234"/>
      <c r="W167" s="234"/>
      <c r="X167" s="221"/>
      <c r="Y167" s="222"/>
      <c r="Z167" s="234"/>
      <c r="AA167" s="233"/>
      <c r="AB167" s="234"/>
      <c r="AC167" s="234"/>
      <c r="AD167" s="221"/>
      <c r="AE167" s="222"/>
      <c r="AF167" s="234"/>
      <c r="AG167" s="233"/>
      <c r="AH167" s="234"/>
      <c r="AI167" s="234"/>
      <c r="AJ167" s="234"/>
      <c r="AK167" s="222"/>
      <c r="AL167" s="234"/>
      <c r="AM167" s="233">
        <f t="shared" si="105"/>
        <v>7.4074074074074181E-2</v>
      </c>
      <c r="AN167" s="234">
        <f t="shared" si="105"/>
        <v>4.3613707165109039E-2</v>
      </c>
      <c r="AO167" s="234">
        <f t="shared" si="105"/>
        <v>4.6931407942238268E-2</v>
      </c>
      <c r="AP167" s="234">
        <f t="shared" si="105"/>
        <v>8.9700996677740896E-2</v>
      </c>
      <c r="AQ167" s="222">
        <f t="shared" si="105"/>
        <v>6.3545150501672198E-2</v>
      </c>
      <c r="AR167" s="234"/>
      <c r="AS167" s="233">
        <f t="shared" si="106"/>
        <v>4.7021943573667624E-2</v>
      </c>
      <c r="AT167" s="234">
        <f t="shared" si="106"/>
        <v>5.6716417910447792E-2</v>
      </c>
      <c r="AU167" s="234">
        <f t="shared" si="106"/>
        <v>0.10689655172413803</v>
      </c>
      <c r="AV167" s="234">
        <f t="shared" si="106"/>
        <v>7.6219512195121908E-2</v>
      </c>
      <c r="AW167" s="222">
        <f t="shared" si="106"/>
        <v>7.0754716981132004E-2</v>
      </c>
      <c r="AX167" s="234"/>
      <c r="AY167" s="233">
        <f t="shared" si="106"/>
        <v>4.4910179640718528E-2</v>
      </c>
      <c r="AZ167" s="234">
        <f t="shared" si="106"/>
        <v>3.1073446327683607E-2</v>
      </c>
      <c r="BA167" s="234">
        <f t="shared" si="106"/>
        <v>-2.180685358255452E-2</v>
      </c>
      <c r="BB167" s="705" t="s">
        <v>547</v>
      </c>
      <c r="BC167" s="710" t="s">
        <v>547</v>
      </c>
      <c r="BD167" s="234"/>
      <c r="BE167" s="1998" t="s">
        <v>547</v>
      </c>
      <c r="BF167" s="234"/>
      <c r="BG167" s="234"/>
      <c r="BH167" s="234"/>
      <c r="BI167" s="222"/>
      <c r="BJ167" s="234"/>
      <c r="BK167" s="233"/>
      <c r="BL167" s="234"/>
      <c r="BM167" s="234"/>
      <c r="BN167" s="234"/>
      <c r="BO167" s="222"/>
      <c r="BP167" s="234"/>
      <c r="BQ167" s="233"/>
      <c r="BR167" s="234"/>
      <c r="BS167" s="234"/>
      <c r="BT167" s="234"/>
      <c r="BU167" s="222"/>
      <c r="BV167" s="234"/>
      <c r="BW167" s="233"/>
      <c r="BX167" s="234"/>
      <c r="BY167" s="234"/>
      <c r="BZ167" s="234"/>
      <c r="CA167" s="222"/>
      <c r="CB167" s="234"/>
      <c r="CC167" s="233"/>
      <c r="CD167" s="234"/>
      <c r="CE167" s="234"/>
      <c r="CF167" s="234"/>
      <c r="CG167" s="222"/>
      <c r="CH167" s="299"/>
      <c r="CI167" s="233"/>
      <c r="CJ167" s="234"/>
      <c r="CK167" s="234"/>
      <c r="CL167" s="234"/>
      <c r="CM167" s="222"/>
      <c r="CN167" s="299"/>
      <c r="CO167" s="299"/>
      <c r="CP167" s="299"/>
      <c r="CQ167" s="299"/>
      <c r="CR167" s="299"/>
      <c r="CS167" s="299"/>
    </row>
    <row r="168" spans="1:110" outlineLevel="1">
      <c r="A168" s="502" t="s">
        <v>195</v>
      </c>
      <c r="C168" s="503"/>
      <c r="D168" s="197"/>
      <c r="E168" s="197"/>
      <c r="F168" s="198"/>
      <c r="G168" s="199"/>
      <c r="H168" s="234"/>
      <c r="I168" s="503">
        <f>I158/C158-1</f>
        <v>0.22863741339491916</v>
      </c>
      <c r="J168" s="197">
        <f>J158/D158-1</f>
        <v>0.25601750547045943</v>
      </c>
      <c r="K168" s="197">
        <f>K158/E158-1</f>
        <v>0.21656050955414008</v>
      </c>
      <c r="L168" s="198">
        <f>L158/F158-1</f>
        <v>0.11819887429643527</v>
      </c>
      <c r="M168" s="199">
        <f>M158/G158-1</f>
        <v>0.20116156282998943</v>
      </c>
      <c r="N168" s="234"/>
      <c r="O168" s="503">
        <f>O158/I158-1</f>
        <v>-1.6917293233082664E-2</v>
      </c>
      <c r="P168" s="197">
        <f>P158/J158-1</f>
        <v>-0.16202090592334495</v>
      </c>
      <c r="Q168" s="197">
        <f>Q158/K158-1</f>
        <v>-0.13961605584642234</v>
      </c>
      <c r="R168" s="198">
        <f>R158/L158-1</f>
        <v>-1.0067114093959773E-2</v>
      </c>
      <c r="S168" s="199">
        <f>S158/M158-1</f>
        <v>-8.2637362637362655E-2</v>
      </c>
      <c r="T168" s="234"/>
      <c r="U168" s="503">
        <f t="shared" ref="U168:AO168" si="107">U158/O158-1</f>
        <v>0.10516252390057357</v>
      </c>
      <c r="V168" s="197">
        <f t="shared" si="107"/>
        <v>0.16839916839916835</v>
      </c>
      <c r="W168" s="197">
        <f t="shared" si="107"/>
        <v>0.50304259634888449</v>
      </c>
      <c r="X168" s="198">
        <f t="shared" si="107"/>
        <v>0.47288135593220337</v>
      </c>
      <c r="Y168" s="199">
        <f t="shared" si="107"/>
        <v>0.317680881648299</v>
      </c>
      <c r="Z168" s="234"/>
      <c r="AA168" s="503">
        <f t="shared" si="107"/>
        <v>0.43598615916955019</v>
      </c>
      <c r="AB168" s="197">
        <f t="shared" si="107"/>
        <v>0.52846975088967962</v>
      </c>
      <c r="AC168" s="197">
        <f t="shared" si="107"/>
        <v>0.14035087719298245</v>
      </c>
      <c r="AD168" s="198">
        <f t="shared" si="107"/>
        <v>1.0161104718066745</v>
      </c>
      <c r="AE168" s="199">
        <f t="shared" si="107"/>
        <v>0.25963636363636367</v>
      </c>
      <c r="AF168" s="234"/>
      <c r="AG168" s="503">
        <f>AG158/AA158-1</f>
        <v>4.3373493975903621E-2</v>
      </c>
      <c r="AH168" s="197">
        <f>AH158/AB158-1</f>
        <v>2.9103608847497187E-2</v>
      </c>
      <c r="AI168" s="197">
        <f>AI158/AC158-1</f>
        <v>7.1005917159763232E-3</v>
      </c>
      <c r="AJ168" s="198">
        <f>AJ158/AD158-1</f>
        <v>-0.43150684931506844</v>
      </c>
      <c r="AK168" s="199">
        <f>AK158/AE158-1</f>
        <v>3.8394919168591279E-2</v>
      </c>
      <c r="AL168" s="234"/>
      <c r="AM168" s="503">
        <f t="shared" si="107"/>
        <v>0.10969976905311785</v>
      </c>
      <c r="AN168" s="197">
        <f t="shared" si="107"/>
        <v>0.11651583710407243</v>
      </c>
      <c r="AO168" s="197">
        <f t="shared" si="107"/>
        <v>8.8131609870740313E-2</v>
      </c>
      <c r="AP168" s="197">
        <f>AP158/AJ158-1</f>
        <v>9.1365461847389584E-2</v>
      </c>
      <c r="AQ168" s="199">
        <f>AQ158/AK158-1</f>
        <v>0.10119544064498198</v>
      </c>
      <c r="AR168" s="234"/>
      <c r="AS168" s="503">
        <f t="shared" si="106"/>
        <v>1.8730489073881307E-2</v>
      </c>
      <c r="AT168" s="197">
        <f t="shared" si="106"/>
        <v>4.4579533941236038E-2</v>
      </c>
      <c r="AU168" s="197">
        <f t="shared" si="106"/>
        <v>9.8272138228941763E-2</v>
      </c>
      <c r="AV168" s="197">
        <f t="shared" si="106"/>
        <v>5.2437902483900567E-2</v>
      </c>
      <c r="AW168" s="199">
        <f t="shared" si="106"/>
        <v>5.3016914920474667E-2</v>
      </c>
      <c r="AX168" s="234"/>
      <c r="AY168" s="503">
        <f t="shared" si="106"/>
        <v>1.634320735444339E-2</v>
      </c>
      <c r="AZ168" s="197">
        <f t="shared" si="106"/>
        <v>7.7594568380212614E-3</v>
      </c>
      <c r="BA168" s="197">
        <f t="shared" si="106"/>
        <v>-6.2930186823992096E-2</v>
      </c>
      <c r="BB168" s="1808" t="s">
        <v>547</v>
      </c>
      <c r="BC168" s="1806" t="s">
        <v>547</v>
      </c>
      <c r="BD168" s="234"/>
      <c r="BE168" s="1999" t="s">
        <v>547</v>
      </c>
      <c r="BF168" s="197"/>
      <c r="BG168" s="197"/>
      <c r="BH168" s="197"/>
      <c r="BI168" s="199"/>
      <c r="BJ168" s="234"/>
      <c r="BK168" s="503"/>
      <c r="BL168" s="197"/>
      <c r="BM168" s="197"/>
      <c r="BN168" s="197"/>
      <c r="BO168" s="199"/>
      <c r="BP168" s="234"/>
      <c r="BQ168" s="503"/>
      <c r="BR168" s="197"/>
      <c r="BS168" s="197"/>
      <c r="BT168" s="197"/>
      <c r="BU168" s="199"/>
      <c r="BV168" s="234"/>
      <c r="BW168" s="503"/>
      <c r="BX168" s="197"/>
      <c r="BY168" s="197"/>
      <c r="BZ168" s="197"/>
      <c r="CA168" s="199"/>
      <c r="CB168" s="234"/>
      <c r="CC168" s="503"/>
      <c r="CD168" s="197"/>
      <c r="CE168" s="197"/>
      <c r="CF168" s="197"/>
      <c r="CG168" s="199"/>
      <c r="CH168" s="299"/>
      <c r="CI168" s="503"/>
      <c r="CJ168" s="197"/>
      <c r="CK168" s="197"/>
      <c r="CL168" s="197"/>
      <c r="CM168" s="199"/>
      <c r="CN168" s="299"/>
      <c r="CO168" s="299"/>
      <c r="CP168" s="299"/>
      <c r="CQ168" s="299"/>
      <c r="CR168" s="299"/>
      <c r="CS168" s="299"/>
    </row>
    <row r="169" spans="1:110" outlineLevel="1">
      <c r="A169" s="502" t="s">
        <v>197</v>
      </c>
      <c r="B169" s="552"/>
      <c r="C169" s="1815"/>
      <c r="D169" s="1816"/>
      <c r="E169" s="1816"/>
      <c r="F169" s="1817"/>
      <c r="G169" s="1818"/>
      <c r="H169" s="152"/>
      <c r="I169" s="1815"/>
      <c r="J169" s="1816"/>
      <c r="K169" s="1816"/>
      <c r="L169" s="1817"/>
      <c r="M169" s="1818"/>
      <c r="N169" s="152"/>
      <c r="O169" s="1815">
        <f>O168+I168</f>
        <v>0.2117201201618365</v>
      </c>
      <c r="P169" s="1816">
        <f>P168+J168</f>
        <v>9.3996599547114479E-2</v>
      </c>
      <c r="Q169" s="1816">
        <f>Q168+K168</f>
        <v>7.6944453707717742E-2</v>
      </c>
      <c r="R169" s="1817">
        <f>R168+L168</f>
        <v>0.1081317602024755</v>
      </c>
      <c r="S169" s="1818"/>
      <c r="T169" s="152"/>
      <c r="U169" s="1815">
        <f>U168+O168</f>
        <v>8.8245230667490904E-2</v>
      </c>
      <c r="V169" s="1816">
        <f>V168+P168</f>
        <v>6.3782624758234041E-3</v>
      </c>
      <c r="W169" s="1816">
        <f>W168+Q168</f>
        <v>0.36342654050246215</v>
      </c>
      <c r="X169" s="1817">
        <f>X168+R168</f>
        <v>0.4628142418382436</v>
      </c>
      <c r="Y169" s="1818"/>
      <c r="Z169" s="152"/>
      <c r="AA169" s="1815">
        <f>AA168+U168</f>
        <v>0.54114868307012376</v>
      </c>
      <c r="AB169" s="1816">
        <f>AB168+V168</f>
        <v>0.69686891928884798</v>
      </c>
      <c r="AC169" s="1816">
        <f>AC168+W168</f>
        <v>0.64339347354186693</v>
      </c>
      <c r="AD169" s="1817">
        <f>AD168+X168</f>
        <v>1.4889918277388778</v>
      </c>
      <c r="AE169" s="1818">
        <f>AE168+Y168</f>
        <v>0.57731724528466266</v>
      </c>
      <c r="AF169" s="152"/>
      <c r="AG169" s="1815">
        <f>AG168+AA168</f>
        <v>0.47935965314545381</v>
      </c>
      <c r="AH169" s="1816">
        <f>AH168+AB168</f>
        <v>0.55757335973717681</v>
      </c>
      <c r="AI169" s="1816">
        <f>AI168+AC168</f>
        <v>0.14745146890895877</v>
      </c>
      <c r="AJ169" s="1817">
        <f>AJ168+AD168</f>
        <v>0.58460362249160602</v>
      </c>
      <c r="AK169" s="1818">
        <f>AK168+AE168</f>
        <v>0.29803128280495494</v>
      </c>
      <c r="AL169" s="152"/>
      <c r="AM169" s="1815">
        <f>AM168+AG168</f>
        <v>0.15307326302902147</v>
      </c>
      <c r="AN169" s="1816">
        <f>AN168+AH168</f>
        <v>0.14561944595156961</v>
      </c>
      <c r="AO169" s="1816">
        <f>AO168+AI168</f>
        <v>9.5232201586716636E-2</v>
      </c>
      <c r="AP169" s="1817">
        <f>AP168+AJ168</f>
        <v>-0.34014138746767886</v>
      </c>
      <c r="AQ169" s="1818">
        <f>AQ168+AK168</f>
        <v>0.13959035981357326</v>
      </c>
      <c r="AR169" s="152"/>
      <c r="AS169" s="1815">
        <f>AS168+AM168</f>
        <v>0.12843025812699915</v>
      </c>
      <c r="AT169" s="1816">
        <f>AT168+AN168</f>
        <v>0.16109537104530847</v>
      </c>
      <c r="AU169" s="1816">
        <f>AU168+AO168</f>
        <v>0.18640374809968208</v>
      </c>
      <c r="AV169" s="1816">
        <f>AV168+AP168</f>
        <v>0.14380336433129015</v>
      </c>
      <c r="AW169" s="1818">
        <f>AW168+AQ168</f>
        <v>0.15421235556545665</v>
      </c>
      <c r="AX169" s="152"/>
      <c r="AY169" s="1815">
        <f>AY168+AS168</f>
        <v>3.5073696428324697E-2</v>
      </c>
      <c r="AZ169" s="1816">
        <f>AZ168+AT168</f>
        <v>5.2338990779257299E-2</v>
      </c>
      <c r="BA169" s="1816">
        <f>BA168+AU168</f>
        <v>3.5341951404949667E-2</v>
      </c>
      <c r="BB169" s="1808" t="s">
        <v>547</v>
      </c>
      <c r="BC169" s="1806" t="s">
        <v>547</v>
      </c>
      <c r="BD169" s="234"/>
      <c r="BE169" s="1999" t="s">
        <v>547</v>
      </c>
      <c r="BF169" s="197"/>
      <c r="BG169" s="197"/>
      <c r="BH169" s="197"/>
      <c r="BI169" s="199"/>
      <c r="BJ169" s="234"/>
      <c r="BK169" s="503"/>
      <c r="BL169" s="197"/>
      <c r="BM169" s="197"/>
      <c r="BN169" s="197"/>
      <c r="BO169" s="199"/>
      <c r="BP169" s="234"/>
      <c r="BQ169" s="503"/>
      <c r="BR169" s="197"/>
      <c r="BS169" s="197"/>
      <c r="BT169" s="197"/>
      <c r="BU169" s="199"/>
      <c r="BV169" s="234"/>
      <c r="BW169" s="503"/>
      <c r="BX169" s="197"/>
      <c r="BY169" s="197"/>
      <c r="BZ169" s="197"/>
      <c r="CA169" s="199"/>
      <c r="CB169" s="234"/>
      <c r="CC169" s="503"/>
      <c r="CD169" s="197"/>
      <c r="CE169" s="197"/>
      <c r="CF169" s="197"/>
      <c r="CG169" s="199"/>
      <c r="CH169" s="299"/>
      <c r="CI169" s="503"/>
      <c r="CJ169" s="197"/>
      <c r="CK169" s="197"/>
      <c r="CL169" s="197"/>
      <c r="CM169" s="199"/>
      <c r="CN169" s="299"/>
      <c r="CO169" s="299"/>
      <c r="CP169" s="299"/>
      <c r="CQ169" s="299"/>
      <c r="CR169" s="299"/>
      <c r="CS169" s="299"/>
    </row>
    <row r="170" spans="1:110" s="79" customFormat="1" ht="6" customHeight="1">
      <c r="A170" s="162"/>
      <c r="B170" s="74"/>
      <c r="C170" s="152"/>
      <c r="D170" s="152"/>
      <c r="E170" s="152"/>
      <c r="F170" s="152"/>
      <c r="G170" s="152"/>
      <c r="H170" s="152"/>
      <c r="I170" s="152"/>
      <c r="J170" s="152"/>
      <c r="K170" s="152"/>
      <c r="L170" s="152"/>
      <c r="M170" s="152"/>
      <c r="N170" s="152"/>
      <c r="O170" s="152"/>
      <c r="P170" s="152"/>
      <c r="Q170" s="152"/>
      <c r="R170" s="152"/>
      <c r="S170" s="152"/>
      <c r="T170" s="152"/>
      <c r="U170" s="152"/>
      <c r="V170" s="152"/>
      <c r="W170" s="152"/>
      <c r="X170" s="152"/>
      <c r="Y170" s="152"/>
      <c r="Z170" s="152"/>
      <c r="AA170" s="152"/>
      <c r="AB170" s="152"/>
      <c r="AC170" s="152"/>
      <c r="AD170" s="152"/>
      <c r="AE170" s="152"/>
      <c r="AF170" s="152"/>
      <c r="AG170" s="152"/>
      <c r="AH170" s="152"/>
      <c r="AI170" s="152"/>
      <c r="AJ170" s="152"/>
      <c r="AK170" s="152"/>
      <c r="AL170" s="152"/>
      <c r="AM170" s="152"/>
      <c r="AN170" s="152"/>
      <c r="AO170" s="152"/>
      <c r="AP170" s="152"/>
      <c r="AQ170" s="152"/>
      <c r="AR170" s="152"/>
      <c r="AS170" s="152"/>
      <c r="AT170" s="152"/>
      <c r="AU170" s="152"/>
      <c r="AV170" s="152"/>
      <c r="AW170" s="152"/>
      <c r="AX170" s="152"/>
      <c r="AY170" s="152"/>
      <c r="AZ170" s="152"/>
      <c r="BA170" s="234"/>
      <c r="BB170" s="234"/>
      <c r="BC170" s="234"/>
      <c r="BD170" s="234"/>
      <c r="BE170" s="2000"/>
      <c r="BF170" s="234"/>
      <c r="BG170" s="234"/>
      <c r="BH170" s="234"/>
      <c r="BI170" s="234"/>
      <c r="BJ170" s="234"/>
      <c r="BK170" s="234"/>
      <c r="BL170" s="234"/>
      <c r="BM170" s="234"/>
      <c r="BN170" s="234"/>
      <c r="BO170" s="234"/>
      <c r="BP170" s="234"/>
      <c r="BQ170" s="234"/>
      <c r="BR170" s="234"/>
      <c r="BS170" s="234"/>
      <c r="BT170" s="234"/>
      <c r="BU170" s="234"/>
      <c r="BV170" s="234"/>
      <c r="BW170" s="234"/>
      <c r="BX170" s="234"/>
      <c r="BY170" s="234"/>
      <c r="BZ170" s="234"/>
      <c r="CA170" s="234"/>
      <c r="CB170" s="234"/>
      <c r="CC170" s="234"/>
      <c r="CD170" s="234"/>
      <c r="CE170" s="234"/>
      <c r="CF170" s="234"/>
      <c r="CG170" s="234"/>
      <c r="CH170" s="298"/>
      <c r="CI170" s="234"/>
      <c r="CJ170" s="234"/>
      <c r="CK170" s="234"/>
      <c r="CL170" s="234"/>
      <c r="CM170" s="234"/>
      <c r="CN170" s="298"/>
      <c r="CO170" s="298"/>
      <c r="CP170" s="298"/>
      <c r="CQ170" s="298"/>
      <c r="CR170" s="298"/>
      <c r="CS170" s="298"/>
    </row>
    <row r="171" spans="1:110">
      <c r="A171" s="502" t="s">
        <v>527</v>
      </c>
      <c r="B171" s="552"/>
      <c r="C171" s="1815"/>
      <c r="D171" s="1816"/>
      <c r="E171" s="1816"/>
      <c r="F171" s="1817"/>
      <c r="G171" s="1818"/>
      <c r="H171" s="152"/>
      <c r="I171" s="1815"/>
      <c r="J171" s="1816"/>
      <c r="K171" s="1816"/>
      <c r="L171" s="1817"/>
      <c r="M171" s="1818"/>
      <c r="N171" s="152"/>
      <c r="O171" s="1815"/>
      <c r="P171" s="1816"/>
      <c r="Q171" s="1816"/>
      <c r="R171" s="1817"/>
      <c r="S171" s="1818"/>
      <c r="T171" s="152"/>
      <c r="U171" s="1815"/>
      <c r="V171" s="1816"/>
      <c r="W171" s="1816"/>
      <c r="X171" s="1817"/>
      <c r="Y171" s="1818"/>
      <c r="Z171" s="152"/>
      <c r="AA171" s="1815"/>
      <c r="AB171" s="1816"/>
      <c r="AC171" s="1816"/>
      <c r="AD171" s="1817"/>
      <c r="AE171" s="1818"/>
      <c r="AF171" s="152"/>
      <c r="AG171" s="1815"/>
      <c r="AH171" s="1816"/>
      <c r="AI171" s="1816"/>
      <c r="AJ171" s="1817"/>
      <c r="AK171" s="199"/>
      <c r="AL171" s="234"/>
      <c r="AM171" s="503" t="s">
        <v>528</v>
      </c>
      <c r="AN171" s="197" t="s">
        <v>528</v>
      </c>
      <c r="AO171" s="197" t="s">
        <v>528</v>
      </c>
      <c r="AP171" s="198">
        <v>0.1</v>
      </c>
      <c r="AQ171" s="199"/>
      <c r="AR171" s="234"/>
      <c r="AS171" s="1907">
        <v>0.03</v>
      </c>
      <c r="AT171" s="1908">
        <v>0.05</v>
      </c>
      <c r="AU171" s="1908">
        <v>0.09</v>
      </c>
      <c r="AV171" s="1908">
        <v>0.06</v>
      </c>
      <c r="AW171" s="199"/>
      <c r="AX171" s="234"/>
      <c r="AY171" s="1907">
        <v>0.06</v>
      </c>
      <c r="AZ171" s="1908">
        <v>0.08</v>
      </c>
      <c r="BA171" s="1908">
        <v>0.03</v>
      </c>
      <c r="BB171" s="1808" t="s">
        <v>547</v>
      </c>
      <c r="BC171" s="1806" t="s">
        <v>547</v>
      </c>
      <c r="BD171" s="234"/>
      <c r="BE171" s="1999" t="s">
        <v>547</v>
      </c>
      <c r="BF171" s="197"/>
      <c r="BG171" s="197"/>
      <c r="BH171" s="197"/>
      <c r="BI171" s="199"/>
      <c r="BJ171" s="234"/>
      <c r="BK171" s="503"/>
      <c r="BL171" s="197"/>
      <c r="BM171" s="197"/>
      <c r="BN171" s="197"/>
      <c r="BO171" s="199"/>
      <c r="BP171" s="234"/>
      <c r="BQ171" s="503"/>
      <c r="BR171" s="197"/>
      <c r="BS171" s="197"/>
      <c r="BT171" s="197"/>
      <c r="BU171" s="199"/>
      <c r="BV171" s="234"/>
      <c r="BW171" s="503"/>
      <c r="BX171" s="197"/>
      <c r="BY171" s="197"/>
      <c r="BZ171" s="197"/>
      <c r="CA171" s="199"/>
      <c r="CB171" s="234"/>
      <c r="CC171" s="503"/>
      <c r="CD171" s="197"/>
      <c r="CE171" s="197"/>
      <c r="CF171" s="197"/>
      <c r="CG171" s="199"/>
      <c r="CH171" s="299"/>
      <c r="CI171" s="503"/>
      <c r="CJ171" s="197"/>
      <c r="CK171" s="197"/>
      <c r="CL171" s="197"/>
      <c r="CM171" s="199"/>
      <c r="CN171" s="299"/>
      <c r="CO171" s="299"/>
      <c r="CP171" s="299"/>
      <c r="CQ171" s="299"/>
      <c r="CR171" s="299"/>
      <c r="CS171" s="299"/>
    </row>
    <row r="172" spans="1:110" ht="6" customHeight="1">
      <c r="A172" s="246"/>
      <c r="C172" s="437"/>
      <c r="D172" s="437"/>
      <c r="E172" s="437"/>
      <c r="F172" s="437"/>
      <c r="G172" s="438"/>
      <c r="H172" s="298"/>
      <c r="I172" s="437"/>
      <c r="J172" s="437"/>
      <c r="K172" s="437"/>
      <c r="L172" s="437"/>
      <c r="M172" s="438"/>
      <c r="N172" s="298"/>
      <c r="O172" s="437"/>
      <c r="P172" s="437"/>
      <c r="Q172" s="437"/>
      <c r="R172" s="437"/>
      <c r="S172" s="438"/>
      <c r="T172" s="298"/>
      <c r="U172" s="437"/>
      <c r="V172" s="437"/>
      <c r="W172" s="437"/>
      <c r="X172" s="437"/>
      <c r="Y172" s="438"/>
      <c r="Z172" s="298"/>
      <c r="AA172" s="437"/>
      <c r="AB172" s="437"/>
      <c r="AC172" s="437"/>
      <c r="AD172" s="437"/>
      <c r="AE172" s="437"/>
      <c r="AF172" s="298"/>
      <c r="AG172" s="437"/>
      <c r="AH172" s="437"/>
      <c r="AI172" s="437"/>
      <c r="AJ172" s="437"/>
      <c r="AK172" s="437"/>
      <c r="AL172" s="298"/>
      <c r="AM172" s="437"/>
      <c r="AN172" s="437"/>
      <c r="AO172" s="437"/>
      <c r="AP172" s="437"/>
      <c r="AQ172" s="437"/>
      <c r="AR172" s="298"/>
      <c r="AS172" s="437"/>
      <c r="AT172" s="437"/>
      <c r="AU172" s="437"/>
      <c r="AV172" s="437"/>
      <c r="AW172" s="437"/>
      <c r="AX172" s="298"/>
      <c r="AY172" s="437"/>
      <c r="AZ172" s="437"/>
      <c r="BA172" s="437"/>
      <c r="BB172" s="437"/>
      <c r="BC172" s="437"/>
      <c r="BD172" s="298"/>
      <c r="BE172" s="2001"/>
      <c r="BF172" s="437"/>
      <c r="BG172" s="437"/>
      <c r="BH172" s="437"/>
      <c r="BI172" s="437"/>
      <c r="BJ172" s="298"/>
      <c r="BK172" s="437"/>
      <c r="BL172" s="437"/>
      <c r="BM172" s="437"/>
      <c r="BN172" s="437"/>
      <c r="BO172" s="437"/>
      <c r="BP172" s="298"/>
      <c r="BQ172" s="437"/>
      <c r="BR172" s="437"/>
      <c r="BS172" s="437"/>
      <c r="BT172" s="437"/>
      <c r="BU172" s="437"/>
      <c r="BV172" s="298"/>
      <c r="BW172" s="437"/>
      <c r="BX172" s="437"/>
      <c r="BY172" s="437"/>
      <c r="BZ172" s="437"/>
      <c r="CA172" s="437"/>
      <c r="CB172" s="298"/>
      <c r="CC172" s="437"/>
      <c r="CD172" s="437"/>
      <c r="CE172" s="437"/>
      <c r="CF172" s="437"/>
      <c r="CG172" s="437"/>
      <c r="CH172" s="299"/>
      <c r="CI172" s="437"/>
      <c r="CJ172" s="437"/>
      <c r="CK172" s="437"/>
      <c r="CL172" s="437"/>
      <c r="CM172" s="437"/>
      <c r="CN172" s="299"/>
      <c r="CO172" s="299"/>
      <c r="CP172" s="299"/>
      <c r="CQ172" s="299"/>
      <c r="CR172" s="299"/>
      <c r="CS172" s="299"/>
    </row>
    <row r="173" spans="1:110">
      <c r="A173" s="446" t="s">
        <v>198</v>
      </c>
      <c r="C173" s="491"/>
      <c r="D173" s="492"/>
      <c r="E173" s="492"/>
      <c r="F173" s="492"/>
      <c r="G173" s="493"/>
      <c r="H173" s="297"/>
      <c r="I173" s="491"/>
      <c r="J173" s="492"/>
      <c r="K173" s="492"/>
      <c r="L173" s="492"/>
      <c r="M173" s="493"/>
      <c r="N173" s="297"/>
      <c r="O173" s="491"/>
      <c r="P173" s="492"/>
      <c r="Q173" s="492"/>
      <c r="R173" s="492"/>
      <c r="S173" s="493"/>
      <c r="T173" s="297"/>
      <c r="U173" s="491"/>
      <c r="V173" s="492"/>
      <c r="W173" s="492"/>
      <c r="X173" s="492"/>
      <c r="Y173" s="493"/>
      <c r="Z173" s="297"/>
      <c r="AA173" s="491"/>
      <c r="AB173" s="492"/>
      <c r="AC173" s="492"/>
      <c r="AD173" s="492"/>
      <c r="AE173" s="493"/>
      <c r="AF173" s="297"/>
      <c r="AG173" s="491"/>
      <c r="AH173" s="492"/>
      <c r="AI173" s="492"/>
      <c r="AJ173" s="492"/>
      <c r="AK173" s="493"/>
      <c r="AL173" s="297"/>
      <c r="AM173" s="491"/>
      <c r="AN173" s="492"/>
      <c r="AO173" s="492"/>
      <c r="AP173" s="492"/>
      <c r="AQ173" s="493"/>
      <c r="AR173" s="297"/>
      <c r="AS173" s="1929"/>
      <c r="AT173" s="1929"/>
      <c r="AU173" s="1929"/>
      <c r="AV173" s="1929"/>
      <c r="AW173" s="493"/>
      <c r="AX173" s="297"/>
      <c r="AY173" s="170">
        <f>+AY171+AS171</f>
        <v>0.09</v>
      </c>
      <c r="AZ173" s="170">
        <f>+AZ171+AT171</f>
        <v>0.13</v>
      </c>
      <c r="BA173" s="170">
        <f>+BA171+AU171</f>
        <v>0.12</v>
      </c>
      <c r="BB173" s="492"/>
      <c r="BC173" s="493"/>
      <c r="BD173" s="297"/>
      <c r="BE173" s="1995"/>
      <c r="BF173" s="492"/>
      <c r="BG173" s="492"/>
      <c r="BH173" s="492"/>
      <c r="BI173" s="493"/>
      <c r="BJ173" s="297"/>
      <c r="BK173" s="491"/>
      <c r="BL173" s="492"/>
      <c r="BM173" s="492"/>
      <c r="BN173" s="492"/>
      <c r="BO173" s="493"/>
      <c r="BP173" s="297"/>
      <c r="BQ173" s="491"/>
      <c r="BR173" s="492"/>
      <c r="BS173" s="492"/>
      <c r="BT173" s="492"/>
      <c r="BU173" s="493"/>
      <c r="BV173" s="297"/>
      <c r="BW173" s="491"/>
      <c r="BX173" s="492"/>
      <c r="BY173" s="492"/>
      <c r="BZ173" s="492"/>
      <c r="CA173" s="493"/>
      <c r="CB173" s="298"/>
      <c r="CC173" s="491"/>
      <c r="CD173" s="492"/>
      <c r="CE173" s="492"/>
      <c r="CF173" s="492"/>
      <c r="CG173" s="493"/>
      <c r="CH173" s="273"/>
      <c r="CI173" s="491"/>
      <c r="CJ173" s="492"/>
      <c r="CK173" s="492"/>
      <c r="CL173" s="492"/>
      <c r="CM173" s="493"/>
      <c r="CN173" s="273"/>
      <c r="CO173" s="273"/>
      <c r="CP173" s="273"/>
      <c r="CQ173" s="273"/>
      <c r="CR173" s="273"/>
      <c r="CS173" s="273"/>
      <c r="CT173" s="149"/>
      <c r="CU173" s="149"/>
      <c r="CV173" s="149"/>
      <c r="CW173" s="149"/>
      <c r="CX173" s="149"/>
      <c r="CY173" s="149"/>
      <c r="CZ173" s="149"/>
      <c r="DA173" s="149"/>
      <c r="DB173" s="149"/>
      <c r="DC173" s="149"/>
      <c r="DD173" s="149"/>
      <c r="DE173" s="149"/>
      <c r="DF173" s="149"/>
    </row>
    <row r="174" spans="1:110" hidden="1" outlineLevel="2">
      <c r="A174" s="1298" t="s">
        <v>97</v>
      </c>
      <c r="C174" s="1375">
        <f>C151/C8</f>
        <v>0.95599999999999996</v>
      </c>
      <c r="D174" s="1366">
        <f>D151/D8</f>
        <v>1.0285714285714285</v>
      </c>
      <c r="E174" s="1366">
        <f>E151/E8</f>
        <v>1.0116279069767442</v>
      </c>
      <c r="F174" s="1366">
        <f>F151/F8</f>
        <v>1.0238907849829351</v>
      </c>
      <c r="G174" s="1389">
        <f>G151/G8</f>
        <v>1.005736137667304</v>
      </c>
      <c r="H174" s="298"/>
      <c r="I174" s="1375">
        <f>I151/I8</f>
        <v>0.98692810457516345</v>
      </c>
      <c r="J174" s="1366">
        <f>J151/J8</f>
        <v>1.1059602649006623</v>
      </c>
      <c r="K174" s="1366">
        <f>K151/K8</f>
        <v>1.0746753246753247</v>
      </c>
      <c r="L174" s="1366">
        <f>L151/L8</f>
        <v>1.0116959064327486</v>
      </c>
      <c r="M174" s="1389">
        <f>M151/M8</f>
        <v>1.0437201907790143</v>
      </c>
      <c r="N174" s="298"/>
      <c r="O174" s="1375">
        <f t="shared" ref="O174:S177" si="108">O151/O8</f>
        <v>1</v>
      </c>
      <c r="P174" s="1366">
        <f t="shared" si="108"/>
        <v>0.97468354430379744</v>
      </c>
      <c r="Q174" s="1366">
        <f t="shared" si="108"/>
        <v>1.0085106382978724</v>
      </c>
      <c r="R174" s="1366">
        <f t="shared" si="108"/>
        <v>1.1149425287356323</v>
      </c>
      <c r="S174" s="1389">
        <f t="shared" si="108"/>
        <v>1.0263157894736843</v>
      </c>
      <c r="T174" s="298"/>
      <c r="U174" s="1375">
        <f t="shared" ref="U174:Y177" si="109">U151/U8</f>
        <v>0.98920863309352514</v>
      </c>
      <c r="V174" s="1366">
        <f t="shared" si="109"/>
        <v>1.0074906367041199</v>
      </c>
      <c r="W174" s="1366">
        <f t="shared" si="109"/>
        <v>1.0605095541401275</v>
      </c>
      <c r="X174" s="1366">
        <f t="shared" si="109"/>
        <v>1.0953678474114441</v>
      </c>
      <c r="Y174" s="1389">
        <f t="shared" si="109"/>
        <v>1.0432300163132138</v>
      </c>
      <c r="Z174" s="298"/>
      <c r="AA174" s="1375">
        <f t="shared" ref="AA174:AE177" si="110">AA151/AA8</f>
        <v>1.1124260355029585</v>
      </c>
      <c r="AB174" s="1366">
        <f t="shared" si="110"/>
        <v>1.0357142857142858</v>
      </c>
      <c r="AC174" s="1366">
        <f t="shared" si="110"/>
        <v>0.99738903394255873</v>
      </c>
      <c r="AD174" s="1366">
        <f t="shared" si="110"/>
        <v>1.0771144278606966</v>
      </c>
      <c r="AE174" s="1389">
        <f t="shared" si="110"/>
        <v>1.054125412541254</v>
      </c>
      <c r="AF174" s="298"/>
      <c r="AG174" s="1375">
        <f t="shared" ref="AG174:AK179" si="111">AG151/AG8</f>
        <v>0.99746835443037973</v>
      </c>
      <c r="AH174" s="1366">
        <f t="shared" si="111"/>
        <v>1.0379746835443038</v>
      </c>
      <c r="AI174" s="1366">
        <f t="shared" si="111"/>
        <v>0.95396419437340152</v>
      </c>
      <c r="AJ174" s="1366">
        <f t="shared" si="111"/>
        <v>1.0399002493765586</v>
      </c>
      <c r="AK174" s="1389">
        <f t="shared" si="111"/>
        <v>1.0075853350189634</v>
      </c>
      <c r="AL174" s="298"/>
      <c r="AM174" s="1375">
        <f t="shared" ref="AM174:AQ179" si="112">AM151/AM8</f>
        <v>0.9900249376558603</v>
      </c>
      <c r="AN174" s="1366">
        <f t="shared" si="112"/>
        <v>1.0271604938271606</v>
      </c>
      <c r="AO174" s="1366">
        <f t="shared" si="112"/>
        <v>0.93765586034912718</v>
      </c>
      <c r="AP174" s="1366">
        <f t="shared" si="112"/>
        <v>1.1464678724027195</v>
      </c>
      <c r="AQ174" s="1389">
        <f t="shared" si="112"/>
        <v>1.0267774940222387</v>
      </c>
      <c r="AR174" s="298"/>
      <c r="AS174" s="1375"/>
      <c r="AT174" s="1366"/>
      <c r="AU174" s="1366"/>
      <c r="AV174" s="1467"/>
      <c r="AW174" s="1468"/>
      <c r="AX174" s="298"/>
      <c r="AY174" s="1469"/>
      <c r="AZ174" s="1470"/>
      <c r="BA174" s="1470"/>
      <c r="BB174" s="1470"/>
      <c r="BC174" s="1471"/>
      <c r="BD174" s="298"/>
      <c r="BE174" s="2002"/>
      <c r="BF174" s="1470"/>
      <c r="BG174" s="1470"/>
      <c r="BH174" s="1470"/>
      <c r="BI174" s="1471"/>
      <c r="BJ174" s="298"/>
      <c r="BK174" s="1469"/>
      <c r="BL174" s="1470"/>
      <c r="BM174" s="1470"/>
      <c r="BN174" s="1472"/>
      <c r="BO174" s="1472"/>
      <c r="BP174" s="298"/>
      <c r="BQ174" s="1469"/>
      <c r="BR174" s="1470"/>
      <c r="BS174" s="1470"/>
      <c r="BT174" s="1472"/>
      <c r="BU174" s="1472"/>
      <c r="BV174" s="298"/>
      <c r="BW174" s="1469"/>
      <c r="BX174" s="1470"/>
      <c r="BY174" s="1470"/>
      <c r="BZ174" s="1472"/>
      <c r="CA174" s="1472"/>
      <c r="CB174" s="1470"/>
      <c r="CC174" s="1469"/>
      <c r="CD174" s="1470"/>
      <c r="CE174" s="1470"/>
      <c r="CF174" s="1472"/>
      <c r="CG174" s="1472"/>
      <c r="CH174" s="299"/>
      <c r="CI174" s="1469"/>
      <c r="CJ174" s="1470"/>
      <c r="CK174" s="1470"/>
      <c r="CL174" s="1472"/>
      <c r="CM174" s="1472"/>
      <c r="CN174" s="299"/>
      <c r="CO174" s="299"/>
      <c r="CP174" s="299"/>
      <c r="CQ174" s="299"/>
      <c r="CR174" s="299"/>
      <c r="CS174" s="299"/>
    </row>
    <row r="175" spans="1:110" hidden="1" outlineLevel="2">
      <c r="A175" s="1298" t="str">
        <f>A162</f>
        <v>DGG</v>
      </c>
      <c r="C175" s="1375"/>
      <c r="D175" s="1366"/>
      <c r="E175" s="1366"/>
      <c r="F175" s="1366"/>
      <c r="G175" s="1389"/>
      <c r="H175" s="298"/>
      <c r="I175" s="1375"/>
      <c r="J175" s="1366"/>
      <c r="K175" s="1366"/>
      <c r="L175" s="1366"/>
      <c r="M175" s="1389"/>
      <c r="N175" s="298"/>
      <c r="O175" s="1375">
        <f t="shared" si="108"/>
        <v>0.96296296296296291</v>
      </c>
      <c r="P175" s="1366">
        <f t="shared" si="108"/>
        <v>0.91803278688524592</v>
      </c>
      <c r="Q175" s="1366">
        <f t="shared" si="108"/>
        <v>0.87931034482758619</v>
      </c>
      <c r="R175" s="1366">
        <f t="shared" si="108"/>
        <v>1.0517241379310345</v>
      </c>
      <c r="S175" s="1389">
        <f t="shared" si="108"/>
        <v>0.95238095238095233</v>
      </c>
      <c r="T175" s="298"/>
      <c r="U175" s="1375">
        <f t="shared" si="109"/>
        <v>0.9838709677419355</v>
      </c>
      <c r="V175" s="1366">
        <f t="shared" si="109"/>
        <v>0.92537313432835822</v>
      </c>
      <c r="W175" s="1366">
        <f t="shared" si="109"/>
        <v>0.96666666666666667</v>
      </c>
      <c r="X175" s="1366">
        <f t="shared" si="109"/>
        <v>1.03125</v>
      </c>
      <c r="Y175" s="1389">
        <f t="shared" si="109"/>
        <v>0.97628458498023718</v>
      </c>
      <c r="Z175" s="298"/>
      <c r="AA175" s="1375">
        <f t="shared" si="110"/>
        <v>1</v>
      </c>
      <c r="AB175" s="1366">
        <f t="shared" si="110"/>
        <v>1.0138888888888888</v>
      </c>
      <c r="AC175" s="1366">
        <f t="shared" si="110"/>
        <v>0.9</v>
      </c>
      <c r="AD175" s="1366">
        <f t="shared" si="110"/>
        <v>1.1014492753623188</v>
      </c>
      <c r="AE175" s="1389">
        <f t="shared" si="110"/>
        <v>1.0036101083032491</v>
      </c>
      <c r="AF175" s="298"/>
      <c r="AG175" s="1375">
        <f t="shared" si="111"/>
        <v>1.0454545454545454</v>
      </c>
      <c r="AH175" s="1366">
        <f t="shared" si="111"/>
        <v>0.89189189189189189</v>
      </c>
      <c r="AI175" s="1366">
        <f t="shared" si="111"/>
        <v>1</v>
      </c>
      <c r="AJ175" s="1366">
        <f t="shared" si="111"/>
        <v>1.0128205128205128</v>
      </c>
      <c r="AK175" s="1389">
        <f t="shared" si="111"/>
        <v>0.9925373134328358</v>
      </c>
      <c r="AL175" s="298"/>
      <c r="AM175" s="1375">
        <f t="shared" si="112"/>
        <v>1.0122699386503067</v>
      </c>
      <c r="AN175" s="1366">
        <f t="shared" si="112"/>
        <v>0.98192771084337349</v>
      </c>
      <c r="AO175" s="1366">
        <f t="shared" si="112"/>
        <v>0.98159509202453987</v>
      </c>
      <c r="AP175" s="1366">
        <f t="shared" si="112"/>
        <v>0.8860423523120079</v>
      </c>
      <c r="AQ175" s="1389">
        <f t="shared" si="112"/>
        <v>0.96345663189727349</v>
      </c>
      <c r="AR175" s="298"/>
      <c r="AS175" s="1375"/>
      <c r="AT175" s="1366"/>
      <c r="AU175" s="1366"/>
      <c r="AV175" s="1467"/>
      <c r="AW175" s="1468"/>
      <c r="AX175" s="298"/>
      <c r="AY175" s="1469"/>
      <c r="AZ175" s="1470"/>
      <c r="BA175" s="1470"/>
      <c r="BB175" s="1470"/>
      <c r="BC175" s="1471"/>
      <c r="BD175" s="298"/>
      <c r="BE175" s="2002"/>
      <c r="BF175" s="1470"/>
      <c r="BG175" s="1470"/>
      <c r="BH175" s="1470"/>
      <c r="BI175" s="1471"/>
      <c r="BJ175" s="298"/>
      <c r="BK175" s="1469"/>
      <c r="BL175" s="1470"/>
      <c r="BM175" s="1470"/>
      <c r="BN175" s="1472"/>
      <c r="BO175" s="1472"/>
      <c r="BP175" s="298"/>
      <c r="BQ175" s="1469"/>
      <c r="BR175" s="1470"/>
      <c r="BS175" s="1470"/>
      <c r="BT175" s="1472"/>
      <c r="BU175" s="1472"/>
      <c r="BV175" s="298"/>
      <c r="BW175" s="1469"/>
      <c r="BX175" s="1470"/>
      <c r="BY175" s="1470"/>
      <c r="BZ175" s="1472"/>
      <c r="CA175" s="1472"/>
      <c r="CB175" s="1470"/>
      <c r="CC175" s="1469"/>
      <c r="CD175" s="1470"/>
      <c r="CE175" s="1470"/>
      <c r="CF175" s="1472"/>
      <c r="CG175" s="1472"/>
      <c r="CH175" s="298"/>
      <c r="CI175" s="1469"/>
      <c r="CJ175" s="1470"/>
      <c r="CK175" s="1470"/>
      <c r="CL175" s="1472"/>
      <c r="CM175" s="1472"/>
      <c r="CN175" s="298"/>
      <c r="CO175" s="298"/>
      <c r="CP175" s="298"/>
      <c r="CQ175" s="298"/>
      <c r="CR175" s="298"/>
      <c r="CS175" s="298"/>
      <c r="CT175" s="79"/>
      <c r="CU175" s="79"/>
      <c r="CV175" s="79"/>
      <c r="CW175" s="79"/>
      <c r="CX175" s="79"/>
      <c r="CY175" s="79"/>
      <c r="CZ175" s="79"/>
      <c r="DA175" s="79"/>
      <c r="DB175" s="79"/>
      <c r="DC175" s="79"/>
      <c r="DD175" s="79"/>
      <c r="DE175" s="79"/>
      <c r="DF175" s="79"/>
    </row>
    <row r="176" spans="1:110" hidden="1" outlineLevel="2">
      <c r="A176" s="1298" t="s">
        <v>101</v>
      </c>
      <c r="C176" s="1375">
        <f>C153/C10</f>
        <v>0.9463414634146341</v>
      </c>
      <c r="D176" s="1366">
        <f>D153/D10</f>
        <v>1.1202185792349726</v>
      </c>
      <c r="E176" s="1366">
        <f>E153/E10</f>
        <v>0.99526066350710896</v>
      </c>
      <c r="F176" s="1366">
        <f>F153/F10</f>
        <v>1.0086580086580086</v>
      </c>
      <c r="G176" s="1389">
        <f>G153/G10</f>
        <v>1.0144578313253012</v>
      </c>
      <c r="H176" s="298"/>
      <c r="I176" s="1375">
        <f>I153/I10</f>
        <v>1.0222222222222221</v>
      </c>
      <c r="J176" s="1366">
        <f>J153/J10</f>
        <v>1.0526315789473684</v>
      </c>
      <c r="K176" s="1366">
        <f>K153/K10</f>
        <v>1.0431034482758621</v>
      </c>
      <c r="L176" s="1366">
        <f>L153/L10</f>
        <v>0.99206349206349209</v>
      </c>
      <c r="M176" s="1389">
        <f>M153/M10</f>
        <v>1.0266808964781218</v>
      </c>
      <c r="N176" s="298"/>
      <c r="O176" s="1375">
        <f t="shared" si="108"/>
        <v>1</v>
      </c>
      <c r="P176" s="1366">
        <f t="shared" si="108"/>
        <v>0.97</v>
      </c>
      <c r="Q176" s="1366">
        <f t="shared" si="108"/>
        <v>1.0098522167487685</v>
      </c>
      <c r="R176" s="1366">
        <f t="shared" si="108"/>
        <v>1.0577777777777777</v>
      </c>
      <c r="S176" s="1389">
        <f t="shared" si="108"/>
        <v>1.0106635071090047</v>
      </c>
      <c r="T176" s="298"/>
      <c r="U176" s="1375">
        <f t="shared" si="109"/>
        <v>0.99180327868852458</v>
      </c>
      <c r="V176" s="1366">
        <f t="shared" si="109"/>
        <v>0.97058823529411764</v>
      </c>
      <c r="W176" s="1366">
        <f t="shared" si="109"/>
        <v>1.0638297872340425</v>
      </c>
      <c r="X176" s="1366">
        <f t="shared" si="109"/>
        <v>1.0308483290488433</v>
      </c>
      <c r="Y176" s="1389">
        <f t="shared" si="109"/>
        <v>1.02</v>
      </c>
      <c r="Z176" s="298"/>
      <c r="AA176" s="1375">
        <f t="shared" si="110"/>
        <v>1.1117478510028653</v>
      </c>
      <c r="AB176" s="1366">
        <f t="shared" si="110"/>
        <v>0.99737532808398954</v>
      </c>
      <c r="AC176" s="1366">
        <f t="shared" si="110"/>
        <v>1.0443864229765014</v>
      </c>
      <c r="AD176" s="1366">
        <f t="shared" si="110"/>
        <v>1.0395061728395061</v>
      </c>
      <c r="AE176" s="1389">
        <f t="shared" si="110"/>
        <v>1.046772068511199</v>
      </c>
      <c r="AF176" s="298"/>
      <c r="AG176" s="1375">
        <f t="shared" si="111"/>
        <v>1.0176767676767677</v>
      </c>
      <c r="AH176" s="1366">
        <f t="shared" si="111"/>
        <v>1.0515463917525774</v>
      </c>
      <c r="AI176" s="1366">
        <f t="shared" si="111"/>
        <v>0.97637795275590555</v>
      </c>
      <c r="AJ176" s="1366">
        <f t="shared" si="111"/>
        <v>1.0685279187817258</v>
      </c>
      <c r="AK176" s="1389">
        <f t="shared" si="111"/>
        <v>1.028864656831302</v>
      </c>
      <c r="AL176" s="298"/>
      <c r="AM176" s="1375">
        <f t="shared" si="112"/>
        <v>1.0126903553299493</v>
      </c>
      <c r="AN176" s="1366">
        <f t="shared" si="112"/>
        <v>1.0174563591022443</v>
      </c>
      <c r="AO176" s="1366">
        <f t="shared" si="112"/>
        <v>1.0077519379844961</v>
      </c>
      <c r="AP176" s="1366">
        <f t="shared" si="112"/>
        <v>1.0800970873786409</v>
      </c>
      <c r="AQ176" s="1389">
        <f t="shared" si="112"/>
        <v>1.0301129234629862</v>
      </c>
      <c r="AR176" s="298"/>
      <c r="AS176" s="1375">
        <f t="shared" ref="AS176:AW179" si="113">AS153/AS10</f>
        <v>0.99520383693045567</v>
      </c>
      <c r="AT176" s="1366">
        <f t="shared" si="113"/>
        <v>1.051094890510949</v>
      </c>
      <c r="AU176" s="1366">
        <f t="shared" si="113"/>
        <v>1.0071942446043165</v>
      </c>
      <c r="AV176" s="1366">
        <f t="shared" si="113"/>
        <v>1.1136890951276102</v>
      </c>
      <c r="AW176" s="1389">
        <f t="shared" si="113"/>
        <v>1.0423627684964201</v>
      </c>
      <c r="AX176" s="298"/>
      <c r="AY176" s="1469"/>
      <c r="AZ176" s="1470"/>
      <c r="BA176" s="1470"/>
      <c r="BB176" s="1470"/>
      <c r="BC176" s="1471"/>
      <c r="BD176" s="298"/>
      <c r="BE176" s="2002"/>
      <c r="BF176" s="1470"/>
      <c r="BG176" s="1470"/>
      <c r="BH176" s="1470"/>
      <c r="BI176" s="1471"/>
      <c r="BJ176" s="298"/>
      <c r="BK176" s="1469"/>
      <c r="BL176" s="1470"/>
      <c r="BM176" s="1470"/>
      <c r="BN176" s="1472"/>
      <c r="BO176" s="1472"/>
      <c r="BP176" s="298"/>
      <c r="BQ176" s="1469"/>
      <c r="BR176" s="1470"/>
      <c r="BS176" s="1470"/>
      <c r="BT176" s="1472"/>
      <c r="BU176" s="1472"/>
      <c r="BV176" s="298"/>
      <c r="BW176" s="1469"/>
      <c r="BX176" s="1470"/>
      <c r="BY176" s="1470"/>
      <c r="BZ176" s="1472"/>
      <c r="CA176" s="1472"/>
      <c r="CB176" s="1470"/>
      <c r="CC176" s="1469"/>
      <c r="CD176" s="1470"/>
      <c r="CE176" s="1470"/>
      <c r="CF176" s="1472"/>
      <c r="CG176" s="1472"/>
      <c r="CH176" s="299"/>
      <c r="CI176" s="1469"/>
      <c r="CJ176" s="1470"/>
      <c r="CK176" s="1470"/>
      <c r="CL176" s="1472"/>
      <c r="CM176" s="1472"/>
      <c r="CN176" s="299"/>
      <c r="CO176" s="299"/>
      <c r="CP176" s="299"/>
      <c r="CQ176" s="299"/>
      <c r="CR176" s="299"/>
      <c r="CS176" s="299"/>
    </row>
    <row r="177" spans="1:97" hidden="1" outlineLevel="2">
      <c r="A177" s="1298" t="s">
        <v>103</v>
      </c>
      <c r="C177" s="1375"/>
      <c r="D177" s="1366"/>
      <c r="E177" s="1366"/>
      <c r="F177" s="1366"/>
      <c r="G177" s="1389"/>
      <c r="H177" s="298"/>
      <c r="I177" s="1375"/>
      <c r="J177" s="1366"/>
      <c r="K177" s="1366"/>
      <c r="L177" s="1366"/>
      <c r="M177" s="1389"/>
      <c r="N177" s="298"/>
      <c r="O177" s="1375">
        <f t="shared" si="108"/>
        <v>0.99352750809061485</v>
      </c>
      <c r="P177" s="1366">
        <f t="shared" si="108"/>
        <v>0.96308724832214765</v>
      </c>
      <c r="Q177" s="1366">
        <f t="shared" si="108"/>
        <v>0.98293515358361772</v>
      </c>
      <c r="R177" s="1366">
        <f t="shared" si="108"/>
        <v>1.103448275862069</v>
      </c>
      <c r="S177" s="1389">
        <f t="shared" si="108"/>
        <v>1.0123051681706317</v>
      </c>
      <c r="T177" s="298"/>
      <c r="U177" s="1375">
        <f t="shared" si="109"/>
        <v>0.9882352941176471</v>
      </c>
      <c r="V177" s="1366">
        <f t="shared" si="109"/>
        <v>0.99101796407185627</v>
      </c>
      <c r="W177" s="1366">
        <f t="shared" si="109"/>
        <v>1.0454545454545454</v>
      </c>
      <c r="X177" s="1366">
        <f t="shared" si="109"/>
        <v>1.08584686774942</v>
      </c>
      <c r="Y177" s="1389">
        <f t="shared" si="109"/>
        <v>1.0317782285327923</v>
      </c>
      <c r="Z177" s="298"/>
      <c r="AA177" s="1375">
        <f t="shared" si="110"/>
        <v>1.0940594059405941</v>
      </c>
      <c r="AB177" s="1366">
        <f t="shared" si="110"/>
        <v>1.0323275862068966</v>
      </c>
      <c r="AC177" s="1366">
        <f t="shared" si="110"/>
        <v>0.98233995584988965</v>
      </c>
      <c r="AD177" s="1366">
        <f t="shared" si="110"/>
        <v>1.0806794055201698</v>
      </c>
      <c r="AE177" s="1389">
        <f t="shared" si="110"/>
        <v>1.0463169642857142</v>
      </c>
      <c r="AF177" s="298"/>
      <c r="AG177" s="1375">
        <f t="shared" si="111"/>
        <v>1.0043383947939262</v>
      </c>
      <c r="AH177" s="1366">
        <f t="shared" si="111"/>
        <v>1.0149253731343284</v>
      </c>
      <c r="AI177" s="1366">
        <f t="shared" si="111"/>
        <v>0.96378269617706236</v>
      </c>
      <c r="AJ177" s="1366">
        <f t="shared" si="111"/>
        <v>1.0323159784560143</v>
      </c>
      <c r="AK177" s="1389">
        <f t="shared" si="111"/>
        <v>1.0045362903225807</v>
      </c>
      <c r="AL177" s="298"/>
      <c r="AM177" s="1375">
        <f t="shared" si="112"/>
        <v>0.99645390070921991</v>
      </c>
      <c r="AN177" s="1366">
        <f t="shared" si="112"/>
        <v>1.0140105078809107</v>
      </c>
      <c r="AO177" s="1366">
        <f t="shared" si="112"/>
        <v>0.95035460992907805</v>
      </c>
      <c r="AP177" s="1366">
        <f t="shared" si="112"/>
        <v>1.0682196339434276</v>
      </c>
      <c r="AQ177" s="1389">
        <f t="shared" si="112"/>
        <v>1.0082608695652173</v>
      </c>
      <c r="AR177" s="298"/>
      <c r="AS177" s="1375">
        <f t="shared" si="113"/>
        <v>0.95431472081218272</v>
      </c>
      <c r="AT177" s="1366">
        <f t="shared" si="113"/>
        <v>1.0363951473136914</v>
      </c>
      <c r="AU177" s="1366">
        <f t="shared" si="113"/>
        <v>1.0084459459459461</v>
      </c>
      <c r="AV177" s="1366">
        <f t="shared" si="113"/>
        <v>1.0866013071895424</v>
      </c>
      <c r="AW177" s="1389">
        <f t="shared" si="113"/>
        <v>1.0219224283305228</v>
      </c>
      <c r="AX177" s="298"/>
      <c r="AY177" s="1469"/>
      <c r="AZ177" s="1470"/>
      <c r="BA177" s="1470"/>
      <c r="BB177" s="1470"/>
      <c r="BC177" s="1471"/>
      <c r="BD177" s="298"/>
      <c r="BE177" s="2002"/>
      <c r="BF177" s="1470"/>
      <c r="BG177" s="1470"/>
      <c r="BH177" s="1470"/>
      <c r="BI177" s="1471"/>
      <c r="BJ177" s="298"/>
      <c r="BK177" s="1469"/>
      <c r="BL177" s="1470"/>
      <c r="BM177" s="1470"/>
      <c r="BN177" s="1472"/>
      <c r="BO177" s="1472"/>
      <c r="BP177" s="298"/>
      <c r="BQ177" s="1469"/>
      <c r="BR177" s="1470"/>
      <c r="BS177" s="1470"/>
      <c r="BT177" s="1472"/>
      <c r="BU177" s="1472"/>
      <c r="BV177" s="298"/>
      <c r="BW177" s="1469"/>
      <c r="BX177" s="1470"/>
      <c r="BY177" s="1470"/>
      <c r="BZ177" s="1472"/>
      <c r="CA177" s="1472"/>
      <c r="CB177" s="1470"/>
      <c r="CC177" s="1469"/>
      <c r="CD177" s="1470"/>
      <c r="CE177" s="1470"/>
      <c r="CF177" s="1472"/>
      <c r="CG177" s="1472"/>
      <c r="CH177" s="299"/>
      <c r="CI177" s="1469"/>
      <c r="CJ177" s="1470"/>
      <c r="CK177" s="1470"/>
      <c r="CL177" s="1472"/>
      <c r="CM177" s="1472"/>
      <c r="CN177" s="299"/>
      <c r="CO177" s="299"/>
      <c r="CP177" s="299"/>
      <c r="CQ177" s="299"/>
      <c r="CR177" s="299"/>
      <c r="CS177" s="299"/>
    </row>
    <row r="178" spans="1:97" outlineLevel="1" collapsed="1">
      <c r="A178" s="501" t="s">
        <v>105</v>
      </c>
      <c r="C178" s="233"/>
      <c r="D178" s="234"/>
      <c r="E178" s="234"/>
      <c r="F178" s="221"/>
      <c r="G178" s="222"/>
      <c r="H178" s="298"/>
      <c r="I178" s="233"/>
      <c r="J178" s="234"/>
      <c r="K178" s="234"/>
      <c r="L178" s="221"/>
      <c r="M178" s="222"/>
      <c r="N178" s="298"/>
      <c r="O178" s="233"/>
      <c r="P178" s="234"/>
      <c r="Q178" s="234"/>
      <c r="R178" s="221"/>
      <c r="S178" s="222"/>
      <c r="T178" s="298"/>
      <c r="U178" s="233"/>
      <c r="V178" s="234"/>
      <c r="W178" s="234"/>
      <c r="X178" s="221"/>
      <c r="Y178" s="222"/>
      <c r="Z178" s="298"/>
      <c r="AA178" s="233"/>
      <c r="AB178" s="234"/>
      <c r="AC178" s="234"/>
      <c r="AD178" s="221"/>
      <c r="AE178" s="222"/>
      <c r="AF178" s="298"/>
      <c r="AG178" s="233">
        <f t="shared" si="111"/>
        <v>0.98065764023210833</v>
      </c>
      <c r="AH178" s="234">
        <f t="shared" si="111"/>
        <v>1.0140562248995983</v>
      </c>
      <c r="AI178" s="234">
        <f t="shared" si="111"/>
        <v>0.95161290322580649</v>
      </c>
      <c r="AJ178" s="234">
        <f t="shared" si="111"/>
        <v>1.075098814229249</v>
      </c>
      <c r="AK178" s="222">
        <f t="shared" si="111"/>
        <v>1.0054536440257809</v>
      </c>
      <c r="AL178" s="298"/>
      <c r="AM178" s="233">
        <f t="shared" si="112"/>
        <v>0.9452054794520548</v>
      </c>
      <c r="AN178" s="234">
        <f t="shared" si="112"/>
        <v>0.97834645669291342</v>
      </c>
      <c r="AO178" s="234">
        <f t="shared" si="112"/>
        <v>0.99182004089979547</v>
      </c>
      <c r="AP178" s="234">
        <f t="shared" si="112"/>
        <v>1.1005692599620494</v>
      </c>
      <c r="AQ178" s="222">
        <f t="shared" si="112"/>
        <v>1.0049140049140048</v>
      </c>
      <c r="AR178" s="298"/>
      <c r="AS178" s="233">
        <f t="shared" si="113"/>
        <v>0.91061452513966479</v>
      </c>
      <c r="AT178" s="234">
        <f t="shared" si="113"/>
        <v>1.0141414141414142</v>
      </c>
      <c r="AU178" s="234">
        <f t="shared" si="113"/>
        <v>1.039447731755424</v>
      </c>
      <c r="AV178" s="234">
        <f t="shared" si="113"/>
        <v>1.1502782931354361</v>
      </c>
      <c r="AW178" s="222">
        <f t="shared" si="113"/>
        <v>1.0288739172281038</v>
      </c>
      <c r="AX178" s="298"/>
      <c r="AY178" s="233">
        <f t="shared" ref="AY178:BA179" si="114">AY155/AY12</f>
        <v>0.89213893967093238</v>
      </c>
      <c r="AZ178" s="234">
        <f t="shared" si="114"/>
        <v>1.069767441860465</v>
      </c>
      <c r="BA178" s="234">
        <f t="shared" si="114"/>
        <v>0.92172211350293543</v>
      </c>
      <c r="BB178" s="760" t="s">
        <v>497</v>
      </c>
      <c r="BC178" s="762" t="s">
        <v>497</v>
      </c>
      <c r="BD178" s="298"/>
      <c r="BE178" s="1998" t="s">
        <v>547</v>
      </c>
      <c r="BF178" s="298"/>
      <c r="BG178" s="298"/>
      <c r="BH178" s="298"/>
      <c r="BI178" s="504"/>
      <c r="BJ178" s="298"/>
      <c r="BK178" s="505"/>
      <c r="BL178" s="298"/>
      <c r="BM178" s="298"/>
      <c r="BN178" s="506"/>
      <c r="BO178" s="506"/>
      <c r="BP178" s="298"/>
      <c r="BQ178" s="505"/>
      <c r="BR178" s="298"/>
      <c r="BS178" s="298"/>
      <c r="BT178" s="506"/>
      <c r="BU178" s="506"/>
      <c r="BV178" s="298"/>
      <c r="BW178" s="505"/>
      <c r="BX178" s="298"/>
      <c r="BY178" s="298"/>
      <c r="BZ178" s="506"/>
      <c r="CA178" s="506"/>
      <c r="CB178" s="298"/>
      <c r="CC178" s="505"/>
      <c r="CD178" s="298"/>
      <c r="CE178" s="298"/>
      <c r="CF178" s="506"/>
      <c r="CG178" s="506"/>
      <c r="CH178" s="299"/>
      <c r="CI178" s="505"/>
      <c r="CJ178" s="298"/>
      <c r="CK178" s="298"/>
      <c r="CL178" s="506"/>
      <c r="CM178" s="506"/>
      <c r="CN178" s="299"/>
      <c r="CO178" s="299"/>
      <c r="CP178" s="299"/>
      <c r="CQ178" s="299"/>
      <c r="CR178" s="299"/>
      <c r="CS178" s="299"/>
    </row>
    <row r="179" spans="1:97" outlineLevel="1">
      <c r="A179" s="501" t="s">
        <v>99</v>
      </c>
      <c r="C179" s="233"/>
      <c r="D179" s="234"/>
      <c r="E179" s="234"/>
      <c r="F179" s="221"/>
      <c r="G179" s="222"/>
      <c r="H179" s="298"/>
      <c r="I179" s="233"/>
      <c r="J179" s="234"/>
      <c r="K179" s="234"/>
      <c r="L179" s="221"/>
      <c r="M179" s="222"/>
      <c r="N179" s="298"/>
      <c r="O179" s="233"/>
      <c r="P179" s="234"/>
      <c r="Q179" s="234"/>
      <c r="R179" s="221"/>
      <c r="S179" s="222"/>
      <c r="T179" s="298"/>
      <c r="U179" s="233"/>
      <c r="V179" s="234"/>
      <c r="W179" s="234"/>
      <c r="X179" s="221"/>
      <c r="Y179" s="222"/>
      <c r="Z179" s="298"/>
      <c r="AA179" s="233"/>
      <c r="AB179" s="234"/>
      <c r="AC179" s="234"/>
      <c r="AD179" s="221"/>
      <c r="AE179" s="222"/>
      <c r="AF179" s="298"/>
      <c r="AG179" s="233">
        <f t="shared" si="111"/>
        <v>1.0508474576271187</v>
      </c>
      <c r="AH179" s="234">
        <f t="shared" si="111"/>
        <v>0.86567164179104472</v>
      </c>
      <c r="AI179" s="234">
        <f t="shared" si="111"/>
        <v>1.0515463917525774</v>
      </c>
      <c r="AJ179" s="234">
        <f t="shared" si="111"/>
        <v>0.98692810457516345</v>
      </c>
      <c r="AK179" s="222">
        <f t="shared" si="111"/>
        <v>0.99202127659574468</v>
      </c>
      <c r="AL179" s="298"/>
      <c r="AM179" s="233">
        <f t="shared" si="112"/>
        <v>1.0392156862745099</v>
      </c>
      <c r="AN179" s="234">
        <f t="shared" si="112"/>
        <v>0.98726114649681529</v>
      </c>
      <c r="AO179" s="234">
        <f t="shared" si="112"/>
        <v>0.96178343949044587</v>
      </c>
      <c r="AP179" s="234">
        <f t="shared" si="112"/>
        <v>1.0654761904761905</v>
      </c>
      <c r="AQ179" s="222">
        <f t="shared" si="112"/>
        <v>1.0141732283464566</v>
      </c>
      <c r="AR179" s="298"/>
      <c r="AS179" s="233">
        <f t="shared" si="113"/>
        <v>0.99363057324840764</v>
      </c>
      <c r="AT179" s="234">
        <f t="shared" si="113"/>
        <v>1.0416666666666667</v>
      </c>
      <c r="AU179" s="234">
        <f t="shared" si="113"/>
        <v>1.0180722891566265</v>
      </c>
      <c r="AV179" s="234">
        <f t="shared" si="113"/>
        <v>0.9941860465116279</v>
      </c>
      <c r="AW179" s="222">
        <f t="shared" si="113"/>
        <v>1.0120663650075414</v>
      </c>
      <c r="AX179" s="298"/>
      <c r="AY179" s="233">
        <f t="shared" si="114"/>
        <v>1.0675675675675675</v>
      </c>
      <c r="AZ179" s="234">
        <f t="shared" si="114"/>
        <v>0.99408284023668636</v>
      </c>
      <c r="BA179" s="234">
        <f t="shared" si="114"/>
        <v>1.0059880239520957</v>
      </c>
      <c r="BB179" s="760" t="s">
        <v>497</v>
      </c>
      <c r="BC179" s="762" t="s">
        <v>497</v>
      </c>
      <c r="BD179" s="298"/>
      <c r="BE179" s="1998" t="s">
        <v>547</v>
      </c>
      <c r="BF179" s="298"/>
      <c r="BG179" s="298"/>
      <c r="BH179" s="298"/>
      <c r="BI179" s="504"/>
      <c r="BJ179" s="298"/>
      <c r="BK179" s="505"/>
      <c r="BL179" s="298"/>
      <c r="BM179" s="298"/>
      <c r="BN179" s="506"/>
      <c r="BO179" s="506"/>
      <c r="BP179" s="298"/>
      <c r="BQ179" s="505"/>
      <c r="BR179" s="298"/>
      <c r="BS179" s="298"/>
      <c r="BT179" s="506"/>
      <c r="BU179" s="506"/>
      <c r="BV179" s="298"/>
      <c r="BW179" s="505"/>
      <c r="BX179" s="298"/>
      <c r="BY179" s="298"/>
      <c r="BZ179" s="506"/>
      <c r="CA179" s="506"/>
      <c r="CB179" s="298"/>
      <c r="CC179" s="505"/>
      <c r="CD179" s="298"/>
      <c r="CE179" s="298"/>
      <c r="CF179" s="506"/>
      <c r="CG179" s="506"/>
      <c r="CH179" s="299"/>
      <c r="CI179" s="505"/>
      <c r="CJ179" s="298"/>
      <c r="CK179" s="298"/>
      <c r="CL179" s="506"/>
      <c r="CM179" s="506"/>
      <c r="CN179" s="299"/>
      <c r="CO179" s="299"/>
      <c r="CP179" s="299"/>
      <c r="CQ179" s="299"/>
      <c r="CR179" s="299"/>
      <c r="CS179" s="299"/>
    </row>
    <row r="180" spans="1:97" outlineLevel="1">
      <c r="A180" s="507" t="s">
        <v>107</v>
      </c>
      <c r="C180" s="241"/>
      <c r="D180" s="242"/>
      <c r="E180" s="242"/>
      <c r="F180" s="305"/>
      <c r="G180" s="243"/>
      <c r="H180" s="298"/>
      <c r="I180" s="241"/>
      <c r="J180" s="242"/>
      <c r="K180" s="242"/>
      <c r="L180" s="305"/>
      <c r="M180" s="243"/>
      <c r="N180" s="298"/>
      <c r="O180" s="241"/>
      <c r="P180" s="242"/>
      <c r="Q180" s="242"/>
      <c r="R180" s="305"/>
      <c r="S180" s="243"/>
      <c r="T180" s="298"/>
      <c r="U180" s="241"/>
      <c r="V180" s="242"/>
      <c r="W180" s="242"/>
      <c r="X180" s="305"/>
      <c r="Y180" s="243"/>
      <c r="Z180" s="298"/>
      <c r="AA180" s="241"/>
      <c r="AB180" s="242"/>
      <c r="AC180" s="242"/>
      <c r="AD180" s="305"/>
      <c r="AE180" s="243"/>
      <c r="AF180" s="298"/>
      <c r="AG180" s="241">
        <f t="shared" ref="AG180:AK181" si="115">AG157/AG17</f>
        <v>1.0569395017793595</v>
      </c>
      <c r="AH180" s="242">
        <f t="shared" si="115"/>
        <v>1.0993150684931507</v>
      </c>
      <c r="AI180" s="242">
        <f t="shared" si="115"/>
        <v>0.97192982456140353</v>
      </c>
      <c r="AJ180" s="242">
        <f t="shared" si="115"/>
        <v>1.0308219178082192</v>
      </c>
      <c r="AK180" s="243">
        <f t="shared" si="115"/>
        <v>1.04</v>
      </c>
      <c r="AL180" s="298"/>
      <c r="AM180" s="241">
        <f t="shared" ref="AM180:AQ181" si="116">AM157/AM17</f>
        <v>1.0850340136054422</v>
      </c>
      <c r="AN180" s="242">
        <f t="shared" si="116"/>
        <v>1.0912052117263844</v>
      </c>
      <c r="AO180" s="242">
        <f t="shared" si="116"/>
        <v>0.95081967213114749</v>
      </c>
      <c r="AP180" s="242">
        <f t="shared" si="116"/>
        <v>1.0314465408805031</v>
      </c>
      <c r="AQ180" s="243">
        <f t="shared" si="116"/>
        <v>1.0392156862745099</v>
      </c>
      <c r="AR180" s="298"/>
      <c r="AS180" s="241">
        <f t="shared" ref="AS180:AW181" si="117">AS157/AS17</f>
        <v>1.0636942675159236</v>
      </c>
      <c r="AT180" s="242">
        <f t="shared" si="117"/>
        <v>1.0892307692307692</v>
      </c>
      <c r="AU180" s="242">
        <f t="shared" si="117"/>
        <v>0.9553571428571429</v>
      </c>
      <c r="AV180" s="242">
        <f t="shared" si="117"/>
        <v>1.0632530120481927</v>
      </c>
      <c r="AW180" s="243">
        <f t="shared" si="117"/>
        <v>1.0420811017597551</v>
      </c>
      <c r="AX180" s="298"/>
      <c r="AY180" s="241">
        <f t="shared" ref="AY180:BA181" si="118">AY157/AY17</f>
        <v>1.054380664652568</v>
      </c>
      <c r="AZ180" s="242">
        <f t="shared" si="118"/>
        <v>1.1370716510903427</v>
      </c>
      <c r="BA180" s="242">
        <f t="shared" si="118"/>
        <v>0.93452380952380953</v>
      </c>
      <c r="BB180" s="764" t="s">
        <v>497</v>
      </c>
      <c r="BC180" s="765" t="s">
        <v>497</v>
      </c>
      <c r="BD180" s="298"/>
      <c r="BE180" s="1998" t="s">
        <v>547</v>
      </c>
      <c r="BF180" s="437"/>
      <c r="BG180" s="437"/>
      <c r="BH180" s="437"/>
      <c r="BI180" s="508"/>
      <c r="BJ180" s="298"/>
      <c r="BK180" s="509"/>
      <c r="BL180" s="437"/>
      <c r="BM180" s="437"/>
      <c r="BN180" s="510"/>
      <c r="BO180" s="510"/>
      <c r="BP180" s="298"/>
      <c r="BQ180" s="509"/>
      <c r="BR180" s="437"/>
      <c r="BS180" s="437"/>
      <c r="BT180" s="510"/>
      <c r="BU180" s="510"/>
      <c r="BV180" s="298"/>
      <c r="BW180" s="509"/>
      <c r="BX180" s="437"/>
      <c r="BY180" s="437"/>
      <c r="BZ180" s="510"/>
      <c r="CA180" s="510"/>
      <c r="CB180" s="298"/>
      <c r="CC180" s="509"/>
      <c r="CD180" s="437"/>
      <c r="CE180" s="437"/>
      <c r="CF180" s="510"/>
      <c r="CG180" s="510"/>
      <c r="CH180" s="299"/>
      <c r="CI180" s="509"/>
      <c r="CJ180" s="437"/>
      <c r="CK180" s="437"/>
      <c r="CL180" s="510"/>
      <c r="CM180" s="510"/>
      <c r="CN180" s="299"/>
      <c r="CO180" s="299"/>
      <c r="CP180" s="299"/>
      <c r="CQ180" s="299"/>
      <c r="CR180" s="299"/>
      <c r="CS180" s="299"/>
    </row>
    <row r="181" spans="1:97" outlineLevel="1">
      <c r="A181" s="511" t="s">
        <v>195</v>
      </c>
      <c r="B181" s="552"/>
      <c r="C181" s="403">
        <f>C158/C18</f>
        <v>0.9516483516483516</v>
      </c>
      <c r="D181" s="404">
        <f>D158/D18</f>
        <v>1.0677570093457944</v>
      </c>
      <c r="E181" s="404">
        <f>E158/E18</f>
        <v>1.0042643923240939</v>
      </c>
      <c r="F181" s="1813">
        <f>F158/F18</f>
        <v>1.0171755725190839</v>
      </c>
      <c r="G181" s="405">
        <f>G158/G18</f>
        <v>1.0095948827292112</v>
      </c>
      <c r="H181" s="1814"/>
      <c r="I181" s="403">
        <f>I158/I18</f>
        <v>1.0018832391713748</v>
      </c>
      <c r="J181" s="404">
        <f>J158/J18</f>
        <v>1.0830188679245283</v>
      </c>
      <c r="K181" s="404">
        <f>K158/K18</f>
        <v>1.0611111111111111</v>
      </c>
      <c r="L181" s="1813">
        <f>L158/L18</f>
        <v>1.0033670033670035</v>
      </c>
      <c r="M181" s="405">
        <f>M158/M18</f>
        <v>1.0364464692482915</v>
      </c>
      <c r="N181" s="1814"/>
      <c r="O181" s="403">
        <f>O158/O18</f>
        <v>0.99619047619047618</v>
      </c>
      <c r="P181" s="404">
        <f>P158/P18</f>
        <v>0.96586345381526106</v>
      </c>
      <c r="Q181" s="404">
        <f>Q158/Q18</f>
        <v>0.99395161290322576</v>
      </c>
      <c r="R181" s="1813">
        <f>R158/R18</f>
        <v>1.0845588235294117</v>
      </c>
      <c r="S181" s="405">
        <f>S158/S18</f>
        <v>1.0116335433834223</v>
      </c>
      <c r="T181" s="1814"/>
      <c r="U181" s="403">
        <f>U158/U18</f>
        <v>0.98972602739726023</v>
      </c>
      <c r="V181" s="404">
        <f>V158/V18</f>
        <v>0.9825174825174825</v>
      </c>
      <c r="W181" s="404">
        <f>W158/W18</f>
        <v>1.0540540540540539</v>
      </c>
      <c r="X181" s="1813">
        <f>X158/X18</f>
        <v>1.0597560975609757</v>
      </c>
      <c r="Y181" s="405">
        <f>Y158/Y18</f>
        <v>1.0265024262784621</v>
      </c>
      <c r="Z181" s="1814"/>
      <c r="AA181" s="403">
        <f>AA158/AA18</f>
        <v>1.1022576361221779</v>
      </c>
      <c r="AB181" s="404">
        <f>AB158/AB18</f>
        <v>1.016568047337278</v>
      </c>
      <c r="AC181" s="404">
        <f>AC158/AC18</f>
        <v>1.0107655502392345</v>
      </c>
      <c r="AD181" s="1813">
        <f>AD158/AD18</f>
        <v>2</v>
      </c>
      <c r="AE181" s="405">
        <f>AE158/AE18</f>
        <v>1.0465256797583082</v>
      </c>
      <c r="AF181" s="1814"/>
      <c r="AG181" s="403">
        <f t="shared" si="115"/>
        <v>1.0105017502917153</v>
      </c>
      <c r="AH181" s="404">
        <f t="shared" si="115"/>
        <v>1.0315052508751459</v>
      </c>
      <c r="AI181" s="404">
        <f t="shared" si="115"/>
        <v>0.96924829157175396</v>
      </c>
      <c r="AJ181" s="404">
        <f t="shared" si="115"/>
        <v>1.0473186119873816</v>
      </c>
      <c r="AK181" s="405">
        <f t="shared" si="115"/>
        <v>1.0152413209144793</v>
      </c>
      <c r="AL181" s="1814"/>
      <c r="AM181" s="403">
        <f t="shared" si="116"/>
        <v>1.0031315240083507</v>
      </c>
      <c r="AN181" s="404">
        <f t="shared" si="116"/>
        <v>1.0154320987654322</v>
      </c>
      <c r="AO181" s="404">
        <f t="shared" si="116"/>
        <v>0.97371188222923244</v>
      </c>
      <c r="AP181" s="404">
        <f t="shared" si="116"/>
        <v>1.0730503455083908</v>
      </c>
      <c r="AQ181" s="405">
        <f t="shared" si="116"/>
        <v>1.0172059578839241</v>
      </c>
      <c r="AR181" s="1814"/>
      <c r="AS181" s="403">
        <f t="shared" si="117"/>
        <v>0.97123015873015872</v>
      </c>
      <c r="AT181" s="404">
        <f t="shared" si="117"/>
        <v>1.0435222672064777</v>
      </c>
      <c r="AU181" s="404">
        <f t="shared" si="117"/>
        <v>1.0079286422200198</v>
      </c>
      <c r="AV181" s="404">
        <f t="shared" si="117"/>
        <v>1.096836049856184</v>
      </c>
      <c r="AW181" s="405">
        <f t="shared" si="117"/>
        <v>1.0303853754940711</v>
      </c>
      <c r="AX181" s="1814"/>
      <c r="AY181" s="403">
        <f t="shared" si="118"/>
        <v>0.96978557504873297</v>
      </c>
      <c r="AZ181" s="404">
        <f t="shared" si="118"/>
        <v>1.078920041536864</v>
      </c>
      <c r="BA181" s="404">
        <f t="shared" si="118"/>
        <v>0.93984220907297833</v>
      </c>
      <c r="BB181" s="1238" t="s">
        <v>497</v>
      </c>
      <c r="BC181" s="1239" t="s">
        <v>497</v>
      </c>
      <c r="BD181" s="298"/>
      <c r="BE181" s="1815" t="s">
        <v>547</v>
      </c>
      <c r="BF181" s="437"/>
      <c r="BG181" s="437"/>
      <c r="BH181" s="437"/>
      <c r="BI181" s="508"/>
      <c r="BJ181" s="298"/>
      <c r="BK181" s="509"/>
      <c r="BL181" s="437"/>
      <c r="BM181" s="437"/>
      <c r="BN181" s="437"/>
      <c r="BO181" s="508"/>
      <c r="BP181" s="298"/>
      <c r="BQ181" s="509"/>
      <c r="BR181" s="437"/>
      <c r="BS181" s="437"/>
      <c r="BT181" s="437"/>
      <c r="BU181" s="508"/>
      <c r="BV181" s="298"/>
      <c r="BW181" s="509"/>
      <c r="BX181" s="437"/>
      <c r="BY181" s="437"/>
      <c r="BZ181" s="437"/>
      <c r="CA181" s="508"/>
      <c r="CB181" s="298"/>
      <c r="CC181" s="509"/>
      <c r="CD181" s="437"/>
      <c r="CE181" s="437"/>
      <c r="CF181" s="437"/>
      <c r="CG181" s="508"/>
      <c r="CH181" s="299"/>
      <c r="CI181" s="509"/>
      <c r="CJ181" s="437"/>
      <c r="CK181" s="437"/>
      <c r="CL181" s="437"/>
      <c r="CM181" s="508"/>
      <c r="CN181" s="299"/>
      <c r="CO181" s="299"/>
      <c r="CP181" s="299"/>
      <c r="CQ181" s="299"/>
      <c r="CR181" s="299"/>
      <c r="CS181" s="299"/>
    </row>
    <row r="182" spans="1:97" ht="12" customHeight="1">
      <c r="BE182" s="2003"/>
      <c r="CH182"/>
      <c r="CN182"/>
      <c r="CO182"/>
      <c r="CP182"/>
    </row>
    <row r="183" spans="1:97" ht="15">
      <c r="CH183" s="1954">
        <v>0.11</v>
      </c>
      <c r="CN183" s="1954"/>
      <c r="CO183" s="1954"/>
      <c r="CP183" s="1954"/>
    </row>
    <row r="184" spans="1:97" ht="15">
      <c r="CH184" s="1954">
        <v>0.11</v>
      </c>
      <c r="CN184" s="1954"/>
      <c r="CO184" s="1954"/>
      <c r="CP184" s="1954"/>
    </row>
    <row r="185" spans="1:97" ht="15">
      <c r="CH185" s="1954">
        <v>0.16</v>
      </c>
      <c r="CN185" s="1954"/>
      <c r="CO185" s="1954"/>
      <c r="CP185" s="1954"/>
    </row>
    <row r="186" spans="1:97" ht="15">
      <c r="CH186" s="1954">
        <v>0.24</v>
      </c>
      <c r="CN186" s="1954"/>
      <c r="CO186" s="1954"/>
      <c r="CP186" s="1954"/>
    </row>
    <row r="187" spans="1:97" ht="15">
      <c r="CH187" s="1954">
        <v>0.12</v>
      </c>
      <c r="CN187" s="1954"/>
      <c r="CO187" s="1954"/>
      <c r="CP187" s="1954"/>
    </row>
    <row r="188" spans="1:97" ht="15">
      <c r="CH188" s="1954">
        <v>0.26</v>
      </c>
      <c r="CN188" s="1954"/>
      <c r="CO188" s="1954"/>
      <c r="CP188" s="1954"/>
    </row>
    <row r="189" spans="1:97" ht="15">
      <c r="CH189" s="1954">
        <f>SUM(CH183:CH188)</f>
        <v>1</v>
      </c>
      <c r="CN189" s="1954"/>
      <c r="CO189" s="1954"/>
      <c r="CP189" s="1954"/>
    </row>
  </sheetData>
  <pageMargins left="0" right="0" top="0" bottom="0" header="0" footer="0"/>
  <pageSetup paperSize="5" scale="70" orientation="landscape" r:id="rId1"/>
  <ignoredErrors>
    <ignoredError sqref="BC45:BC46 BF45:BI45 BK45:BO46 BQ45:BU46 BA55 BH46:BI46" formula="1"/>
    <ignoredError sqref="AP18 AS18:AY1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EB225"/>
  <sheetViews>
    <sheetView zoomScaleNormal="100" workbookViewId="0">
      <pane xSplit="2" ySplit="6" topLeftCell="AK7" activePane="bottomRight" state="frozen"/>
      <selection pane="topRight" activeCell="C1" sqref="C1"/>
      <selection pane="bottomLeft" activeCell="A9" sqref="A9"/>
      <selection pane="bottomRight"/>
    </sheetView>
  </sheetViews>
  <sheetFormatPr defaultRowHeight="12.75" outlineLevelRow="2" outlineLevelCol="2"/>
  <cols>
    <col min="1" max="1" width="22.7109375" style="2" customWidth="1"/>
    <col min="2" max="2" width="0.85546875" style="6" customWidth="1"/>
    <col min="3" max="7" width="6.28515625" style="2" hidden="1" customWidth="1" outlineLevel="1"/>
    <col min="8" max="8" width="0.85546875" style="6" hidden="1" customWidth="1" outlineLevel="1"/>
    <col min="9" max="13" width="6.28515625" style="2" hidden="1" customWidth="1" outlineLevel="1"/>
    <col min="14" max="14" width="0.85546875" style="6" hidden="1" customWidth="1" outlineLevel="1"/>
    <col min="15" max="19" width="6.28515625" style="2" hidden="1" customWidth="1" outlineLevel="1"/>
    <col min="20" max="20" width="0.85546875" style="6" hidden="1" customWidth="1" outlineLevel="1"/>
    <col min="21" max="25" width="6.28515625" style="2" hidden="1" customWidth="1" outlineLevel="1"/>
    <col min="26" max="26" width="0.85546875" style="6" hidden="1" customWidth="1" outlineLevel="1"/>
    <col min="27" max="31" width="6.28515625" style="2" hidden="1" customWidth="1" outlineLevel="1"/>
    <col min="32" max="32" width="0.85546875" style="6" hidden="1" customWidth="1" outlineLevel="1"/>
    <col min="33" max="36" width="6.28515625" style="2" hidden="1" customWidth="1" outlineLevel="1"/>
    <col min="37" max="37" width="6.28515625" style="2" customWidth="1" collapsed="1"/>
    <col min="38" max="38" width="0.85546875" style="6" customWidth="1"/>
    <col min="39" max="42" width="6.28515625" style="2" hidden="1" customWidth="1" outlineLevel="1"/>
    <col min="43" max="43" width="6.28515625" style="2" customWidth="1" collapsed="1"/>
    <col min="44" max="44" width="0.85546875" style="6" customWidth="1"/>
    <col min="45" max="48" width="6.28515625" style="2" hidden="1" customWidth="1" outlineLevel="1"/>
    <col min="49" max="49" width="6.28515625" style="2" customWidth="1" collapsed="1"/>
    <col min="50" max="50" width="0.85546875" style="6" customWidth="1"/>
    <col min="51" max="54" width="6.28515625" style="2" hidden="1" customWidth="1" outlineLevel="1"/>
    <col min="55" max="55" width="6.28515625" style="2" customWidth="1" collapsed="1"/>
    <col min="56" max="56" width="0.85546875" style="6" customWidth="1"/>
    <col min="57" max="60" width="6.28515625" style="2" hidden="1" customWidth="1" outlineLevel="1"/>
    <col min="61" max="61" width="6.28515625" style="2" customWidth="1" collapsed="1"/>
    <col min="62" max="62" width="0.85546875" style="6" customWidth="1"/>
    <col min="63" max="66" width="6.28515625" style="2" hidden="1" customWidth="1" outlineLevel="1"/>
    <col min="67" max="67" width="6.28515625" style="2" customWidth="1" collapsed="1"/>
    <col min="68" max="68" width="0.85546875" style="6" customWidth="1"/>
    <col min="69" max="72" width="6.28515625" style="2" customWidth="1" outlineLevel="1"/>
    <col min="73" max="73" width="6.28515625" style="2" customWidth="1"/>
    <col min="74" max="74" width="0.85546875" style="6" customWidth="1"/>
    <col min="75" max="78" width="6.28515625" style="2" customWidth="1" outlineLevel="1"/>
    <col min="79" max="79" width="6.28515625" style="2" customWidth="1"/>
    <col min="80" max="80" width="0.85546875" style="2" customWidth="1"/>
    <col min="81" max="84" width="6.28515625" style="2" hidden="1" customWidth="1" outlineLevel="1"/>
    <col min="85" max="85" width="6.28515625" style="2" customWidth="1" collapsed="1"/>
    <col min="86" max="86" width="0.85546875" style="2" customWidth="1"/>
    <col min="87" max="90" width="6.28515625" style="2" hidden="1" customWidth="1" outlineLevel="1"/>
    <col min="91" max="91" width="6.28515625" style="2" customWidth="1" collapsed="1"/>
    <col min="92" max="92" width="9.140625" style="6"/>
    <col min="93" max="93" width="21.85546875" style="2" customWidth="1"/>
    <col min="94" max="97" width="7" style="2" hidden="1" customWidth="1" outlineLevel="2"/>
    <col min="98" max="98" width="7" style="2" hidden="1" customWidth="1" outlineLevel="2" collapsed="1"/>
    <col min="99" max="101" width="7" style="2" hidden="1" customWidth="1" outlineLevel="2"/>
    <col min="102" max="102" width="7" style="2" hidden="1" customWidth="1" outlineLevel="1" collapsed="1"/>
    <col min="103" max="105" width="7" style="2" hidden="1" customWidth="1" outlineLevel="1"/>
    <col min="106" max="106" width="7" style="2" customWidth="1" collapsed="1"/>
    <col min="107" max="114" width="7" style="2" customWidth="1"/>
    <col min="115" max="121" width="7" style="6" customWidth="1"/>
    <col min="122" max="122" width="9.140625" style="6"/>
    <col min="123" max="127" width="9.85546875" style="6" bestFit="1" customWidth="1"/>
    <col min="128" max="128" width="9.140625" style="6"/>
    <col min="129" max="132" width="9.85546875" style="6" bestFit="1" customWidth="1"/>
    <col min="133" max="16384" width="9.140625" style="6"/>
  </cols>
  <sheetData>
    <row r="1" spans="1:122">
      <c r="A1" s="512" t="s">
        <v>199</v>
      </c>
      <c r="B1" s="512"/>
      <c r="C1" s="513"/>
      <c r="D1" s="513"/>
      <c r="E1" s="513"/>
      <c r="F1" s="513"/>
      <c r="G1" s="513"/>
      <c r="H1" s="512"/>
      <c r="I1" s="513"/>
      <c r="J1" s="513"/>
      <c r="K1" s="513"/>
      <c r="L1" s="513"/>
      <c r="M1" s="513"/>
      <c r="N1" s="512"/>
      <c r="O1" s="513"/>
      <c r="P1" s="513"/>
      <c r="Q1" s="513"/>
      <c r="R1" s="513"/>
      <c r="S1" s="513"/>
      <c r="T1" s="513"/>
      <c r="U1" s="513"/>
      <c r="V1" s="514"/>
      <c r="W1" s="514"/>
      <c r="X1" s="514"/>
      <c r="Y1" s="513"/>
      <c r="Z1" s="513"/>
      <c r="AA1" s="513"/>
      <c r="AB1" s="513"/>
      <c r="AC1" s="513"/>
      <c r="AD1" s="513"/>
      <c r="AE1" s="513"/>
      <c r="AF1" s="513"/>
      <c r="AG1" s="513"/>
      <c r="AH1" s="513"/>
      <c r="AI1" s="515"/>
      <c r="AJ1" s="513"/>
      <c r="AK1" s="515" t="s">
        <v>200</v>
      </c>
      <c r="AL1" s="513"/>
      <c r="AM1" s="513" t="s">
        <v>201</v>
      </c>
      <c r="AN1" s="6"/>
      <c r="AO1" s="513"/>
      <c r="AP1" s="513"/>
      <c r="AQ1" s="513"/>
      <c r="AR1" s="513"/>
      <c r="AS1" s="516"/>
      <c r="AT1" s="516"/>
      <c r="AU1" s="514"/>
      <c r="AV1" s="514"/>
      <c r="AW1" s="579"/>
      <c r="AX1" s="550"/>
      <c r="AY1" s="1875"/>
      <c r="AZ1" s="1875"/>
      <c r="BA1" s="579"/>
      <c r="BB1" s="579"/>
      <c r="BC1" s="579"/>
      <c r="BD1" s="550"/>
      <c r="BE1" s="1875"/>
      <c r="BF1" s="1875"/>
      <c r="BG1" s="579"/>
      <c r="BH1" s="579"/>
      <c r="BI1" s="579"/>
      <c r="BJ1" s="550"/>
      <c r="BK1" s="1875"/>
      <c r="BL1" s="1875"/>
      <c r="BM1" s="579"/>
      <c r="BN1" s="579"/>
      <c r="BO1" s="579"/>
      <c r="BP1" s="550"/>
      <c r="BQ1" s="1875"/>
      <c r="BR1" s="1875"/>
      <c r="BS1" s="579"/>
      <c r="BT1" s="579"/>
      <c r="BU1" s="579"/>
      <c r="BV1" s="550"/>
      <c r="BW1" s="1875"/>
      <c r="BX1" s="1875"/>
      <c r="BY1" s="579"/>
      <c r="BZ1" s="579"/>
      <c r="CA1" s="579"/>
      <c r="CB1" s="579"/>
      <c r="CC1" s="1875"/>
      <c r="CD1" s="1875"/>
      <c r="CE1" s="579"/>
      <c r="CF1" s="579"/>
      <c r="CG1" s="579"/>
      <c r="CH1" s="579"/>
      <c r="CI1" s="1875"/>
      <c r="CJ1" s="1875"/>
      <c r="CK1" s="579"/>
      <c r="CL1" s="579"/>
      <c r="CM1" s="579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</row>
    <row r="2" spans="1:122">
      <c r="A2" s="512" t="s">
        <v>202</v>
      </c>
      <c r="B2" s="512"/>
      <c r="C2" s="513"/>
      <c r="D2" s="513"/>
      <c r="E2" s="513"/>
      <c r="F2" s="513"/>
      <c r="G2" s="513"/>
      <c r="H2" s="512"/>
      <c r="I2" s="513"/>
      <c r="J2" s="513"/>
      <c r="K2" s="513"/>
      <c r="L2" s="513"/>
      <c r="M2" s="513"/>
      <c r="N2" s="512"/>
      <c r="O2" s="513"/>
      <c r="P2" s="513"/>
      <c r="Q2" s="513"/>
      <c r="R2" s="513"/>
      <c r="S2" s="513"/>
      <c r="T2" s="513"/>
      <c r="U2" s="513"/>
      <c r="V2" s="514"/>
      <c r="W2" s="514"/>
      <c r="X2" s="514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5"/>
      <c r="AJ2" s="513"/>
      <c r="AK2" s="515"/>
      <c r="AL2" s="513"/>
      <c r="AM2" s="513"/>
      <c r="AN2" s="513" t="s">
        <v>203</v>
      </c>
      <c r="AO2" s="513"/>
      <c r="AP2" s="513"/>
      <c r="AQ2" s="513"/>
      <c r="AR2" s="513"/>
      <c r="AS2" s="516"/>
      <c r="AT2" s="516"/>
      <c r="AU2" s="514"/>
      <c r="AV2" s="514"/>
      <c r="AW2" s="579"/>
      <c r="AX2" s="550"/>
      <c r="AY2" s="1875"/>
      <c r="AZ2" s="1875"/>
      <c r="BA2" s="579"/>
      <c r="BB2" s="579"/>
      <c r="BC2" s="579"/>
      <c r="BD2" s="550"/>
      <c r="BE2" s="1875"/>
      <c r="BF2" s="1875"/>
      <c r="BG2" s="579"/>
      <c r="BH2" s="579"/>
      <c r="BI2" s="579"/>
      <c r="BJ2" s="550"/>
      <c r="BK2" s="1875"/>
      <c r="BL2" s="1875"/>
      <c r="BM2" s="579"/>
      <c r="BN2" s="579"/>
      <c r="BO2" s="579"/>
      <c r="BP2" s="550"/>
      <c r="BQ2" s="1875"/>
      <c r="BR2" s="1875"/>
      <c r="BS2" s="579"/>
      <c r="BT2" s="579"/>
      <c r="BU2" s="579"/>
      <c r="BV2" s="550"/>
      <c r="BW2" s="1875"/>
      <c r="BX2" s="1875"/>
      <c r="BY2" s="579"/>
      <c r="BZ2" s="579"/>
      <c r="CA2" s="579"/>
      <c r="CB2" s="579"/>
      <c r="CC2" s="1875"/>
      <c r="CD2" s="1875"/>
      <c r="CE2" s="579"/>
      <c r="CF2" s="579"/>
      <c r="CG2" s="579"/>
      <c r="CH2" s="579"/>
      <c r="CI2" s="1875"/>
      <c r="CJ2" s="1875"/>
      <c r="CK2" s="579"/>
      <c r="CL2" s="579"/>
      <c r="CM2" s="579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</row>
    <row r="3" spans="1:122">
      <c r="A3" s="513"/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4"/>
      <c r="W3" s="514"/>
      <c r="X3" s="514"/>
      <c r="Y3" s="513"/>
      <c r="Z3" s="513"/>
      <c r="AA3" s="513"/>
      <c r="AB3" s="513"/>
      <c r="AC3" s="513"/>
      <c r="AD3" s="513"/>
      <c r="AE3" s="513"/>
      <c r="AF3" s="513"/>
      <c r="AG3" s="513"/>
      <c r="AH3" s="513"/>
      <c r="AI3" s="515"/>
      <c r="AJ3" s="513"/>
      <c r="AK3" s="515"/>
      <c r="AL3" s="513"/>
      <c r="AM3" s="513"/>
      <c r="AN3" s="513"/>
      <c r="AO3" s="513"/>
      <c r="AP3" s="513"/>
      <c r="AQ3" s="513"/>
      <c r="AR3" s="513"/>
      <c r="AS3" s="516"/>
      <c r="AT3" s="516"/>
      <c r="AU3" s="514"/>
      <c r="AV3" s="514"/>
      <c r="AW3" s="579"/>
      <c r="AX3" s="550"/>
      <c r="AY3" s="1875"/>
      <c r="AZ3" s="1875"/>
      <c r="BA3" s="579"/>
      <c r="BB3" s="579"/>
      <c r="BC3" s="579"/>
      <c r="BD3" s="550"/>
      <c r="BE3" s="1875"/>
      <c r="BF3" s="1875"/>
      <c r="BG3" s="579"/>
      <c r="BH3" s="579"/>
      <c r="BI3" s="579"/>
      <c r="BJ3" s="550"/>
      <c r="BK3" s="1875"/>
      <c r="BL3" s="1875"/>
      <c r="BM3" s="579"/>
      <c r="BN3" s="579"/>
      <c r="BO3" s="579"/>
      <c r="BP3" s="550"/>
      <c r="BQ3" s="1875"/>
      <c r="BR3" s="1875"/>
      <c r="BS3" s="579"/>
      <c r="BT3" s="579"/>
      <c r="BU3" s="579"/>
      <c r="BV3" s="550"/>
      <c r="BW3" s="1875"/>
      <c r="BX3" s="1875"/>
      <c r="BY3" s="579"/>
      <c r="BZ3" s="579"/>
      <c r="CA3" s="579"/>
      <c r="CB3" s="579"/>
      <c r="CC3" s="1875"/>
      <c r="CD3" s="1875"/>
      <c r="CE3" s="579"/>
      <c r="CF3" s="579"/>
      <c r="CG3" s="579"/>
      <c r="CH3" s="579"/>
      <c r="CI3" s="1875"/>
      <c r="CJ3" s="1875"/>
      <c r="CK3" s="579"/>
      <c r="CL3" s="579"/>
      <c r="CM3" s="579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</row>
    <row r="4" spans="1:122">
      <c r="A4" s="513"/>
      <c r="B4" s="513"/>
      <c r="C4" s="513"/>
      <c r="D4" s="513"/>
      <c r="E4" s="513"/>
      <c r="F4" s="513"/>
      <c r="G4" s="513"/>
      <c r="H4" s="513"/>
      <c r="I4" s="513"/>
      <c r="J4" s="513"/>
      <c r="K4" s="513"/>
      <c r="L4" s="513"/>
      <c r="M4" s="513"/>
      <c r="N4" s="513"/>
      <c r="O4" s="513"/>
      <c r="P4" s="513"/>
      <c r="Q4" s="513"/>
      <c r="R4" s="513"/>
      <c r="S4" s="513"/>
      <c r="T4" s="513"/>
      <c r="U4" s="513"/>
      <c r="V4" s="514"/>
      <c r="W4" s="514"/>
      <c r="X4" s="514"/>
      <c r="Y4" s="513"/>
      <c r="Z4" s="513"/>
      <c r="AA4" s="513"/>
      <c r="AB4" s="513"/>
      <c r="AC4" s="513"/>
      <c r="AD4" s="513"/>
      <c r="AE4" s="513"/>
      <c r="AF4" s="513"/>
      <c r="AG4" s="513"/>
      <c r="AH4" s="513"/>
      <c r="AI4" s="515"/>
      <c r="AJ4" s="513"/>
      <c r="AK4" s="515"/>
      <c r="AL4" s="513"/>
      <c r="AM4" s="513"/>
      <c r="AN4" s="513"/>
      <c r="AO4" s="513"/>
      <c r="AP4" s="513"/>
      <c r="AQ4" s="513"/>
      <c r="AR4" s="513"/>
      <c r="AS4" s="516"/>
      <c r="AT4" s="516"/>
      <c r="AU4" s="514"/>
      <c r="AV4" s="514"/>
      <c r="AW4" s="579"/>
      <c r="AX4" s="550"/>
      <c r="AY4" s="1875"/>
      <c r="AZ4" s="1875"/>
      <c r="BA4" s="579"/>
      <c r="BB4" s="579"/>
      <c r="BC4" s="579"/>
      <c r="BD4" s="550"/>
      <c r="BE4" s="1875"/>
      <c r="BF4" s="1875"/>
      <c r="BG4" s="579"/>
      <c r="BH4" s="579"/>
      <c r="BI4" s="579"/>
      <c r="BJ4" s="550"/>
      <c r="BK4" s="1875"/>
      <c r="BL4" s="1875"/>
      <c r="BM4" s="579"/>
      <c r="BN4" s="579"/>
      <c r="BO4" s="579"/>
      <c r="BP4" s="550"/>
      <c r="BQ4" s="1875"/>
      <c r="BR4" s="1875"/>
      <c r="BS4" s="579"/>
      <c r="BT4" s="579"/>
      <c r="BU4" s="579"/>
      <c r="BV4" s="550"/>
      <c r="BW4" s="1875"/>
      <c r="BX4" s="1875"/>
      <c r="BY4" s="579"/>
      <c r="BZ4" s="579"/>
      <c r="CA4" s="579"/>
      <c r="CB4" s="579"/>
      <c r="CC4" s="1875"/>
      <c r="CD4" s="1875"/>
      <c r="CE4" s="579"/>
      <c r="CF4" s="579"/>
      <c r="CG4" s="579"/>
      <c r="CH4" s="579"/>
      <c r="CI4" s="1875"/>
      <c r="CJ4" s="1875"/>
      <c r="CK4" s="579"/>
      <c r="CL4" s="579"/>
      <c r="CM4" s="579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</row>
    <row r="5" spans="1:122">
      <c r="A5" s="517"/>
      <c r="B5" s="4"/>
      <c r="C5" s="518" t="s">
        <v>59</v>
      </c>
      <c r="D5" s="519"/>
      <c r="E5" s="519"/>
      <c r="F5" s="519"/>
      <c r="G5" s="520" t="str">
        <f>C5</f>
        <v>2007A</v>
      </c>
      <c r="H5" s="4"/>
      <c r="I5" s="518" t="s">
        <v>60</v>
      </c>
      <c r="J5" s="519"/>
      <c r="K5" s="519"/>
      <c r="L5" s="519"/>
      <c r="M5" s="520" t="str">
        <f>I5</f>
        <v>2008A</v>
      </c>
      <c r="N5" s="4"/>
      <c r="O5" s="518" t="s">
        <v>61</v>
      </c>
      <c r="P5" s="519"/>
      <c r="Q5" s="519"/>
      <c r="R5" s="519"/>
      <c r="S5" s="520" t="str">
        <f>O5</f>
        <v>2009A</v>
      </c>
      <c r="T5" s="521"/>
      <c r="U5" s="518" t="s">
        <v>62</v>
      </c>
      <c r="V5" s="519"/>
      <c r="W5" s="519"/>
      <c r="X5" s="519"/>
      <c r="Y5" s="520" t="str">
        <f>U5</f>
        <v>2010A</v>
      </c>
      <c r="Z5" s="521"/>
      <c r="AA5" s="518" t="s">
        <v>63</v>
      </c>
      <c r="AB5" s="519"/>
      <c r="AC5" s="519"/>
      <c r="AD5" s="519"/>
      <c r="AE5" s="520" t="str">
        <f>AA5</f>
        <v>2011A</v>
      </c>
      <c r="AF5" s="521"/>
      <c r="AG5" s="518" t="s">
        <v>64</v>
      </c>
      <c r="AH5" s="522"/>
      <c r="AI5" s="522"/>
      <c r="AJ5" s="522"/>
      <c r="AK5" s="520" t="str">
        <f>AG5</f>
        <v>2012A</v>
      </c>
      <c r="AL5" s="521"/>
      <c r="AM5" s="518" t="s">
        <v>65</v>
      </c>
      <c r="AN5" s="522"/>
      <c r="AO5" s="522"/>
      <c r="AP5" s="522"/>
      <c r="AQ5" s="520" t="str">
        <f>AM5</f>
        <v>2013A</v>
      </c>
      <c r="AR5" s="521"/>
      <c r="AS5" s="523" t="s">
        <v>66</v>
      </c>
      <c r="AT5" s="524"/>
      <c r="AU5" s="524"/>
      <c r="AV5" s="525"/>
      <c r="AW5" s="526" t="str">
        <f>AS5</f>
        <v>2014A</v>
      </c>
      <c r="AX5" s="521"/>
      <c r="AY5" s="523" t="s">
        <v>536</v>
      </c>
      <c r="AZ5" s="524"/>
      <c r="BA5" s="524"/>
      <c r="BB5" s="525"/>
      <c r="BC5" s="526" t="str">
        <f>AY5</f>
        <v>2015A</v>
      </c>
      <c r="BD5" s="521"/>
      <c r="BE5" s="523" t="s">
        <v>562</v>
      </c>
      <c r="BF5" s="524"/>
      <c r="BG5" s="524"/>
      <c r="BH5" s="525"/>
      <c r="BI5" s="526" t="str">
        <f>BE5</f>
        <v>2016A</v>
      </c>
      <c r="BJ5" s="521"/>
      <c r="BK5" s="523" t="s">
        <v>544</v>
      </c>
      <c r="BL5" s="524"/>
      <c r="BM5" s="524"/>
      <c r="BN5" s="525"/>
      <c r="BO5" s="526" t="str">
        <f>BK5</f>
        <v>2017A</v>
      </c>
      <c r="BP5" s="521"/>
      <c r="BQ5" s="523" t="str">
        <f>+RevBuild!BQ5</f>
        <v>2018E</v>
      </c>
      <c r="BR5" s="524"/>
      <c r="BS5" s="524"/>
      <c r="BT5" s="525"/>
      <c r="BU5" s="526" t="str">
        <f>BQ5</f>
        <v>2018E</v>
      </c>
      <c r="BV5" s="521"/>
      <c r="BW5" s="523" t="str">
        <f>+RevBuild!BW5</f>
        <v>2019E</v>
      </c>
      <c r="BX5" s="524"/>
      <c r="BY5" s="524"/>
      <c r="BZ5" s="525"/>
      <c r="CA5" s="526" t="str">
        <f>BW5</f>
        <v>2019E</v>
      </c>
      <c r="CB5" s="2120"/>
      <c r="CC5" s="523" t="str">
        <f>+RevBuild!CC5</f>
        <v>2020E</v>
      </c>
      <c r="CD5" s="524"/>
      <c r="CE5" s="524"/>
      <c r="CF5" s="525"/>
      <c r="CG5" s="526" t="str">
        <f>CC5</f>
        <v>2020E</v>
      </c>
      <c r="CH5" s="2120"/>
      <c r="CI5" s="523" t="str">
        <f>+RevBuild!CI5</f>
        <v>2021E</v>
      </c>
      <c r="CJ5" s="524"/>
      <c r="CK5" s="524"/>
      <c r="CL5" s="525"/>
      <c r="CM5" s="526" t="str">
        <f>CI5</f>
        <v>2021E</v>
      </c>
      <c r="CN5" s="149"/>
      <c r="CO5" s="527" t="s">
        <v>204</v>
      </c>
      <c r="CP5" s="528"/>
      <c r="CQ5" s="528"/>
      <c r="CR5" s="528"/>
      <c r="CS5" s="528"/>
      <c r="CT5" s="528"/>
      <c r="CU5" s="528"/>
      <c r="CV5" s="528"/>
      <c r="CW5" s="528"/>
      <c r="CX5" s="528"/>
      <c r="CY5" s="528"/>
      <c r="CZ5" s="528"/>
      <c r="DA5" s="529"/>
      <c r="DB5" s="529"/>
    </row>
    <row r="6" spans="1:122">
      <c r="A6" s="1893" t="s">
        <v>204</v>
      </c>
      <c r="B6" s="4"/>
      <c r="C6" s="1889">
        <f>RevBuild!C6</f>
        <v>39113</v>
      </c>
      <c r="D6" s="1890">
        <f>RevBuild!D6</f>
        <v>39202</v>
      </c>
      <c r="E6" s="1890">
        <f>RevBuild!E6</f>
        <v>39293</v>
      </c>
      <c r="F6" s="1890">
        <f>RevBuild!F6</f>
        <v>39384</v>
      </c>
      <c r="G6" s="1888"/>
      <c r="H6" s="4"/>
      <c r="I6" s="1889">
        <f>RevBuild!I6</f>
        <v>39478</v>
      </c>
      <c r="J6" s="1890">
        <f>RevBuild!J6</f>
        <v>39567</v>
      </c>
      <c r="K6" s="1890">
        <f>RevBuild!K6</f>
        <v>39658</v>
      </c>
      <c r="L6" s="1890">
        <f>RevBuild!L6</f>
        <v>39749</v>
      </c>
      <c r="M6" s="1888"/>
      <c r="N6" s="4"/>
      <c r="O6" s="1889">
        <f>RevBuild!O6</f>
        <v>39843</v>
      </c>
      <c r="P6" s="1890">
        <f>RevBuild!P6</f>
        <v>39932</v>
      </c>
      <c r="Q6" s="1890">
        <f>RevBuild!Q6</f>
        <v>40023</v>
      </c>
      <c r="R6" s="1890">
        <f>RevBuild!R6</f>
        <v>40114</v>
      </c>
      <c r="S6" s="1888"/>
      <c r="T6" s="530"/>
      <c r="U6" s="1889">
        <f>RevBuild!U6</f>
        <v>40208</v>
      </c>
      <c r="V6" s="1890">
        <f>RevBuild!V6</f>
        <v>40297</v>
      </c>
      <c r="W6" s="1890">
        <f>RevBuild!W6</f>
        <v>40388</v>
      </c>
      <c r="X6" s="1890">
        <f>RevBuild!X6</f>
        <v>40479</v>
      </c>
      <c r="Y6" s="1888"/>
      <c r="Z6" s="530"/>
      <c r="AA6" s="1889">
        <f>RevBuild!AA6</f>
        <v>40573</v>
      </c>
      <c r="AB6" s="1890">
        <f>RevBuild!AB6</f>
        <v>40662</v>
      </c>
      <c r="AC6" s="1890">
        <f>RevBuild!AC6</f>
        <v>40753</v>
      </c>
      <c r="AD6" s="1890">
        <f>RevBuild!AD6</f>
        <v>40844</v>
      </c>
      <c r="AE6" s="1888"/>
      <c r="AF6" s="530"/>
      <c r="AG6" s="1889">
        <f>RevBuild!AG6</f>
        <v>40938</v>
      </c>
      <c r="AH6" s="1890">
        <f>RevBuild!AH6</f>
        <v>41027</v>
      </c>
      <c r="AI6" s="1890">
        <f>RevBuild!AI6</f>
        <v>41118</v>
      </c>
      <c r="AJ6" s="1890">
        <f>RevBuild!AJ6</f>
        <v>41209</v>
      </c>
      <c r="AK6" s="1888"/>
      <c r="AL6" s="530"/>
      <c r="AM6" s="1889">
        <f>RevBuild!AM6</f>
        <v>41303</v>
      </c>
      <c r="AN6" s="1890">
        <f>RevBuild!AN6</f>
        <v>41392</v>
      </c>
      <c r="AO6" s="1890">
        <f>RevBuild!AO6</f>
        <v>41483</v>
      </c>
      <c r="AP6" s="1890">
        <f>RevBuild!AP6</f>
        <v>41574</v>
      </c>
      <c r="AQ6" s="1888"/>
      <c r="AR6" s="530"/>
      <c r="AS6" s="1889">
        <f>RevBuild!AS6</f>
        <v>41668</v>
      </c>
      <c r="AT6" s="1889">
        <f>RevBuild!AT6</f>
        <v>41757</v>
      </c>
      <c r="AU6" s="1889">
        <f>RevBuild!AU6</f>
        <v>41846</v>
      </c>
      <c r="AV6" s="1889">
        <f>RevBuild!AV6</f>
        <v>41937</v>
      </c>
      <c r="AW6" s="1888"/>
      <c r="AX6" s="530"/>
      <c r="AY6" s="1889">
        <f>RevBuild!AY6</f>
        <v>42033</v>
      </c>
      <c r="AZ6" s="1889">
        <f>RevBuild!AZ6</f>
        <v>42122</v>
      </c>
      <c r="BA6" s="1889">
        <f>RevBuild!BA6</f>
        <v>42213</v>
      </c>
      <c r="BB6" s="1889">
        <f>RevBuild!BB6</f>
        <v>42304</v>
      </c>
      <c r="BC6" s="1888"/>
      <c r="BD6" s="530"/>
      <c r="BE6" s="1889">
        <f>RevBuild!BE6</f>
        <v>42398</v>
      </c>
      <c r="BF6" s="1889">
        <f>RevBuild!BF6</f>
        <v>42487</v>
      </c>
      <c r="BG6" s="1889">
        <f>RevBuild!BG6</f>
        <v>42578</v>
      </c>
      <c r="BH6" s="1889">
        <f>RevBuild!BH6</f>
        <v>42669</v>
      </c>
      <c r="BI6" s="1888"/>
      <c r="BJ6" s="530"/>
      <c r="BK6" s="1889">
        <f>RevBuild!BK6</f>
        <v>42763</v>
      </c>
      <c r="BL6" s="1889">
        <f>RevBuild!BL6</f>
        <v>42852</v>
      </c>
      <c r="BM6" s="1889">
        <f>RevBuild!BM6</f>
        <v>42943</v>
      </c>
      <c r="BN6" s="1889">
        <f>RevBuild!BN6</f>
        <v>43034</v>
      </c>
      <c r="BO6" s="1887"/>
      <c r="BP6" s="530"/>
      <c r="BQ6" s="1889">
        <f>RevBuild!BQ6</f>
        <v>43128</v>
      </c>
      <c r="BR6" s="1886">
        <f>RevBuild!BR6</f>
        <v>43217</v>
      </c>
      <c r="BS6" s="1886">
        <f>RevBuild!BS6</f>
        <v>43308</v>
      </c>
      <c r="BT6" s="1886">
        <f>RevBuild!BT6</f>
        <v>43399</v>
      </c>
      <c r="BU6" s="1887"/>
      <c r="BV6" s="530"/>
      <c r="BW6" s="1885">
        <f>RevBuild!BW6</f>
        <v>43493</v>
      </c>
      <c r="BX6" s="1886">
        <f>RevBuild!BX6</f>
        <v>43582</v>
      </c>
      <c r="BY6" s="1886">
        <f>RevBuild!BY6</f>
        <v>43673</v>
      </c>
      <c r="BZ6" s="1886">
        <f>RevBuild!BZ6</f>
        <v>43764</v>
      </c>
      <c r="CA6" s="1887"/>
      <c r="CB6" s="679"/>
      <c r="CC6" s="1885">
        <f>RevBuild!CC6</f>
        <v>43858</v>
      </c>
      <c r="CD6" s="1886">
        <f>RevBuild!CD6</f>
        <v>43947</v>
      </c>
      <c r="CE6" s="1886">
        <f>RevBuild!CE6</f>
        <v>44038</v>
      </c>
      <c r="CF6" s="1886">
        <f>RevBuild!CF6</f>
        <v>44129</v>
      </c>
      <c r="CG6" s="1887"/>
      <c r="CH6" s="679"/>
      <c r="CI6" s="1885">
        <f>RevBuild!CI6</f>
        <v>44223</v>
      </c>
      <c r="CJ6" s="1886">
        <f>RevBuild!CJ6</f>
        <v>44312</v>
      </c>
      <c r="CK6" s="1886">
        <f>RevBuild!CK6</f>
        <v>44403</v>
      </c>
      <c r="CL6" s="1886">
        <f>RevBuild!CL6</f>
        <v>44494</v>
      </c>
      <c r="CM6" s="1887"/>
      <c r="CN6" s="532"/>
      <c r="CO6" s="2078"/>
      <c r="CP6" s="2068" t="s">
        <v>205</v>
      </c>
      <c r="CQ6" s="2068" t="s">
        <v>206</v>
      </c>
      <c r="CR6" s="2068" t="s">
        <v>207</v>
      </c>
      <c r="CS6" s="2068" t="s">
        <v>208</v>
      </c>
      <c r="CT6" s="2068" t="s">
        <v>209</v>
      </c>
      <c r="CU6" s="2068" t="s">
        <v>210</v>
      </c>
      <c r="CV6" s="2068" t="s">
        <v>211</v>
      </c>
      <c r="CW6" s="2068" t="s">
        <v>212</v>
      </c>
      <c r="CX6" s="2068" t="s">
        <v>213</v>
      </c>
      <c r="CY6" s="2068" t="s">
        <v>214</v>
      </c>
      <c r="CZ6" s="2068" t="s">
        <v>215</v>
      </c>
      <c r="DA6" s="2068" t="s">
        <v>216</v>
      </c>
      <c r="DB6" s="2068" t="s">
        <v>217</v>
      </c>
      <c r="DC6" s="2068" t="s">
        <v>218</v>
      </c>
      <c r="DD6" s="2068" t="s">
        <v>532</v>
      </c>
      <c r="DE6" s="2068" t="s">
        <v>537</v>
      </c>
      <c r="DF6" s="2068" t="s">
        <v>548</v>
      </c>
      <c r="DG6" s="2068" t="s">
        <v>555</v>
      </c>
      <c r="DH6" s="2068" t="s">
        <v>556</v>
      </c>
      <c r="DI6" s="2068" t="s">
        <v>561</v>
      </c>
      <c r="DJ6" s="2068" t="s">
        <v>567</v>
      </c>
      <c r="DK6" s="2068" t="s">
        <v>573</v>
      </c>
      <c r="DL6" s="2068" t="s">
        <v>574</v>
      </c>
      <c r="DM6" s="2068" t="s">
        <v>587</v>
      </c>
      <c r="DN6" s="2068" t="s">
        <v>611</v>
      </c>
      <c r="DO6" s="2068" t="s">
        <v>582</v>
      </c>
      <c r="DP6" s="2068" t="s">
        <v>583</v>
      </c>
      <c r="DQ6" s="2068" t="s">
        <v>584</v>
      </c>
      <c r="DR6" s="2369"/>
    </row>
    <row r="7" spans="1:122" ht="13.5" hidden="1" customHeight="1" outlineLevel="1">
      <c r="A7" s="1473" t="s">
        <v>219</v>
      </c>
      <c r="B7" s="533"/>
      <c r="C7" s="1297"/>
      <c r="D7" s="1474"/>
      <c r="E7" s="1474"/>
      <c r="F7" s="1475"/>
      <c r="G7" s="1476"/>
      <c r="H7" s="533"/>
      <c r="I7" s="1891">
        <v>0.14000000000000001</v>
      </c>
      <c r="J7" s="1659">
        <v>0.16</v>
      </c>
      <c r="K7" s="1576">
        <v>0.11</v>
      </c>
      <c r="L7" s="1892">
        <v>0.1</v>
      </c>
      <c r="M7" s="1660">
        <v>0.1275</v>
      </c>
      <c r="N7" s="534"/>
      <c r="O7" s="1575">
        <v>-0.04</v>
      </c>
      <c r="P7" s="1659">
        <v>-7.0000000000000007E-2</v>
      </c>
      <c r="Q7" s="1659">
        <v>0.05</v>
      </c>
      <c r="R7" s="1660">
        <v>-7.0000000000000007E-2</v>
      </c>
      <c r="S7" s="1661">
        <v>-3.2500000000000001E-2</v>
      </c>
      <c r="T7" s="535"/>
      <c r="U7" s="1477">
        <f>RevBuild!U23</f>
        <v>4.0196078431372448E-2</v>
      </c>
      <c r="V7" s="1478">
        <f>RevBuild!V23</f>
        <v>8.6582278481012659E-2</v>
      </c>
      <c r="W7" s="1478">
        <f>RevBuild!W23</f>
        <v>0.21617021276595738</v>
      </c>
      <c r="X7" s="1478">
        <f>RevBuild!X23</f>
        <v>0.14172413793103467</v>
      </c>
      <c r="Y7" s="1479">
        <f>RevBuild!Y23</f>
        <v>0.12000000000000001</v>
      </c>
      <c r="Z7" s="535"/>
      <c r="AA7" s="1477">
        <f>RevBuild!AA23</f>
        <v>0.08</v>
      </c>
      <c r="AB7" s="1478">
        <f>RevBuild!AB23</f>
        <v>0.13</v>
      </c>
      <c r="AC7" s="1478">
        <f>RevBuild!AC23</f>
        <v>0.12</v>
      </c>
      <c r="AD7" s="1480">
        <f>RevBuild!AD23</f>
        <v>6.0735694822888237E-2</v>
      </c>
      <c r="AE7" s="1479">
        <f>RevBuild!AE23</f>
        <v>0.1</v>
      </c>
      <c r="AF7" s="535"/>
      <c r="AG7" s="1477">
        <f>RevBuild!AG23</f>
        <v>0.15863905325443795</v>
      </c>
      <c r="AH7" s="1478">
        <f>RevBuild!AH23</f>
        <v>1.7653061224489834E-2</v>
      </c>
      <c r="AI7" s="1478">
        <f>RevBuild!AI23</f>
        <v>5.3830287206266425E-2</v>
      </c>
      <c r="AJ7" s="1480">
        <f>RevBuild!AJ23</f>
        <v>2.487562189054722E-2</v>
      </c>
      <c r="AK7" s="1479">
        <f>RevBuild!AK23</f>
        <v>6.422442244224412E-2</v>
      </c>
      <c r="AL7" s="536"/>
      <c r="AM7" s="1477">
        <f>RevBuild!AM23</f>
        <v>2.5316455696202611E-2</v>
      </c>
      <c r="AN7" s="1478">
        <f>RevBuild!AN23</f>
        <v>4.430379746835434E-2</v>
      </c>
      <c r="AO7" s="1478">
        <f>RevBuild!AO23</f>
        <v>3.8363171355498715E-2</v>
      </c>
      <c r="AP7" s="1480"/>
      <c r="AQ7" s="1479">
        <f>RevBuild!AQ23</f>
        <v>4.2216391030132826E-2</v>
      </c>
      <c r="AR7" s="535"/>
      <c r="AS7" s="1477"/>
      <c r="AT7" s="1478"/>
      <c r="AU7" s="1478"/>
      <c r="AV7" s="1480"/>
      <c r="AW7" s="1479"/>
      <c r="AX7" s="535"/>
      <c r="AY7" s="1477"/>
      <c r="AZ7" s="1478"/>
      <c r="BA7" s="1478"/>
      <c r="BB7" s="1480"/>
      <c r="BC7" s="1479"/>
      <c r="BD7" s="535"/>
      <c r="BE7" s="1477"/>
      <c r="BF7" s="1478"/>
      <c r="BG7" s="1478"/>
      <c r="BH7" s="1480"/>
      <c r="BI7" s="1479"/>
      <c r="BJ7" s="535"/>
      <c r="BK7" s="1477"/>
      <c r="BL7" s="1478"/>
      <c r="BM7" s="1478"/>
      <c r="BN7" s="1480"/>
      <c r="BO7" s="1479"/>
      <c r="BP7" s="535"/>
      <c r="BQ7" s="1477"/>
      <c r="BR7" s="1478"/>
      <c r="BS7" s="1478"/>
      <c r="BT7" s="1480"/>
      <c r="BU7" s="1479"/>
      <c r="BV7" s="535"/>
      <c r="BW7" s="1477"/>
      <c r="BX7" s="1478"/>
      <c r="BY7" s="1478"/>
      <c r="BZ7" s="1480"/>
      <c r="CA7" s="1479"/>
      <c r="CB7" s="1478"/>
      <c r="CC7" s="1477"/>
      <c r="CD7" s="1478"/>
      <c r="CE7" s="1478"/>
      <c r="CF7" s="1480"/>
      <c r="CG7" s="1479"/>
      <c r="CH7" s="1478"/>
      <c r="CI7" s="1477"/>
      <c r="CJ7" s="1478"/>
      <c r="CK7" s="1478"/>
      <c r="CL7" s="1480"/>
      <c r="CM7" s="1479"/>
      <c r="CN7" s="537"/>
      <c r="CO7" s="2079"/>
      <c r="CP7" s="2069"/>
      <c r="CQ7" s="2069"/>
      <c r="CR7" s="2069"/>
      <c r="CS7" s="2069"/>
      <c r="CT7" s="2069"/>
      <c r="CU7" s="2069"/>
      <c r="CV7" s="2069"/>
      <c r="CW7" s="2069"/>
      <c r="CX7" s="2069"/>
      <c r="CY7" s="2069"/>
      <c r="CZ7" s="2069"/>
      <c r="DA7" s="2069"/>
      <c r="DB7" s="2069"/>
      <c r="DC7" s="2069"/>
      <c r="DD7" s="2069"/>
      <c r="DE7" s="2069"/>
      <c r="DF7" s="2069"/>
      <c r="DG7" s="2069"/>
      <c r="DH7" s="2069"/>
      <c r="DI7" s="2069"/>
      <c r="DJ7" s="2069"/>
      <c r="DK7" s="2070"/>
      <c r="DL7" s="2070"/>
      <c r="DM7" s="2070"/>
      <c r="DN7" s="2070"/>
      <c r="DO7" s="2070"/>
      <c r="DP7" s="2070"/>
      <c r="DQ7" s="2070"/>
      <c r="DR7" s="2070"/>
    </row>
    <row r="8" spans="1:122" hidden="1" outlineLevel="1">
      <c r="A8" s="1473" t="s">
        <v>220</v>
      </c>
      <c r="B8" s="533"/>
      <c r="C8" s="1481"/>
      <c r="D8" s="1474"/>
      <c r="E8" s="1474"/>
      <c r="F8" s="1475"/>
      <c r="G8" s="1476"/>
      <c r="H8" s="533"/>
      <c r="I8" s="1481"/>
      <c r="J8" s="1474"/>
      <c r="K8" s="1474"/>
      <c r="L8" s="1475"/>
      <c r="M8" s="1475"/>
      <c r="N8" s="534"/>
      <c r="O8" s="1481"/>
      <c r="P8" s="1474"/>
      <c r="Q8" s="1474"/>
      <c r="R8" s="1475"/>
      <c r="S8" s="1476"/>
      <c r="T8" s="535"/>
      <c r="U8" s="1477">
        <f>RevBuild!U27</f>
        <v>0.14814814814814814</v>
      </c>
      <c r="V8" s="1478">
        <f>RevBuild!V27</f>
        <v>9.8360655737705027E-2</v>
      </c>
      <c r="W8" s="1478">
        <f>RevBuild!W27</f>
        <v>3.4482758620689724E-2</v>
      </c>
      <c r="X8" s="1478">
        <f>RevBuild!X27</f>
        <v>0.10344827586206895</v>
      </c>
      <c r="Y8" s="1479">
        <f>RevBuild!Y27</f>
        <v>9.5238095238095344E-2</v>
      </c>
      <c r="Z8" s="535"/>
      <c r="AA8" s="1477">
        <f>RevBuild!AA27</f>
        <v>6.4516129032258007E-2</v>
      </c>
      <c r="AB8" s="1478">
        <f>RevBuild!AB27</f>
        <v>7.4626865671641784E-2</v>
      </c>
      <c r="AC8" s="1478">
        <f>RevBuild!AC27</f>
        <v>0.16666666666666674</v>
      </c>
      <c r="AD8" s="1480">
        <f>RevBuild!AD27</f>
        <v>7.8125E-2</v>
      </c>
      <c r="AE8" s="1479">
        <f>RevBuild!AE27</f>
        <v>9.486166007905128E-2</v>
      </c>
      <c r="AF8" s="535"/>
      <c r="AG8" s="1477">
        <f>RevBuild!AG27</f>
        <v>0</v>
      </c>
      <c r="AH8" s="1478">
        <f>RevBuild!AH27</f>
        <v>2.7777777777777679E-2</v>
      </c>
      <c r="AI8" s="1478">
        <f>RevBuild!AI27</f>
        <v>-2.357142857142858E-2</v>
      </c>
      <c r="AJ8" s="1480">
        <f>RevBuild!AJ27</f>
        <v>4.3478260869564966E-2</v>
      </c>
      <c r="AK8" s="1479">
        <f>RevBuild!AK27</f>
        <v>1.1263537906137155E-2</v>
      </c>
      <c r="AL8" s="536"/>
      <c r="AM8" s="1477">
        <f>RevBuild!AM27</f>
        <v>5.975757575757569E-2</v>
      </c>
      <c r="AN8" s="1478">
        <f>RevBuild!AN27</f>
        <v>-3.8378378378376293E-3</v>
      </c>
      <c r="AO8" s="1478">
        <f>RevBuild!AO27</f>
        <v>7.547169811320753E-2</v>
      </c>
      <c r="AP8" s="1480"/>
      <c r="AQ8" s="1479">
        <f>RevBuild!AQ27</f>
        <v>0.12900231416520236</v>
      </c>
      <c r="AR8" s="535"/>
      <c r="AS8" s="1477"/>
      <c r="AT8" s="1478"/>
      <c r="AU8" s="1478"/>
      <c r="AV8" s="1480"/>
      <c r="AW8" s="1479"/>
      <c r="AX8" s="535"/>
      <c r="AY8" s="1477"/>
      <c r="AZ8" s="1478"/>
      <c r="BA8" s="1478"/>
      <c r="BB8" s="1480"/>
      <c r="BC8" s="1479"/>
      <c r="BD8" s="535"/>
      <c r="BE8" s="1477"/>
      <c r="BF8" s="1478"/>
      <c r="BG8" s="1478"/>
      <c r="BH8" s="1480"/>
      <c r="BI8" s="1479"/>
      <c r="BJ8" s="535"/>
      <c r="BK8" s="1477"/>
      <c r="BL8" s="1478"/>
      <c r="BM8" s="1478"/>
      <c r="BN8" s="1480"/>
      <c r="BO8" s="1479"/>
      <c r="BP8" s="535"/>
      <c r="BQ8" s="1477"/>
      <c r="BR8" s="1478"/>
      <c r="BS8" s="1478"/>
      <c r="BT8" s="1480"/>
      <c r="BU8" s="1479"/>
      <c r="BV8" s="535"/>
      <c r="BW8" s="1477"/>
      <c r="BX8" s="1478"/>
      <c r="BY8" s="1478"/>
      <c r="BZ8" s="1480"/>
      <c r="CA8" s="1479"/>
      <c r="CB8" s="1478"/>
      <c r="CC8" s="1477"/>
      <c r="CD8" s="1478"/>
      <c r="CE8" s="1478"/>
      <c r="CF8" s="1480"/>
      <c r="CG8" s="1479"/>
      <c r="CH8" s="1478"/>
      <c r="CI8" s="1477"/>
      <c r="CJ8" s="1478"/>
      <c r="CK8" s="1478"/>
      <c r="CL8" s="1480"/>
      <c r="CM8" s="1479"/>
      <c r="CN8" s="538"/>
      <c r="CO8" s="2079"/>
      <c r="CP8" s="2069"/>
      <c r="CQ8" s="2069"/>
      <c r="CR8" s="2069"/>
      <c r="CS8" s="2069"/>
      <c r="CT8" s="2069"/>
      <c r="CU8" s="2069"/>
      <c r="CV8" s="2069"/>
      <c r="CW8" s="2069"/>
      <c r="CX8" s="2069"/>
      <c r="CY8" s="2069"/>
      <c r="CZ8" s="2069"/>
      <c r="DA8" s="2069"/>
      <c r="DB8" s="2069"/>
      <c r="DC8" s="2069"/>
      <c r="DD8" s="2069"/>
      <c r="DE8" s="2069"/>
      <c r="DF8" s="2069"/>
      <c r="DG8" s="2069"/>
      <c r="DH8" s="2069"/>
      <c r="DI8" s="2069"/>
      <c r="DJ8" s="2069"/>
      <c r="DK8" s="2070"/>
      <c r="DL8" s="2070"/>
      <c r="DM8" s="2070"/>
      <c r="DN8" s="2070"/>
      <c r="DO8" s="2070"/>
      <c r="DP8" s="2070"/>
      <c r="DQ8" s="2070"/>
      <c r="DR8" s="2070"/>
    </row>
    <row r="9" spans="1:122" hidden="1" outlineLevel="1">
      <c r="A9" s="1341" t="s">
        <v>101</v>
      </c>
      <c r="B9" s="539"/>
      <c r="C9" s="1482"/>
      <c r="D9" s="1483"/>
      <c r="E9" s="1483"/>
      <c r="F9" s="1484"/>
      <c r="G9" s="1485"/>
      <c r="H9" s="539"/>
      <c r="I9" s="1662">
        <v>0.09</v>
      </c>
      <c r="J9" s="1663">
        <v>0.11</v>
      </c>
      <c r="K9" s="1663">
        <v>0.1</v>
      </c>
      <c r="L9" s="1664">
        <v>0.05</v>
      </c>
      <c r="M9" s="1664">
        <v>8.7499999999999994E-2</v>
      </c>
      <c r="N9" s="540"/>
      <c r="O9" s="1662">
        <v>0.02</v>
      </c>
      <c r="P9" s="1663">
        <v>-0.06</v>
      </c>
      <c r="Q9" s="1663">
        <v>-0.04</v>
      </c>
      <c r="R9" s="1664">
        <v>-0.09</v>
      </c>
      <c r="S9" s="1665">
        <v>-4.2500000000000003E-2</v>
      </c>
      <c r="T9" s="541"/>
      <c r="U9" s="1486">
        <f>RevBuild!U34</f>
        <v>7.9629629629629536E-2</v>
      </c>
      <c r="V9" s="1487">
        <f>RevBuild!V34</f>
        <v>0.13999999999999996</v>
      </c>
      <c r="W9" s="1487">
        <f>RevBuild!W34</f>
        <v>0.13068965517241371</v>
      </c>
      <c r="X9" s="1487">
        <f>RevBuild!X34</f>
        <v>0.24386666666666668</v>
      </c>
      <c r="Y9" s="1488">
        <f>RevBuild!Y34</f>
        <v>0.15</v>
      </c>
      <c r="Z9" s="541"/>
      <c r="AA9" s="1486">
        <f>RevBuild!AA34</f>
        <v>0.09</v>
      </c>
      <c r="AB9" s="1487">
        <f>RevBuild!AB34</f>
        <v>0.11</v>
      </c>
      <c r="AC9" s="1487">
        <f>RevBuild!AC34</f>
        <v>3.9999999999999994E-2</v>
      </c>
      <c r="AD9" s="1489">
        <f>RevBuild!AD34</f>
        <v>1.3753213367609221E-2</v>
      </c>
      <c r="AE9" s="1488">
        <f>RevBuild!AE34</f>
        <v>0.05</v>
      </c>
      <c r="AF9" s="541"/>
      <c r="AG9" s="1486">
        <f>RevBuild!AG34</f>
        <v>0.12467048710601715</v>
      </c>
      <c r="AH9" s="1487">
        <f>RevBuild!AH34</f>
        <v>2.8372703412073534E-2</v>
      </c>
      <c r="AI9" s="1487">
        <f>RevBuild!AI34</f>
        <v>2.8720626631853763E-2</v>
      </c>
      <c r="AJ9" s="1489">
        <f>RevBuild!AJ34</f>
        <v>2.4691358024691717E-3</v>
      </c>
      <c r="AK9" s="1488">
        <f>RevBuild!AK34</f>
        <v>4.7009222661396496E-2</v>
      </c>
      <c r="AL9" s="542"/>
      <c r="AM9" s="1486">
        <f>RevBuild!AM34</f>
        <v>7.575757575757543E-3</v>
      </c>
      <c r="AN9" s="1487">
        <f>RevBuild!AN34</f>
        <v>5.4123711340206285E-2</v>
      </c>
      <c r="AO9" s="1487">
        <f>RevBuild!AO34</f>
        <v>2.8871391076115457E-2</v>
      </c>
      <c r="AP9" s="1489">
        <f>RevBuild!AP34</f>
        <v>6.0913705583756375E-2</v>
      </c>
      <c r="AQ9" s="1488">
        <f>RevBuild!AQ34</f>
        <v>3.7880427005707616E-2</v>
      </c>
      <c r="AR9" s="541"/>
      <c r="AS9" s="1486">
        <f>RevBuild!AS34</f>
        <v>7.106598984771563E-2</v>
      </c>
      <c r="AT9" s="1487">
        <f>RevBuild!AT34</f>
        <v>3.2418952618453865E-2</v>
      </c>
      <c r="AU9" s="1487">
        <f>RevBuild!AU34</f>
        <v>6.9767441860465032E-2</v>
      </c>
      <c r="AV9" s="1489">
        <f>RevBuild!AV34</f>
        <v>5.5825242718446688E-2</v>
      </c>
      <c r="AW9" s="1488">
        <f>RevBuild!AW34</f>
        <v>5.7346306778130303E-2</v>
      </c>
      <c r="AX9" s="541"/>
      <c r="AY9" s="1486"/>
      <c r="AZ9" s="1487"/>
      <c r="BA9" s="1487"/>
      <c r="BB9" s="1489"/>
      <c r="BC9" s="1488"/>
      <c r="BD9" s="541"/>
      <c r="BE9" s="1486"/>
      <c r="BF9" s="1487"/>
      <c r="BG9" s="1487"/>
      <c r="BH9" s="1489"/>
      <c r="BI9" s="1488"/>
      <c r="BJ9" s="541"/>
      <c r="BK9" s="1486"/>
      <c r="BL9" s="1487"/>
      <c r="BM9" s="1487"/>
      <c r="BN9" s="1489"/>
      <c r="BO9" s="1488"/>
      <c r="BP9" s="541"/>
      <c r="BQ9" s="1486"/>
      <c r="BR9" s="1487"/>
      <c r="BS9" s="1487"/>
      <c r="BT9" s="1489"/>
      <c r="BU9" s="1488"/>
      <c r="BV9" s="541"/>
      <c r="BW9" s="1486"/>
      <c r="BX9" s="1487"/>
      <c r="BY9" s="1487"/>
      <c r="BZ9" s="1489"/>
      <c r="CA9" s="1488"/>
      <c r="CB9" s="1487"/>
      <c r="CC9" s="1486"/>
      <c r="CD9" s="1487"/>
      <c r="CE9" s="1487"/>
      <c r="CF9" s="1489"/>
      <c r="CG9" s="1488"/>
      <c r="CH9" s="1487"/>
      <c r="CI9" s="1486"/>
      <c r="CJ9" s="1487"/>
      <c r="CK9" s="1487"/>
      <c r="CL9" s="1489"/>
      <c r="CM9" s="1488"/>
      <c r="CN9" s="174"/>
      <c r="CO9" s="2080" t="s">
        <v>101</v>
      </c>
      <c r="CP9" s="2071">
        <f t="shared" ref="CP9:CS10" si="0">AG9</f>
        <v>0.12467048710601715</v>
      </c>
      <c r="CQ9" s="2071">
        <f t="shared" si="0"/>
        <v>2.8372703412073534E-2</v>
      </c>
      <c r="CR9" s="2071">
        <f t="shared" si="0"/>
        <v>2.8720626631853763E-2</v>
      </c>
      <c r="CS9" s="2071">
        <f t="shared" si="0"/>
        <v>2.4691358024691717E-3</v>
      </c>
      <c r="CT9" s="2071">
        <f t="shared" ref="CT9:CW10" si="1">AM9</f>
        <v>7.575757575757543E-3</v>
      </c>
      <c r="CU9" s="2071">
        <f t="shared" si="1"/>
        <v>5.4123711340206285E-2</v>
      </c>
      <c r="CV9" s="2071">
        <f t="shared" si="1"/>
        <v>2.8871391076115457E-2</v>
      </c>
      <c r="CW9" s="2071">
        <f t="shared" si="1"/>
        <v>6.0913705583756375E-2</v>
      </c>
      <c r="CX9" s="2071">
        <f t="shared" ref="CX9:DA10" si="2">AS9</f>
        <v>7.106598984771563E-2</v>
      </c>
      <c r="CY9" s="2071">
        <f t="shared" si="2"/>
        <v>3.2418952618453865E-2</v>
      </c>
      <c r="CZ9" s="2071">
        <f t="shared" si="2"/>
        <v>6.9767441860465032E-2</v>
      </c>
      <c r="DA9" s="2071">
        <f t="shared" si="2"/>
        <v>5.5825242718446688E-2</v>
      </c>
      <c r="DB9" s="2071"/>
      <c r="DC9" s="2071"/>
      <c r="DD9" s="2071"/>
      <c r="DE9" s="2071"/>
      <c r="DF9" s="2071"/>
      <c r="DG9" s="2071"/>
      <c r="DH9" s="2071"/>
      <c r="DI9" s="2071"/>
      <c r="DJ9" s="2071"/>
      <c r="DK9" s="2070"/>
      <c r="DL9" s="2070"/>
      <c r="DM9" s="2070"/>
      <c r="DN9" s="2070"/>
      <c r="DO9" s="2070"/>
      <c r="DP9" s="2070"/>
      <c r="DQ9" s="2070"/>
      <c r="DR9" s="2070"/>
    </row>
    <row r="10" spans="1:122" hidden="1" outlineLevel="1">
      <c r="A10" s="1341" t="s">
        <v>103</v>
      </c>
      <c r="B10" s="539"/>
      <c r="C10" s="1482"/>
      <c r="D10" s="1483"/>
      <c r="E10" s="1483"/>
      <c r="F10" s="1484"/>
      <c r="G10" s="1485"/>
      <c r="H10" s="539"/>
      <c r="I10" s="1482"/>
      <c r="J10" s="1483"/>
      <c r="K10" s="1483"/>
      <c r="L10" s="1484"/>
      <c r="M10" s="1484"/>
      <c r="N10" s="540"/>
      <c r="O10" s="1482"/>
      <c r="P10" s="1483"/>
      <c r="Q10" s="1483"/>
      <c r="R10" s="1484"/>
      <c r="S10" s="1485"/>
      <c r="T10" s="541"/>
      <c r="U10" s="1486">
        <f>RevBuild!U38</f>
        <v>5.9061488673139075E-2</v>
      </c>
      <c r="V10" s="1487">
        <f>RevBuild!V38</f>
        <v>8.8993288590604055E-2</v>
      </c>
      <c r="W10" s="1487">
        <f>RevBuild!W38</f>
        <v>0.18020477815699656</v>
      </c>
      <c r="X10" s="1487">
        <f>RevBuild!X38</f>
        <v>0.13476489028213182</v>
      </c>
      <c r="Y10" s="1488">
        <f>RevBuild!Y38</f>
        <v>0.11530762920426582</v>
      </c>
      <c r="Z10" s="541"/>
      <c r="AA10" s="1486">
        <f>RevBuild!AA38</f>
        <v>7.7176470588235277E-2</v>
      </c>
      <c r="AB10" s="1487">
        <f>RevBuild!AB38</f>
        <v>0.11889221556886227</v>
      </c>
      <c r="AC10" s="1487">
        <f>RevBuild!AC38</f>
        <v>0.1274866310160428</v>
      </c>
      <c r="AD10" s="1489">
        <f>RevBuild!AD38</f>
        <v>6.3317865429234302E-2</v>
      </c>
      <c r="AE10" s="1488">
        <f>RevBuild!AE38</f>
        <v>9.9121027721433386E-2</v>
      </c>
      <c r="AF10" s="541"/>
      <c r="AG10" s="1486">
        <f>RevBuild!AG38</f>
        <v>0.13108910891089098</v>
      </c>
      <c r="AH10" s="1487">
        <f>RevBuild!AH38</f>
        <v>2.0775862068965527E-2</v>
      </c>
      <c r="AI10" s="1487">
        <f>RevBuild!AI38</f>
        <v>4.1942604856512189E-2</v>
      </c>
      <c r="AJ10" s="1489">
        <f>RevBuild!AJ38</f>
        <v>2.7600849256900178E-2</v>
      </c>
      <c r="AK10" s="1488">
        <f>RevBuild!AK38</f>
        <v>5.2790178571428634E-2</v>
      </c>
      <c r="AL10" s="542"/>
      <c r="AM10" s="1486">
        <f>RevBuild!AM38</f>
        <v>3.2537960954446887E-2</v>
      </c>
      <c r="AN10" s="1487">
        <f>RevBuild!AN38</f>
        <v>3.923240938166303E-2</v>
      </c>
      <c r="AO10" s="1487">
        <f>RevBuild!AO38</f>
        <v>4.6277665995975964E-2</v>
      </c>
      <c r="AP10" s="1489">
        <f>RevBuild!AP38</f>
        <v>8.7971274685816864E-2</v>
      </c>
      <c r="AQ10" s="1488">
        <f>RevBuild!AQ38</f>
        <v>5.980103876213784E-2</v>
      </c>
      <c r="AR10" s="541"/>
      <c r="AS10" s="1486">
        <f>RevBuild!AS38</f>
        <v>5.8510638297872328E-2</v>
      </c>
      <c r="AT10" s="1487">
        <f>RevBuild!AT38</f>
        <v>1.5761821366024616E-2</v>
      </c>
      <c r="AU10" s="1487">
        <f>RevBuild!AU38</f>
        <v>3.7234042553191446E-2</v>
      </c>
      <c r="AV10" s="1489">
        <f>RevBuild!AV38</f>
        <v>2.6622296173044908E-2</v>
      </c>
      <c r="AW10" s="1488">
        <f>RevBuild!AW38</f>
        <v>3.4574096379271314E-2</v>
      </c>
      <c r="AX10" s="541"/>
      <c r="AY10" s="1490"/>
      <c r="AZ10" s="1491"/>
      <c r="BA10" s="1491"/>
      <c r="BB10" s="1492"/>
      <c r="BC10" s="1493"/>
      <c r="BD10" s="311"/>
      <c r="BE10" s="1490"/>
      <c r="BF10" s="1491"/>
      <c r="BG10" s="1491"/>
      <c r="BH10" s="1492"/>
      <c r="BI10" s="1493"/>
      <c r="BJ10" s="311"/>
      <c r="BK10" s="1490"/>
      <c r="BL10" s="1491"/>
      <c r="BM10" s="1491"/>
      <c r="BN10" s="1492"/>
      <c r="BO10" s="1493"/>
      <c r="BP10" s="311"/>
      <c r="BQ10" s="1490"/>
      <c r="BR10" s="1491"/>
      <c r="BS10" s="1491"/>
      <c r="BT10" s="1492"/>
      <c r="BU10" s="1493"/>
      <c r="BV10" s="311"/>
      <c r="BW10" s="1490"/>
      <c r="BX10" s="1491"/>
      <c r="BY10" s="1491"/>
      <c r="BZ10" s="1492"/>
      <c r="CA10" s="1493"/>
      <c r="CB10" s="1491"/>
      <c r="CC10" s="1490"/>
      <c r="CD10" s="1491"/>
      <c r="CE10" s="1491"/>
      <c r="CF10" s="1492"/>
      <c r="CG10" s="1493"/>
      <c r="CH10" s="1491"/>
      <c r="CI10" s="1490"/>
      <c r="CJ10" s="1491"/>
      <c r="CK10" s="1491"/>
      <c r="CL10" s="1492"/>
      <c r="CM10" s="1493"/>
      <c r="CN10" s="174"/>
      <c r="CO10" s="2080" t="s">
        <v>103</v>
      </c>
      <c r="CP10" s="2071">
        <f t="shared" si="0"/>
        <v>0.13108910891089098</v>
      </c>
      <c r="CQ10" s="2071">
        <f t="shared" si="0"/>
        <v>2.0775862068965527E-2</v>
      </c>
      <c r="CR10" s="2071">
        <f t="shared" si="0"/>
        <v>4.1942604856512189E-2</v>
      </c>
      <c r="CS10" s="2071">
        <f t="shared" si="0"/>
        <v>2.7600849256900178E-2</v>
      </c>
      <c r="CT10" s="2071">
        <f t="shared" si="1"/>
        <v>3.2537960954446887E-2</v>
      </c>
      <c r="CU10" s="2071">
        <f t="shared" si="1"/>
        <v>3.923240938166303E-2</v>
      </c>
      <c r="CV10" s="2071">
        <f t="shared" si="1"/>
        <v>4.6277665995975964E-2</v>
      </c>
      <c r="CW10" s="2071">
        <f t="shared" si="1"/>
        <v>8.7971274685816864E-2</v>
      </c>
      <c r="CX10" s="2071">
        <f t="shared" si="2"/>
        <v>5.8510638297872328E-2</v>
      </c>
      <c r="CY10" s="2071">
        <f t="shared" si="2"/>
        <v>1.5761821366024616E-2</v>
      </c>
      <c r="CZ10" s="2071">
        <f t="shared" si="2"/>
        <v>3.7234042553191446E-2</v>
      </c>
      <c r="DA10" s="2071">
        <f t="shared" si="2"/>
        <v>2.6622296173044908E-2</v>
      </c>
      <c r="DB10" s="2071"/>
      <c r="DC10" s="2071"/>
      <c r="DD10" s="2071"/>
      <c r="DE10" s="2071"/>
      <c r="DF10" s="2071"/>
      <c r="DG10" s="2071"/>
      <c r="DH10" s="2071"/>
      <c r="DI10" s="2071"/>
      <c r="DJ10" s="2071"/>
      <c r="DK10" s="2070"/>
      <c r="DL10" s="2070"/>
      <c r="DM10" s="2070"/>
      <c r="DN10" s="2070"/>
      <c r="DO10" s="2070"/>
      <c r="DP10" s="2070"/>
      <c r="DQ10" s="2070"/>
      <c r="DR10" s="2070"/>
    </row>
    <row r="11" spans="1:122" collapsed="1">
      <c r="A11" s="490" t="s">
        <v>105</v>
      </c>
      <c r="B11" s="539"/>
      <c r="C11" s="543"/>
      <c r="D11" s="544"/>
      <c r="E11" s="544"/>
      <c r="F11" s="545"/>
      <c r="G11" s="546"/>
      <c r="H11" s="539"/>
      <c r="I11" s="543"/>
      <c r="J11" s="544"/>
      <c r="K11" s="544"/>
      <c r="L11" s="545"/>
      <c r="M11" s="545"/>
      <c r="N11" s="541"/>
      <c r="O11" s="543"/>
      <c r="P11" s="544"/>
      <c r="Q11" s="544"/>
      <c r="R11" s="545"/>
      <c r="S11" s="546"/>
      <c r="T11" s="541"/>
      <c r="U11" s="547"/>
      <c r="V11" s="542"/>
      <c r="W11" s="542"/>
      <c r="X11" s="542"/>
      <c r="Y11" s="1699"/>
      <c r="Z11" s="541"/>
      <c r="AA11" s="547"/>
      <c r="AB11" s="542"/>
      <c r="AC11" s="542"/>
      <c r="AD11" s="548"/>
      <c r="AE11" s="549"/>
      <c r="AF11" s="541"/>
      <c r="AG11" s="1700" t="str">
        <f>RevBuild!AG42</f>
        <v>NA</v>
      </c>
      <c r="AH11" s="1701" t="str">
        <f>RevBuild!AH42</f>
        <v>NA</v>
      </c>
      <c r="AI11" s="1701" t="str">
        <f>RevBuild!AI42</f>
        <v>NA</v>
      </c>
      <c r="AJ11" s="1702" t="str">
        <f>RevBuild!AJ42</f>
        <v>NA</v>
      </c>
      <c r="AK11" s="1699" t="str">
        <f>RevBuild!AK42</f>
        <v>NA</v>
      </c>
      <c r="AL11" s="542"/>
      <c r="AM11" s="547">
        <f>RevBuild!AM42</f>
        <v>6.3195574504159788E-5</v>
      </c>
      <c r="AN11" s="542">
        <f>RevBuild!AN42</f>
        <v>3.9916960725047246E-2</v>
      </c>
      <c r="AO11" s="542">
        <f>RevBuild!AO42</f>
        <v>-1.5844294217062672E-3</v>
      </c>
      <c r="AP11" s="548">
        <f>RevBuild!AP42</f>
        <v>5.306874810372271E-2</v>
      </c>
      <c r="AQ11" s="549">
        <f>RevBuild!AQ42</f>
        <v>2.2754232265931602E-2</v>
      </c>
      <c r="AR11" s="541"/>
      <c r="AS11" s="547">
        <f>RevBuild!AS42</f>
        <v>6.2362880920378096E-2</v>
      </c>
      <c r="AT11" s="542">
        <f>RevBuild!AT42</f>
        <v>-1.9417711674929478E-2</v>
      </c>
      <c r="AU11" s="542">
        <f>RevBuild!AU42</f>
        <v>2.6294568842613209E-2</v>
      </c>
      <c r="AV11" s="548">
        <f>RevBuild!AV42</f>
        <v>5.1654899962723627E-2</v>
      </c>
      <c r="AW11" s="549">
        <f>RevBuild!AW42</f>
        <v>2.5239106595038786E-2</v>
      </c>
      <c r="AX11" s="541"/>
      <c r="AY11" s="594">
        <f>RevBuild!AY42</f>
        <v>7.2141527001862285E-2</v>
      </c>
      <c r="AZ11" s="541">
        <f>RevBuild!AZ42</f>
        <v>5.0404040404040451E-2</v>
      </c>
      <c r="BA11" s="541">
        <f>RevBuild!BA42</f>
        <v>5.3530571992110504E-2</v>
      </c>
      <c r="BB11" s="540">
        <f>RevBuild!BB42</f>
        <v>1.942115027829314E-2</v>
      </c>
      <c r="BC11" s="565">
        <f>RevBuild!BC42</f>
        <v>4.9197722904408235E-2</v>
      </c>
      <c r="BD11" s="541"/>
      <c r="BE11" s="594">
        <f>RevBuild!BE42</f>
        <v>2.2656307129798898E-2</v>
      </c>
      <c r="BF11" s="541">
        <f>RevBuild!BF42</f>
        <v>-1.0683760683760646E-3</v>
      </c>
      <c r="BG11" s="541">
        <f>RevBuild!BG42</f>
        <v>-1.9569471624266199E-2</v>
      </c>
      <c r="BH11" s="540">
        <f>RevBuild!BH42</f>
        <v>0.05</v>
      </c>
      <c r="BI11" s="565">
        <f>RevBuild!BI42</f>
        <v>1.3953380462034686E-2</v>
      </c>
      <c r="BJ11" s="541"/>
      <c r="BK11" s="594">
        <f>RevBuild!BK42</f>
        <v>4.1000000000000002E-2</v>
      </c>
      <c r="BL11" s="541">
        <f>RevBuild!BL42</f>
        <v>0.06</v>
      </c>
      <c r="BM11" s="541">
        <f>RevBuild!BM42</f>
        <v>6.5000000000000002E-2</v>
      </c>
      <c r="BN11" s="540">
        <f>RevBuild!BN42</f>
        <v>7.6678832116788276E-2</v>
      </c>
      <c r="BO11" s="565">
        <f>RevBuild!BO42</f>
        <v>6.0915319717451941E-2</v>
      </c>
      <c r="BP11" s="541"/>
      <c r="BQ11" s="594">
        <f>RevBuild!BQ42</f>
        <v>5.8962962962962898E-2</v>
      </c>
      <c r="BR11" s="541">
        <f>RevBuild!BR42</f>
        <v>0.09</v>
      </c>
      <c r="BS11" s="541">
        <f>RevBuild!BS42</f>
        <v>0.05</v>
      </c>
      <c r="BT11" s="540">
        <f>RevBuild!BT42</f>
        <v>4.4999999999999998E-2</v>
      </c>
      <c r="BU11" s="565">
        <f>RevBuild!BU42</f>
        <v>6.0922261165389222E-2</v>
      </c>
      <c r="BV11" s="541"/>
      <c r="BW11" s="594">
        <f>RevBuild!BW42</f>
        <v>0.06</v>
      </c>
      <c r="BX11" s="541">
        <f>RevBuild!BX42</f>
        <v>0.06</v>
      </c>
      <c r="BY11" s="541">
        <f>RevBuild!BY42</f>
        <v>0.06</v>
      </c>
      <c r="BZ11" s="540">
        <f>RevBuild!BZ42</f>
        <v>0.06</v>
      </c>
      <c r="CA11" s="565">
        <f>RevBuild!CA42</f>
        <v>0.06</v>
      </c>
      <c r="CB11" s="541"/>
      <c r="CC11" s="594">
        <f>RevBuild!CC42</f>
        <v>0.03</v>
      </c>
      <c r="CD11" s="541">
        <f>RevBuild!CD42</f>
        <v>0.03</v>
      </c>
      <c r="CE11" s="541">
        <f>RevBuild!CE42</f>
        <v>0.03</v>
      </c>
      <c r="CF11" s="540">
        <f>RevBuild!CF42</f>
        <v>0.03</v>
      </c>
      <c r="CG11" s="565">
        <f>RevBuild!CG42</f>
        <v>2.9999999999999995E-2</v>
      </c>
      <c r="CH11" s="541"/>
      <c r="CI11" s="594">
        <f>RevBuild!CI42</f>
        <v>0.03</v>
      </c>
      <c r="CJ11" s="541">
        <f>RevBuild!CJ42</f>
        <v>0.03</v>
      </c>
      <c r="CK11" s="541">
        <f>RevBuild!CK42</f>
        <v>0.03</v>
      </c>
      <c r="CL11" s="540">
        <f>RevBuild!CL42</f>
        <v>0.03</v>
      </c>
      <c r="CM11" s="565">
        <f>RevBuild!CM42</f>
        <v>0.03</v>
      </c>
      <c r="CN11" s="174"/>
      <c r="CO11" s="2081" t="s">
        <v>105</v>
      </c>
      <c r="CP11" s="2072"/>
      <c r="CQ11" s="2072"/>
      <c r="CR11" s="2072"/>
      <c r="CS11" s="2072"/>
      <c r="CT11" s="2072">
        <f t="shared" ref="CT11:CW12" si="3">+AM11</f>
        <v>6.3195574504159788E-5</v>
      </c>
      <c r="CU11" s="2072">
        <f t="shared" si="3"/>
        <v>3.9916960725047246E-2</v>
      </c>
      <c r="CV11" s="2072">
        <f t="shared" si="3"/>
        <v>-1.5844294217062672E-3</v>
      </c>
      <c r="CW11" s="2072">
        <f t="shared" si="3"/>
        <v>5.306874810372271E-2</v>
      </c>
      <c r="CX11" s="2073">
        <f t="shared" ref="CX11:DA12" si="4">+AS11</f>
        <v>6.2362880920378096E-2</v>
      </c>
      <c r="CY11" s="2073">
        <f t="shared" si="4"/>
        <v>-1.9417711674929478E-2</v>
      </c>
      <c r="CZ11" s="2073">
        <f t="shared" si="4"/>
        <v>2.6294568842613209E-2</v>
      </c>
      <c r="DA11" s="2073">
        <f t="shared" si="4"/>
        <v>5.1654899962723627E-2</v>
      </c>
      <c r="DB11" s="2073">
        <f t="shared" ref="DB11:DE17" si="5">AY11</f>
        <v>7.2141527001862285E-2</v>
      </c>
      <c r="DC11" s="2073">
        <f t="shared" si="5"/>
        <v>5.0404040404040451E-2</v>
      </c>
      <c r="DD11" s="2073">
        <f t="shared" si="5"/>
        <v>5.3530571992110504E-2</v>
      </c>
      <c r="DE11" s="2073">
        <f t="shared" si="5"/>
        <v>1.942115027829314E-2</v>
      </c>
      <c r="DF11" s="2073">
        <f t="shared" ref="DF11:DF17" si="6">BE11</f>
        <v>2.2656307129798898E-2</v>
      </c>
      <c r="DG11" s="2073">
        <f t="shared" ref="DG11:DI17" si="7">BF11</f>
        <v>-1.0683760683760646E-3</v>
      </c>
      <c r="DH11" s="2073">
        <f t="shared" si="7"/>
        <v>-1.9569471624266199E-2</v>
      </c>
      <c r="DI11" s="2073">
        <f t="shared" si="7"/>
        <v>0.05</v>
      </c>
      <c r="DJ11" s="2073">
        <f t="shared" ref="DJ11:DJ17" si="8">BK11</f>
        <v>4.1000000000000002E-2</v>
      </c>
      <c r="DK11" s="2073">
        <f t="shared" ref="DK11:DK17" si="9">BL11</f>
        <v>0.06</v>
      </c>
      <c r="DL11" s="2073">
        <f t="shared" ref="DL11:DL17" si="10">BM11</f>
        <v>6.5000000000000002E-2</v>
      </c>
      <c r="DM11" s="2073">
        <f t="shared" ref="DM11:DM17" si="11">BN11</f>
        <v>7.6678832116788276E-2</v>
      </c>
      <c r="DN11" s="2073">
        <f t="shared" ref="DN11:DN17" si="12">BQ11</f>
        <v>5.8962962962962898E-2</v>
      </c>
      <c r="DO11" s="2073">
        <f t="shared" ref="DO11:DO17" si="13">BR11</f>
        <v>0.09</v>
      </c>
      <c r="DP11" s="2073">
        <f t="shared" ref="DP11:DP17" si="14">BS11</f>
        <v>0.05</v>
      </c>
      <c r="DQ11" s="2073">
        <f t="shared" ref="DQ11:DQ17" si="15">BT11</f>
        <v>4.4999999999999998E-2</v>
      </c>
      <c r="DR11" s="2370"/>
    </row>
    <row r="12" spans="1:122">
      <c r="A12" s="490" t="s">
        <v>99</v>
      </c>
      <c r="B12" s="539"/>
      <c r="C12" s="543"/>
      <c r="D12" s="544"/>
      <c r="E12" s="544"/>
      <c r="F12" s="545"/>
      <c r="G12" s="546"/>
      <c r="H12" s="539"/>
      <c r="I12" s="543"/>
      <c r="J12" s="544"/>
      <c r="K12" s="544"/>
      <c r="L12" s="545"/>
      <c r="M12" s="545"/>
      <c r="N12" s="541"/>
      <c r="O12" s="543"/>
      <c r="P12" s="544"/>
      <c r="Q12" s="544"/>
      <c r="R12" s="545"/>
      <c r="S12" s="546"/>
      <c r="T12" s="541"/>
      <c r="U12" s="547"/>
      <c r="V12" s="542"/>
      <c r="W12" s="542"/>
      <c r="X12" s="542"/>
      <c r="Y12" s="1699"/>
      <c r="Z12" s="541"/>
      <c r="AA12" s="547"/>
      <c r="AB12" s="542"/>
      <c r="AC12" s="542"/>
      <c r="AD12" s="548"/>
      <c r="AE12" s="549"/>
      <c r="AF12" s="541"/>
      <c r="AG12" s="1700" t="str">
        <f>RevBuild!AG46</f>
        <v>NA</v>
      </c>
      <c r="AH12" s="1701" t="str">
        <f>RevBuild!AH46</f>
        <v>NA</v>
      </c>
      <c r="AI12" s="1701" t="str">
        <f>RevBuild!AI46</f>
        <v>NA</v>
      </c>
      <c r="AJ12" s="1702" t="str">
        <f>RevBuild!AJ46</f>
        <v>NA</v>
      </c>
      <c r="AK12" s="1699" t="str">
        <f>RevBuild!AK46</f>
        <v>NA</v>
      </c>
      <c r="AL12" s="542"/>
      <c r="AM12" s="547">
        <f>RevBuild!AM46</f>
        <v>2.8617763977612266E-2</v>
      </c>
      <c r="AN12" s="542">
        <f>RevBuild!AN46</f>
        <v>-3.2402166530242638E-2</v>
      </c>
      <c r="AO12" s="542">
        <f>RevBuild!AO46</f>
        <v>0.10531197895873941</v>
      </c>
      <c r="AP12" s="548">
        <f>RevBuild!AP46</f>
        <v>0.10960598750541235</v>
      </c>
      <c r="AQ12" s="549">
        <f>RevBuild!AQ46</f>
        <v>7.1010938560301662E-2</v>
      </c>
      <c r="AR12" s="541"/>
      <c r="AS12" s="547">
        <f>RevBuild!AS46</f>
        <v>3.7626045546959121E-2</v>
      </c>
      <c r="AT12" s="542">
        <f>RevBuild!AT46</f>
        <v>7.6236533773688747E-2</v>
      </c>
      <c r="AU12" s="542">
        <f>RevBuild!AU46</f>
        <v>4.6809593656024148E-2</v>
      </c>
      <c r="AV12" s="548">
        <f>RevBuild!AV46</f>
        <v>3.2694025290273973E-2</v>
      </c>
      <c r="AW12" s="549">
        <f>RevBuild!AW46</f>
        <v>4.8203373653794103E-2</v>
      </c>
      <c r="AX12" s="541"/>
      <c r="AY12" s="594">
        <f>RevBuild!AY46</f>
        <v>-6.3694267515923414E-3</v>
      </c>
      <c r="AZ12" s="541">
        <f>RevBuild!AZ46</f>
        <v>0.10119047619047616</v>
      </c>
      <c r="BA12" s="541">
        <f>RevBuild!BA46</f>
        <v>0.10240963855421695</v>
      </c>
      <c r="BB12" s="540">
        <f>RevBuild!BB46</f>
        <v>0.10465116279069774</v>
      </c>
      <c r="BC12" s="565">
        <f>RevBuild!BC46</f>
        <v>7.8381921347814548E-2</v>
      </c>
      <c r="BD12" s="541"/>
      <c r="BE12" s="594">
        <f>RevBuild!BE46</f>
        <v>0.12837837837837834</v>
      </c>
      <c r="BF12" s="541">
        <f>RevBuild!BF46</f>
        <v>5.1479289940828447E-2</v>
      </c>
      <c r="BG12" s="541">
        <f>RevBuild!BG46</f>
        <v>7.4850299401197667E-2</v>
      </c>
      <c r="BH12" s="540">
        <f>RevBuild!BH46</f>
        <v>8.7640449438202345E-2</v>
      </c>
      <c r="BI12" s="565">
        <f>RevBuild!BI46</f>
        <v>8.4393170701043546E-2</v>
      </c>
      <c r="BJ12" s="541"/>
      <c r="BK12" s="594">
        <f>RevBuild!BK46</f>
        <v>5.0647835295276541E-2</v>
      </c>
      <c r="BL12" s="541">
        <f>RevBuild!BL46</f>
        <v>0.13428089887640449</v>
      </c>
      <c r="BM12" s="541">
        <f>RevBuild!BM46</f>
        <v>9.2333333333333434E-2</v>
      </c>
      <c r="BN12" s="540">
        <f>RevBuild!BN46</f>
        <v>6.7720207253886111E-2</v>
      </c>
      <c r="BO12" s="565">
        <f>RevBuild!BO46</f>
        <v>8.7704165612131374E-2</v>
      </c>
      <c r="BP12" s="541"/>
      <c r="BQ12" s="594">
        <f>RevBuild!BQ46</f>
        <v>6.0207317073170619E-2</v>
      </c>
      <c r="BR12" s="541">
        <f>RevBuild!BR46</f>
        <v>6.5909989783573875E-2</v>
      </c>
      <c r="BS12" s="541">
        <f>RevBuild!BS46</f>
        <v>8.1763376876622884E-2</v>
      </c>
      <c r="BT12" s="540">
        <f>RevBuild!BT46</f>
        <v>8.4037215580798144E-2</v>
      </c>
      <c r="BU12" s="565">
        <f>RevBuild!BU46</f>
        <v>7.3670939314274778E-2</v>
      </c>
      <c r="BV12" s="541"/>
      <c r="BW12" s="594">
        <f>RevBuild!BW46</f>
        <v>6.4139771939426105E-2</v>
      </c>
      <c r="BX12" s="541">
        <f>RevBuild!BX46</f>
        <v>6.3482028272395574E-2</v>
      </c>
      <c r="BY12" s="541">
        <f>RevBuild!BY46</f>
        <v>0.13778264497590897</v>
      </c>
      <c r="BZ12" s="540">
        <f>RevBuild!BZ46</f>
        <v>0.12346577500268396</v>
      </c>
      <c r="CA12" s="565">
        <f>RevBuild!CA46</f>
        <v>9.9964782124323331E-2</v>
      </c>
      <c r="CB12" s="541"/>
      <c r="CC12" s="594">
        <f>RevBuild!CC46</f>
        <v>0.11856404357527728</v>
      </c>
      <c r="CD12" s="541">
        <f>RevBuild!CD46</f>
        <v>0.12085479911169128</v>
      </c>
      <c r="CE12" s="541">
        <f>RevBuild!CE46</f>
        <v>0.1582504416048407</v>
      </c>
      <c r="CF12" s="540">
        <f>RevBuild!CF46</f>
        <v>0.14046532018847091</v>
      </c>
      <c r="CG12" s="565">
        <f>RevBuild!CG46</f>
        <v>0.13595181748763674</v>
      </c>
      <c r="CH12" s="541"/>
      <c r="CI12" s="594">
        <f>RevBuild!CI46</f>
        <v>0.12491413264619888</v>
      </c>
      <c r="CJ12" s="541">
        <f>RevBuild!CJ46</f>
        <v>0.12744361565993612</v>
      </c>
      <c r="CK12" s="541">
        <f>RevBuild!CK46</f>
        <v>0.16644260048260318</v>
      </c>
      <c r="CL12" s="540">
        <f>RevBuild!CL46</f>
        <v>0.14819627697131099</v>
      </c>
      <c r="CM12" s="565">
        <f>RevBuild!CM46</f>
        <v>0.14349022436950021</v>
      </c>
      <c r="CN12" s="174"/>
      <c r="CO12" s="2082" t="s">
        <v>99</v>
      </c>
      <c r="CP12" s="2074"/>
      <c r="CQ12" s="2074"/>
      <c r="CR12" s="2074"/>
      <c r="CS12" s="2074"/>
      <c r="CT12" s="2074">
        <f t="shared" si="3"/>
        <v>2.8617763977612266E-2</v>
      </c>
      <c r="CU12" s="2074">
        <f t="shared" si="3"/>
        <v>-3.2402166530242638E-2</v>
      </c>
      <c r="CV12" s="2074">
        <f t="shared" si="3"/>
        <v>0.10531197895873941</v>
      </c>
      <c r="CW12" s="2074">
        <f t="shared" si="3"/>
        <v>0.10960598750541235</v>
      </c>
      <c r="CX12" s="2075">
        <f t="shared" si="4"/>
        <v>3.7626045546959121E-2</v>
      </c>
      <c r="CY12" s="2075">
        <f t="shared" si="4"/>
        <v>7.6236533773688747E-2</v>
      </c>
      <c r="CZ12" s="2075">
        <f t="shared" si="4"/>
        <v>4.6809593656024148E-2</v>
      </c>
      <c r="DA12" s="2075">
        <f t="shared" si="4"/>
        <v>3.2694025290273973E-2</v>
      </c>
      <c r="DB12" s="2075">
        <f t="shared" si="5"/>
        <v>-6.3694267515923414E-3</v>
      </c>
      <c r="DC12" s="2075">
        <f t="shared" si="5"/>
        <v>0.10119047619047616</v>
      </c>
      <c r="DD12" s="2075">
        <f t="shared" si="5"/>
        <v>0.10240963855421695</v>
      </c>
      <c r="DE12" s="2075">
        <f t="shared" si="5"/>
        <v>0.10465116279069774</v>
      </c>
      <c r="DF12" s="2075">
        <f t="shared" si="6"/>
        <v>0.12837837837837834</v>
      </c>
      <c r="DG12" s="2075">
        <f t="shared" si="7"/>
        <v>5.1479289940828447E-2</v>
      </c>
      <c r="DH12" s="2075">
        <f t="shared" si="7"/>
        <v>7.4850299401197667E-2</v>
      </c>
      <c r="DI12" s="2075">
        <f t="shared" si="7"/>
        <v>8.7640449438202345E-2</v>
      </c>
      <c r="DJ12" s="2075">
        <f t="shared" si="8"/>
        <v>5.0647835295276541E-2</v>
      </c>
      <c r="DK12" s="2075">
        <f t="shared" si="9"/>
        <v>0.13428089887640449</v>
      </c>
      <c r="DL12" s="2075">
        <f t="shared" si="10"/>
        <v>9.2333333333333434E-2</v>
      </c>
      <c r="DM12" s="2075">
        <f t="shared" si="11"/>
        <v>6.7720207253886111E-2</v>
      </c>
      <c r="DN12" s="2075">
        <f t="shared" si="12"/>
        <v>6.0207317073170619E-2</v>
      </c>
      <c r="DO12" s="2075">
        <f t="shared" si="13"/>
        <v>6.5909989783573875E-2</v>
      </c>
      <c r="DP12" s="2075">
        <f t="shared" si="14"/>
        <v>8.1763376876622884E-2</v>
      </c>
      <c r="DQ12" s="2075">
        <f t="shared" si="15"/>
        <v>8.4037215580798144E-2</v>
      </c>
      <c r="DR12" s="2370"/>
    </row>
    <row r="13" spans="1:122">
      <c r="A13" s="309" t="s">
        <v>538</v>
      </c>
      <c r="B13" s="539"/>
      <c r="C13" s="543"/>
      <c r="D13" s="544"/>
      <c r="E13" s="544"/>
      <c r="F13" s="545"/>
      <c r="G13" s="546"/>
      <c r="H13" s="539"/>
      <c r="I13" s="543"/>
      <c r="J13" s="544"/>
      <c r="K13" s="544"/>
      <c r="L13" s="545"/>
      <c r="M13" s="545"/>
      <c r="N13" s="541"/>
      <c r="O13" s="543"/>
      <c r="P13" s="544"/>
      <c r="Q13" s="544"/>
      <c r="R13" s="545"/>
      <c r="S13" s="546"/>
      <c r="T13" s="541"/>
      <c r="U13" s="547"/>
      <c r="V13" s="542"/>
      <c r="W13" s="542"/>
      <c r="X13" s="542"/>
      <c r="Y13" s="1699"/>
      <c r="Z13" s="541"/>
      <c r="AA13" s="547"/>
      <c r="AB13" s="542"/>
      <c r="AC13" s="542"/>
      <c r="AD13" s="548"/>
      <c r="AE13" s="549"/>
      <c r="AF13" s="541"/>
      <c r="AG13" s="1700"/>
      <c r="AH13" s="1701"/>
      <c r="AI13" s="1701"/>
      <c r="AJ13" s="1702"/>
      <c r="AK13" s="1699"/>
      <c r="AL13" s="542"/>
      <c r="AM13" s="547"/>
      <c r="AN13" s="542"/>
      <c r="AO13" s="542"/>
      <c r="AP13" s="548"/>
      <c r="AQ13" s="549"/>
      <c r="AR13" s="541"/>
      <c r="AS13" s="547"/>
      <c r="AT13" s="542"/>
      <c r="AU13" s="542"/>
      <c r="AV13" s="548"/>
      <c r="AW13" s="549"/>
      <c r="AX13" s="541"/>
      <c r="AY13" s="594">
        <f>+RevBuild!AY47</f>
        <v>-0.05</v>
      </c>
      <c r="AZ13" s="541">
        <f>+RevBuild!AZ47</f>
        <v>0.05</v>
      </c>
      <c r="BA13" s="541">
        <f>+RevBuild!BA47</f>
        <v>0.05</v>
      </c>
      <c r="BB13" s="540">
        <f>+RevBuild!BB47</f>
        <v>0.04</v>
      </c>
      <c r="BC13" s="565">
        <f>+RevBuild!BC47</f>
        <v>2.3874379593768091E-2</v>
      </c>
      <c r="BD13" s="541"/>
      <c r="BE13" s="594">
        <f>+RevBuild!BE47</f>
        <v>0.1</v>
      </c>
      <c r="BF13" s="541">
        <f>+RevBuild!BF47</f>
        <v>0.05</v>
      </c>
      <c r="BG13" s="541">
        <f>+RevBuild!BG47</f>
        <v>6.5000000000000002E-2</v>
      </c>
      <c r="BH13" s="540">
        <f>+RevBuild!BH47</f>
        <v>0.09</v>
      </c>
      <c r="BI13" s="565">
        <f>+RevBuild!BI47</f>
        <v>7.6111532642313684E-2</v>
      </c>
      <c r="BJ13" s="541"/>
      <c r="BK13" s="594">
        <f>+RevBuild!BK47</f>
        <v>5.2280183763960784E-2</v>
      </c>
      <c r="BL13" s="541">
        <f>+RevBuild!BL47</f>
        <v>0.16</v>
      </c>
      <c r="BM13" s="541">
        <f>+RevBuild!BM47</f>
        <v>9.1091331396725081E-2</v>
      </c>
      <c r="BN13" s="540">
        <f>+RevBuild!BN47</f>
        <v>9.5000000000000001E-2</v>
      </c>
      <c r="BO13" s="565">
        <f>+RevBuild!BO47</f>
        <v>0.1073859406742694</v>
      </c>
      <c r="BP13" s="541"/>
      <c r="BQ13" s="594">
        <f>+RevBuild!BQ47</f>
        <v>7.0898369706438105E-2</v>
      </c>
      <c r="BR13" s="541">
        <f>+RevBuild!BR47</f>
        <v>7.0000000000000007E-2</v>
      </c>
      <c r="BS13" s="541">
        <f>+RevBuild!BS47</f>
        <v>0.1</v>
      </c>
      <c r="BT13" s="540">
        <f>+RevBuild!BT47</f>
        <v>0.1</v>
      </c>
      <c r="BU13" s="565">
        <f>+RevBuild!BU47</f>
        <v>9.0327891471967445E-2</v>
      </c>
      <c r="BV13" s="541"/>
      <c r="BW13" s="594">
        <f>+RevBuild!BW47</f>
        <v>6.5000000000000002E-2</v>
      </c>
      <c r="BX13" s="541">
        <f>+RevBuild!BX47</f>
        <v>6.5000000000000002E-2</v>
      </c>
      <c r="BY13" s="541">
        <f>+RevBuild!BY47</f>
        <v>6.5000000000000002E-2</v>
      </c>
      <c r="BZ13" s="540">
        <f>+RevBuild!BZ47</f>
        <v>6.5000000000000002E-2</v>
      </c>
      <c r="CA13" s="565">
        <f>+RevBuild!CA47</f>
        <v>6.4999999999999947E-2</v>
      </c>
      <c r="CB13" s="541"/>
      <c r="CC13" s="594">
        <f>+RevBuild!CC47</f>
        <v>6.5000000000000002E-2</v>
      </c>
      <c r="CD13" s="541">
        <f>+RevBuild!CD47</f>
        <v>6.5000000000000002E-2</v>
      </c>
      <c r="CE13" s="541">
        <f>+RevBuild!CE47</f>
        <v>6.5000000000000002E-2</v>
      </c>
      <c r="CF13" s="540">
        <f>+RevBuild!CF47</f>
        <v>6.5000000000000002E-2</v>
      </c>
      <c r="CG13" s="565">
        <f>+RevBuild!CG47</f>
        <v>6.4999999999999947E-2</v>
      </c>
      <c r="CH13" s="541"/>
      <c r="CI13" s="594">
        <f>+RevBuild!CI47</f>
        <v>6.5000000000000002E-2</v>
      </c>
      <c r="CJ13" s="541">
        <f>+RevBuild!CJ47</f>
        <v>6.5000000000000002E-2</v>
      </c>
      <c r="CK13" s="541">
        <f>+RevBuild!CK47</f>
        <v>6.5000000000000002E-2</v>
      </c>
      <c r="CL13" s="540">
        <f>+RevBuild!CL47</f>
        <v>6.5000000000000002E-2</v>
      </c>
      <c r="CM13" s="565">
        <f>+RevBuild!CM47</f>
        <v>6.4999999999999947E-2</v>
      </c>
      <c r="CN13" s="174"/>
      <c r="CO13" s="2081" t="s">
        <v>538</v>
      </c>
      <c r="CP13" s="2072"/>
      <c r="CQ13" s="2072"/>
      <c r="CR13" s="2072"/>
      <c r="CS13" s="2072"/>
      <c r="CT13" s="2072"/>
      <c r="CU13" s="2072"/>
      <c r="CV13" s="2072"/>
      <c r="CW13" s="2072"/>
      <c r="CX13" s="2073" t="s">
        <v>528</v>
      </c>
      <c r="CY13" s="2073" t="s">
        <v>528</v>
      </c>
      <c r="CZ13" s="2073" t="s">
        <v>528</v>
      </c>
      <c r="DA13" s="2073" t="s">
        <v>528</v>
      </c>
      <c r="DB13" s="2073">
        <f t="shared" si="5"/>
        <v>-0.05</v>
      </c>
      <c r="DC13" s="2073">
        <f t="shared" si="5"/>
        <v>0.05</v>
      </c>
      <c r="DD13" s="2073">
        <f t="shared" si="5"/>
        <v>0.05</v>
      </c>
      <c r="DE13" s="2073">
        <f t="shared" si="5"/>
        <v>0.04</v>
      </c>
      <c r="DF13" s="2073">
        <f t="shared" si="6"/>
        <v>0.1</v>
      </c>
      <c r="DG13" s="2073">
        <f t="shared" si="7"/>
        <v>0.05</v>
      </c>
      <c r="DH13" s="2073">
        <f t="shared" si="7"/>
        <v>6.5000000000000002E-2</v>
      </c>
      <c r="DI13" s="2073">
        <f t="shared" si="7"/>
        <v>0.09</v>
      </c>
      <c r="DJ13" s="2073">
        <f t="shared" si="8"/>
        <v>5.2280183763960784E-2</v>
      </c>
      <c r="DK13" s="2073">
        <f t="shared" si="9"/>
        <v>0.16</v>
      </c>
      <c r="DL13" s="2073">
        <f t="shared" si="10"/>
        <v>9.1091331396725081E-2</v>
      </c>
      <c r="DM13" s="2073">
        <f t="shared" si="11"/>
        <v>9.5000000000000001E-2</v>
      </c>
      <c r="DN13" s="2073">
        <f t="shared" si="12"/>
        <v>7.0898369706438105E-2</v>
      </c>
      <c r="DO13" s="2073">
        <f t="shared" si="13"/>
        <v>7.0000000000000007E-2</v>
      </c>
      <c r="DP13" s="2073">
        <f t="shared" si="14"/>
        <v>0.1</v>
      </c>
      <c r="DQ13" s="2073">
        <f t="shared" si="15"/>
        <v>0.1</v>
      </c>
      <c r="DR13" s="2370"/>
    </row>
    <row r="14" spans="1:122">
      <c r="A14" s="309" t="s">
        <v>534</v>
      </c>
      <c r="B14" s="539"/>
      <c r="C14" s="543"/>
      <c r="D14" s="544"/>
      <c r="E14" s="544"/>
      <c r="F14" s="545"/>
      <c r="G14" s="546"/>
      <c r="H14" s="539"/>
      <c r="I14" s="543"/>
      <c r="J14" s="544"/>
      <c r="K14" s="544"/>
      <c r="L14" s="545"/>
      <c r="M14" s="545"/>
      <c r="N14" s="541"/>
      <c r="O14" s="543"/>
      <c r="P14" s="544"/>
      <c r="Q14" s="544"/>
      <c r="R14" s="545"/>
      <c r="S14" s="546"/>
      <c r="T14" s="541"/>
      <c r="U14" s="547"/>
      <c r="V14" s="542"/>
      <c r="W14" s="542"/>
      <c r="X14" s="542"/>
      <c r="Y14" s="1699"/>
      <c r="Z14" s="541"/>
      <c r="AA14" s="547"/>
      <c r="AB14" s="542"/>
      <c r="AC14" s="542"/>
      <c r="AD14" s="548"/>
      <c r="AE14" s="549"/>
      <c r="AF14" s="541"/>
      <c r="AG14" s="1700"/>
      <c r="AH14" s="1701"/>
      <c r="AI14" s="1701"/>
      <c r="AJ14" s="1702"/>
      <c r="AK14" s="1699"/>
      <c r="AL14" s="542"/>
      <c r="AM14" s="547"/>
      <c r="AN14" s="542"/>
      <c r="AO14" s="542"/>
      <c r="AP14" s="548"/>
      <c r="AQ14" s="549"/>
      <c r="AR14" s="541"/>
      <c r="AS14" s="547"/>
      <c r="AT14" s="542"/>
      <c r="AU14" s="542"/>
      <c r="AV14" s="548"/>
      <c r="AW14" s="549"/>
      <c r="AX14" s="541"/>
      <c r="AY14" s="594">
        <f>+RevBuild!AY48</f>
        <v>0.1</v>
      </c>
      <c r="AZ14" s="541">
        <f>+RevBuild!AZ48</f>
        <v>0.12</v>
      </c>
      <c r="BA14" s="541">
        <f>+RevBuild!BA48</f>
        <v>0.14000000000000001</v>
      </c>
      <c r="BB14" s="540">
        <f>+RevBuild!BB48</f>
        <v>0.15</v>
      </c>
      <c r="BC14" s="565">
        <f>+RevBuild!BC48</f>
        <v>0.12861088855914332</v>
      </c>
      <c r="BD14" s="541"/>
      <c r="BE14" s="594">
        <f>+RevBuild!BE48</f>
        <v>0.12</v>
      </c>
      <c r="BF14" s="541">
        <f>+RevBuild!BF48</f>
        <v>0.1</v>
      </c>
      <c r="BG14" s="541">
        <f>+RevBuild!BG48</f>
        <v>7.4999999999999997E-2</v>
      </c>
      <c r="BH14" s="540">
        <f>+RevBuild!BH48</f>
        <v>7.0000000000000007E-2</v>
      </c>
      <c r="BI14" s="565">
        <f>+RevBuild!BI48</f>
        <v>9.0396190885319527E-2</v>
      </c>
      <c r="BJ14" s="541"/>
      <c r="BK14" s="594">
        <f>+RevBuild!BK48</f>
        <v>0.04</v>
      </c>
      <c r="BL14" s="541">
        <f>+RevBuild!BL48</f>
        <v>0.08</v>
      </c>
      <c r="BM14" s="541">
        <f>+RevBuild!BM48</f>
        <v>7.0000000000000007E-2</v>
      </c>
      <c r="BN14" s="540">
        <f>+RevBuild!BN48</f>
        <v>9.658506139314546E-2</v>
      </c>
      <c r="BO14" s="565">
        <f>+RevBuild!BO48</f>
        <v>7.9033616905426179E-2</v>
      </c>
      <c r="BP14" s="541"/>
      <c r="BQ14" s="594">
        <f>+RevBuild!BQ48</f>
        <v>0.06</v>
      </c>
      <c r="BR14" s="541">
        <f>+RevBuild!BR48</f>
        <v>0.08</v>
      </c>
      <c r="BS14" s="541">
        <f>+RevBuild!BS48</f>
        <v>0.08</v>
      </c>
      <c r="BT14" s="540">
        <f>+RevBuild!BT48</f>
        <v>0.08</v>
      </c>
      <c r="BU14" s="565">
        <f>+RevBuild!BU48</f>
        <v>8.0294140689438007E-2</v>
      </c>
      <c r="BV14" s="541"/>
      <c r="BW14" s="594">
        <f>+RevBuild!BW48</f>
        <v>0.08</v>
      </c>
      <c r="BX14" s="541">
        <f>+RevBuild!BX48</f>
        <v>0.08</v>
      </c>
      <c r="BY14" s="541">
        <f>+RevBuild!BY48</f>
        <v>0.08</v>
      </c>
      <c r="BZ14" s="540">
        <f>+RevBuild!BZ48</f>
        <v>0.08</v>
      </c>
      <c r="CA14" s="565">
        <f>+RevBuild!CA48</f>
        <v>8.0000000000000293E-2</v>
      </c>
      <c r="CB14" s="541"/>
      <c r="CC14" s="594">
        <f>+RevBuild!CC48</f>
        <v>0.08</v>
      </c>
      <c r="CD14" s="541">
        <f>+RevBuild!CD48</f>
        <v>0.08</v>
      </c>
      <c r="CE14" s="541">
        <f>+RevBuild!CE48</f>
        <v>0.08</v>
      </c>
      <c r="CF14" s="540">
        <f>+RevBuild!CF48</f>
        <v>0.08</v>
      </c>
      <c r="CG14" s="565">
        <f>+RevBuild!CG48</f>
        <v>7.9999999999999849E-2</v>
      </c>
      <c r="CH14" s="541"/>
      <c r="CI14" s="594">
        <f>+RevBuild!CI48</f>
        <v>0.08</v>
      </c>
      <c r="CJ14" s="541">
        <f>+RevBuild!CJ48</f>
        <v>0.08</v>
      </c>
      <c r="CK14" s="541">
        <f>+RevBuild!CK48</f>
        <v>0.08</v>
      </c>
      <c r="CL14" s="540">
        <f>+RevBuild!CL48</f>
        <v>0.08</v>
      </c>
      <c r="CM14" s="565">
        <f>+RevBuild!CM48</f>
        <v>8.0000000000000071E-2</v>
      </c>
      <c r="CN14" s="174"/>
      <c r="CO14" s="2082" t="s">
        <v>534</v>
      </c>
      <c r="CP14" s="2074"/>
      <c r="CQ14" s="2074"/>
      <c r="CR14" s="2074"/>
      <c r="CS14" s="2074"/>
      <c r="CT14" s="2074"/>
      <c r="CU14" s="2074"/>
      <c r="CV14" s="2074"/>
      <c r="CW14" s="2074"/>
      <c r="CX14" s="2075" t="s">
        <v>528</v>
      </c>
      <c r="CY14" s="2075" t="s">
        <v>528</v>
      </c>
      <c r="CZ14" s="2075" t="s">
        <v>528</v>
      </c>
      <c r="DA14" s="2075" t="s">
        <v>528</v>
      </c>
      <c r="DB14" s="2075">
        <f t="shared" si="5"/>
        <v>0.1</v>
      </c>
      <c r="DC14" s="2075">
        <f t="shared" si="5"/>
        <v>0.12</v>
      </c>
      <c r="DD14" s="2075">
        <f t="shared" si="5"/>
        <v>0.14000000000000001</v>
      </c>
      <c r="DE14" s="2075">
        <f t="shared" si="5"/>
        <v>0.15</v>
      </c>
      <c r="DF14" s="2075">
        <f t="shared" si="6"/>
        <v>0.12</v>
      </c>
      <c r="DG14" s="2075">
        <f t="shared" si="7"/>
        <v>0.1</v>
      </c>
      <c r="DH14" s="2075">
        <f t="shared" si="7"/>
        <v>7.4999999999999997E-2</v>
      </c>
      <c r="DI14" s="2075">
        <f t="shared" si="7"/>
        <v>7.0000000000000007E-2</v>
      </c>
      <c r="DJ14" s="2075">
        <f t="shared" si="8"/>
        <v>0.04</v>
      </c>
      <c r="DK14" s="2075">
        <f t="shared" si="9"/>
        <v>0.08</v>
      </c>
      <c r="DL14" s="2075">
        <f t="shared" si="10"/>
        <v>7.0000000000000007E-2</v>
      </c>
      <c r="DM14" s="2075">
        <f t="shared" si="11"/>
        <v>9.658506139314546E-2</v>
      </c>
      <c r="DN14" s="2075">
        <f t="shared" si="12"/>
        <v>0.06</v>
      </c>
      <c r="DO14" s="2075">
        <f t="shared" si="13"/>
        <v>0.08</v>
      </c>
      <c r="DP14" s="2075">
        <f t="shared" si="14"/>
        <v>0.08</v>
      </c>
      <c r="DQ14" s="2075">
        <f t="shared" si="15"/>
        <v>0.08</v>
      </c>
      <c r="DR14" s="2370"/>
    </row>
    <row r="15" spans="1:122">
      <c r="A15" s="309" t="s">
        <v>539</v>
      </c>
      <c r="B15" s="539"/>
      <c r="C15" s="543"/>
      <c r="D15" s="544"/>
      <c r="E15" s="544"/>
      <c r="F15" s="545"/>
      <c r="G15" s="546"/>
      <c r="H15" s="539"/>
      <c r="I15" s="543"/>
      <c r="J15" s="544"/>
      <c r="K15" s="544"/>
      <c r="L15" s="545"/>
      <c r="M15" s="545"/>
      <c r="N15" s="541"/>
      <c r="O15" s="543"/>
      <c r="P15" s="544"/>
      <c r="Q15" s="544"/>
      <c r="R15" s="545"/>
      <c r="S15" s="546"/>
      <c r="T15" s="541"/>
      <c r="U15" s="547"/>
      <c r="V15" s="542"/>
      <c r="W15" s="542"/>
      <c r="X15" s="542"/>
      <c r="Y15" s="1699"/>
      <c r="Z15" s="541"/>
      <c r="AA15" s="547"/>
      <c r="AB15" s="542"/>
      <c r="AC15" s="542"/>
      <c r="AD15" s="548"/>
      <c r="AE15" s="549"/>
      <c r="AF15" s="541"/>
      <c r="AG15" s="1700"/>
      <c r="AH15" s="1701"/>
      <c r="AI15" s="1701"/>
      <c r="AJ15" s="1702"/>
      <c r="AK15" s="1699"/>
      <c r="AL15" s="542"/>
      <c r="AM15" s="547"/>
      <c r="AN15" s="542"/>
      <c r="AO15" s="542"/>
      <c r="AP15" s="548"/>
      <c r="AQ15" s="549"/>
      <c r="AR15" s="541"/>
      <c r="AS15" s="547"/>
      <c r="AT15" s="542"/>
      <c r="AU15" s="542"/>
      <c r="AV15" s="548"/>
      <c r="AW15" s="549"/>
      <c r="AX15" s="541"/>
      <c r="AY15" s="594">
        <f>+RevBuild!AY49</f>
        <v>-0.19449231922068211</v>
      </c>
      <c r="AZ15" s="541">
        <f>+RevBuild!AZ49</f>
        <v>0.20235294117646963</v>
      </c>
      <c r="BA15" s="541">
        <f>+RevBuild!BA49</f>
        <v>0.12550241484787369</v>
      </c>
      <c r="BB15" s="540">
        <f>+RevBuild!BB49</f>
        <v>0.23147206028740552</v>
      </c>
      <c r="BC15" s="565">
        <f>+RevBuild!BC49</f>
        <v>0.25451370654160016</v>
      </c>
      <c r="BD15" s="541"/>
      <c r="BE15" s="594">
        <f>+RevBuild!BE49</f>
        <v>0.25506502258853442</v>
      </c>
      <c r="BF15" s="541">
        <f>+RevBuild!BF49</f>
        <v>-3.715890493968612E-2</v>
      </c>
      <c r="BG15" s="541">
        <f>+RevBuild!BG49</f>
        <v>0.13062916319934925</v>
      </c>
      <c r="BH15" s="540">
        <f>+RevBuild!BH49</f>
        <v>0.13081923678603349</v>
      </c>
      <c r="BI15" s="565">
        <f>+RevBuild!BI49</f>
        <v>0.13144989048113037</v>
      </c>
      <c r="BJ15" s="541"/>
      <c r="BK15" s="594">
        <f>+RevBuild!BK49</f>
        <v>0.08</v>
      </c>
      <c r="BL15" s="541">
        <f>+RevBuild!BL49</f>
        <v>0.16983967134191821</v>
      </c>
      <c r="BM15" s="541">
        <f>+RevBuild!BM49</f>
        <v>0.17</v>
      </c>
      <c r="BN15" s="540">
        <f>+RevBuild!BN49</f>
        <v>-0.15</v>
      </c>
      <c r="BO15" s="565">
        <f>+RevBuild!BO49</f>
        <v>6.4425671778906873E-2</v>
      </c>
      <c r="BP15" s="541"/>
      <c r="BQ15" s="594">
        <f>+RevBuild!BQ49</f>
        <v>0</v>
      </c>
      <c r="BR15" s="541">
        <f>+RevBuild!BR49</f>
        <v>0</v>
      </c>
      <c r="BS15" s="541">
        <f>+RevBuild!BS49</f>
        <v>0</v>
      </c>
      <c r="BT15" s="540">
        <f>+RevBuild!BT49</f>
        <v>0</v>
      </c>
      <c r="BU15" s="565">
        <f>+RevBuild!BU49</f>
        <v>4.3122394102941691E-3</v>
      </c>
      <c r="BV15" s="541"/>
      <c r="BW15" s="594">
        <f>+RevBuild!BW49</f>
        <v>0</v>
      </c>
      <c r="BX15" s="541">
        <f>+RevBuild!BX49</f>
        <v>0</v>
      </c>
      <c r="BY15" s="541">
        <f>+RevBuild!BY49</f>
        <v>0.7</v>
      </c>
      <c r="BZ15" s="540">
        <f>+RevBuild!BZ49</f>
        <v>0.7</v>
      </c>
      <c r="CA15" s="565">
        <f>+RevBuild!CA49</f>
        <v>0.3686596968580651</v>
      </c>
      <c r="CB15" s="541"/>
      <c r="CC15" s="594">
        <f>+RevBuild!CC49</f>
        <v>0.62</v>
      </c>
      <c r="CD15" s="541">
        <f>+RevBuild!CD49</f>
        <v>0.62</v>
      </c>
      <c r="CE15" s="541">
        <f>+RevBuild!CE49</f>
        <v>0.62</v>
      </c>
      <c r="CF15" s="540">
        <f>+RevBuild!CF49</f>
        <v>0.62</v>
      </c>
      <c r="CG15" s="565">
        <f>+RevBuild!CG49</f>
        <v>0.62000000000000011</v>
      </c>
      <c r="CH15" s="541"/>
      <c r="CI15" s="594">
        <f>+RevBuild!CI49</f>
        <v>0.5</v>
      </c>
      <c r="CJ15" s="541">
        <f>+RevBuild!CJ49</f>
        <v>0.5</v>
      </c>
      <c r="CK15" s="541">
        <f>+RevBuild!CK49</f>
        <v>0.5</v>
      </c>
      <c r="CL15" s="540">
        <f>+RevBuild!CL49</f>
        <v>0.5</v>
      </c>
      <c r="CM15" s="565">
        <f>+RevBuild!CM49</f>
        <v>0.5</v>
      </c>
      <c r="CN15" s="174"/>
      <c r="CO15" s="2081" t="s">
        <v>539</v>
      </c>
      <c r="CP15" s="2072"/>
      <c r="CQ15" s="2072"/>
      <c r="CR15" s="2072"/>
      <c r="CS15" s="2072"/>
      <c r="CT15" s="2072"/>
      <c r="CU15" s="2072"/>
      <c r="CV15" s="2072"/>
      <c r="CW15" s="2072"/>
      <c r="CX15" s="2073" t="s">
        <v>528</v>
      </c>
      <c r="CY15" s="2073" t="s">
        <v>528</v>
      </c>
      <c r="CZ15" s="2073" t="s">
        <v>528</v>
      </c>
      <c r="DA15" s="2073" t="s">
        <v>528</v>
      </c>
      <c r="DB15" s="2073">
        <f t="shared" si="5"/>
        <v>-0.19449231922068211</v>
      </c>
      <c r="DC15" s="2073">
        <f t="shared" si="5"/>
        <v>0.20235294117646963</v>
      </c>
      <c r="DD15" s="2073">
        <f t="shared" si="5"/>
        <v>0.12550241484787369</v>
      </c>
      <c r="DE15" s="2073">
        <f t="shared" si="5"/>
        <v>0.23147206028740552</v>
      </c>
      <c r="DF15" s="2073">
        <f t="shared" si="6"/>
        <v>0.25506502258853442</v>
      </c>
      <c r="DG15" s="2073">
        <f t="shared" si="7"/>
        <v>-3.715890493968612E-2</v>
      </c>
      <c r="DH15" s="2073">
        <f t="shared" si="7"/>
        <v>0.13062916319934925</v>
      </c>
      <c r="DI15" s="2073">
        <f t="shared" si="7"/>
        <v>0.13081923678603349</v>
      </c>
      <c r="DJ15" s="2073">
        <f t="shared" si="8"/>
        <v>0.08</v>
      </c>
      <c r="DK15" s="2073">
        <f t="shared" si="9"/>
        <v>0.16983967134191821</v>
      </c>
      <c r="DL15" s="2073">
        <f t="shared" si="10"/>
        <v>0.17</v>
      </c>
      <c r="DM15" s="2073">
        <f t="shared" si="11"/>
        <v>-0.15</v>
      </c>
      <c r="DN15" s="2073">
        <f t="shared" si="12"/>
        <v>0</v>
      </c>
      <c r="DO15" s="2073">
        <f t="shared" si="13"/>
        <v>0</v>
      </c>
      <c r="DP15" s="2073">
        <f t="shared" si="14"/>
        <v>0</v>
      </c>
      <c r="DQ15" s="2073">
        <f t="shared" si="15"/>
        <v>0</v>
      </c>
      <c r="DR15" s="2370"/>
    </row>
    <row r="16" spans="1:122">
      <c r="A16" s="490" t="s">
        <v>107</v>
      </c>
      <c r="B16" s="539"/>
      <c r="C16" s="543"/>
      <c r="D16" s="544"/>
      <c r="E16" s="544"/>
      <c r="F16" s="545"/>
      <c r="G16" s="546"/>
      <c r="H16" s="539"/>
      <c r="I16" s="543"/>
      <c r="J16" s="544"/>
      <c r="K16" s="544"/>
      <c r="L16" s="545"/>
      <c r="M16" s="545"/>
      <c r="N16" s="541"/>
      <c r="O16" s="543"/>
      <c r="P16" s="544"/>
      <c r="Q16" s="544"/>
      <c r="R16" s="545"/>
      <c r="S16" s="546"/>
      <c r="T16" s="541"/>
      <c r="U16" s="547"/>
      <c r="V16" s="542"/>
      <c r="W16" s="542"/>
      <c r="X16" s="542"/>
      <c r="Y16" s="1699"/>
      <c r="Z16" s="541"/>
      <c r="AA16" s="547"/>
      <c r="AB16" s="542"/>
      <c r="AC16" s="542"/>
      <c r="AD16" s="548"/>
      <c r="AE16" s="549"/>
      <c r="AF16" s="541"/>
      <c r="AG16" s="1700" t="str">
        <f>RevBuild!AG53</f>
        <v>NA</v>
      </c>
      <c r="AH16" s="1701" t="str">
        <f>RevBuild!AH53</f>
        <v>NA</v>
      </c>
      <c r="AI16" s="1701" t="str">
        <f>RevBuild!AI53</f>
        <v>NA</v>
      </c>
      <c r="AJ16" s="1702" t="str">
        <f>RevBuild!AJ53</f>
        <v>NA</v>
      </c>
      <c r="AK16" s="1699" t="str">
        <f>RevBuild!AK53</f>
        <v>NA</v>
      </c>
      <c r="AL16" s="542"/>
      <c r="AM16" s="547">
        <f>RevBuild!AM53</f>
        <v>5.7931956630968708E-2</v>
      </c>
      <c r="AN16" s="542">
        <f>RevBuild!AN53</f>
        <v>7.120650245360538E-2</v>
      </c>
      <c r="AO16" s="542">
        <f>RevBuild!AO53</f>
        <v>8.2703912400591453E-2</v>
      </c>
      <c r="AP16" s="548">
        <f>RevBuild!AP53</f>
        <v>0.10060786770954862</v>
      </c>
      <c r="AQ16" s="549">
        <f>RevBuild!AQ53</f>
        <v>7.817791358342846E-2</v>
      </c>
      <c r="AR16" s="541"/>
      <c r="AS16" s="547">
        <f>RevBuild!AS53</f>
        <v>7.9509465581639835E-2</v>
      </c>
      <c r="AT16" s="542">
        <f>RevBuild!AT53</f>
        <v>6.48047613302771E-2</v>
      </c>
      <c r="AU16" s="542">
        <f>RevBuild!AU53</f>
        <v>9.1124097153988101E-2</v>
      </c>
      <c r="AV16" s="548">
        <f>RevBuild!AV53</f>
        <v>5.2909658713454641E-2</v>
      </c>
      <c r="AW16" s="549">
        <f>RevBuild!AW53</f>
        <v>7.1919342981157514E-2</v>
      </c>
      <c r="AX16" s="541"/>
      <c r="AY16" s="594">
        <f>RevBuild!AY53</f>
        <v>9.8726114649681618E-2</v>
      </c>
      <c r="AZ16" s="541">
        <f>RevBuild!AZ53</f>
        <v>6.7692307692307649E-2</v>
      </c>
      <c r="BA16" s="541">
        <f>RevBuild!BA53</f>
        <v>8.0357142857142863E-2</v>
      </c>
      <c r="BB16" s="540">
        <f>RevBuild!BB53</f>
        <v>0.10843373493975897</v>
      </c>
      <c r="BC16" s="565">
        <f>RevBuild!BC53</f>
        <v>8.909166320877665E-2</v>
      </c>
      <c r="BD16" s="541"/>
      <c r="BE16" s="594">
        <f>RevBuild!BE53</f>
        <v>0.1027190332326284</v>
      </c>
      <c r="BF16" s="541">
        <f>RevBuild!BF53</f>
        <v>9.6573208722741333E-2</v>
      </c>
      <c r="BG16" s="541">
        <f>RevBuild!BG53</f>
        <v>8.4821428571428534E-2</v>
      </c>
      <c r="BH16" s="540">
        <f>RevBuild!BH53</f>
        <v>7.2999999999999995E-2</v>
      </c>
      <c r="BI16" s="565">
        <f>RevBuild!BI53</f>
        <v>8.8940416856202076E-2</v>
      </c>
      <c r="BJ16" s="541"/>
      <c r="BK16" s="594">
        <f>RevBuild!BK53</f>
        <v>7.1999999999999995E-2</v>
      </c>
      <c r="BL16" s="541">
        <f>RevBuild!BL53</f>
        <v>0.1</v>
      </c>
      <c r="BM16" s="541">
        <f>RevBuild!BM53</f>
        <v>0.08</v>
      </c>
      <c r="BN16" s="540">
        <f>RevBuild!BN53</f>
        <v>0.08</v>
      </c>
      <c r="BO16" s="565">
        <f>RevBuild!BO53</f>
        <v>8.3041149575440898E-2</v>
      </c>
      <c r="BP16" s="541"/>
      <c r="BQ16" s="594">
        <f>RevBuild!BQ53</f>
        <v>8.0876033057851265E-2</v>
      </c>
      <c r="BR16" s="541">
        <f>RevBuild!BR53</f>
        <v>0.11</v>
      </c>
      <c r="BS16" s="541">
        <f>RevBuild!BS53</f>
        <v>0.12</v>
      </c>
      <c r="BT16" s="540">
        <f>RevBuild!BT53</f>
        <v>0.12</v>
      </c>
      <c r="BU16" s="565">
        <f>RevBuild!BU53</f>
        <v>0.10841427464101383</v>
      </c>
      <c r="BV16" s="541"/>
      <c r="BW16" s="594">
        <f>RevBuild!BW53</f>
        <v>0.08</v>
      </c>
      <c r="BX16" s="541">
        <f>RevBuild!BX53</f>
        <v>0.08</v>
      </c>
      <c r="BY16" s="541">
        <f>RevBuild!BY53</f>
        <v>0.08</v>
      </c>
      <c r="BZ16" s="540">
        <f>RevBuild!BZ53</f>
        <v>0.08</v>
      </c>
      <c r="CA16" s="565">
        <f>RevBuild!CA53</f>
        <v>7.9999999999999988E-2</v>
      </c>
      <c r="CB16" s="541"/>
      <c r="CC16" s="594">
        <f>RevBuild!CC53</f>
        <v>7.4999999999999997E-2</v>
      </c>
      <c r="CD16" s="541">
        <f>RevBuild!CD53</f>
        <v>7.4999999999999997E-2</v>
      </c>
      <c r="CE16" s="541">
        <f>RevBuild!CE53</f>
        <v>7.4999999999999997E-2</v>
      </c>
      <c r="CF16" s="540">
        <f>RevBuild!CF53</f>
        <v>7.4999999999999997E-2</v>
      </c>
      <c r="CG16" s="565">
        <f>RevBuild!CG53</f>
        <v>7.5000000000000011E-2</v>
      </c>
      <c r="CH16" s="541"/>
      <c r="CI16" s="594">
        <f>RevBuild!CI53</f>
        <v>7.4999999999999997E-2</v>
      </c>
      <c r="CJ16" s="541">
        <f>RevBuild!CJ53</f>
        <v>7.4999999999999997E-2</v>
      </c>
      <c r="CK16" s="541">
        <f>RevBuild!CK53</f>
        <v>7.4999999999999997E-2</v>
      </c>
      <c r="CL16" s="540">
        <f>RevBuild!CL53</f>
        <v>7.4999999999999997E-2</v>
      </c>
      <c r="CM16" s="565">
        <f>RevBuild!CM53</f>
        <v>7.4999999999999983E-2</v>
      </c>
      <c r="CN16" s="174"/>
      <c r="CO16" s="2082" t="s">
        <v>107</v>
      </c>
      <c r="CP16" s="2074"/>
      <c r="CQ16" s="2074"/>
      <c r="CR16" s="2074"/>
      <c r="CS16" s="2074"/>
      <c r="CT16" s="2074">
        <f>+AM16</f>
        <v>5.7931956630968708E-2</v>
      </c>
      <c r="CU16" s="2074">
        <f>+AN16</f>
        <v>7.120650245360538E-2</v>
      </c>
      <c r="CV16" s="2074">
        <f>+AO16</f>
        <v>8.2703912400591453E-2</v>
      </c>
      <c r="CW16" s="2074">
        <f>+AP16</f>
        <v>0.10060786770954862</v>
      </c>
      <c r="CX16" s="2075">
        <f>+AS16</f>
        <v>7.9509465581639835E-2</v>
      </c>
      <c r="CY16" s="2075">
        <f>+AT16</f>
        <v>6.48047613302771E-2</v>
      </c>
      <c r="CZ16" s="2075">
        <f>+AU16</f>
        <v>9.1124097153988101E-2</v>
      </c>
      <c r="DA16" s="2075">
        <f>+AV16</f>
        <v>5.2909658713454641E-2</v>
      </c>
      <c r="DB16" s="2075">
        <f t="shared" si="5"/>
        <v>9.8726114649681618E-2</v>
      </c>
      <c r="DC16" s="2075">
        <f t="shared" si="5"/>
        <v>6.7692307692307649E-2</v>
      </c>
      <c r="DD16" s="2075">
        <f t="shared" si="5"/>
        <v>8.0357142857142863E-2</v>
      </c>
      <c r="DE16" s="2075">
        <f t="shared" si="5"/>
        <v>0.10843373493975897</v>
      </c>
      <c r="DF16" s="2075">
        <f t="shared" si="6"/>
        <v>0.1027190332326284</v>
      </c>
      <c r="DG16" s="2075">
        <f t="shared" si="7"/>
        <v>9.6573208722741333E-2</v>
      </c>
      <c r="DH16" s="2075">
        <f t="shared" si="7"/>
        <v>8.4821428571428534E-2</v>
      </c>
      <c r="DI16" s="2075">
        <f t="shared" si="7"/>
        <v>7.2999999999999995E-2</v>
      </c>
      <c r="DJ16" s="2075">
        <f t="shared" si="8"/>
        <v>7.1999999999999995E-2</v>
      </c>
      <c r="DK16" s="2075">
        <f t="shared" si="9"/>
        <v>0.1</v>
      </c>
      <c r="DL16" s="2075">
        <f t="shared" si="10"/>
        <v>0.08</v>
      </c>
      <c r="DM16" s="2075">
        <f t="shared" si="11"/>
        <v>0.08</v>
      </c>
      <c r="DN16" s="2075">
        <f t="shared" si="12"/>
        <v>8.0876033057851265E-2</v>
      </c>
      <c r="DO16" s="2075">
        <f t="shared" si="13"/>
        <v>0.11</v>
      </c>
      <c r="DP16" s="2075">
        <f t="shared" si="14"/>
        <v>0.12</v>
      </c>
      <c r="DQ16" s="2075">
        <f t="shared" si="15"/>
        <v>0.12</v>
      </c>
      <c r="DR16" s="2370"/>
    </row>
    <row r="17" spans="1:122">
      <c r="A17" s="2160" t="s">
        <v>618</v>
      </c>
      <c r="B17" s="2161"/>
      <c r="C17" s="2162">
        <v>6.6829477292202261E-2</v>
      </c>
      <c r="D17" s="2163">
        <v>4.5375302663438269E-2</v>
      </c>
      <c r="E17" s="2163">
        <v>8.8958837772397117E-2</v>
      </c>
      <c r="F17" s="2164">
        <v>6.8855421686746979E-2</v>
      </c>
      <c r="G17" s="2165">
        <v>6.7385381057711594E-2</v>
      </c>
      <c r="H17" s="2161"/>
      <c r="I17" s="2162">
        <v>0.115</v>
      </c>
      <c r="J17" s="2163">
        <v>0.13500000000000001</v>
      </c>
      <c r="K17" s="2163">
        <v>0.10500000000000001</v>
      </c>
      <c r="L17" s="2164">
        <v>7.5000000000000011E-2</v>
      </c>
      <c r="M17" s="2165">
        <v>0.1075</v>
      </c>
      <c r="N17" s="2161"/>
      <c r="O17" s="2162">
        <f>IS!O39-O24-O23</f>
        <v>-1.6935667448019723E-2</v>
      </c>
      <c r="P17" s="2163">
        <f>IS!P39-P24-P23</f>
        <v>-9.8102817852733393E-2</v>
      </c>
      <c r="Q17" s="2163">
        <f>IS!Q39-Q24-Q23</f>
        <v>-9.973409295946252E-2</v>
      </c>
      <c r="R17" s="2164">
        <f>IS!R39-R24-R23</f>
        <v>-5.8417227630249285E-2</v>
      </c>
      <c r="S17" s="2165">
        <f>IS!S39-S24-S23</f>
        <v>-6.8129191930444172E-2</v>
      </c>
      <c r="T17" s="2166"/>
      <c r="U17" s="2162">
        <f>(RevBuild!O8/RevBuild!O18*RevBuild!U23)+(RevBuild!O9/RevBuild!O18*RevBuild!U27)+(RevBuild!O10/RevBuild!O18*RevBuild!U34)</f>
        <v>6.752380952380943E-2</v>
      </c>
      <c r="V17" s="2163">
        <f>(RevBuild!P8/RevBuild!P18*RevBuild!V23)+(RevBuild!P9/RevBuild!P18*RevBuild!V27)+(RevBuild!P10/RevBuild!P18*RevBuild!V34)</f>
        <v>0.10947791164658634</v>
      </c>
      <c r="W17" s="2163">
        <f>(RevBuild!Q8/RevBuild!Q18*RevBuild!W23)+(RevBuild!Q9/RevBuild!Q18*RevBuild!W27)+(RevBuild!Q10/RevBuild!Q18*RevBuild!W34)</f>
        <v>0.15993951612903221</v>
      </c>
      <c r="X17" s="2163">
        <f>(RevBuild!R8/RevBuild!R18*RevBuild!X23)+(RevBuild!R9/RevBuild!R18*RevBuild!X27)+(RevBuild!R10/RevBuild!R18*RevBuild!X34)</f>
        <v>0.17988970588235303</v>
      </c>
      <c r="Y17" s="2165">
        <f>(RevBuild!S8/RevBuild!S18*RevBuild!Y23)+(RevBuild!S9/RevBuild!S18*RevBuild!Y27)+(RevBuild!S10/RevBuild!S18*RevBuild!Y34)</f>
        <v>0.12950072709646149</v>
      </c>
      <c r="Z17" s="2166"/>
      <c r="AA17" s="2162">
        <f>(RevBuild!U8/RevBuild!U18*RevBuild!AA23)+(RevBuild!U9/RevBuild!U18*RevBuild!AA27)+(RevBuild!U10/RevBuild!U18*RevBuild!AA34)</f>
        <v>8.253424657534246E-2</v>
      </c>
      <c r="AB17" s="2163">
        <f>(RevBuild!V8/RevBuild!V18*RevBuild!AB23)+(RevBuild!V9/RevBuild!V18*RevBuild!AB27)+(RevBuild!V10/RevBuild!V18*RevBuild!AB34)</f>
        <v>0.11519230769230769</v>
      </c>
      <c r="AC17" s="2163">
        <f>(RevBuild!W8/RevBuild!W18*RevBuild!AC23)+(RevBuild!W9/RevBuild!W18*RevBuild!AC27)+(RevBuild!W10/RevBuild!W18*RevBuild!AC34)</f>
        <v>8.654338549075391E-2</v>
      </c>
      <c r="AD17" s="2164">
        <f>(RevBuild!X8/RevBuild!X18*RevBuild!AD23)+(RevBuild!X9/RevBuild!X18*RevBuild!AD27)+(RevBuild!X10/RevBuild!X18*RevBuild!AD34)</f>
        <v>3.9804878048780454E-2</v>
      </c>
      <c r="AE17" s="2165">
        <f>(RevBuild!Y8/RevBuild!Y18*RevBuild!AE23)+(RevBuild!Y9/RevBuild!Y18*RevBuild!AE27)+(RevBuild!Y10/RevBuild!Y18*RevBuild!AE34)</f>
        <v>7.7118327734229192E-2</v>
      </c>
      <c r="AF17" s="2166"/>
      <c r="AG17" s="2162">
        <f>(RevBuild!AA8/RevBuild!AA18*RevBuild!AG23)+(RevBuild!AA9/RevBuild!AA18*RevBuild!AG27)+(RevBuild!AA10/RevBuild!AA18*RevBuild!AG34)</f>
        <v>0.12899070385126163</v>
      </c>
      <c r="AH17" s="2163">
        <f>(RevBuild!AB8/RevBuild!AB18*RevBuild!AH23)+(RevBuild!AB9/RevBuild!AB18*RevBuild!AH27)+(RevBuild!AB10/RevBuild!AB18*RevBuild!AH34)</f>
        <v>2.3349112426035531E-2</v>
      </c>
      <c r="AI17" s="2163">
        <f>(RevBuild!AC8/RevBuild!AC18*RevBuild!AI23)+(RevBuild!AC9/RevBuild!AC18*RevBuild!AI27)+(RevBuild!AC10/RevBuild!AC18*RevBuild!AI34)</f>
        <v>3.5845693779904347E-2</v>
      </c>
      <c r="AJ17" s="2164">
        <f>(RevBuild!AD8/RevBuild!AD18*RevBuild!AJ23)+(RevBuild!AD9/RevBuild!AD18*RevBuild!AJ27)+(RevBuild!AD10/RevBuild!AD18*RevBuild!AJ34)</f>
        <v>1.598173515981733E-2</v>
      </c>
      <c r="AK17" s="2165">
        <f>(RevBuild!AE8/RevBuild!AE18*RevBuild!AK23)+(RevBuild!AE9/RevBuild!AE18*RevBuild!AK27)+(RevBuild!AE10/RevBuild!AE18*RevBuild!AK34)</f>
        <v>5.1897280966767288E-2</v>
      </c>
      <c r="AL17" s="2166"/>
      <c r="AM17" s="2162">
        <f>(RevBuild!AG8/RevBuild!AG18*RevBuild!AM23)+(RevBuild!AG9/RevBuild!AG18*RevBuild!AM27)+(RevBuild!AG10/RevBuild!AG18*RevBuild!AM34)</f>
        <v>1.9771295215869327E-2</v>
      </c>
      <c r="AN17" s="2163">
        <f>(RevBuild!AH8/RevBuild!AH18*RevBuild!AN23)+(RevBuild!AH9/RevBuild!AH18*RevBuild!AN27)+(RevBuild!AH10/RevBuild!AH18*RevBuild!AN34)</f>
        <v>4.4592765460910178E-2</v>
      </c>
      <c r="AO17" s="2163">
        <f>(RevBuild!AI8/RevBuild!AI18*RevBuild!AO23)+(RevBuild!AI9/RevBuild!AI18*RevBuild!AO27)+(RevBuild!AI10/RevBuild!AI18*RevBuild!AO34)</f>
        <v>3.8724373576309777E-2</v>
      </c>
      <c r="AP17" s="2164">
        <f>(RevBuild!AJ8/RevBuild!AJ18*RevBuild!AP23)+(RevBuild!AJ9/RevBuild!AJ18*RevBuild!AP27)+(RevBuild!AJ10/RevBuild!AJ18*RevBuild!AP34)</f>
        <v>7.022082018927446E-2</v>
      </c>
      <c r="AQ17" s="2165">
        <f>(RevBuild!AK8/RevBuild!AK18*RevBuild!AQ23)+(RevBuild!AK9/RevBuild!AK18*RevBuild!AQ27)+(RevBuild!AK10/RevBuild!AK18*RevBuild!AQ34)</f>
        <v>5.0155474627710875E-2</v>
      </c>
      <c r="AR17" s="2166"/>
      <c r="AS17" s="2162">
        <f>(RevBuild!AM11/RevBuild!AM18*RevBuild!AS38)+(RevBuild!AM10/RevBuild!AM18*RevBuild!AS34)</f>
        <v>6.3674321503131473E-2</v>
      </c>
      <c r="AT17" s="2163">
        <f>(RevBuild!AN11/RevBuild!AN18*RevBuild!AT38)+(RevBuild!AN10/RevBuild!AN18*RevBuild!AT34)</f>
        <v>2.2633744855967135E-2</v>
      </c>
      <c r="AU17" s="2163">
        <f>IS!AU39-AU24-AU23</f>
        <v>5.0473186119873878E-2</v>
      </c>
      <c r="AV17" s="2164">
        <f>IS!AV39-AV24-AV23</f>
        <v>3.8499506416584381E-2</v>
      </c>
      <c r="AW17" s="2165">
        <f>IS!AW39-AW24-AW23</f>
        <v>4.3656908063687695E-2</v>
      </c>
      <c r="AX17" s="2166"/>
      <c r="AY17" s="2162">
        <f>RevBuild!AY57</f>
        <v>6.819444444444453E-2</v>
      </c>
      <c r="AZ17" s="2163">
        <f>RevBuild!AZ57</f>
        <v>6.4726720647773295E-2</v>
      </c>
      <c r="BA17" s="2163">
        <f>RevBuild!BA57</f>
        <v>7.0505450941526313E-2</v>
      </c>
      <c r="BB17" s="2164">
        <f>RevBuild!BB57</f>
        <v>6.1810162991371029E-2</v>
      </c>
      <c r="BC17" s="2165">
        <f>RevBuild!BC57</f>
        <v>6.6858420420660189E-2</v>
      </c>
      <c r="BD17" s="2166"/>
      <c r="BE17" s="2162">
        <f>RevBuild!BE57</f>
        <v>6.3735867446393757E-2</v>
      </c>
      <c r="BF17" s="2163">
        <f>RevBuild!BF57</f>
        <v>4.0700579563507887E-2</v>
      </c>
      <c r="BG17" s="2163">
        <f>RevBuild!BG57</f>
        <v>3.0571992110453625E-2</v>
      </c>
      <c r="BH17" s="2164">
        <f>RevBuild!BH57</f>
        <v>6.4073429951690838E-2</v>
      </c>
      <c r="BI17" s="2165">
        <f>RevBuild!BI57</f>
        <v>5.0200012344765371E-2</v>
      </c>
      <c r="BJ17" s="2166"/>
      <c r="BK17" s="2162">
        <f>RevBuild!BK57</f>
        <v>5.2856379354721483E-2</v>
      </c>
      <c r="BL17" s="2163">
        <f>RevBuild!BL57</f>
        <v>8.6557409224730125E-2</v>
      </c>
      <c r="BM17" s="2163">
        <f>RevBuild!BM57</f>
        <v>7.4885057471264393E-2</v>
      </c>
      <c r="BN17" s="2164">
        <f>RevBuild!BN57</f>
        <v>7.6228622862286224E-2</v>
      </c>
      <c r="BO17" s="2165">
        <f>RevBuild!BO57</f>
        <v>7.2912456827797498E-2</v>
      </c>
      <c r="BP17" s="2166"/>
      <c r="BQ17" s="2162">
        <f>RevBuild!BQ57</f>
        <v>6.6609184629803142E-2</v>
      </c>
      <c r="BR17" s="2163">
        <f>RevBuild!BR57</f>
        <v>9.2466341149272546E-2</v>
      </c>
      <c r="BS17" s="2163">
        <f>RevBuild!BS57</f>
        <v>7.9871979573334556E-2</v>
      </c>
      <c r="BT17" s="2164">
        <f>RevBuild!BT57</f>
        <v>7.7378313937735588E-2</v>
      </c>
      <c r="BU17" s="2165">
        <f>RevBuild!BU57</f>
        <v>7.9382067105040588E-2</v>
      </c>
      <c r="BV17" s="2166"/>
      <c r="BW17" s="2162">
        <f>RevBuild!BW57</f>
        <v>6.737065054400812E-2</v>
      </c>
      <c r="BX17" s="2163">
        <f>RevBuild!BX57</f>
        <v>6.7564637790029636E-2</v>
      </c>
      <c r="BY17" s="2163">
        <f>RevBuild!BY57</f>
        <v>8.0929414925644011E-2</v>
      </c>
      <c r="BZ17" s="2164">
        <f>RevBuild!BZ57</f>
        <v>7.8350668099167659E-2</v>
      </c>
      <c r="CA17" s="2165">
        <f>RevBuild!CA57</f>
        <v>7.3826529662469359E-2</v>
      </c>
      <c r="CB17" s="2163"/>
      <c r="CC17" s="2162">
        <f>RevBuild!CC57</f>
        <v>5.8829060897070906E-2</v>
      </c>
      <c r="CD17" s="2163">
        <f>RevBuild!CD57</f>
        <v>6.1812036235380383E-2</v>
      </c>
      <c r="CE17" s="2163">
        <f>RevBuild!CE57</f>
        <v>6.9994418100644412E-2</v>
      </c>
      <c r="CF17" s="2164">
        <f>RevBuild!CF57</f>
        <v>6.6380922613676341E-2</v>
      </c>
      <c r="CG17" s="2165">
        <f>RevBuild!CG57</f>
        <v>6.4377085979669735E-2</v>
      </c>
      <c r="CH17" s="2163"/>
      <c r="CI17" s="2162">
        <f>RevBuild!CI57</f>
        <v>6.0846029305965083E-2</v>
      </c>
      <c r="CJ17" s="2163">
        <f>RevBuild!CJ57</f>
        <v>6.4122236833090263E-2</v>
      </c>
      <c r="CK17" s="2163">
        <f>RevBuild!CK57</f>
        <v>7.3692900926236815E-2</v>
      </c>
      <c r="CL17" s="2164">
        <f>RevBuild!CL57</f>
        <v>6.9465738370921556E-2</v>
      </c>
      <c r="CM17" s="2165">
        <f>RevBuild!CM57</f>
        <v>6.7192550886070568E-2</v>
      </c>
      <c r="CN17" s="552"/>
      <c r="CO17" s="2083" t="s">
        <v>221</v>
      </c>
      <c r="CP17" s="2076">
        <f t="shared" ref="CP17:CS17" si="16">AG17</f>
        <v>0.12899070385126163</v>
      </c>
      <c r="CQ17" s="2076">
        <f t="shared" si="16"/>
        <v>2.3349112426035531E-2</v>
      </c>
      <c r="CR17" s="2076">
        <f t="shared" si="16"/>
        <v>3.5845693779904347E-2</v>
      </c>
      <c r="CS17" s="2076">
        <f t="shared" si="16"/>
        <v>1.598173515981733E-2</v>
      </c>
      <c r="CT17" s="2076">
        <f t="shared" ref="CT17:CW17" si="17">AM17</f>
        <v>1.9771295215869327E-2</v>
      </c>
      <c r="CU17" s="2076">
        <f t="shared" si="17"/>
        <v>4.4592765460910178E-2</v>
      </c>
      <c r="CV17" s="2076">
        <f t="shared" si="17"/>
        <v>3.8724373576309777E-2</v>
      </c>
      <c r="CW17" s="2076">
        <f t="shared" si="17"/>
        <v>7.022082018927446E-2</v>
      </c>
      <c r="CX17" s="2077">
        <f t="shared" ref="CX17:DA17" si="18">AS17</f>
        <v>6.3674321503131473E-2</v>
      </c>
      <c r="CY17" s="2077">
        <f t="shared" si="18"/>
        <v>2.2633744855967135E-2</v>
      </c>
      <c r="CZ17" s="2077">
        <f t="shared" si="18"/>
        <v>5.0473186119873878E-2</v>
      </c>
      <c r="DA17" s="2077">
        <f t="shared" si="18"/>
        <v>3.8499506416584381E-2</v>
      </c>
      <c r="DB17" s="2077">
        <f t="shared" si="5"/>
        <v>6.819444444444453E-2</v>
      </c>
      <c r="DC17" s="2077">
        <f t="shared" si="5"/>
        <v>6.4726720647773295E-2</v>
      </c>
      <c r="DD17" s="2077">
        <f t="shared" si="5"/>
        <v>7.0505450941526313E-2</v>
      </c>
      <c r="DE17" s="2077">
        <f t="shared" si="5"/>
        <v>6.1810162991371029E-2</v>
      </c>
      <c r="DF17" s="2077">
        <f t="shared" si="6"/>
        <v>6.3735867446393757E-2</v>
      </c>
      <c r="DG17" s="2077">
        <f t="shared" si="7"/>
        <v>4.0700579563507887E-2</v>
      </c>
      <c r="DH17" s="2077">
        <f t="shared" si="7"/>
        <v>3.0571992110453625E-2</v>
      </c>
      <c r="DI17" s="2077">
        <f t="shared" si="7"/>
        <v>6.4073429951690838E-2</v>
      </c>
      <c r="DJ17" s="2077">
        <f t="shared" si="8"/>
        <v>5.2856379354721483E-2</v>
      </c>
      <c r="DK17" s="2077">
        <f t="shared" si="9"/>
        <v>8.6557409224730125E-2</v>
      </c>
      <c r="DL17" s="2077">
        <f t="shared" si="10"/>
        <v>7.4885057471264393E-2</v>
      </c>
      <c r="DM17" s="2077">
        <f t="shared" si="11"/>
        <v>7.6228622862286224E-2</v>
      </c>
      <c r="DN17" s="2077">
        <f t="shared" si="12"/>
        <v>6.6609184629803142E-2</v>
      </c>
      <c r="DO17" s="2077">
        <f t="shared" si="13"/>
        <v>9.2466341149272546E-2</v>
      </c>
      <c r="DP17" s="2077">
        <f t="shared" si="14"/>
        <v>7.9871979573334556E-2</v>
      </c>
      <c r="DQ17" s="2077">
        <f t="shared" si="15"/>
        <v>7.7378313937735588E-2</v>
      </c>
      <c r="DR17" s="2371"/>
    </row>
    <row r="18" spans="1:122">
      <c r="A18" s="2160" t="s">
        <v>612</v>
      </c>
      <c r="B18" s="2161"/>
      <c r="C18" s="2162"/>
      <c r="D18" s="2163"/>
      <c r="E18" s="2163"/>
      <c r="F18" s="2164"/>
      <c r="G18" s="2165"/>
      <c r="H18" s="2161"/>
      <c r="I18" s="2162"/>
      <c r="J18" s="2163"/>
      <c r="K18" s="2163"/>
      <c r="L18" s="2164"/>
      <c r="M18" s="2165"/>
      <c r="N18" s="2161"/>
      <c r="O18" s="2162"/>
      <c r="P18" s="2163"/>
      <c r="Q18" s="2163"/>
      <c r="R18" s="2164"/>
      <c r="S18" s="2165"/>
      <c r="T18" s="2166"/>
      <c r="U18" s="2162"/>
      <c r="V18" s="2163"/>
      <c r="W18" s="2163"/>
      <c r="X18" s="2163"/>
      <c r="Y18" s="2165"/>
      <c r="Z18" s="2166"/>
      <c r="AA18" s="2162"/>
      <c r="AB18" s="2163"/>
      <c r="AC18" s="2163"/>
      <c r="AD18" s="2164"/>
      <c r="AE18" s="2165"/>
      <c r="AF18" s="2166"/>
      <c r="AG18" s="2162"/>
      <c r="AH18" s="2163"/>
      <c r="AI18" s="2163"/>
      <c r="AJ18" s="2164"/>
      <c r="AK18" s="2165"/>
      <c r="AL18" s="2166"/>
      <c r="AM18" s="2162"/>
      <c r="AN18" s="2163"/>
      <c r="AO18" s="2163"/>
      <c r="AP18" s="2164"/>
      <c r="AQ18" s="2165"/>
      <c r="AR18" s="2166"/>
      <c r="AS18" s="2162"/>
      <c r="AT18" s="2163"/>
      <c r="AU18" s="2163"/>
      <c r="AV18" s="2164"/>
      <c r="AW18" s="2165"/>
      <c r="AX18" s="2166"/>
      <c r="AY18" s="2162"/>
      <c r="AZ18" s="2163"/>
      <c r="BA18" s="2163"/>
      <c r="BB18" s="2164"/>
      <c r="BC18" s="2165"/>
      <c r="BD18" s="2166"/>
      <c r="BE18" s="2162"/>
      <c r="BF18" s="2163"/>
      <c r="BG18" s="2163"/>
      <c r="BH18" s="2164"/>
      <c r="BI18" s="2165"/>
      <c r="BJ18" s="2166"/>
      <c r="BK18" s="2162"/>
      <c r="BL18" s="2163"/>
      <c r="BM18" s="2163"/>
      <c r="BN18" s="2164"/>
      <c r="BO18" s="2165"/>
      <c r="BP18" s="2166"/>
      <c r="BQ18" s="2162"/>
      <c r="BR18" s="2163"/>
      <c r="BS18" s="2163"/>
      <c r="BT18" s="2164"/>
      <c r="BU18" s="2165"/>
      <c r="BV18" s="2166"/>
      <c r="BW18" s="2162">
        <f>BW17-(1/RevBuild!BQ18)</f>
        <v>6.6544886712463946E-2</v>
      </c>
      <c r="BX18" s="2163">
        <f>BX17-(1/RevBuild!BR18)</f>
        <v>6.6768271709083574E-2</v>
      </c>
      <c r="BY18" s="2163">
        <f>BY17-(1/RevBuild!BS18)</f>
        <v>8.0124870462839712E-2</v>
      </c>
      <c r="BZ18" s="2164">
        <f>BZ17-(1/RevBuild!BT18)</f>
        <v>7.7592150984657854E-2</v>
      </c>
      <c r="CA18" s="2165">
        <f>CA17-(4/RevBuild!BU18)</f>
        <v>7.303098552245503E-2</v>
      </c>
      <c r="CB18" s="2163"/>
      <c r="CC18" s="2162">
        <f>CC17-(1/RevBuild!BW18)</f>
        <v>5.8055417897684224E-2</v>
      </c>
      <c r="CD18" s="2163">
        <f>CD17-(1/RevBuild!BX18)</f>
        <v>6.1066071023761333E-2</v>
      </c>
      <c r="CE18" s="2163">
        <f>CE17-(1/RevBuild!BY18)</f>
        <v>6.9250110052685845E-2</v>
      </c>
      <c r="CF18" s="2164">
        <f>CF17-(1/RevBuild!BZ18)</f>
        <v>6.5677517740893296E-2</v>
      </c>
      <c r="CG18" s="2165">
        <f>CG17-(4/RevBuild!CA18)</f>
        <v>6.3636114307181996E-2</v>
      </c>
      <c r="CH18" s="2163"/>
      <c r="CI18" s="2162">
        <f>CI17-(1/RevBuild!CC18)</f>
        <v>6.0115370290305628E-2</v>
      </c>
      <c r="CJ18" s="2163">
        <f>CJ17-(1/RevBuild!CD18)</f>
        <v>6.3419697036815353E-2</v>
      </c>
      <c r="CK18" s="2163">
        <f>CK17-(1/RevBuild!CE18)</f>
        <v>7.2997282299291269E-2</v>
      </c>
      <c r="CL18" s="2164">
        <f>CL17-(1/RevBuild!CF18)</f>
        <v>6.8806119600680421E-2</v>
      </c>
      <c r="CM18" s="2165">
        <f>CM17-(4/RevBuild!CG18)</f>
        <v>6.6496369724437371E-2</v>
      </c>
      <c r="CN18" s="552"/>
      <c r="CO18" s="2082" t="s">
        <v>222</v>
      </c>
      <c r="CP18" s="2074">
        <f>AG22</f>
        <v>0.13811420982735734</v>
      </c>
      <c r="CQ18" s="2074">
        <f>AH22</f>
        <v>1.4201183431952646E-2</v>
      </c>
      <c r="CR18" s="2074">
        <f>AI22</f>
        <v>5.0239234449760861E-2</v>
      </c>
      <c r="CS18" s="2074">
        <f>AJ22</f>
        <v>8.5616438356164393E-2</v>
      </c>
      <c r="CT18" s="2074">
        <f>AM22</f>
        <v>0.11785297549591589</v>
      </c>
      <c r="CU18" s="2074">
        <f>AN22</f>
        <v>0.13418903150525097</v>
      </c>
      <c r="CV18" s="2074">
        <f>AO22</f>
        <v>8.3143507972665232E-2</v>
      </c>
      <c r="CW18" s="2074">
        <f>AP22</f>
        <v>6.5194532071503719E-2</v>
      </c>
      <c r="CX18" s="2075">
        <f>AS22</f>
        <v>5.2192066805845538E-2</v>
      </c>
      <c r="CY18" s="2075">
        <f>AT22</f>
        <v>1.6460905349794164E-2</v>
      </c>
      <c r="CZ18" s="2075">
        <f>AU22</f>
        <v>6.0988433228180927E-2</v>
      </c>
      <c r="DA18" s="2075">
        <f>AV22</f>
        <v>2.9615004935834133E-2</v>
      </c>
      <c r="DB18" s="2075">
        <f>AY22</f>
        <v>1.7857142857142794E-2</v>
      </c>
      <c r="DC18" s="2075">
        <f>AZ22</f>
        <v>-2.5303643724696401E-2</v>
      </c>
      <c r="DD18" s="2075">
        <f>BA22</f>
        <v>4.9554013875123815E-3</v>
      </c>
      <c r="DE18" s="2075">
        <f>BB22</f>
        <v>-7.6701821668264669E-3</v>
      </c>
      <c r="DF18" s="2075">
        <f>BE22</f>
        <v>1.9493177387914784E-3</v>
      </c>
      <c r="DG18" s="2075">
        <f>BF22</f>
        <v>5.8151609553478645E-2</v>
      </c>
      <c r="DH18" s="2075">
        <f>BG22</f>
        <v>2.9585798816567976E-2</v>
      </c>
      <c r="DI18" s="2075">
        <f>BH22</f>
        <v>7.3429951690821227E-2</v>
      </c>
      <c r="DJ18" s="2075">
        <f>BK22</f>
        <v>3.7937743190661566E-2</v>
      </c>
      <c r="DK18" s="2075">
        <f>BL22</f>
        <v>8.1452404317958749E-2</v>
      </c>
      <c r="DL18" s="2075">
        <f>BM22</f>
        <v>6.7049808429118674E-2</v>
      </c>
      <c r="DM18" s="2075">
        <f>BN22</f>
        <v>7.0207020702070189E-2</v>
      </c>
      <c r="DN18" s="2075">
        <f>BQ22</f>
        <v>0.13495782567947523</v>
      </c>
      <c r="DO18" s="2075">
        <f>BR22</f>
        <v>0.13947723044146842</v>
      </c>
      <c r="DP18" s="2075">
        <f>BS22</f>
        <v>0.11574451099164684</v>
      </c>
      <c r="DQ18" s="2075">
        <f>BT22</f>
        <v>0.10879883538432944</v>
      </c>
      <c r="DR18" s="2371"/>
    </row>
    <row r="19" spans="1:122">
      <c r="A19" s="2160" t="s">
        <v>613</v>
      </c>
      <c r="B19" s="2161"/>
      <c r="C19" s="2162"/>
      <c r="D19" s="2163"/>
      <c r="E19" s="2163"/>
      <c r="F19" s="2164"/>
      <c r="G19" s="2165"/>
      <c r="H19" s="2161"/>
      <c r="I19" s="2162"/>
      <c r="J19" s="2163"/>
      <c r="K19" s="2163"/>
      <c r="L19" s="2164"/>
      <c r="M19" s="2165"/>
      <c r="N19" s="2161"/>
      <c r="O19" s="2162"/>
      <c r="P19" s="2163"/>
      <c r="Q19" s="2163"/>
      <c r="R19" s="2164"/>
      <c r="S19" s="2165"/>
      <c r="T19" s="2166"/>
      <c r="U19" s="2162"/>
      <c r="V19" s="2163"/>
      <c r="W19" s="2163"/>
      <c r="X19" s="2163"/>
      <c r="Y19" s="2165"/>
      <c r="Z19" s="2166"/>
      <c r="AA19" s="2162"/>
      <c r="AB19" s="2163"/>
      <c r="AC19" s="2163"/>
      <c r="AD19" s="2164"/>
      <c r="AE19" s="2165"/>
      <c r="AF19" s="2166"/>
      <c r="AG19" s="2162"/>
      <c r="AH19" s="2163"/>
      <c r="AI19" s="2163"/>
      <c r="AJ19" s="2164"/>
      <c r="AK19" s="2165"/>
      <c r="AL19" s="2166"/>
      <c r="AM19" s="2162"/>
      <c r="AN19" s="2163"/>
      <c r="AO19" s="2163"/>
      <c r="AP19" s="2164"/>
      <c r="AQ19" s="2165"/>
      <c r="AR19" s="2166"/>
      <c r="AS19" s="2162"/>
      <c r="AT19" s="2163"/>
      <c r="AU19" s="2163"/>
      <c r="AV19" s="2164"/>
      <c r="AW19" s="2165"/>
      <c r="AX19" s="2166"/>
      <c r="AY19" s="2162"/>
      <c r="AZ19" s="2163"/>
      <c r="BA19" s="2163"/>
      <c r="BB19" s="2164"/>
      <c r="BC19" s="2165"/>
      <c r="BD19" s="2166"/>
      <c r="BE19" s="2162"/>
      <c r="BF19" s="2163"/>
      <c r="BG19" s="2163"/>
      <c r="BH19" s="2164"/>
      <c r="BI19" s="2165"/>
      <c r="BJ19" s="2166"/>
      <c r="BK19" s="2162"/>
      <c r="BL19" s="2163"/>
      <c r="BM19" s="2163"/>
      <c r="BN19" s="2164"/>
      <c r="BO19" s="2165"/>
      <c r="BP19" s="2166"/>
      <c r="BQ19" s="2162"/>
      <c r="BR19" s="2163"/>
      <c r="BS19" s="2163"/>
      <c r="BT19" s="2164"/>
      <c r="BU19" s="2165"/>
      <c r="BV19" s="2166"/>
      <c r="BW19" s="2162">
        <f>BW17-(BW15*RevBuild!BQ16)/RevBuild!BQ18</f>
        <v>6.737065054400812E-2</v>
      </c>
      <c r="BX19" s="2163">
        <f>BX17-(BX15*RevBuild!BR16)/RevBuild!BR18</f>
        <v>6.7564637790029636E-2</v>
      </c>
      <c r="BY19" s="2163">
        <f>BY17-(BY15*RevBuild!BS16)/RevBuild!BS18</f>
        <v>6.7710293849747694E-2</v>
      </c>
      <c r="BZ19" s="2164">
        <f>BZ17-(BZ15*RevBuild!BT16)/RevBuild!BT18</f>
        <v>6.7888188825134213E-2</v>
      </c>
      <c r="CA19" s="2165">
        <f>CA17-(CA15*RevBuild!BU16)/RevBuild!BU18</f>
        <v>6.781541815014476E-2</v>
      </c>
      <c r="CB19" s="2166"/>
      <c r="CC19" s="2162">
        <f>CC17-(CC15*RevBuild!BW16)/RevBuild!BW18</f>
        <v>5.0607038665788487E-2</v>
      </c>
      <c r="CD19" s="2163">
        <f>CD17-(CD15*RevBuild!BX16)/RevBuild!BX18</f>
        <v>5.179210390359288E-2</v>
      </c>
      <c r="CE19" s="2163">
        <f>CE17-(CE15*RevBuild!BY16)/RevBuild!BY18</f>
        <v>5.158043179060115E-2</v>
      </c>
      <c r="CF19" s="2164">
        <f>CF17-(CF15*RevBuild!BZ16)/RevBuild!BZ18</f>
        <v>5.1772034268783081E-2</v>
      </c>
      <c r="CG19" s="2165">
        <f>CG17-(CG15*RevBuild!CA16)/RevBuild!CA18</f>
        <v>5.1490032960540597E-2</v>
      </c>
      <c r="CH19" s="2166"/>
      <c r="CI19" s="2162">
        <f>CI17-(CI15*RevBuild!CC16)/RevBuild!CC18</f>
        <v>5.0701167777245391E-2</v>
      </c>
      <c r="CJ19" s="2163">
        <f>CJ17-(CJ15*RevBuild!CD16)/RevBuild!CD18</f>
        <v>5.1793730177188052E-2</v>
      </c>
      <c r="CK19" s="2163">
        <f>CK17-(CK15*RevBuild!CE16)/RevBuild!CE18</f>
        <v>5.1209622782190337E-2</v>
      </c>
      <c r="CL19" s="2164">
        <f>CL17-(CL15*RevBuild!CF16)/RevBuild!CF18</f>
        <v>5.1568000952541972E-2</v>
      </c>
      <c r="CM19" s="2165">
        <f>CM17-(CM15*RevBuild!CG16)/RevBuild!CG18</f>
        <v>5.1373966821770721E-2</v>
      </c>
      <c r="CN19" s="552"/>
      <c r="CO19" s="2083"/>
      <c r="CP19" s="2076"/>
      <c r="CQ19" s="2076"/>
      <c r="CR19" s="2076"/>
      <c r="CS19" s="2076"/>
      <c r="CT19" s="2076"/>
      <c r="CU19" s="2076"/>
      <c r="CV19" s="2076"/>
      <c r="CW19" s="2076"/>
      <c r="CX19" s="2077"/>
      <c r="CY19" s="2077"/>
      <c r="CZ19" s="2077"/>
      <c r="DA19" s="2077"/>
      <c r="DB19" s="2077"/>
      <c r="DC19" s="2077"/>
      <c r="DD19" s="2077"/>
      <c r="DE19" s="2077"/>
      <c r="DF19" s="2077"/>
      <c r="DG19" s="2077"/>
      <c r="DH19" s="2077"/>
      <c r="DI19" s="2077"/>
      <c r="DJ19" s="2077"/>
      <c r="DK19" s="2077"/>
      <c r="DL19" s="2077"/>
      <c r="DM19" s="2077"/>
      <c r="DN19" s="2077"/>
      <c r="DO19" s="2077"/>
      <c r="DP19" s="2077"/>
      <c r="DQ19" s="2077"/>
      <c r="DR19" s="2371"/>
    </row>
    <row r="20" spans="1:122">
      <c r="A20" s="2160" t="s">
        <v>614</v>
      </c>
      <c r="B20" s="2161"/>
      <c r="C20" s="2162"/>
      <c r="D20" s="2163"/>
      <c r="E20" s="2163"/>
      <c r="F20" s="2164"/>
      <c r="G20" s="2165"/>
      <c r="H20" s="2161"/>
      <c r="I20" s="2162"/>
      <c r="J20" s="2163"/>
      <c r="K20" s="2163"/>
      <c r="L20" s="2164"/>
      <c r="M20" s="2165"/>
      <c r="N20" s="2161"/>
      <c r="O20" s="2162"/>
      <c r="P20" s="2163"/>
      <c r="Q20" s="2163"/>
      <c r="R20" s="2164"/>
      <c r="S20" s="2165"/>
      <c r="T20" s="2166"/>
      <c r="U20" s="2162"/>
      <c r="V20" s="2163"/>
      <c r="W20" s="2163"/>
      <c r="X20" s="2163"/>
      <c r="Y20" s="2165"/>
      <c r="Z20" s="2166"/>
      <c r="AA20" s="2162"/>
      <c r="AB20" s="2163"/>
      <c r="AC20" s="2163"/>
      <c r="AD20" s="2164"/>
      <c r="AE20" s="2165"/>
      <c r="AF20" s="2166"/>
      <c r="AG20" s="2162"/>
      <c r="AH20" s="2163"/>
      <c r="AI20" s="2163"/>
      <c r="AJ20" s="2164"/>
      <c r="AK20" s="2165"/>
      <c r="AL20" s="2166"/>
      <c r="AM20" s="2162"/>
      <c r="AN20" s="2163"/>
      <c r="AO20" s="2163"/>
      <c r="AP20" s="2164"/>
      <c r="AQ20" s="2165"/>
      <c r="AR20" s="2166"/>
      <c r="AS20" s="2162"/>
      <c r="AT20" s="2163"/>
      <c r="AU20" s="2163"/>
      <c r="AV20" s="2164"/>
      <c r="AW20" s="2165"/>
      <c r="AX20" s="2166"/>
      <c r="AY20" s="2162"/>
      <c r="AZ20" s="2163"/>
      <c r="BA20" s="2163"/>
      <c r="BB20" s="2164"/>
      <c r="BC20" s="2165"/>
      <c r="BD20" s="2166"/>
      <c r="BE20" s="2162"/>
      <c r="BF20" s="2163"/>
      <c r="BG20" s="2163"/>
      <c r="BH20" s="2164"/>
      <c r="BI20" s="2165"/>
      <c r="BJ20" s="2166"/>
      <c r="BK20" s="2162"/>
      <c r="BL20" s="2163"/>
      <c r="BM20" s="2163"/>
      <c r="BN20" s="2164"/>
      <c r="BO20" s="2165"/>
      <c r="BP20" s="2166"/>
      <c r="BQ20" s="2162"/>
      <c r="BR20" s="2163"/>
      <c r="BS20" s="2163"/>
      <c r="BT20" s="2164"/>
      <c r="BU20" s="2165"/>
      <c r="BV20" s="2166"/>
      <c r="BW20" s="2162">
        <f>BW17-(1/RevBuild!BQ18)-(BW15*RevBuild!BQ16)/RevBuild!BQ18</f>
        <v>6.6544886712463946E-2</v>
      </c>
      <c r="BX20" s="2163">
        <f>BX17-(1/RevBuild!BR18)-(BX15*RevBuild!BR16)/RevBuild!BR18</f>
        <v>6.6768271709083574E-2</v>
      </c>
      <c r="BY20" s="2163">
        <f>BY17-(1/RevBuild!BS18)-(BY15*RevBuild!BS16)/RevBuild!BS18</f>
        <v>6.6905749386943394E-2</v>
      </c>
      <c r="BZ20" s="2164">
        <f>BZ17-(1/RevBuild!BT18)-(BZ15*RevBuild!BT16)/RevBuild!BT18</f>
        <v>6.7129671710624408E-2</v>
      </c>
      <c r="CA20" s="2165">
        <f>CA17-(4/RevBuild!BU18)-(CA15*RevBuild!BU16)/RevBuild!BU18</f>
        <v>6.7019874010130431E-2</v>
      </c>
      <c r="CB20" s="2163"/>
      <c r="CC20" s="2162">
        <f>CC17-(1/RevBuild!BW18)-(CC15*RevBuild!BW16)/RevBuild!BW18</f>
        <v>4.9833395666401804E-2</v>
      </c>
      <c r="CD20" s="2163">
        <f>CD17-(1/RevBuild!BX18)-(CD15*RevBuild!BX16)/RevBuild!BX18</f>
        <v>5.104613869197383E-2</v>
      </c>
      <c r="CE20" s="2163">
        <f>CE17-(1/RevBuild!BY18)-(CE15*RevBuild!BY16)/RevBuild!BY18</f>
        <v>5.0836123742642583E-2</v>
      </c>
      <c r="CF20" s="2164">
        <f>CF17-(1/RevBuild!BZ18)-(CF15*RevBuild!BZ16)/RevBuild!BZ18</f>
        <v>5.1068629396000036E-2</v>
      </c>
      <c r="CG20" s="2165">
        <f>CG17-(4/RevBuild!CA18)-(CG15*RevBuild!CA16)/RevBuild!CA18</f>
        <v>5.0749061288052857E-2</v>
      </c>
      <c r="CH20" s="2163"/>
      <c r="CI20" s="2162">
        <f>CI17-(1/RevBuild!CC18)-(CI15*RevBuild!CC16)/RevBuild!CC18</f>
        <v>4.9970508761585937E-2</v>
      </c>
      <c r="CJ20" s="2163">
        <f>CJ17-(1/RevBuild!CD18)-(CJ15*RevBuild!CD16)/RevBuild!CD18</f>
        <v>5.1091190380913143E-2</v>
      </c>
      <c r="CK20" s="2163">
        <f>CK17-(1/RevBuild!CE18)-(CK15*RevBuild!CE16)/RevBuild!CE18</f>
        <v>5.051400415524479E-2</v>
      </c>
      <c r="CL20" s="2164">
        <f>CL17-(1/RevBuild!CF18)-(CL15*RevBuild!CF16)/RevBuild!CF18</f>
        <v>5.0908382182300836E-2</v>
      </c>
      <c r="CM20" s="2165">
        <f>CM17-(4/RevBuild!CG18)-(CM15*RevBuild!CG16)/RevBuild!CG18</f>
        <v>5.0677785660137524E-2</v>
      </c>
      <c r="CN20" s="552"/>
      <c r="CO20" s="2083"/>
      <c r="CP20" s="2076"/>
      <c r="CQ20" s="2076"/>
      <c r="CR20" s="2076"/>
      <c r="CS20" s="2076"/>
      <c r="CT20" s="2076"/>
      <c r="CU20" s="2076"/>
      <c r="CV20" s="2076"/>
      <c r="CW20" s="2076"/>
      <c r="CX20" s="2077"/>
      <c r="CY20" s="2077"/>
      <c r="CZ20" s="2077"/>
      <c r="DA20" s="2077"/>
      <c r="DB20" s="2077"/>
      <c r="DC20" s="2077"/>
      <c r="DD20" s="2077"/>
      <c r="DE20" s="2077"/>
      <c r="DF20" s="2077"/>
      <c r="DG20" s="2077"/>
      <c r="DH20" s="2077"/>
      <c r="DI20" s="2077"/>
      <c r="DJ20" s="2077"/>
      <c r="DK20" s="2077"/>
      <c r="DL20" s="2077"/>
      <c r="DM20" s="2077"/>
      <c r="DN20" s="2077"/>
      <c r="DO20" s="2077"/>
      <c r="DP20" s="2077"/>
      <c r="DQ20" s="2077"/>
      <c r="DR20" s="2371"/>
    </row>
    <row r="21" spans="1:122">
      <c r="A21" s="2465" t="s">
        <v>617</v>
      </c>
      <c r="B21" s="2466"/>
      <c r="C21" s="2467">
        <f>C17</f>
        <v>6.6829477292202261E-2</v>
      </c>
      <c r="D21" s="2468">
        <f t="shared" ref="D21:G21" si="19">D17</f>
        <v>4.5375302663438269E-2</v>
      </c>
      <c r="E21" s="2468">
        <f t="shared" si="19"/>
        <v>8.8958837772397117E-2</v>
      </c>
      <c r="F21" s="2469">
        <f t="shared" si="19"/>
        <v>6.8855421686746979E-2</v>
      </c>
      <c r="G21" s="2470">
        <f t="shared" si="19"/>
        <v>6.7385381057711594E-2</v>
      </c>
      <c r="H21" s="2466"/>
      <c r="I21" s="2467">
        <f>I17</f>
        <v>0.115</v>
      </c>
      <c r="J21" s="2468">
        <f t="shared" ref="J21:M21" si="20">J17</f>
        <v>0.13500000000000001</v>
      </c>
      <c r="K21" s="2468">
        <f t="shared" si="20"/>
        <v>0.10500000000000001</v>
      </c>
      <c r="L21" s="2469">
        <f t="shared" si="20"/>
        <v>7.5000000000000011E-2</v>
      </c>
      <c r="M21" s="2470">
        <f t="shared" si="20"/>
        <v>0.1075</v>
      </c>
      <c r="N21" s="2466"/>
      <c r="O21" s="2467">
        <f>O17</f>
        <v>-1.6935667448019723E-2</v>
      </c>
      <c r="P21" s="2468">
        <f t="shared" ref="P21:S21" si="21">P17</f>
        <v>-9.8102817852733393E-2</v>
      </c>
      <c r="Q21" s="2468">
        <f t="shared" si="21"/>
        <v>-9.973409295946252E-2</v>
      </c>
      <c r="R21" s="2469">
        <f t="shared" si="21"/>
        <v>-5.8417227630249285E-2</v>
      </c>
      <c r="S21" s="2470">
        <f t="shared" si="21"/>
        <v>-6.8129191930444172E-2</v>
      </c>
      <c r="T21" s="2471"/>
      <c r="U21" s="2467">
        <f>U17</f>
        <v>6.752380952380943E-2</v>
      </c>
      <c r="V21" s="2468">
        <f t="shared" ref="V21:Y21" si="22">V17</f>
        <v>0.10947791164658634</v>
      </c>
      <c r="W21" s="2468">
        <f t="shared" si="22"/>
        <v>0.15993951612903221</v>
      </c>
      <c r="X21" s="2469">
        <f t="shared" si="22"/>
        <v>0.17988970588235303</v>
      </c>
      <c r="Y21" s="2470">
        <f t="shared" si="22"/>
        <v>0.12950072709646149</v>
      </c>
      <c r="Z21" s="2471"/>
      <c r="AA21" s="2467">
        <f>AA17</f>
        <v>8.253424657534246E-2</v>
      </c>
      <c r="AB21" s="2468">
        <f t="shared" ref="AB21:AE21" si="23">AB17</f>
        <v>0.11519230769230769</v>
      </c>
      <c r="AC21" s="2468">
        <f t="shared" si="23"/>
        <v>8.654338549075391E-2</v>
      </c>
      <c r="AD21" s="2469">
        <f t="shared" si="23"/>
        <v>3.9804878048780454E-2</v>
      </c>
      <c r="AE21" s="2470">
        <f t="shared" si="23"/>
        <v>7.7118327734229192E-2</v>
      </c>
      <c r="AF21" s="2471"/>
      <c r="AG21" s="2467">
        <f>AG17</f>
        <v>0.12899070385126163</v>
      </c>
      <c r="AH21" s="2468">
        <f t="shared" ref="AH21:AK21" si="24">AH17</f>
        <v>2.3349112426035531E-2</v>
      </c>
      <c r="AI21" s="2468">
        <f t="shared" si="24"/>
        <v>3.5845693779904347E-2</v>
      </c>
      <c r="AJ21" s="2469">
        <f t="shared" si="24"/>
        <v>1.598173515981733E-2</v>
      </c>
      <c r="AK21" s="2470">
        <f t="shared" si="24"/>
        <v>5.1897280966767288E-2</v>
      </c>
      <c r="AL21" s="2471"/>
      <c r="AM21" s="2467">
        <f>AM17</f>
        <v>1.9771295215869327E-2</v>
      </c>
      <c r="AN21" s="2468">
        <f t="shared" ref="AN21:AQ21" si="25">AN17</f>
        <v>4.4592765460910178E-2</v>
      </c>
      <c r="AO21" s="2468">
        <f t="shared" si="25"/>
        <v>3.8724373576309777E-2</v>
      </c>
      <c r="AP21" s="2469">
        <f t="shared" si="25"/>
        <v>7.022082018927446E-2</v>
      </c>
      <c r="AQ21" s="2470">
        <f t="shared" si="25"/>
        <v>5.0155474627710875E-2</v>
      </c>
      <c r="AR21" s="2471"/>
      <c r="AS21" s="2467">
        <f>AS17</f>
        <v>6.3674321503131473E-2</v>
      </c>
      <c r="AT21" s="2468">
        <f t="shared" ref="AT21:AW21" si="26">AT17</f>
        <v>2.2633744855967135E-2</v>
      </c>
      <c r="AU21" s="2468">
        <f t="shared" si="26"/>
        <v>5.0473186119873878E-2</v>
      </c>
      <c r="AV21" s="2469">
        <f t="shared" si="26"/>
        <v>3.8499506416584381E-2</v>
      </c>
      <c r="AW21" s="2470">
        <f t="shared" si="26"/>
        <v>4.3656908063687695E-2</v>
      </c>
      <c r="AX21" s="2471"/>
      <c r="AY21" s="2467">
        <f>AY17</f>
        <v>6.819444444444453E-2</v>
      </c>
      <c r="AZ21" s="2468">
        <f>AZ17-(15/RevBuild!AT18)</f>
        <v>4.9544534412955483E-2</v>
      </c>
      <c r="BA21" s="2468">
        <f>BA17+(15/RevBuild!AU18)</f>
        <v>8.5371655104063471E-2</v>
      </c>
      <c r="BB21" s="2469">
        <f t="shared" ref="BB21" si="27">BB17</f>
        <v>6.1810162991371029E-2</v>
      </c>
      <c r="BC21" s="2470">
        <f>AVERAGE(AY21:BB21)</f>
        <v>6.6230199238208623E-2</v>
      </c>
      <c r="BD21" s="2471"/>
      <c r="BE21" s="2467">
        <f>BE17</f>
        <v>6.3735867446393757E-2</v>
      </c>
      <c r="BF21" s="2468">
        <f t="shared" ref="BF21:BI21" si="28">BF17</f>
        <v>4.0700579563507887E-2</v>
      </c>
      <c r="BG21" s="2468">
        <f t="shared" si="28"/>
        <v>3.0571992110453625E-2</v>
      </c>
      <c r="BH21" s="2469">
        <f t="shared" si="28"/>
        <v>6.4073429951690838E-2</v>
      </c>
      <c r="BI21" s="2470">
        <f t="shared" si="28"/>
        <v>5.0200012344765371E-2</v>
      </c>
      <c r="BJ21" s="2471"/>
      <c r="BK21" s="2467">
        <f>BK17</f>
        <v>5.2856379354721483E-2</v>
      </c>
      <c r="BL21" s="2468">
        <f t="shared" ref="BL21:BM21" si="29">BL17</f>
        <v>8.6557409224730125E-2</v>
      </c>
      <c r="BM21" s="2468">
        <f t="shared" si="29"/>
        <v>7.4885057471264393E-2</v>
      </c>
      <c r="BN21" s="2469">
        <f>BN17-(22.5/RevBuild!BH18)</f>
        <v>5.5976597659765974E-2</v>
      </c>
      <c r="BO21" s="2470">
        <f>AVERAGE(BK21:BN21)</f>
        <v>6.7568860927620489E-2</v>
      </c>
      <c r="BP21" s="2471"/>
      <c r="BQ21" s="2467">
        <f>BQ17+(22.5/RevBuild!BK18)+(10/RevBuild!BK18)</f>
        <v>9.7068416119962475E-2</v>
      </c>
      <c r="BR21" s="2468">
        <f>BR17-(10/RevBuild!BL18)</f>
        <v>8.3391930985933158E-2</v>
      </c>
      <c r="BS21" s="2468">
        <f t="shared" ref="BS21:BT21" si="30">BS17</f>
        <v>7.9871979573334556E-2</v>
      </c>
      <c r="BT21" s="2469">
        <f t="shared" si="30"/>
        <v>7.7378313937735588E-2</v>
      </c>
      <c r="BU21" s="2470">
        <f>AVERAGE(BQ21:BT21)</f>
        <v>8.4427660154241455E-2</v>
      </c>
      <c r="BV21" s="2471"/>
      <c r="BW21" s="2467">
        <f>BW17</f>
        <v>6.737065054400812E-2</v>
      </c>
      <c r="BX21" s="2468">
        <f t="shared" ref="BX21:CA21" si="31">BX17</f>
        <v>6.7564637790029636E-2</v>
      </c>
      <c r="BY21" s="2468">
        <f t="shared" si="31"/>
        <v>8.0929414925644011E-2</v>
      </c>
      <c r="BZ21" s="2469">
        <f t="shared" si="31"/>
        <v>7.8350668099167659E-2</v>
      </c>
      <c r="CA21" s="2470">
        <f t="shared" si="31"/>
        <v>7.3826529662469359E-2</v>
      </c>
      <c r="CB21" s="2468"/>
      <c r="CC21" s="2467">
        <f>CC17</f>
        <v>5.8829060897070906E-2</v>
      </c>
      <c r="CD21" s="2468">
        <f t="shared" ref="CD21:CG21" si="32">CD17</f>
        <v>6.1812036235380383E-2</v>
      </c>
      <c r="CE21" s="2468">
        <f t="shared" si="32"/>
        <v>6.9994418100644412E-2</v>
      </c>
      <c r="CF21" s="2469">
        <f t="shared" si="32"/>
        <v>6.6380922613676341E-2</v>
      </c>
      <c r="CG21" s="2470">
        <f t="shared" si="32"/>
        <v>6.4377085979669735E-2</v>
      </c>
      <c r="CH21" s="2468"/>
      <c r="CI21" s="2467">
        <f>CI17</f>
        <v>6.0846029305965083E-2</v>
      </c>
      <c r="CJ21" s="2468">
        <f t="shared" ref="CJ21:CM21" si="33">CJ17</f>
        <v>6.4122236833090263E-2</v>
      </c>
      <c r="CK21" s="2468">
        <f t="shared" si="33"/>
        <v>7.3692900926236815E-2</v>
      </c>
      <c r="CL21" s="2469">
        <f t="shared" si="33"/>
        <v>6.9465738370921556E-2</v>
      </c>
      <c r="CM21" s="2470">
        <f t="shared" si="33"/>
        <v>6.7192550886070568E-2</v>
      </c>
      <c r="CN21" s="552"/>
      <c r="CO21" s="2083"/>
      <c r="CP21" s="2076"/>
      <c r="CQ21" s="2076"/>
      <c r="CR21" s="2076"/>
      <c r="CS21" s="2076"/>
      <c r="CT21" s="2076"/>
      <c r="CU21" s="2076"/>
      <c r="CV21" s="2076"/>
      <c r="CW21" s="2076"/>
      <c r="CX21" s="2077"/>
      <c r="CY21" s="2077"/>
      <c r="CZ21" s="2077"/>
      <c r="DA21" s="2077"/>
      <c r="DB21" s="2077"/>
      <c r="DC21" s="2077"/>
      <c r="DD21" s="2077"/>
      <c r="DE21" s="2077"/>
      <c r="DF21" s="2077"/>
      <c r="DG21" s="2077"/>
      <c r="DH21" s="2077"/>
      <c r="DI21" s="2077"/>
      <c r="DJ21" s="2077"/>
      <c r="DK21" s="2077"/>
      <c r="DL21" s="2077"/>
      <c r="DM21" s="2077"/>
      <c r="DN21" s="2077"/>
      <c r="DO21" s="2077"/>
      <c r="DP21" s="2077"/>
      <c r="DQ21" s="2077"/>
      <c r="DR21" s="2371"/>
    </row>
    <row r="22" spans="1:122">
      <c r="A22" s="553" t="s">
        <v>222</v>
      </c>
      <c r="B22" s="554"/>
      <c r="C22" s="1909"/>
      <c r="D22" s="1910"/>
      <c r="E22" s="1910"/>
      <c r="F22" s="1911"/>
      <c r="G22" s="558"/>
      <c r="H22" s="554"/>
      <c r="I22" s="555">
        <f>IS!I39</f>
        <v>0.16703296703296711</v>
      </c>
      <c r="J22" s="556">
        <f>IS!J39</f>
        <v>0.23831775700934577</v>
      </c>
      <c r="K22" s="556">
        <f>IS!K39</f>
        <v>0.15138592750533042</v>
      </c>
      <c r="L22" s="557">
        <f>IS!L39</f>
        <v>0.13358778625954204</v>
      </c>
      <c r="M22" s="558">
        <f>IS!M39</f>
        <v>0.17004264392324098</v>
      </c>
      <c r="N22" s="554"/>
      <c r="O22" s="555">
        <f>IS!O39</f>
        <v>-1.1299435028248594E-2</v>
      </c>
      <c r="P22" s="556">
        <f>IS!P39</f>
        <v>-6.0377358490566024E-2</v>
      </c>
      <c r="Q22" s="556">
        <f>IS!Q39</f>
        <v>-8.1481481481481488E-2</v>
      </c>
      <c r="R22" s="557">
        <f>IS!R39</f>
        <v>-8.4175084175084125E-2</v>
      </c>
      <c r="S22" s="558">
        <f>IS!S39</f>
        <v>-6.0136674259681056E-2</v>
      </c>
      <c r="T22" s="556"/>
      <c r="U22" s="555">
        <f>IS!U39</f>
        <v>0.11238095238095247</v>
      </c>
      <c r="V22" s="556">
        <f>IS!V39</f>
        <v>0.14859437751004023</v>
      </c>
      <c r="W22" s="556">
        <f>IS!W39</f>
        <v>0.41733870967741926</v>
      </c>
      <c r="X22" s="557">
        <f>IS!X39</f>
        <v>0.50735294117647056</v>
      </c>
      <c r="Y22" s="558">
        <f>IS!Y39</f>
        <v>0.29859428017450318</v>
      </c>
      <c r="Z22" s="556"/>
      <c r="AA22" s="555">
        <f>IS!AA39</f>
        <v>0.28938356164383561</v>
      </c>
      <c r="AB22" s="556">
        <f>IS!AB39</f>
        <v>0.47727272727272729</v>
      </c>
      <c r="AC22" s="556">
        <f>IS!AC39</f>
        <v>0.18918918918918926</v>
      </c>
      <c r="AD22" s="557">
        <f>IS!AD39</f>
        <v>6.8292682926829329E-2</v>
      </c>
      <c r="AE22" s="558">
        <f>IS!AE39</f>
        <v>0.23553564762971257</v>
      </c>
      <c r="AF22" s="556"/>
      <c r="AG22" s="555">
        <f>IS!AG39</f>
        <v>0.13811420982735734</v>
      </c>
      <c r="AH22" s="556">
        <f>IS!AH39</f>
        <v>1.4201183431952646E-2</v>
      </c>
      <c r="AI22" s="556">
        <f>IS!AI39</f>
        <v>5.0239234449760861E-2</v>
      </c>
      <c r="AJ22" s="557">
        <f>IS!AJ39</f>
        <v>8.5616438356164393E-2</v>
      </c>
      <c r="AK22" s="558">
        <f>IS!AK39</f>
        <v>7.0392749244712949E-2</v>
      </c>
      <c r="AL22" s="556"/>
      <c r="AM22" s="555">
        <f>IS!AM39</f>
        <v>0.11785297549591589</v>
      </c>
      <c r="AN22" s="556">
        <f>IS!AN39</f>
        <v>0.13418903150525097</v>
      </c>
      <c r="AO22" s="556">
        <f>IS!AO39</f>
        <v>8.3143507972665232E-2</v>
      </c>
      <c r="AP22" s="557">
        <f>IS!AP39</f>
        <v>6.5194532071503719E-2</v>
      </c>
      <c r="AQ22" s="558">
        <f>IS!AQ39</f>
        <v>9.9068585944115162E-2</v>
      </c>
      <c r="AR22" s="556"/>
      <c r="AS22" s="561">
        <f>IS!AS39</f>
        <v>5.2192066805845538E-2</v>
      </c>
      <c r="AT22" s="559">
        <f>IS!AT39</f>
        <v>1.6460905349794164E-2</v>
      </c>
      <c r="AU22" s="559">
        <f>IS!AU39</f>
        <v>6.0988433228180927E-2</v>
      </c>
      <c r="AV22" s="560">
        <f>IS!AV39</f>
        <v>2.9615004935834133E-2</v>
      </c>
      <c r="AW22" s="558">
        <f>IS!AW39</f>
        <v>3.9548022598870025E-2</v>
      </c>
      <c r="AX22" s="556"/>
      <c r="AY22" s="555">
        <f>IS!AY39</f>
        <v>1.7857142857142794E-2</v>
      </c>
      <c r="AZ22" s="556">
        <f>IS!AZ39</f>
        <v>-2.5303643724696401E-2</v>
      </c>
      <c r="BA22" s="556">
        <f>IS!BA39</f>
        <v>4.9554013875123815E-3</v>
      </c>
      <c r="BB22" s="557">
        <f>IS!BB39</f>
        <v>-7.6701821668264669E-3</v>
      </c>
      <c r="BC22" s="558">
        <f>IS!BC39</f>
        <v>-2.4703557312253377E-3</v>
      </c>
      <c r="BD22" s="556"/>
      <c r="BE22" s="555">
        <f>IS!BE39</f>
        <v>1.9493177387914784E-3</v>
      </c>
      <c r="BF22" s="556">
        <f>IS!BF39</f>
        <v>5.8151609553478645E-2</v>
      </c>
      <c r="BG22" s="556">
        <f>IS!BG39</f>
        <v>2.9585798816567976E-2</v>
      </c>
      <c r="BH22" s="557">
        <f>IS!BH39</f>
        <v>7.3429951690821227E-2</v>
      </c>
      <c r="BI22" s="558">
        <f>IS!BI39</f>
        <v>4.0614165428429994E-2</v>
      </c>
      <c r="BJ22" s="556"/>
      <c r="BK22" s="555">
        <f>IS!BK39</f>
        <v>3.7937743190661566E-2</v>
      </c>
      <c r="BL22" s="556">
        <f>IS!BL39</f>
        <v>8.1452404317958749E-2</v>
      </c>
      <c r="BM22" s="556">
        <f>IS!BM39</f>
        <v>6.7049808429118674E-2</v>
      </c>
      <c r="BN22" s="557">
        <f>IS!BN39</f>
        <v>7.0207020702070189E-2</v>
      </c>
      <c r="BO22" s="558">
        <f>IS!BO39</f>
        <v>6.4255116611137586E-2</v>
      </c>
      <c r="BP22" s="556"/>
      <c r="BQ22" s="555">
        <f>IS!BQ39</f>
        <v>0.13495782567947523</v>
      </c>
      <c r="BR22" s="556">
        <f>IS!BR39</f>
        <v>0.13947723044146842</v>
      </c>
      <c r="BS22" s="556">
        <f>IS!BS39</f>
        <v>0.11574451099164684</v>
      </c>
      <c r="BT22" s="557">
        <f>IS!BT39</f>
        <v>0.10879883538432944</v>
      </c>
      <c r="BU22" s="558">
        <f>IS!BU39</f>
        <v>0.12433030153469615</v>
      </c>
      <c r="BV22" s="556"/>
      <c r="BW22" s="555">
        <f>IS!BW39</f>
        <v>6.7370650544008148E-2</v>
      </c>
      <c r="BX22" s="556">
        <f>IS!BX39</f>
        <v>6.7564637790029636E-2</v>
      </c>
      <c r="BY22" s="556">
        <f>IS!BY39</f>
        <v>8.0929414925643872E-2</v>
      </c>
      <c r="BZ22" s="557">
        <f>IS!BZ39</f>
        <v>7.8350668099167464E-2</v>
      </c>
      <c r="CA22" s="558">
        <f>IS!CA39</f>
        <v>7.3649870235074966E-2</v>
      </c>
      <c r="CB22" s="556"/>
      <c r="CC22" s="555">
        <f>IS!CC39</f>
        <v>5.8829060897070962E-2</v>
      </c>
      <c r="CD22" s="556">
        <f>IS!CD39</f>
        <v>6.181203623538023E-2</v>
      </c>
      <c r="CE22" s="556">
        <f>IS!CE39</f>
        <v>6.999441810064444E-2</v>
      </c>
      <c r="CF22" s="557">
        <f>IS!CF39</f>
        <v>6.638092261367623E-2</v>
      </c>
      <c r="CG22" s="558">
        <f>IS!CG39</f>
        <v>6.4337435890211125E-2</v>
      </c>
      <c r="CH22" s="556"/>
      <c r="CI22" s="555">
        <f>IS!CI39</f>
        <v>6.0846029305965166E-2</v>
      </c>
      <c r="CJ22" s="556">
        <f>IS!CJ39</f>
        <v>6.4122236833090263E-2</v>
      </c>
      <c r="CK22" s="556">
        <f>IS!CK39</f>
        <v>7.3692900926236815E-2</v>
      </c>
      <c r="CL22" s="557">
        <f>IS!CL39</f>
        <v>6.9465738370921848E-2</v>
      </c>
      <c r="CM22" s="558">
        <f>IS!CM39</f>
        <v>6.7146357156036673E-2</v>
      </c>
      <c r="CN22" s="562"/>
      <c r="DR22" s="2370"/>
    </row>
    <row r="23" spans="1:122">
      <c r="A23" s="563" t="s">
        <v>223</v>
      </c>
      <c r="B23" s="564"/>
      <c r="C23" s="543"/>
      <c r="D23" s="544"/>
      <c r="E23" s="544"/>
      <c r="F23" s="545"/>
      <c r="G23" s="565"/>
      <c r="H23" s="564"/>
      <c r="I23" s="543">
        <v>0.03</v>
      </c>
      <c r="J23" s="544">
        <v>0.04</v>
      </c>
      <c r="K23" s="544">
        <v>0.04</v>
      </c>
      <c r="L23" s="545">
        <v>0.01</v>
      </c>
      <c r="M23" s="565">
        <f>AVERAGE(I23:L23)</f>
        <v>3.0000000000000002E-2</v>
      </c>
      <c r="N23" s="564"/>
      <c r="O23" s="1666">
        <v>5.636232419771129E-3</v>
      </c>
      <c r="P23" s="1667">
        <v>3.7725459362167375E-2</v>
      </c>
      <c r="Q23" s="1667">
        <v>1.8252611477981032E-2</v>
      </c>
      <c r="R23" s="1667">
        <v>-2.575785654483484E-2</v>
      </c>
      <c r="S23" s="565">
        <f>SUMPRODUCT(O23:R23,IS!I10:L10)/IS!M10</f>
        <v>7.9925176707631145E-3</v>
      </c>
      <c r="T23" s="541"/>
      <c r="U23" s="1666">
        <v>0.03</v>
      </c>
      <c r="V23" s="1667">
        <v>0.03</v>
      </c>
      <c r="W23" s="1667">
        <v>0</v>
      </c>
      <c r="X23" s="1667">
        <v>0</v>
      </c>
      <c r="Y23" s="565">
        <f>SUMPRODUCT(U23:X23,IS!O10:R10)/IS!S10</f>
        <v>1.4876393601551139E-2</v>
      </c>
      <c r="Z23" s="541"/>
      <c r="AA23" s="1666">
        <v>0</v>
      </c>
      <c r="AB23" s="1667">
        <f>21/IS!V10</f>
        <v>3.6713286713286712E-2</v>
      </c>
      <c r="AC23" s="1667">
        <f>43/IS!W10</f>
        <v>6.1166429587482217E-2</v>
      </c>
      <c r="AD23" s="1668">
        <f>27/IS!X10</f>
        <v>3.2926829268292684E-2</v>
      </c>
      <c r="AE23" s="565">
        <f>SUMPRODUCT(AA23:AD23,IS!U10:X10)/IS!Y10</f>
        <v>3.3967898469578199E-2</v>
      </c>
      <c r="AF23" s="541"/>
      <c r="AG23" s="1666">
        <f>6/IS!AA10</f>
        <v>7.9681274900398405E-3</v>
      </c>
      <c r="AH23" s="1667">
        <f>-7/IS!AB10</f>
        <v>-8.2840236686390536E-3</v>
      </c>
      <c r="AI23" s="1667">
        <f>-28/IS!AC10</f>
        <v>-3.3492822966507178E-2</v>
      </c>
      <c r="AJ23" s="1668">
        <f>-25/IS!AD10</f>
        <v>-2.8538812785388126E-2</v>
      </c>
      <c r="AK23" s="565">
        <f>SUMPRODUCT(AG23:AJ23,IS!AA10:AD10)/IS!AE10</f>
        <v>-1.6314199395770394E-2</v>
      </c>
      <c r="AL23" s="541"/>
      <c r="AM23" s="1666">
        <f>-10/RevBuild!AG18</f>
        <v>-1.1668611435239206E-2</v>
      </c>
      <c r="AN23" s="1667">
        <f>-17/RevBuild!AH18</f>
        <v>-1.9836639439906652E-2</v>
      </c>
      <c r="AO23" s="1667">
        <f>-11/IS!AI10</f>
        <v>-1.2528473804100227E-2</v>
      </c>
      <c r="AP23" s="1668">
        <f>-11/IS!AJ10</f>
        <v>-1.1566771819137749E-2</v>
      </c>
      <c r="AQ23" s="565">
        <f>SUMPRODUCT(AM23:AP23,IS!AG10:AJ10)/IS!AK10</f>
        <v>-1.3830087496471917E-2</v>
      </c>
      <c r="AR23" s="541"/>
      <c r="AS23" s="1666">
        <f>-11/RevBuild!AM18</f>
        <v>-1.1482254697286013E-2</v>
      </c>
      <c r="AT23" s="1667">
        <f>-6/RevBuild!AN18</f>
        <v>-6.1728395061728392E-3</v>
      </c>
      <c r="AU23" s="1667">
        <f>10/RevBuild!AO18</f>
        <v>1.0515247108307046E-2</v>
      </c>
      <c r="AV23" s="1667">
        <f>-9/RevBuild!AP18</f>
        <v>-8.8845014807502464E-3</v>
      </c>
      <c r="AW23" s="565">
        <f>SUMPRODUCT(AS23:AV23,IS!AM10:AP10)/IS!AQ10</f>
        <v>-4.1088854648176684E-3</v>
      </c>
      <c r="AX23" s="541"/>
      <c r="AY23" s="594">
        <f>+RevBuild!AY59</f>
        <v>-3.968253968253968E-2</v>
      </c>
      <c r="AZ23" s="541">
        <f>+RevBuild!AZ59</f>
        <v>-7.0000000000000007E-2</v>
      </c>
      <c r="BA23" s="541">
        <f>+RevBuild!BA59</f>
        <v>-7.0366699702675922E-2</v>
      </c>
      <c r="BB23" s="540">
        <f>+RevBuild!BB59</f>
        <v>-6.327900287631831E-2</v>
      </c>
      <c r="BC23" s="565">
        <f>+RevBuild!BC59</f>
        <v>-6.0642678449439061E-2</v>
      </c>
      <c r="BD23" s="541"/>
      <c r="BE23" s="594">
        <f>+RevBuild!BE59</f>
        <v>-5.1656920077972707E-2</v>
      </c>
      <c r="BF23" s="541">
        <f>+RevBuild!BF59</f>
        <v>-1.3187954309449634E-2</v>
      </c>
      <c r="BG23" s="541">
        <f>+RevBuild!BG59</f>
        <v>-7.3964497041420114E-3</v>
      </c>
      <c r="BH23" s="540">
        <f>+RevBuild!BH59</f>
        <v>4.0000000000000001E-3</v>
      </c>
      <c r="BI23" s="565">
        <f>+RevBuild!BI59</f>
        <v>-1.8667413301956863E-2</v>
      </c>
      <c r="BJ23" s="541"/>
      <c r="BK23" s="594">
        <f>+RevBuild!BK59</f>
        <v>-1.1673151750972763E-2</v>
      </c>
      <c r="BL23" s="541">
        <f>+RevBuild!BL59</f>
        <v>-8.9999999999999993E-3</v>
      </c>
      <c r="BM23" s="541">
        <f>+RevBuild!BM59</f>
        <v>-8.9999999999999993E-3</v>
      </c>
      <c r="BN23" s="540">
        <f>+RevBuild!BN59</f>
        <v>0.01</v>
      </c>
      <c r="BO23" s="565">
        <f>+RevBuild!BO59</f>
        <v>-4.5870793573417655E-3</v>
      </c>
      <c r="BP23" s="541"/>
      <c r="BQ23" s="594">
        <f>+RevBuild!BQ59</f>
        <v>3.4000000000000002E-2</v>
      </c>
      <c r="BR23" s="541">
        <f>+RevBuild!BR59</f>
        <v>5.2999999999999999E-2</v>
      </c>
      <c r="BS23" s="541">
        <f>+RevBuild!BS59</f>
        <v>3.3000000000000002E-2</v>
      </c>
      <c r="BT23" s="540">
        <f>+RevBuild!BT59</f>
        <v>3.1E-2</v>
      </c>
      <c r="BU23" s="565">
        <f>+RevBuild!BU59</f>
        <v>3.7711578200200137E-2</v>
      </c>
      <c r="BV23" s="541"/>
      <c r="BW23" s="594">
        <f>+RevBuild!BW59</f>
        <v>0</v>
      </c>
      <c r="BX23" s="541">
        <f>+RevBuild!BX59</f>
        <v>0</v>
      </c>
      <c r="BY23" s="541">
        <f>+RevBuild!BY59</f>
        <v>0</v>
      </c>
      <c r="BZ23" s="540">
        <f>+RevBuild!BZ59</f>
        <v>0</v>
      </c>
      <c r="CA23" s="565">
        <f>+RevBuild!CA59</f>
        <v>0</v>
      </c>
      <c r="CB23" s="541"/>
      <c r="CC23" s="594">
        <f>+RevBuild!CC59</f>
        <v>0</v>
      </c>
      <c r="CD23" s="541">
        <f>+RevBuild!CD59</f>
        <v>0</v>
      </c>
      <c r="CE23" s="541">
        <f>+RevBuild!CE59</f>
        <v>0</v>
      </c>
      <c r="CF23" s="540">
        <f>+RevBuild!CF59</f>
        <v>0</v>
      </c>
      <c r="CG23" s="565">
        <f>+RevBuild!CG59</f>
        <v>0</v>
      </c>
      <c r="CH23" s="541"/>
      <c r="CI23" s="594">
        <f>+RevBuild!CI59</f>
        <v>0</v>
      </c>
      <c r="CJ23" s="541">
        <f>+RevBuild!CJ59</f>
        <v>0</v>
      </c>
      <c r="CK23" s="541">
        <f>+RevBuild!CK59</f>
        <v>0</v>
      </c>
      <c r="CL23" s="540">
        <f>+RevBuild!CL59</f>
        <v>0</v>
      </c>
      <c r="CM23" s="565">
        <f>+RevBuild!CM59</f>
        <v>0</v>
      </c>
      <c r="CN23" s="174"/>
    </row>
    <row r="24" spans="1:122">
      <c r="A24" s="563" t="s">
        <v>224</v>
      </c>
      <c r="B24" s="564"/>
      <c r="C24" s="594"/>
      <c r="D24" s="541"/>
      <c r="E24" s="541"/>
      <c r="F24" s="540"/>
      <c r="G24" s="565"/>
      <c r="H24" s="564"/>
      <c r="I24" s="594">
        <f>+I22-I23-I17</f>
        <v>2.2032967032967102E-2</v>
      </c>
      <c r="J24" s="541">
        <f>+J22-J23-J17</f>
        <v>6.3317757009345749E-2</v>
      </c>
      <c r="K24" s="541">
        <f>+K22-K23-K17</f>
        <v>6.3859275053304021E-3</v>
      </c>
      <c r="L24" s="540">
        <f>+L22-L23-L17</f>
        <v>4.8587786259542035E-2</v>
      </c>
      <c r="M24" s="565">
        <f>+M22-M23-M17</f>
        <v>3.254264392324098E-2</v>
      </c>
      <c r="N24" s="564"/>
      <c r="O24" s="594"/>
      <c r="P24" s="541"/>
      <c r="Q24" s="541"/>
      <c r="R24" s="540"/>
      <c r="S24" s="565"/>
      <c r="T24" s="541"/>
      <c r="U24" s="543"/>
      <c r="V24" s="544"/>
      <c r="W24" s="544"/>
      <c r="X24" s="544"/>
      <c r="Y24" s="565"/>
      <c r="Z24" s="541"/>
      <c r="AA24" s="543"/>
      <c r="AB24" s="544"/>
      <c r="AC24" s="544"/>
      <c r="AD24" s="545"/>
      <c r="AE24" s="565"/>
      <c r="AF24" s="541"/>
      <c r="AG24" s="594"/>
      <c r="AH24" s="541"/>
      <c r="AI24" s="542">
        <f>40/RevBuild!AC18</f>
        <v>4.784688995215311E-2</v>
      </c>
      <c r="AJ24" s="548">
        <f>90/RevBuild!AD18</f>
        <v>0.10273972602739725</v>
      </c>
      <c r="AK24" s="549">
        <f>130/RevBuild!AE18</f>
        <v>3.9274924471299093E-2</v>
      </c>
      <c r="AL24" s="541"/>
      <c r="AM24" s="547">
        <f>RevBuild!AM31/IS!AG10</f>
        <v>0.10851808634772463</v>
      </c>
      <c r="AN24" s="542">
        <f>RevBuild!AN31/IS!AH10</f>
        <v>0.10910151691948658</v>
      </c>
      <c r="AO24" s="542">
        <f>RevBuild!AO31/IS!AI10</f>
        <v>5.808656036446469E-2</v>
      </c>
      <c r="AP24" s="1668">
        <v>0</v>
      </c>
      <c r="AQ24" s="1912">
        <f>((85*(1+4.8%))*2+(40*(1+6.5%)*2.25*0.5))/IS!AK10</f>
        <v>6.3811741462037816E-2</v>
      </c>
      <c r="AR24" s="541"/>
      <c r="AS24" s="547">
        <f>RevBuild!AS31/IS!AM10</f>
        <v>0</v>
      </c>
      <c r="AT24" s="542">
        <f>RevBuild!AT31/IS!AN10</f>
        <v>0</v>
      </c>
      <c r="AU24" s="542">
        <f>RevBuild!AU31/IS!AO10</f>
        <v>0</v>
      </c>
      <c r="AV24" s="542">
        <f>RevBuild!AV31/IS!AP10</f>
        <v>0</v>
      </c>
      <c r="AW24" s="565">
        <f>RevBuild!AW31/IS!AQ10</f>
        <v>0</v>
      </c>
      <c r="AX24" s="541"/>
      <c r="AY24" s="594">
        <f>+RevBuild!AY58</f>
        <v>-1.0654761904761905E-2</v>
      </c>
      <c r="AZ24" s="541">
        <f>+RevBuild!AZ58</f>
        <v>-2.0192307692307697E-2</v>
      </c>
      <c r="BA24" s="541">
        <f>+RevBuild!BA58</f>
        <v>4.8166501486620406E-3</v>
      </c>
      <c r="BB24" s="541">
        <f>+RevBuild!BB58</f>
        <v>-6.2013422818791948E-3</v>
      </c>
      <c r="BC24" s="565">
        <f>+RevBuild!BC58</f>
        <v>-7.8493814097524914E-3</v>
      </c>
      <c r="BD24" s="541"/>
      <c r="BE24" s="594">
        <f>+RevBuild!BE58</f>
        <v>-1.0129629629629631E-2</v>
      </c>
      <c r="BF24" s="541">
        <f>+RevBuild!BF58</f>
        <v>3.0638984299420476E-2</v>
      </c>
      <c r="BG24" s="541">
        <f>+RevBuild!BG58</f>
        <v>6.41025641025641E-3</v>
      </c>
      <c r="BH24" s="541">
        <f>+RevBuild!BH58</f>
        <v>8.9371980676328493E-3</v>
      </c>
      <c r="BI24" s="565">
        <f>+RevBuild!BI58</f>
        <v>9.0484449904023323E-3</v>
      </c>
      <c r="BJ24" s="541"/>
      <c r="BK24" s="594">
        <f>+RevBuild!BK58</f>
        <v>8.9494163424124352E-5</v>
      </c>
      <c r="BL24" s="541">
        <f>+RevBuild!BL58</f>
        <v>3.3366045142296371E-3</v>
      </c>
      <c r="BM24" s="541">
        <f>+RevBuild!BM58</f>
        <v>2.3467432950191572E-3</v>
      </c>
      <c r="BN24" s="541">
        <f>+RevBuild!BN58</f>
        <v>-1.6651665166516651E-2</v>
      </c>
      <c r="BO24" s="565">
        <f>+RevBuild!BO58</f>
        <v>-2.9873148359851162E-3</v>
      </c>
      <c r="BP24" s="541"/>
      <c r="BQ24" s="594">
        <f>+RevBuild!BQ58</f>
        <v>3.4348641049671974E-2</v>
      </c>
      <c r="BR24" s="541">
        <f>+RevBuild!BR58</f>
        <v>-5.9891107078039931E-3</v>
      </c>
      <c r="BS24" s="541">
        <f>+RevBuild!BS58</f>
        <v>2.872531418312388E-3</v>
      </c>
      <c r="BT24" s="541">
        <f>+RevBuild!BT58</f>
        <v>4.2052144659377632E-4</v>
      </c>
      <c r="BU24" s="565">
        <f>+RevBuild!BU58</f>
        <v>7.7140527716200759E-3</v>
      </c>
      <c r="BV24" s="541"/>
      <c r="BW24" s="594">
        <f>+RevBuild!BW58</f>
        <v>0</v>
      </c>
      <c r="BX24" s="541">
        <f>+RevBuild!BX58</f>
        <v>0</v>
      </c>
      <c r="BY24" s="541">
        <f>+RevBuild!BY58</f>
        <v>0</v>
      </c>
      <c r="BZ24" s="541">
        <f>+RevBuild!BZ58</f>
        <v>0</v>
      </c>
      <c r="CA24" s="565">
        <f>+RevBuild!CA58</f>
        <v>0</v>
      </c>
      <c r="CB24" s="541"/>
      <c r="CC24" s="594">
        <f>+RevBuild!CC58</f>
        <v>0</v>
      </c>
      <c r="CD24" s="541">
        <f>+RevBuild!CD58</f>
        <v>0</v>
      </c>
      <c r="CE24" s="541">
        <f>+RevBuild!CE58</f>
        <v>0</v>
      </c>
      <c r="CF24" s="541">
        <f>+RevBuild!CF58</f>
        <v>0</v>
      </c>
      <c r="CG24" s="565">
        <f>+RevBuild!CG58</f>
        <v>0</v>
      </c>
      <c r="CH24" s="541"/>
      <c r="CI24" s="594">
        <f>+RevBuild!CI58</f>
        <v>0</v>
      </c>
      <c r="CJ24" s="541">
        <f>+RevBuild!CJ58</f>
        <v>0</v>
      </c>
      <c r="CK24" s="541">
        <f>+RevBuild!CK58</f>
        <v>0</v>
      </c>
      <c r="CL24" s="541">
        <f>+RevBuild!CL58</f>
        <v>0</v>
      </c>
      <c r="CM24" s="565">
        <f>+RevBuild!CM58</f>
        <v>0</v>
      </c>
      <c r="CN24" s="174"/>
      <c r="CO24" s="527" t="s">
        <v>225</v>
      </c>
      <c r="CP24" s="529"/>
      <c r="CQ24" s="529"/>
      <c r="CR24" s="529"/>
      <c r="CS24" s="529"/>
      <c r="CT24" s="529"/>
      <c r="CU24" s="529"/>
      <c r="CV24" s="529"/>
      <c r="CW24" s="529"/>
      <c r="CX24" s="529"/>
      <c r="CY24" s="529"/>
      <c r="CZ24" s="529"/>
      <c r="DA24" s="529"/>
      <c r="DB24" s="529"/>
      <c r="DC24" s="529"/>
      <c r="DD24" s="529"/>
      <c r="DE24" s="529"/>
      <c r="DF24" s="529"/>
      <c r="DG24" s="529"/>
      <c r="DH24" s="529"/>
      <c r="DI24" s="529"/>
      <c r="DJ24" s="529"/>
    </row>
    <row r="25" spans="1:122">
      <c r="A25" s="1969" t="s">
        <v>226</v>
      </c>
      <c r="B25" s="571"/>
      <c r="C25" s="1970"/>
      <c r="D25" s="1971"/>
      <c r="E25" s="1971"/>
      <c r="F25" s="1972"/>
      <c r="G25" s="1973"/>
      <c r="H25" s="571"/>
      <c r="I25" s="1970">
        <f>I22-I23</f>
        <v>0.13703296703296711</v>
      </c>
      <c r="J25" s="1971">
        <f>J22-J23</f>
        <v>0.19831775700934576</v>
      </c>
      <c r="K25" s="1971">
        <f>K22-K23</f>
        <v>0.11138592750533041</v>
      </c>
      <c r="L25" s="1972">
        <f>L22-L23</f>
        <v>0.12358778625954205</v>
      </c>
      <c r="M25" s="1973">
        <f>M22-M23</f>
        <v>0.14004264392324098</v>
      </c>
      <c r="N25" s="571"/>
      <c r="O25" s="1970">
        <f>O22-O23</f>
        <v>-1.6935667448019723E-2</v>
      </c>
      <c r="P25" s="1971">
        <f>P22-P23</f>
        <v>-9.8102817852733393E-2</v>
      </c>
      <c r="Q25" s="1971">
        <f>Q22-Q23</f>
        <v>-9.973409295946252E-2</v>
      </c>
      <c r="R25" s="1972">
        <f>R22-R23</f>
        <v>-5.8417227630249285E-2</v>
      </c>
      <c r="S25" s="1973">
        <f>S22-S23</f>
        <v>-6.8129191930444172E-2</v>
      </c>
      <c r="T25" s="556"/>
      <c r="U25" s="1970">
        <f>U22-U23</f>
        <v>8.2380952380952471E-2</v>
      </c>
      <c r="V25" s="1971">
        <f>V22-V23</f>
        <v>0.11859437751004023</v>
      </c>
      <c r="W25" s="1971">
        <f>W22-W23</f>
        <v>0.41733870967741926</v>
      </c>
      <c r="X25" s="1971">
        <f>X22-X23</f>
        <v>0.50735294117647056</v>
      </c>
      <c r="Y25" s="1973">
        <f>Y22-Y23</f>
        <v>0.28371788657295205</v>
      </c>
      <c r="Z25" s="556"/>
      <c r="AA25" s="1970">
        <f>AA22-AA23</f>
        <v>0.28938356164383561</v>
      </c>
      <c r="AB25" s="1971">
        <f>AB22-AB23</f>
        <v>0.44055944055944057</v>
      </c>
      <c r="AC25" s="1971">
        <f>AC22-AC23</f>
        <v>0.12802275960170703</v>
      </c>
      <c r="AD25" s="1972">
        <f>AD22-AD23</f>
        <v>3.5365853658536645E-2</v>
      </c>
      <c r="AE25" s="1973">
        <f>AE22-AE23</f>
        <v>0.20156774916013437</v>
      </c>
      <c r="AF25" s="556"/>
      <c r="AG25" s="1970">
        <f>AG22-AG23</f>
        <v>0.1301460823373175</v>
      </c>
      <c r="AH25" s="1971">
        <f>AH22-AH23</f>
        <v>2.2485207100591702E-2</v>
      </c>
      <c r="AI25" s="1971">
        <f>AI22-AI23</f>
        <v>8.3732057416268046E-2</v>
      </c>
      <c r="AJ25" s="1972">
        <f>AJ22-AJ23</f>
        <v>0.11415525114155252</v>
      </c>
      <c r="AK25" s="1973">
        <f>AK22-AK23</f>
        <v>8.6706948640483339E-2</v>
      </c>
      <c r="AL25" s="556"/>
      <c r="AM25" s="1970">
        <f>AM22-AM23</f>
        <v>0.12952158693115509</v>
      </c>
      <c r="AN25" s="1971">
        <f>AN22-AN23</f>
        <v>0.15402567094515762</v>
      </c>
      <c r="AO25" s="1971">
        <f>AO22-AO23</f>
        <v>9.5671981776765461E-2</v>
      </c>
      <c r="AP25" s="1972">
        <f>AP22-AP23</f>
        <v>7.6761303890641466E-2</v>
      </c>
      <c r="AQ25" s="1973">
        <f>AQ22-AQ23</f>
        <v>0.11289867344058707</v>
      </c>
      <c r="AR25" s="556"/>
      <c r="AS25" s="1970">
        <f>AS22-AS23</f>
        <v>6.3674321503131556E-2</v>
      </c>
      <c r="AT25" s="1971">
        <f>AT22-AT23</f>
        <v>2.2633744855967003E-2</v>
      </c>
      <c r="AU25" s="1971">
        <f>AU22-AU23</f>
        <v>5.0473186119873878E-2</v>
      </c>
      <c r="AV25" s="1972">
        <f>AV22-AV23</f>
        <v>3.8499506416584381E-2</v>
      </c>
      <c r="AW25" s="1973">
        <f>AW22-AW23</f>
        <v>4.3656908063687695E-2</v>
      </c>
      <c r="AX25" s="556"/>
      <c r="AY25" s="1970">
        <f>AY22-AY23</f>
        <v>5.7539682539682474E-2</v>
      </c>
      <c r="AZ25" s="1971">
        <f>AZ22-AZ23</f>
        <v>4.4696356275303606E-2</v>
      </c>
      <c r="BA25" s="1971">
        <f>BA22-BA23</f>
        <v>7.5322101090188304E-2</v>
      </c>
      <c r="BB25" s="1972">
        <f>BB22-BB23</f>
        <v>5.5608820709491844E-2</v>
      </c>
      <c r="BC25" s="1973">
        <f>BC22-BC23</f>
        <v>5.8172322718213723E-2</v>
      </c>
      <c r="BD25" s="556"/>
      <c r="BE25" s="1970">
        <f>BE22-BE23</f>
        <v>5.3606237816764185E-2</v>
      </c>
      <c r="BF25" s="1971">
        <f>BF22-BF23</f>
        <v>7.1339563862928279E-2</v>
      </c>
      <c r="BG25" s="1971">
        <f>BG22-BG23</f>
        <v>3.6982248520709984E-2</v>
      </c>
      <c r="BH25" s="1972">
        <f>BH22-BH23</f>
        <v>6.9429951690821223E-2</v>
      </c>
      <c r="BI25" s="1973">
        <f>BI22-BI23</f>
        <v>5.9281578730386857E-2</v>
      </c>
      <c r="BJ25" s="556"/>
      <c r="BK25" s="1970">
        <f>BK22-BK23</f>
        <v>4.9610894941634329E-2</v>
      </c>
      <c r="BL25" s="1971">
        <f>BL22-BL23</f>
        <v>9.0452404317958743E-2</v>
      </c>
      <c r="BM25" s="1971">
        <f>BM22-BM23</f>
        <v>7.6049808429118668E-2</v>
      </c>
      <c r="BN25" s="1972">
        <f>BN22-BN23</f>
        <v>6.0207020702070187E-2</v>
      </c>
      <c r="BO25" s="1973">
        <f>BO22-BO23</f>
        <v>6.8842195968479347E-2</v>
      </c>
      <c r="BP25" s="556"/>
      <c r="BQ25" s="1970">
        <f>BQ22-BQ23</f>
        <v>0.10095782567947523</v>
      </c>
      <c r="BR25" s="1971">
        <f>BR22-BR23</f>
        <v>8.6477230441468433E-2</v>
      </c>
      <c r="BS25" s="1971">
        <f>BS22-BS23</f>
        <v>8.2744510991646841E-2</v>
      </c>
      <c r="BT25" s="1972">
        <f>BT22-BT23</f>
        <v>7.779883538432944E-2</v>
      </c>
      <c r="BU25" s="1973">
        <f>BU22-BU23</f>
        <v>8.6618723334496023E-2</v>
      </c>
      <c r="BV25" s="556"/>
      <c r="BW25" s="1970">
        <f>BW22-BW23</f>
        <v>6.7370650544008148E-2</v>
      </c>
      <c r="BX25" s="1971">
        <f>BX22-BX23</f>
        <v>6.7564637790029636E-2</v>
      </c>
      <c r="BY25" s="1971">
        <f>BY22-BY23</f>
        <v>8.0929414925643872E-2</v>
      </c>
      <c r="BZ25" s="1972">
        <f>BZ22-BZ23</f>
        <v>7.8350668099167464E-2</v>
      </c>
      <c r="CA25" s="1973">
        <f>CA22-CA23</f>
        <v>7.3649870235074966E-2</v>
      </c>
      <c r="CB25" s="556"/>
      <c r="CC25" s="1970">
        <f>CC22-CC23</f>
        <v>5.8829060897070962E-2</v>
      </c>
      <c r="CD25" s="1971">
        <f>CD22-CD23</f>
        <v>6.181203623538023E-2</v>
      </c>
      <c r="CE25" s="1971">
        <f>CE22-CE23</f>
        <v>6.999441810064444E-2</v>
      </c>
      <c r="CF25" s="1972">
        <f>CF22-CF23</f>
        <v>6.638092261367623E-2</v>
      </c>
      <c r="CG25" s="1973">
        <f>CG22-CG23</f>
        <v>6.4337435890211125E-2</v>
      </c>
      <c r="CH25" s="556"/>
      <c r="CI25" s="1970">
        <f>CI22-CI23</f>
        <v>6.0846029305965166E-2</v>
      </c>
      <c r="CJ25" s="1971">
        <f>CJ22-CJ23</f>
        <v>6.4122236833090263E-2</v>
      </c>
      <c r="CK25" s="1971">
        <f>CK22-CK23</f>
        <v>7.3692900926236815E-2</v>
      </c>
      <c r="CL25" s="1972">
        <f>CL22-CL23</f>
        <v>6.9465738370921848E-2</v>
      </c>
      <c r="CM25" s="1973">
        <f>CM22-CM23</f>
        <v>6.7146357156036673E-2</v>
      </c>
      <c r="CN25" s="562"/>
      <c r="CO25" s="2062"/>
      <c r="CP25" s="2068" t="str">
        <f>CP6</f>
        <v>F1Q12</v>
      </c>
      <c r="CQ25" s="2068" t="str">
        <f t="shared" ref="CQ25:DN25" si="34">CQ6</f>
        <v>F2Q12</v>
      </c>
      <c r="CR25" s="2068" t="str">
        <f t="shared" si="34"/>
        <v>F3Q12</v>
      </c>
      <c r="CS25" s="2068" t="str">
        <f t="shared" si="34"/>
        <v>F4Q12</v>
      </c>
      <c r="CT25" s="2068" t="str">
        <f t="shared" si="34"/>
        <v>F1Q13</v>
      </c>
      <c r="CU25" s="2068" t="str">
        <f t="shared" si="34"/>
        <v>F2Q13</v>
      </c>
      <c r="CV25" s="2068" t="str">
        <f t="shared" si="34"/>
        <v>F3Q13</v>
      </c>
      <c r="CW25" s="2068" t="str">
        <f t="shared" si="34"/>
        <v>F4Q13</v>
      </c>
      <c r="CX25" s="2068" t="str">
        <f t="shared" si="34"/>
        <v>F1Q14</v>
      </c>
      <c r="CY25" s="2068" t="str">
        <f t="shared" si="34"/>
        <v>F2Q14</v>
      </c>
      <c r="CZ25" s="2068" t="str">
        <f t="shared" si="34"/>
        <v>F3Q14</v>
      </c>
      <c r="DA25" s="2068" t="str">
        <f t="shared" si="34"/>
        <v>F4Q14</v>
      </c>
      <c r="DB25" s="2068" t="str">
        <f t="shared" si="34"/>
        <v>F1Q15</v>
      </c>
      <c r="DC25" s="2068" t="str">
        <f t="shared" si="34"/>
        <v>F2Q15</v>
      </c>
      <c r="DD25" s="2068" t="str">
        <f t="shared" si="34"/>
        <v>F3Q15</v>
      </c>
      <c r="DE25" s="2068" t="str">
        <f t="shared" si="34"/>
        <v>F4Q15</v>
      </c>
      <c r="DF25" s="2068" t="str">
        <f t="shared" si="34"/>
        <v>F1Q16</v>
      </c>
      <c r="DG25" s="2068" t="str">
        <f t="shared" si="34"/>
        <v>F2Q16</v>
      </c>
      <c r="DH25" s="2068" t="str">
        <f t="shared" si="34"/>
        <v>F3Q16</v>
      </c>
      <c r="DI25" s="2068" t="str">
        <f t="shared" si="34"/>
        <v>F4Q16</v>
      </c>
      <c r="DJ25" s="2068" t="str">
        <f t="shared" si="34"/>
        <v>F1Q17</v>
      </c>
      <c r="DK25" s="2068" t="str">
        <f t="shared" si="34"/>
        <v>F2Q17</v>
      </c>
      <c r="DL25" s="2068" t="str">
        <f t="shared" si="34"/>
        <v>F3Q17</v>
      </c>
      <c r="DM25" s="2068" t="str">
        <f t="shared" si="34"/>
        <v>F4Q17</v>
      </c>
      <c r="DN25" s="2068" t="str">
        <f t="shared" si="34"/>
        <v>F1Q18</v>
      </c>
      <c r="DO25" s="2068" t="str">
        <f t="shared" ref="DO25:DQ25" si="35">DO6</f>
        <v>F2Q18e</v>
      </c>
      <c r="DP25" s="2068" t="str">
        <f t="shared" si="35"/>
        <v>F3Q18e</v>
      </c>
      <c r="DQ25" s="2068" t="str">
        <f t="shared" si="35"/>
        <v>F4Q18e</v>
      </c>
      <c r="DR25" s="2369"/>
    </row>
    <row r="26" spans="1:122">
      <c r="A26" s="577"/>
      <c r="B26" s="550"/>
      <c r="C26" s="550"/>
      <c r="D26" s="550"/>
      <c r="E26" s="550"/>
      <c r="F26" s="550"/>
      <c r="G26" s="578"/>
      <c r="H26" s="550"/>
      <c r="I26" s="550"/>
      <c r="J26" s="550"/>
      <c r="K26" s="550"/>
      <c r="L26" s="550"/>
      <c r="M26" s="578"/>
      <c r="N26" s="550"/>
      <c r="O26" s="550"/>
      <c r="P26" s="550"/>
      <c r="Q26" s="550"/>
      <c r="R26" s="550"/>
      <c r="S26" s="578"/>
      <c r="T26" s="578"/>
      <c r="U26" s="579"/>
      <c r="V26" s="579"/>
      <c r="W26" s="579"/>
      <c r="X26" s="579"/>
      <c r="Y26" s="580"/>
      <c r="Z26" s="578"/>
      <c r="AA26" s="579"/>
      <c r="AB26" s="579"/>
      <c r="AC26" s="579"/>
      <c r="AD26" s="579"/>
      <c r="AE26" s="580"/>
      <c r="AF26" s="578"/>
      <c r="AG26" s="579"/>
      <c r="AH26" s="579"/>
      <c r="AI26" s="579"/>
      <c r="AJ26" s="579"/>
      <c r="AK26" s="580"/>
      <c r="AL26" s="578"/>
      <c r="AM26" s="579"/>
      <c r="AN26" s="579"/>
      <c r="AO26" s="579"/>
      <c r="AP26" s="579"/>
      <c r="AQ26" s="581"/>
      <c r="AR26" s="578"/>
      <c r="AS26" s="579"/>
      <c r="AT26" s="579"/>
      <c r="AU26" s="579"/>
      <c r="AV26" s="579"/>
      <c r="AW26" s="578"/>
      <c r="AX26" s="578"/>
      <c r="AY26" s="579"/>
      <c r="AZ26" s="579"/>
      <c r="BA26" s="1930"/>
      <c r="BB26" s="579"/>
      <c r="BC26" s="579"/>
      <c r="BD26" s="578"/>
      <c r="BE26" s="579"/>
      <c r="BF26" s="579"/>
      <c r="BG26" s="579"/>
      <c r="BH26" s="579"/>
      <c r="BI26" s="579"/>
      <c r="BJ26" s="578"/>
      <c r="BK26" s="1930"/>
      <c r="BL26" s="1930"/>
      <c r="BM26" s="1930"/>
      <c r="BN26" s="1930"/>
      <c r="BO26" s="579"/>
      <c r="BP26" s="578"/>
      <c r="BQ26" s="579"/>
      <c r="BR26" s="579"/>
      <c r="BS26" s="579"/>
      <c r="BT26" s="579"/>
      <c r="BU26" s="579"/>
      <c r="BV26" s="578"/>
      <c r="BW26" s="579"/>
      <c r="BX26" s="579"/>
      <c r="BY26" s="579"/>
      <c r="BZ26" s="579"/>
      <c r="CA26" s="579"/>
      <c r="CB26" s="579"/>
      <c r="CC26" s="579"/>
      <c r="CD26" s="579"/>
      <c r="CE26" s="579"/>
      <c r="CF26" s="579"/>
      <c r="CG26" s="579"/>
      <c r="CH26" s="579"/>
      <c r="CI26" s="579"/>
      <c r="CJ26" s="579"/>
      <c r="CK26" s="579"/>
      <c r="CL26" s="579"/>
      <c r="CM26" s="579"/>
      <c r="CN26" s="149"/>
      <c r="CO26" s="2081" t="str">
        <f>+CO11</f>
        <v>LSAG</v>
      </c>
      <c r="CP26" s="2072"/>
      <c r="CQ26" s="2072"/>
      <c r="CR26" s="2072"/>
      <c r="CS26" s="2072"/>
      <c r="CT26" s="2072"/>
      <c r="CU26" s="2072"/>
      <c r="CV26" s="2072"/>
      <c r="CW26" s="2072"/>
      <c r="CX26" s="2073">
        <f t="shared" ref="CX26:DG27" si="36">+CX11+CT11</f>
        <v>6.2426076494882257E-2</v>
      </c>
      <c r="CY26" s="2073">
        <f t="shared" si="36"/>
        <v>2.0499249050117768E-2</v>
      </c>
      <c r="CZ26" s="2073">
        <f t="shared" si="36"/>
        <v>2.471013942090694E-2</v>
      </c>
      <c r="DA26" s="2073">
        <f t="shared" si="36"/>
        <v>0.10472364806644634</v>
      </c>
      <c r="DB26" s="2073">
        <f t="shared" si="36"/>
        <v>0.13450440792224039</v>
      </c>
      <c r="DC26" s="2073">
        <f t="shared" si="36"/>
        <v>3.0986328729110973E-2</v>
      </c>
      <c r="DD26" s="2073">
        <f t="shared" si="36"/>
        <v>7.982514083472371E-2</v>
      </c>
      <c r="DE26" s="2073">
        <f t="shared" si="36"/>
        <v>7.1076050241016764E-2</v>
      </c>
      <c r="DF26" s="2073">
        <f t="shared" si="36"/>
        <v>9.4797834131661179E-2</v>
      </c>
      <c r="DG26" s="2073">
        <f t="shared" si="36"/>
        <v>4.9335664335664386E-2</v>
      </c>
      <c r="DH26" s="2073">
        <f t="shared" ref="DH26:DQ27" si="37">+DH11+DD11</f>
        <v>3.3961100367844305E-2</v>
      </c>
      <c r="DI26" s="2073">
        <f t="shared" si="37"/>
        <v>6.9421150278293139E-2</v>
      </c>
      <c r="DJ26" s="2073">
        <f t="shared" si="37"/>
        <v>6.3656307129798903E-2</v>
      </c>
      <c r="DK26" s="2073">
        <f t="shared" si="37"/>
        <v>5.8931623931623933E-2</v>
      </c>
      <c r="DL26" s="2073">
        <f t="shared" si="37"/>
        <v>4.5430528375733803E-2</v>
      </c>
      <c r="DM26" s="2073">
        <f t="shared" si="37"/>
        <v>0.12667883211678826</v>
      </c>
      <c r="DN26" s="2073">
        <f t="shared" si="37"/>
        <v>9.9962962962962892E-2</v>
      </c>
      <c r="DO26" s="2073">
        <f t="shared" si="37"/>
        <v>0.15</v>
      </c>
      <c r="DP26" s="2073">
        <f t="shared" si="37"/>
        <v>0.115</v>
      </c>
      <c r="DQ26" s="2073">
        <f t="shared" si="37"/>
        <v>0.12167883211678827</v>
      </c>
      <c r="DR26" s="2370"/>
    </row>
    <row r="27" spans="1:122">
      <c r="A27" s="582" t="s">
        <v>227</v>
      </c>
      <c r="B27" s="513"/>
      <c r="C27" s="583"/>
      <c r="D27" s="584"/>
      <c r="E27" s="584"/>
      <c r="F27" s="585"/>
      <c r="G27" s="586"/>
      <c r="H27" s="513"/>
      <c r="I27" s="583"/>
      <c r="J27" s="584"/>
      <c r="K27" s="584"/>
      <c r="L27" s="585"/>
      <c r="M27" s="586"/>
      <c r="N27" s="513"/>
      <c r="O27" s="583"/>
      <c r="P27" s="584"/>
      <c r="Q27" s="584"/>
      <c r="R27" s="585"/>
      <c r="S27" s="586"/>
      <c r="T27" s="587"/>
      <c r="U27" s="583"/>
      <c r="V27" s="588"/>
      <c r="W27" s="588"/>
      <c r="X27" s="589"/>
      <c r="Y27" s="586"/>
      <c r="Z27" s="587"/>
      <c r="AA27" s="583"/>
      <c r="AB27" s="588"/>
      <c r="AC27" s="588"/>
      <c r="AD27" s="589"/>
      <c r="AE27" s="586"/>
      <c r="AF27" s="587"/>
      <c r="AG27" s="590"/>
      <c r="AH27" s="591"/>
      <c r="AI27" s="591"/>
      <c r="AJ27" s="592"/>
      <c r="AK27" s="586"/>
      <c r="AL27" s="587"/>
      <c r="AM27" s="590"/>
      <c r="AN27" s="591"/>
      <c r="AO27" s="591"/>
      <c r="AP27" s="591"/>
      <c r="AQ27" s="593"/>
      <c r="AR27" s="515"/>
      <c r="AS27" s="590"/>
      <c r="AT27" s="591"/>
      <c r="AU27" s="591"/>
      <c r="AV27" s="592"/>
      <c r="AW27" s="593"/>
      <c r="AX27" s="515"/>
      <c r="AY27" s="590"/>
      <c r="AZ27" s="591"/>
      <c r="BA27" s="591"/>
      <c r="BB27" s="592"/>
      <c r="BC27" s="593"/>
      <c r="BD27" s="515"/>
      <c r="BE27" s="590"/>
      <c r="BF27" s="591"/>
      <c r="BG27" s="591"/>
      <c r="BH27" s="592"/>
      <c r="BI27" s="593"/>
      <c r="BJ27" s="515"/>
      <c r="BK27" s="590"/>
      <c r="BL27" s="591"/>
      <c r="BM27" s="591"/>
      <c r="BN27" s="592"/>
      <c r="BO27" s="593"/>
      <c r="BP27" s="515"/>
      <c r="BQ27" s="590"/>
      <c r="BR27" s="591"/>
      <c r="BS27" s="591"/>
      <c r="BT27" s="592"/>
      <c r="BU27" s="593"/>
      <c r="BV27" s="515"/>
      <c r="BW27" s="590"/>
      <c r="BX27" s="591"/>
      <c r="BY27" s="591"/>
      <c r="BZ27" s="592"/>
      <c r="CA27" s="593"/>
      <c r="CB27" s="2121"/>
      <c r="CC27" s="590"/>
      <c r="CD27" s="591"/>
      <c r="CE27" s="591"/>
      <c r="CF27" s="592"/>
      <c r="CG27" s="593"/>
      <c r="CH27" s="2121"/>
      <c r="CI27" s="590"/>
      <c r="CJ27" s="591"/>
      <c r="CK27" s="591"/>
      <c r="CL27" s="592"/>
      <c r="CM27" s="593"/>
      <c r="CN27" s="532"/>
      <c r="CO27" s="2082" t="str">
        <f>+CO12</f>
        <v>DGG</v>
      </c>
      <c r="CP27" s="2074"/>
      <c r="CQ27" s="2074"/>
      <c r="CR27" s="2074"/>
      <c r="CS27" s="2074"/>
      <c r="CT27" s="2074"/>
      <c r="CU27" s="2074"/>
      <c r="CV27" s="2074"/>
      <c r="CW27" s="2074"/>
      <c r="CX27" s="2075">
        <f t="shared" si="36"/>
        <v>6.6243809524571387E-2</v>
      </c>
      <c r="CY27" s="2075">
        <f t="shared" si="36"/>
        <v>4.383436724344611E-2</v>
      </c>
      <c r="CZ27" s="2075">
        <f t="shared" si="36"/>
        <v>0.15212157261476356</v>
      </c>
      <c r="DA27" s="2075">
        <f t="shared" si="36"/>
        <v>0.14230001279568633</v>
      </c>
      <c r="DB27" s="2075">
        <f t="shared" si="36"/>
        <v>3.1256618795366779E-2</v>
      </c>
      <c r="DC27" s="2075">
        <f t="shared" si="36"/>
        <v>0.17742700996416491</v>
      </c>
      <c r="DD27" s="2075">
        <f t="shared" si="36"/>
        <v>0.14921923221024108</v>
      </c>
      <c r="DE27" s="2075">
        <f t="shared" si="36"/>
        <v>0.13734518808097171</v>
      </c>
      <c r="DF27" s="2075">
        <f t="shared" si="36"/>
        <v>0.122008951626786</v>
      </c>
      <c r="DG27" s="2075">
        <f t="shared" si="36"/>
        <v>0.15266976613130462</v>
      </c>
      <c r="DH27" s="2075">
        <f t="shared" si="37"/>
        <v>0.17725993795541461</v>
      </c>
      <c r="DI27" s="2075">
        <f t="shared" si="37"/>
        <v>0.19229161222890007</v>
      </c>
      <c r="DJ27" s="2075">
        <f t="shared" si="37"/>
        <v>0.1790262136736549</v>
      </c>
      <c r="DK27" s="2075">
        <f t="shared" si="37"/>
        <v>0.18576018881723294</v>
      </c>
      <c r="DL27" s="2075">
        <f t="shared" si="37"/>
        <v>0.1671836327345311</v>
      </c>
      <c r="DM27" s="2075">
        <f t="shared" si="37"/>
        <v>0.15536065669208846</v>
      </c>
      <c r="DN27" s="2075">
        <f t="shared" si="37"/>
        <v>0.11085515236844716</v>
      </c>
      <c r="DO27" s="2075">
        <f t="shared" si="37"/>
        <v>0.20019088865997836</v>
      </c>
      <c r="DP27" s="2075">
        <f t="shared" si="37"/>
        <v>0.17409671020995632</v>
      </c>
      <c r="DQ27" s="2075">
        <f t="shared" si="37"/>
        <v>0.15175742283468424</v>
      </c>
      <c r="DR27" s="2370"/>
    </row>
    <row r="28" spans="1:122">
      <c r="A28" s="490" t="s">
        <v>105</v>
      </c>
      <c r="B28" s="539"/>
      <c r="C28" s="594"/>
      <c r="D28" s="541"/>
      <c r="E28" s="541"/>
      <c r="F28" s="540"/>
      <c r="G28" s="565"/>
      <c r="H28" s="539"/>
      <c r="I28" s="594"/>
      <c r="J28" s="541"/>
      <c r="K28" s="541"/>
      <c r="L28" s="540"/>
      <c r="M28" s="565"/>
      <c r="N28" s="539"/>
      <c r="O28" s="594"/>
      <c r="P28" s="541"/>
      <c r="Q28" s="541"/>
      <c r="R28" s="540"/>
      <c r="S28" s="565"/>
      <c r="T28" s="541"/>
      <c r="U28" s="594"/>
      <c r="V28" s="541"/>
      <c r="W28" s="541"/>
      <c r="X28" s="540"/>
      <c r="Y28" s="565"/>
      <c r="Z28" s="541"/>
      <c r="AA28" s="594"/>
      <c r="AB28" s="541"/>
      <c r="AC28" s="541"/>
      <c r="AD28" s="540"/>
      <c r="AE28" s="565"/>
      <c r="AF28" s="541"/>
      <c r="AG28" s="594"/>
      <c r="AH28" s="541"/>
      <c r="AI28" s="541"/>
      <c r="AJ28" s="540"/>
      <c r="AK28" s="565"/>
      <c r="AL28" s="541"/>
      <c r="AM28" s="594"/>
      <c r="AN28" s="541"/>
      <c r="AO28" s="541"/>
      <c r="AP28" s="540"/>
      <c r="AQ28" s="565"/>
      <c r="AR28" s="541"/>
      <c r="AS28" s="594">
        <f>AS11+AM11</f>
        <v>6.2426076494882257E-2</v>
      </c>
      <c r="AT28" s="541">
        <f>AT11+AN11</f>
        <v>2.0499249050117768E-2</v>
      </c>
      <c r="AU28" s="541">
        <f>AU11+AO11</f>
        <v>2.471013942090694E-2</v>
      </c>
      <c r="AV28" s="540">
        <f>AV11+AP11</f>
        <v>0.10472364806644634</v>
      </c>
      <c r="AW28" s="565">
        <f>AW11+AQ11</f>
        <v>4.7993338860970389E-2</v>
      </c>
      <c r="AX28" s="541"/>
      <c r="AY28" s="594">
        <f t="shared" ref="AY28:BC29" si="38">AY11+AS11</f>
        <v>0.13450440792224039</v>
      </c>
      <c r="AZ28" s="541">
        <f t="shared" si="38"/>
        <v>3.0986328729110973E-2</v>
      </c>
      <c r="BA28" s="541">
        <f t="shared" si="38"/>
        <v>7.982514083472371E-2</v>
      </c>
      <c r="BB28" s="540">
        <f t="shared" si="38"/>
        <v>7.1076050241016764E-2</v>
      </c>
      <c r="BC28" s="565">
        <f t="shared" si="38"/>
        <v>7.4436829499447021E-2</v>
      </c>
      <c r="BD28" s="541"/>
      <c r="BE28" s="594">
        <f t="shared" ref="BE28:BI34" si="39">BE11+AY11</f>
        <v>9.4797834131661179E-2</v>
      </c>
      <c r="BF28" s="541">
        <f t="shared" si="39"/>
        <v>4.9335664335664386E-2</v>
      </c>
      <c r="BG28" s="541">
        <f t="shared" si="39"/>
        <v>3.3961100367844305E-2</v>
      </c>
      <c r="BH28" s="540">
        <f t="shared" si="39"/>
        <v>6.9421150278293139E-2</v>
      </c>
      <c r="BI28" s="565">
        <f t="shared" si="39"/>
        <v>6.3151103366442918E-2</v>
      </c>
      <c r="BJ28" s="541"/>
      <c r="BK28" s="594">
        <f t="shared" ref="BK28:BO34" si="40">BK11+BE11</f>
        <v>6.3656307129798903E-2</v>
      </c>
      <c r="BL28" s="541">
        <f t="shared" si="40"/>
        <v>5.8931623931623933E-2</v>
      </c>
      <c r="BM28" s="541">
        <f t="shared" si="40"/>
        <v>4.5430528375733803E-2</v>
      </c>
      <c r="BN28" s="540">
        <f t="shared" si="40"/>
        <v>0.12667883211678826</v>
      </c>
      <c r="BO28" s="565">
        <f t="shared" si="40"/>
        <v>7.486870017948663E-2</v>
      </c>
      <c r="BP28" s="541"/>
      <c r="BQ28" s="594">
        <f t="shared" ref="BQ28:BU34" si="41">BQ11+BK11</f>
        <v>9.9962962962962892E-2</v>
      </c>
      <c r="BR28" s="541">
        <f t="shared" si="41"/>
        <v>0.15</v>
      </c>
      <c r="BS28" s="541">
        <f t="shared" si="41"/>
        <v>0.115</v>
      </c>
      <c r="BT28" s="540">
        <f t="shared" si="41"/>
        <v>0.12167883211678827</v>
      </c>
      <c r="BU28" s="565">
        <f t="shared" si="41"/>
        <v>0.12183758088284116</v>
      </c>
      <c r="BV28" s="541"/>
      <c r="BW28" s="594">
        <f t="shared" ref="BW28:CA34" si="42">BW11+BQ11</f>
        <v>0.1189629629629629</v>
      </c>
      <c r="BX28" s="541">
        <f t="shared" si="42"/>
        <v>0.15</v>
      </c>
      <c r="BY28" s="541">
        <f t="shared" si="42"/>
        <v>0.11</v>
      </c>
      <c r="BZ28" s="540">
        <f t="shared" si="42"/>
        <v>0.105</v>
      </c>
      <c r="CA28" s="565">
        <f t="shared" si="42"/>
        <v>0.12092226116538922</v>
      </c>
      <c r="CB28" s="541"/>
      <c r="CC28" s="594">
        <f t="shared" ref="CC28:CG34" si="43">CC11+BW11</f>
        <v>0.09</v>
      </c>
      <c r="CD28" s="541">
        <f t="shared" si="43"/>
        <v>0.09</v>
      </c>
      <c r="CE28" s="541">
        <f t="shared" si="43"/>
        <v>0.09</v>
      </c>
      <c r="CF28" s="540">
        <f t="shared" si="43"/>
        <v>0.09</v>
      </c>
      <c r="CG28" s="565">
        <f t="shared" si="43"/>
        <v>0.09</v>
      </c>
      <c r="CH28" s="541"/>
      <c r="CI28" s="594">
        <f t="shared" ref="CI28:CM38" si="44">CI11+CC11</f>
        <v>0.06</v>
      </c>
      <c r="CJ28" s="541">
        <f t="shared" si="44"/>
        <v>0.06</v>
      </c>
      <c r="CK28" s="541">
        <f t="shared" si="44"/>
        <v>0.06</v>
      </c>
      <c r="CL28" s="540">
        <f t="shared" si="44"/>
        <v>0.06</v>
      </c>
      <c r="CM28" s="565">
        <f t="shared" si="44"/>
        <v>0.06</v>
      </c>
      <c r="CN28" s="174"/>
      <c r="CO28" s="2081" t="s">
        <v>538</v>
      </c>
      <c r="CP28" s="2084"/>
      <c r="CQ28" s="2084"/>
      <c r="CR28" s="2084"/>
      <c r="CS28" s="2084"/>
      <c r="CT28" s="2084"/>
      <c r="CU28" s="2084"/>
      <c r="CV28" s="2084"/>
      <c r="CW28" s="2084"/>
      <c r="CX28" s="2073" t="s">
        <v>528</v>
      </c>
      <c r="CY28" s="2073" t="s">
        <v>528</v>
      </c>
      <c r="CZ28" s="2073" t="s">
        <v>528</v>
      </c>
      <c r="DA28" s="2073" t="s">
        <v>528</v>
      </c>
      <c r="DB28" s="2073" t="s">
        <v>528</v>
      </c>
      <c r="DC28" s="2073" t="s">
        <v>528</v>
      </c>
      <c r="DD28" s="2073" t="s">
        <v>528</v>
      </c>
      <c r="DE28" s="2073" t="s">
        <v>528</v>
      </c>
      <c r="DF28" s="2073">
        <f t="shared" ref="DF28:DQ33" si="45">+DF13+DB13</f>
        <v>0.05</v>
      </c>
      <c r="DG28" s="2073">
        <f t="shared" si="45"/>
        <v>0.1</v>
      </c>
      <c r="DH28" s="2073">
        <f t="shared" si="45"/>
        <v>0.115</v>
      </c>
      <c r="DI28" s="2073">
        <f t="shared" si="45"/>
        <v>0.13</v>
      </c>
      <c r="DJ28" s="2073">
        <f t="shared" si="45"/>
        <v>0.1522801837639608</v>
      </c>
      <c r="DK28" s="2073">
        <f t="shared" si="45"/>
        <v>0.21000000000000002</v>
      </c>
      <c r="DL28" s="2073">
        <f t="shared" si="45"/>
        <v>0.1560913313967251</v>
      </c>
      <c r="DM28" s="2073">
        <f t="shared" si="45"/>
        <v>0.185</v>
      </c>
      <c r="DN28" s="2073">
        <f t="shared" si="45"/>
        <v>0.12317855347039888</v>
      </c>
      <c r="DO28" s="2073">
        <f t="shared" si="45"/>
        <v>0.23</v>
      </c>
      <c r="DP28" s="2073">
        <f t="shared" si="45"/>
        <v>0.19109133139672507</v>
      </c>
      <c r="DQ28" s="2073">
        <f t="shared" si="45"/>
        <v>0.19500000000000001</v>
      </c>
      <c r="DR28" s="2370"/>
    </row>
    <row r="29" spans="1:122">
      <c r="A29" s="490" t="s">
        <v>99</v>
      </c>
      <c r="B29" s="539"/>
      <c r="C29" s="594"/>
      <c r="D29" s="541"/>
      <c r="E29" s="541"/>
      <c r="F29" s="540"/>
      <c r="G29" s="565"/>
      <c r="H29" s="539"/>
      <c r="I29" s="594"/>
      <c r="J29" s="541"/>
      <c r="K29" s="541"/>
      <c r="L29" s="540"/>
      <c r="M29" s="565"/>
      <c r="N29" s="539"/>
      <c r="O29" s="594"/>
      <c r="P29" s="541"/>
      <c r="Q29" s="541"/>
      <c r="R29" s="540"/>
      <c r="S29" s="565"/>
      <c r="T29" s="541"/>
      <c r="U29" s="594"/>
      <c r="V29" s="541"/>
      <c r="W29" s="541"/>
      <c r="X29" s="540"/>
      <c r="Y29" s="565"/>
      <c r="Z29" s="541"/>
      <c r="AA29" s="594"/>
      <c r="AB29" s="541"/>
      <c r="AC29" s="541"/>
      <c r="AD29" s="540"/>
      <c r="AE29" s="565"/>
      <c r="AF29" s="541"/>
      <c r="AG29" s="594"/>
      <c r="AH29" s="541"/>
      <c r="AI29" s="541"/>
      <c r="AJ29" s="540"/>
      <c r="AK29" s="565"/>
      <c r="AL29" s="541"/>
      <c r="AM29" s="594"/>
      <c r="AN29" s="541"/>
      <c r="AO29" s="541"/>
      <c r="AP29" s="540"/>
      <c r="AQ29" s="565"/>
      <c r="AR29" s="541"/>
      <c r="AS29" s="594"/>
      <c r="AT29" s="541"/>
      <c r="AU29" s="541"/>
      <c r="AV29" s="540"/>
      <c r="AW29" s="565"/>
      <c r="AX29" s="541"/>
      <c r="AY29" s="594">
        <f t="shared" si="38"/>
        <v>3.1256618795366779E-2</v>
      </c>
      <c r="AZ29" s="541">
        <f t="shared" si="38"/>
        <v>0.17742700996416491</v>
      </c>
      <c r="BA29" s="541">
        <f t="shared" si="38"/>
        <v>0.14921923221024108</v>
      </c>
      <c r="BB29" s="540">
        <f t="shared" si="38"/>
        <v>0.13734518808097171</v>
      </c>
      <c r="BC29" s="565">
        <f t="shared" si="38"/>
        <v>0.12658529500160864</v>
      </c>
      <c r="BD29" s="541"/>
      <c r="BE29" s="594">
        <f t="shared" si="39"/>
        <v>0.122008951626786</v>
      </c>
      <c r="BF29" s="541">
        <f t="shared" si="39"/>
        <v>0.15266976613130462</v>
      </c>
      <c r="BG29" s="541">
        <f t="shared" si="39"/>
        <v>0.17725993795541461</v>
      </c>
      <c r="BH29" s="540">
        <f t="shared" si="39"/>
        <v>0.19229161222890007</v>
      </c>
      <c r="BI29" s="565">
        <f t="shared" si="39"/>
        <v>0.16277509204885809</v>
      </c>
      <c r="BJ29" s="541"/>
      <c r="BK29" s="594">
        <f t="shared" si="40"/>
        <v>0.1790262136736549</v>
      </c>
      <c r="BL29" s="541">
        <f t="shared" si="40"/>
        <v>0.18576018881723294</v>
      </c>
      <c r="BM29" s="541">
        <f t="shared" si="40"/>
        <v>0.1671836327345311</v>
      </c>
      <c r="BN29" s="540">
        <f t="shared" si="40"/>
        <v>0.15536065669208846</v>
      </c>
      <c r="BO29" s="565">
        <f t="shared" si="40"/>
        <v>0.17209733631317492</v>
      </c>
      <c r="BP29" s="541"/>
      <c r="BQ29" s="594">
        <f t="shared" si="41"/>
        <v>0.11085515236844716</v>
      </c>
      <c r="BR29" s="541">
        <f t="shared" si="41"/>
        <v>0.20019088865997836</v>
      </c>
      <c r="BS29" s="541">
        <f t="shared" si="41"/>
        <v>0.17409671020995632</v>
      </c>
      <c r="BT29" s="540">
        <f t="shared" si="41"/>
        <v>0.15175742283468424</v>
      </c>
      <c r="BU29" s="565">
        <f t="shared" si="41"/>
        <v>0.16137510492640617</v>
      </c>
      <c r="BV29" s="541"/>
      <c r="BW29" s="594">
        <f t="shared" si="42"/>
        <v>0.12434708901259672</v>
      </c>
      <c r="BX29" s="541">
        <f t="shared" si="42"/>
        <v>0.12939201805596945</v>
      </c>
      <c r="BY29" s="541">
        <f t="shared" si="42"/>
        <v>0.21954602185253186</v>
      </c>
      <c r="BZ29" s="540">
        <f t="shared" si="42"/>
        <v>0.20750299058348209</v>
      </c>
      <c r="CA29" s="565">
        <f t="shared" si="42"/>
        <v>0.17363572143859812</v>
      </c>
      <c r="CB29" s="541"/>
      <c r="CC29" s="594">
        <f t="shared" si="43"/>
        <v>0.18270381551470338</v>
      </c>
      <c r="CD29" s="541">
        <f t="shared" si="43"/>
        <v>0.18433682738408685</v>
      </c>
      <c r="CE29" s="541">
        <f t="shared" si="43"/>
        <v>0.29603308658074967</v>
      </c>
      <c r="CF29" s="540">
        <f t="shared" si="43"/>
        <v>0.26393109519115487</v>
      </c>
      <c r="CG29" s="565">
        <f t="shared" si="43"/>
        <v>0.23591659961196007</v>
      </c>
      <c r="CH29" s="541"/>
      <c r="CI29" s="594">
        <f t="shared" si="44"/>
        <v>0.24347817622147616</v>
      </c>
      <c r="CJ29" s="541">
        <f t="shared" si="44"/>
        <v>0.2482984147716274</v>
      </c>
      <c r="CK29" s="541">
        <f t="shared" si="44"/>
        <v>0.32469304208744387</v>
      </c>
      <c r="CL29" s="540">
        <f t="shared" si="44"/>
        <v>0.2886615971597819</v>
      </c>
      <c r="CM29" s="565">
        <f t="shared" si="44"/>
        <v>0.27944204185713695</v>
      </c>
      <c r="CN29" s="174"/>
      <c r="CO29" s="2082" t="s">
        <v>534</v>
      </c>
      <c r="CP29" s="2085"/>
      <c r="CQ29" s="2085"/>
      <c r="CR29" s="2085"/>
      <c r="CS29" s="2085"/>
      <c r="CT29" s="2085"/>
      <c r="CU29" s="2085"/>
      <c r="CV29" s="2085"/>
      <c r="CW29" s="2085"/>
      <c r="CX29" s="2075" t="s">
        <v>528</v>
      </c>
      <c r="CY29" s="2075" t="s">
        <v>528</v>
      </c>
      <c r="CZ29" s="2075" t="s">
        <v>528</v>
      </c>
      <c r="DA29" s="2075" t="s">
        <v>528</v>
      </c>
      <c r="DB29" s="2075" t="s">
        <v>528</v>
      </c>
      <c r="DC29" s="2075" t="s">
        <v>528</v>
      </c>
      <c r="DD29" s="2075" t="s">
        <v>528</v>
      </c>
      <c r="DE29" s="2075" t="s">
        <v>528</v>
      </c>
      <c r="DF29" s="2075">
        <f t="shared" si="45"/>
        <v>0.22</v>
      </c>
      <c r="DG29" s="2075">
        <f t="shared" si="45"/>
        <v>0.22</v>
      </c>
      <c r="DH29" s="2075">
        <f t="shared" si="45"/>
        <v>0.21500000000000002</v>
      </c>
      <c r="DI29" s="2075">
        <f t="shared" si="45"/>
        <v>0.22</v>
      </c>
      <c r="DJ29" s="2075">
        <f t="shared" si="45"/>
        <v>0.16</v>
      </c>
      <c r="DK29" s="2075">
        <f t="shared" si="45"/>
        <v>0.18</v>
      </c>
      <c r="DL29" s="2075">
        <f t="shared" si="45"/>
        <v>0.14500000000000002</v>
      </c>
      <c r="DM29" s="2075">
        <f t="shared" si="45"/>
        <v>0.16658506139314547</v>
      </c>
      <c r="DN29" s="2075">
        <f t="shared" si="45"/>
        <v>0.1</v>
      </c>
      <c r="DO29" s="2075">
        <f t="shared" si="45"/>
        <v>0.16</v>
      </c>
      <c r="DP29" s="2075">
        <f t="shared" si="45"/>
        <v>0.15000000000000002</v>
      </c>
      <c r="DQ29" s="2075">
        <f t="shared" si="45"/>
        <v>0.17658506139314545</v>
      </c>
      <c r="DR29" s="2370"/>
    </row>
    <row r="30" spans="1:122">
      <c r="A30" s="309" t="s">
        <v>538</v>
      </c>
      <c r="B30" s="539"/>
      <c r="C30" s="594"/>
      <c r="D30" s="541"/>
      <c r="E30" s="541"/>
      <c r="F30" s="540"/>
      <c r="G30" s="565"/>
      <c r="H30" s="539"/>
      <c r="I30" s="594"/>
      <c r="J30" s="541"/>
      <c r="K30" s="541"/>
      <c r="L30" s="540"/>
      <c r="M30" s="565"/>
      <c r="N30" s="539"/>
      <c r="O30" s="594"/>
      <c r="P30" s="541"/>
      <c r="Q30" s="541"/>
      <c r="R30" s="540"/>
      <c r="S30" s="565"/>
      <c r="T30" s="541"/>
      <c r="U30" s="594"/>
      <c r="V30" s="541"/>
      <c r="W30" s="541"/>
      <c r="X30" s="540"/>
      <c r="Y30" s="565"/>
      <c r="Z30" s="541"/>
      <c r="AA30" s="594"/>
      <c r="AB30" s="541"/>
      <c r="AC30" s="541"/>
      <c r="AD30" s="540"/>
      <c r="AE30" s="565"/>
      <c r="AF30" s="541"/>
      <c r="AG30" s="594"/>
      <c r="AH30" s="541"/>
      <c r="AI30" s="541"/>
      <c r="AJ30" s="540"/>
      <c r="AK30" s="565"/>
      <c r="AL30" s="541"/>
      <c r="AM30" s="594"/>
      <c r="AN30" s="541"/>
      <c r="AO30" s="541"/>
      <c r="AP30" s="540"/>
      <c r="AQ30" s="565"/>
      <c r="AR30" s="541"/>
      <c r="AS30" s="594"/>
      <c r="AT30" s="541"/>
      <c r="AU30" s="541"/>
      <c r="AV30" s="540"/>
      <c r="AW30" s="565"/>
      <c r="AX30" s="541"/>
      <c r="AY30" s="594"/>
      <c r="AZ30" s="541"/>
      <c r="BA30" s="541"/>
      <c r="BB30" s="540"/>
      <c r="BC30" s="565"/>
      <c r="BD30" s="541"/>
      <c r="BE30" s="594">
        <f t="shared" si="39"/>
        <v>0.05</v>
      </c>
      <c r="BF30" s="541">
        <f t="shared" si="39"/>
        <v>0.1</v>
      </c>
      <c r="BG30" s="541">
        <f t="shared" si="39"/>
        <v>0.115</v>
      </c>
      <c r="BH30" s="540">
        <f t="shared" si="39"/>
        <v>0.13</v>
      </c>
      <c r="BI30" s="565">
        <f t="shared" si="39"/>
        <v>9.9985912236081775E-2</v>
      </c>
      <c r="BJ30" s="541"/>
      <c r="BK30" s="594">
        <f t="shared" si="40"/>
        <v>0.1522801837639608</v>
      </c>
      <c r="BL30" s="541">
        <f t="shared" si="40"/>
        <v>0.21000000000000002</v>
      </c>
      <c r="BM30" s="541">
        <f t="shared" si="40"/>
        <v>0.1560913313967251</v>
      </c>
      <c r="BN30" s="540">
        <f t="shared" si="40"/>
        <v>0.185</v>
      </c>
      <c r="BO30" s="565">
        <f t="shared" si="40"/>
        <v>0.18349747331658309</v>
      </c>
      <c r="BP30" s="541"/>
      <c r="BQ30" s="594">
        <f t="shared" si="41"/>
        <v>0.12317855347039888</v>
      </c>
      <c r="BR30" s="541">
        <f t="shared" si="41"/>
        <v>0.23</v>
      </c>
      <c r="BS30" s="541">
        <f t="shared" si="41"/>
        <v>0.19109133139672507</v>
      </c>
      <c r="BT30" s="540">
        <f t="shared" si="41"/>
        <v>0.19500000000000001</v>
      </c>
      <c r="BU30" s="565">
        <f t="shared" si="41"/>
        <v>0.19771383214623683</v>
      </c>
      <c r="BV30" s="541"/>
      <c r="BW30" s="594">
        <f t="shared" si="42"/>
        <v>0.13589836970643809</v>
      </c>
      <c r="BX30" s="541">
        <f t="shared" si="42"/>
        <v>0.13500000000000001</v>
      </c>
      <c r="BY30" s="541">
        <f t="shared" si="42"/>
        <v>0.16500000000000001</v>
      </c>
      <c r="BZ30" s="540">
        <f t="shared" si="42"/>
        <v>0.16500000000000001</v>
      </c>
      <c r="CA30" s="565">
        <f t="shared" si="42"/>
        <v>0.15532789147196741</v>
      </c>
      <c r="CB30" s="541"/>
      <c r="CC30" s="594">
        <f t="shared" si="43"/>
        <v>0.13</v>
      </c>
      <c r="CD30" s="541">
        <f t="shared" si="43"/>
        <v>0.13</v>
      </c>
      <c r="CE30" s="541">
        <f t="shared" si="43"/>
        <v>0.13</v>
      </c>
      <c r="CF30" s="540">
        <f t="shared" si="43"/>
        <v>0.13</v>
      </c>
      <c r="CG30" s="565">
        <f t="shared" si="43"/>
        <v>0.12999999999999989</v>
      </c>
      <c r="CH30" s="541"/>
      <c r="CI30" s="594">
        <f t="shared" si="44"/>
        <v>0.13</v>
      </c>
      <c r="CJ30" s="541">
        <f t="shared" si="44"/>
        <v>0.13</v>
      </c>
      <c r="CK30" s="541">
        <f t="shared" si="44"/>
        <v>0.13</v>
      </c>
      <c r="CL30" s="540">
        <f t="shared" si="44"/>
        <v>0.13</v>
      </c>
      <c r="CM30" s="565">
        <f t="shared" si="44"/>
        <v>0.12999999999999989</v>
      </c>
      <c r="CN30" s="174"/>
      <c r="CO30" s="2081" t="s">
        <v>539</v>
      </c>
      <c r="CP30" s="2084"/>
      <c r="CQ30" s="2084"/>
      <c r="CR30" s="2084"/>
      <c r="CS30" s="2084"/>
      <c r="CT30" s="2084"/>
      <c r="CU30" s="2084"/>
      <c r="CV30" s="2084"/>
      <c r="CW30" s="2084"/>
      <c r="CX30" s="2073" t="s">
        <v>528</v>
      </c>
      <c r="CY30" s="2073" t="s">
        <v>528</v>
      </c>
      <c r="CZ30" s="2073" t="s">
        <v>528</v>
      </c>
      <c r="DA30" s="2073" t="s">
        <v>528</v>
      </c>
      <c r="DB30" s="2073" t="s">
        <v>528</v>
      </c>
      <c r="DC30" s="2073" t="s">
        <v>528</v>
      </c>
      <c r="DD30" s="2073" t="s">
        <v>528</v>
      </c>
      <c r="DE30" s="2073" t="s">
        <v>528</v>
      </c>
      <c r="DF30" s="2073">
        <f t="shared" si="45"/>
        <v>6.057270336785231E-2</v>
      </c>
      <c r="DG30" s="2073">
        <f t="shared" si="45"/>
        <v>0.1651940362367835</v>
      </c>
      <c r="DH30" s="2073">
        <f t="shared" si="45"/>
        <v>0.25613157804722297</v>
      </c>
      <c r="DI30" s="2073">
        <f t="shared" si="45"/>
        <v>0.36229129707343899</v>
      </c>
      <c r="DJ30" s="2073">
        <f t="shared" si="45"/>
        <v>0.33506502258853443</v>
      </c>
      <c r="DK30" s="2073">
        <f t="shared" si="45"/>
        <v>0.13268076640223209</v>
      </c>
      <c r="DL30" s="2073">
        <f t="shared" si="45"/>
        <v>0.30062916319934929</v>
      </c>
      <c r="DM30" s="2073">
        <f t="shared" si="45"/>
        <v>-1.9180763213966501E-2</v>
      </c>
      <c r="DN30" s="2073">
        <f t="shared" si="45"/>
        <v>0.08</v>
      </c>
      <c r="DO30" s="2073">
        <f t="shared" si="45"/>
        <v>0.16983967134191821</v>
      </c>
      <c r="DP30" s="2073">
        <f t="shared" si="45"/>
        <v>0.17</v>
      </c>
      <c r="DQ30" s="2073">
        <f t="shared" si="45"/>
        <v>-0.15</v>
      </c>
      <c r="DR30" s="2370"/>
    </row>
    <row r="31" spans="1:122">
      <c r="A31" s="309" t="s">
        <v>534</v>
      </c>
      <c r="B31" s="539"/>
      <c r="C31" s="594"/>
      <c r="D31" s="541"/>
      <c r="E31" s="541"/>
      <c r="F31" s="540"/>
      <c r="G31" s="565"/>
      <c r="H31" s="539"/>
      <c r="I31" s="594"/>
      <c r="J31" s="541"/>
      <c r="K31" s="541"/>
      <c r="L31" s="540"/>
      <c r="M31" s="565"/>
      <c r="N31" s="539"/>
      <c r="O31" s="594"/>
      <c r="P31" s="541"/>
      <c r="Q31" s="541"/>
      <c r="R31" s="540"/>
      <c r="S31" s="565"/>
      <c r="T31" s="541"/>
      <c r="U31" s="594"/>
      <c r="V31" s="541"/>
      <c r="W31" s="541"/>
      <c r="X31" s="540"/>
      <c r="Y31" s="565"/>
      <c r="Z31" s="541"/>
      <c r="AA31" s="594"/>
      <c r="AB31" s="541"/>
      <c r="AC31" s="541"/>
      <c r="AD31" s="540"/>
      <c r="AE31" s="565"/>
      <c r="AF31" s="541"/>
      <c r="AG31" s="594"/>
      <c r="AH31" s="541"/>
      <c r="AI31" s="541"/>
      <c r="AJ31" s="540"/>
      <c r="AK31" s="565"/>
      <c r="AL31" s="541"/>
      <c r="AM31" s="594"/>
      <c r="AN31" s="541"/>
      <c r="AO31" s="541"/>
      <c r="AP31" s="540"/>
      <c r="AQ31" s="565"/>
      <c r="AR31" s="541"/>
      <c r="AS31" s="594"/>
      <c r="AT31" s="541"/>
      <c r="AU31" s="541"/>
      <c r="AV31" s="540"/>
      <c r="AW31" s="565"/>
      <c r="AX31" s="541"/>
      <c r="AY31" s="594"/>
      <c r="AZ31" s="541"/>
      <c r="BA31" s="541"/>
      <c r="BB31" s="540"/>
      <c r="BC31" s="565"/>
      <c r="BD31" s="541"/>
      <c r="BE31" s="594">
        <f t="shared" si="39"/>
        <v>0.22</v>
      </c>
      <c r="BF31" s="541">
        <f t="shared" si="39"/>
        <v>0.22</v>
      </c>
      <c r="BG31" s="541">
        <f t="shared" si="39"/>
        <v>0.21500000000000002</v>
      </c>
      <c r="BH31" s="540">
        <f t="shared" si="39"/>
        <v>0.22</v>
      </c>
      <c r="BI31" s="565">
        <f t="shared" si="39"/>
        <v>0.21900707944446285</v>
      </c>
      <c r="BJ31" s="541"/>
      <c r="BK31" s="594">
        <f t="shared" si="40"/>
        <v>0.16</v>
      </c>
      <c r="BL31" s="541">
        <f t="shared" si="40"/>
        <v>0.18</v>
      </c>
      <c r="BM31" s="541">
        <f t="shared" si="40"/>
        <v>0.14500000000000002</v>
      </c>
      <c r="BN31" s="540">
        <f t="shared" si="40"/>
        <v>0.16658506139314547</v>
      </c>
      <c r="BO31" s="565">
        <f t="shared" si="40"/>
        <v>0.16942980779074571</v>
      </c>
      <c r="BP31" s="541"/>
      <c r="BQ31" s="594">
        <f t="shared" si="41"/>
        <v>0.1</v>
      </c>
      <c r="BR31" s="541">
        <f t="shared" si="41"/>
        <v>0.16</v>
      </c>
      <c r="BS31" s="541">
        <f t="shared" si="41"/>
        <v>0.15000000000000002</v>
      </c>
      <c r="BT31" s="540">
        <f t="shared" si="41"/>
        <v>0.17658506139314545</v>
      </c>
      <c r="BU31" s="565">
        <f t="shared" si="41"/>
        <v>0.15932775759486417</v>
      </c>
      <c r="BV31" s="541"/>
      <c r="BW31" s="594">
        <f t="shared" si="42"/>
        <v>0.14000000000000001</v>
      </c>
      <c r="BX31" s="541">
        <f t="shared" si="42"/>
        <v>0.16</v>
      </c>
      <c r="BY31" s="541">
        <f t="shared" si="42"/>
        <v>0.16</v>
      </c>
      <c r="BZ31" s="540">
        <f t="shared" si="42"/>
        <v>0.16</v>
      </c>
      <c r="CA31" s="565">
        <f t="shared" si="42"/>
        <v>0.16029414068943831</v>
      </c>
      <c r="CB31" s="541"/>
      <c r="CC31" s="594">
        <f t="shared" si="43"/>
        <v>0.16</v>
      </c>
      <c r="CD31" s="541">
        <f t="shared" si="43"/>
        <v>0.16</v>
      </c>
      <c r="CE31" s="541">
        <f t="shared" si="43"/>
        <v>0.16</v>
      </c>
      <c r="CF31" s="540">
        <f t="shared" si="43"/>
        <v>0.16</v>
      </c>
      <c r="CG31" s="565">
        <f t="shared" si="43"/>
        <v>0.16000000000000014</v>
      </c>
      <c r="CH31" s="541"/>
      <c r="CI31" s="594">
        <f t="shared" si="44"/>
        <v>0.16</v>
      </c>
      <c r="CJ31" s="541">
        <f t="shared" si="44"/>
        <v>0.16</v>
      </c>
      <c r="CK31" s="541">
        <f t="shared" si="44"/>
        <v>0.16</v>
      </c>
      <c r="CL31" s="540">
        <f t="shared" si="44"/>
        <v>0.16</v>
      </c>
      <c r="CM31" s="565">
        <f t="shared" si="44"/>
        <v>0.15999999999999992</v>
      </c>
      <c r="CN31" s="174"/>
      <c r="CO31" s="2082" t="str">
        <f>+CO16</f>
        <v>ACG</v>
      </c>
      <c r="CP31" s="2074"/>
      <c r="CQ31" s="2074"/>
      <c r="CR31" s="2074"/>
      <c r="CS31" s="2074"/>
      <c r="CT31" s="2074"/>
      <c r="CU31" s="2074"/>
      <c r="CV31" s="2074"/>
      <c r="CW31" s="2074"/>
      <c r="CX31" s="2075">
        <f t="shared" ref="CX31:DE33" si="46">+CX16+CT16</f>
        <v>0.13744142221260855</v>
      </c>
      <c r="CY31" s="2075">
        <f t="shared" si="46"/>
        <v>0.13601126378388248</v>
      </c>
      <c r="CZ31" s="2075">
        <f t="shared" si="46"/>
        <v>0.17382800955457955</v>
      </c>
      <c r="DA31" s="2075">
        <f t="shared" si="46"/>
        <v>0.15351752642300326</v>
      </c>
      <c r="DB31" s="2075">
        <f t="shared" si="46"/>
        <v>0.17823558023132147</v>
      </c>
      <c r="DC31" s="2075">
        <f t="shared" si="46"/>
        <v>0.13249706902258473</v>
      </c>
      <c r="DD31" s="2075">
        <f t="shared" si="46"/>
        <v>0.17148124001113096</v>
      </c>
      <c r="DE31" s="2075">
        <f t="shared" si="46"/>
        <v>0.1613433936532136</v>
      </c>
      <c r="DF31" s="2075">
        <f t="shared" si="45"/>
        <v>0.20144514788231002</v>
      </c>
      <c r="DG31" s="2075">
        <f t="shared" si="45"/>
        <v>0.164265516415049</v>
      </c>
      <c r="DH31" s="2075">
        <f t="shared" si="45"/>
        <v>0.1651785714285714</v>
      </c>
      <c r="DI31" s="2075">
        <f t="shared" si="45"/>
        <v>0.18143373493975895</v>
      </c>
      <c r="DJ31" s="2075">
        <f t="shared" si="45"/>
        <v>0.17471903323262838</v>
      </c>
      <c r="DK31" s="2075">
        <f t="shared" si="45"/>
        <v>0.19657320872274134</v>
      </c>
      <c r="DL31" s="2075">
        <f t="shared" si="45"/>
        <v>0.16482142857142854</v>
      </c>
      <c r="DM31" s="2075">
        <f t="shared" si="45"/>
        <v>0.153</v>
      </c>
      <c r="DN31" s="2075">
        <f t="shared" si="45"/>
        <v>0.15287603305785125</v>
      </c>
      <c r="DO31" s="2075">
        <f t="shared" si="45"/>
        <v>0.21000000000000002</v>
      </c>
      <c r="DP31" s="2075">
        <f t="shared" si="45"/>
        <v>0.2</v>
      </c>
      <c r="DQ31" s="2075">
        <f t="shared" si="45"/>
        <v>0.2</v>
      </c>
      <c r="DR31" s="2370"/>
    </row>
    <row r="32" spans="1:122">
      <c r="A32" s="309" t="s">
        <v>539</v>
      </c>
      <c r="B32" s="539"/>
      <c r="C32" s="594"/>
      <c r="D32" s="541"/>
      <c r="E32" s="541"/>
      <c r="F32" s="540"/>
      <c r="G32" s="565"/>
      <c r="H32" s="539"/>
      <c r="I32" s="594"/>
      <c r="J32" s="541"/>
      <c r="K32" s="541"/>
      <c r="L32" s="540"/>
      <c r="M32" s="565"/>
      <c r="N32" s="539"/>
      <c r="O32" s="594"/>
      <c r="P32" s="541"/>
      <c r="Q32" s="541"/>
      <c r="R32" s="540"/>
      <c r="S32" s="565"/>
      <c r="T32" s="541"/>
      <c r="U32" s="594"/>
      <c r="V32" s="541"/>
      <c r="W32" s="541"/>
      <c r="X32" s="540"/>
      <c r="Y32" s="565"/>
      <c r="Z32" s="541"/>
      <c r="AA32" s="594"/>
      <c r="AB32" s="541"/>
      <c r="AC32" s="541"/>
      <c r="AD32" s="540"/>
      <c r="AE32" s="565"/>
      <c r="AF32" s="541"/>
      <c r="AG32" s="594"/>
      <c r="AH32" s="541"/>
      <c r="AI32" s="541"/>
      <c r="AJ32" s="540"/>
      <c r="AK32" s="565"/>
      <c r="AL32" s="541"/>
      <c r="AM32" s="594"/>
      <c r="AN32" s="541"/>
      <c r="AO32" s="541"/>
      <c r="AP32" s="540"/>
      <c r="AQ32" s="565"/>
      <c r="AR32" s="541"/>
      <c r="AS32" s="594"/>
      <c r="AT32" s="541"/>
      <c r="AU32" s="541"/>
      <c r="AV32" s="540"/>
      <c r="AW32" s="565"/>
      <c r="AX32" s="541"/>
      <c r="AY32" s="594"/>
      <c r="AZ32" s="541"/>
      <c r="BA32" s="541"/>
      <c r="BB32" s="540"/>
      <c r="BC32" s="565"/>
      <c r="BD32" s="541"/>
      <c r="BE32" s="594">
        <f t="shared" si="39"/>
        <v>6.057270336785231E-2</v>
      </c>
      <c r="BF32" s="541">
        <f t="shared" si="39"/>
        <v>0.1651940362367835</v>
      </c>
      <c r="BG32" s="541">
        <f t="shared" si="39"/>
        <v>0.25613157804722297</v>
      </c>
      <c r="BH32" s="540">
        <f t="shared" si="39"/>
        <v>0.36229129707343899</v>
      </c>
      <c r="BI32" s="565">
        <f t="shared" si="39"/>
        <v>0.38596359702273053</v>
      </c>
      <c r="BJ32" s="541"/>
      <c r="BK32" s="594">
        <f t="shared" si="40"/>
        <v>0.33506502258853443</v>
      </c>
      <c r="BL32" s="541">
        <f t="shared" si="40"/>
        <v>0.13268076640223209</v>
      </c>
      <c r="BM32" s="541">
        <f t="shared" si="40"/>
        <v>0.30062916319934929</v>
      </c>
      <c r="BN32" s="540">
        <f t="shared" si="40"/>
        <v>-1.9180763213966501E-2</v>
      </c>
      <c r="BO32" s="565">
        <f t="shared" si="40"/>
        <v>0.19587556226003724</v>
      </c>
      <c r="BP32" s="541"/>
      <c r="BQ32" s="594">
        <f t="shared" si="41"/>
        <v>0.08</v>
      </c>
      <c r="BR32" s="541">
        <f t="shared" si="41"/>
        <v>0.16983967134191821</v>
      </c>
      <c r="BS32" s="541">
        <f t="shared" si="41"/>
        <v>0.17</v>
      </c>
      <c r="BT32" s="540">
        <f t="shared" si="41"/>
        <v>-0.15</v>
      </c>
      <c r="BU32" s="565">
        <f t="shared" si="41"/>
        <v>6.8737911189201042E-2</v>
      </c>
      <c r="BV32" s="541"/>
      <c r="BW32" s="594">
        <f t="shared" si="42"/>
        <v>0</v>
      </c>
      <c r="BX32" s="541">
        <f t="shared" si="42"/>
        <v>0</v>
      </c>
      <c r="BY32" s="541">
        <f t="shared" si="42"/>
        <v>0.7</v>
      </c>
      <c r="BZ32" s="540">
        <f t="shared" si="42"/>
        <v>0.7</v>
      </c>
      <c r="CA32" s="565">
        <f t="shared" si="42"/>
        <v>0.37297193626835928</v>
      </c>
      <c r="CB32" s="541"/>
      <c r="CC32" s="594">
        <f t="shared" si="43"/>
        <v>0.62</v>
      </c>
      <c r="CD32" s="541">
        <f t="shared" si="43"/>
        <v>0.62</v>
      </c>
      <c r="CE32" s="541">
        <f t="shared" si="43"/>
        <v>1.3199999999999998</v>
      </c>
      <c r="CF32" s="540">
        <f t="shared" si="43"/>
        <v>1.3199999999999998</v>
      </c>
      <c r="CG32" s="565">
        <f t="shared" si="43"/>
        <v>0.98865969685806521</v>
      </c>
      <c r="CH32" s="541"/>
      <c r="CI32" s="594">
        <f t="shared" si="44"/>
        <v>1.1200000000000001</v>
      </c>
      <c r="CJ32" s="541">
        <f t="shared" si="44"/>
        <v>1.1200000000000001</v>
      </c>
      <c r="CK32" s="541">
        <f t="shared" si="44"/>
        <v>1.1200000000000001</v>
      </c>
      <c r="CL32" s="540">
        <f t="shared" si="44"/>
        <v>1.1200000000000001</v>
      </c>
      <c r="CM32" s="565">
        <f t="shared" si="44"/>
        <v>1.1200000000000001</v>
      </c>
      <c r="CN32" s="174"/>
      <c r="CO32" s="2083" t="str">
        <f>+CO17</f>
        <v>Agilent Organic</v>
      </c>
      <c r="CP32" s="2076"/>
      <c r="CQ32" s="2076"/>
      <c r="CR32" s="2076"/>
      <c r="CS32" s="2076"/>
      <c r="CT32" s="2076"/>
      <c r="CU32" s="2076"/>
      <c r="CV32" s="2076"/>
      <c r="CW32" s="2076"/>
      <c r="CX32" s="2077">
        <f t="shared" si="46"/>
        <v>8.3445616719000804E-2</v>
      </c>
      <c r="CY32" s="2077">
        <f t="shared" si="46"/>
        <v>6.7226510316877319E-2</v>
      </c>
      <c r="CZ32" s="2077">
        <f t="shared" si="46"/>
        <v>8.9197559696183648E-2</v>
      </c>
      <c r="DA32" s="2077">
        <f t="shared" si="46"/>
        <v>0.10872032660585884</v>
      </c>
      <c r="DB32" s="2077">
        <f t="shared" si="46"/>
        <v>0.13186876594757602</v>
      </c>
      <c r="DC32" s="2077">
        <f t="shared" si="46"/>
        <v>8.7360465503740437E-2</v>
      </c>
      <c r="DD32" s="2077">
        <f t="shared" si="46"/>
        <v>0.12097863706140019</v>
      </c>
      <c r="DE32" s="2077">
        <f t="shared" si="46"/>
        <v>0.10030966940795541</v>
      </c>
      <c r="DF32" s="2077">
        <f t="shared" si="45"/>
        <v>0.13193031189083829</v>
      </c>
      <c r="DG32" s="2077">
        <f t="shared" si="45"/>
        <v>0.10542730021128119</v>
      </c>
      <c r="DH32" s="2077">
        <f t="shared" si="45"/>
        <v>0.10107744305197994</v>
      </c>
      <c r="DI32" s="2077">
        <f t="shared" si="45"/>
        <v>0.12588359294306187</v>
      </c>
      <c r="DJ32" s="2077">
        <f t="shared" si="45"/>
        <v>0.11659224680111524</v>
      </c>
      <c r="DK32" s="2077">
        <f t="shared" si="45"/>
        <v>0.12725798878823802</v>
      </c>
      <c r="DL32" s="2077">
        <f t="shared" si="45"/>
        <v>0.10545704958171802</v>
      </c>
      <c r="DM32" s="2077">
        <f t="shared" si="45"/>
        <v>0.14030205281397706</v>
      </c>
      <c r="DN32" s="2077">
        <f t="shared" si="45"/>
        <v>0.11946556398452463</v>
      </c>
      <c r="DO32" s="2077">
        <f t="shared" si="45"/>
        <v>0.17902375037400267</v>
      </c>
      <c r="DP32" s="2077">
        <f t="shared" si="45"/>
        <v>0.15475703704459895</v>
      </c>
      <c r="DQ32" s="2077">
        <f t="shared" si="45"/>
        <v>0.1536069368000218</v>
      </c>
      <c r="DR32" s="2370"/>
    </row>
    <row r="33" spans="1:122">
      <c r="A33" s="490" t="s">
        <v>107</v>
      </c>
      <c r="B33" s="539"/>
      <c r="C33" s="594"/>
      <c r="D33" s="541"/>
      <c r="E33" s="541"/>
      <c r="F33" s="540"/>
      <c r="G33" s="565"/>
      <c r="H33" s="539"/>
      <c r="I33" s="594"/>
      <c r="J33" s="541"/>
      <c r="K33" s="541"/>
      <c r="L33" s="540"/>
      <c r="M33" s="565"/>
      <c r="N33" s="539"/>
      <c r="O33" s="594"/>
      <c r="P33" s="541"/>
      <c r="Q33" s="541"/>
      <c r="R33" s="540"/>
      <c r="S33" s="565"/>
      <c r="T33" s="541"/>
      <c r="U33" s="594"/>
      <c r="V33" s="541"/>
      <c r="W33" s="541"/>
      <c r="X33" s="540"/>
      <c r="Y33" s="565"/>
      <c r="Z33" s="541"/>
      <c r="AA33" s="594"/>
      <c r="AB33" s="541"/>
      <c r="AC33" s="541"/>
      <c r="AD33" s="540"/>
      <c r="AE33" s="565"/>
      <c r="AF33" s="541"/>
      <c r="AG33" s="594"/>
      <c r="AH33" s="541"/>
      <c r="AI33" s="541"/>
      <c r="AJ33" s="540"/>
      <c r="AK33" s="565"/>
      <c r="AL33" s="541"/>
      <c r="AM33" s="594"/>
      <c r="AN33" s="541"/>
      <c r="AO33" s="541"/>
      <c r="AP33" s="540"/>
      <c r="AQ33" s="565"/>
      <c r="AR33" s="541"/>
      <c r="AS33" s="594">
        <f t="shared" ref="AS33:AW34" si="47">AS16+AM16</f>
        <v>0.13744142221260855</v>
      </c>
      <c r="AT33" s="541">
        <f t="shared" si="47"/>
        <v>0.13601126378388248</v>
      </c>
      <c r="AU33" s="541">
        <f t="shared" si="47"/>
        <v>0.17382800955457955</v>
      </c>
      <c r="AV33" s="540">
        <f t="shared" si="47"/>
        <v>0.15351752642300326</v>
      </c>
      <c r="AW33" s="565">
        <f t="shared" si="47"/>
        <v>0.15009725656458597</v>
      </c>
      <c r="AX33" s="541"/>
      <c r="AY33" s="594">
        <f t="shared" ref="AY33:BC34" si="48">AY16+AS16</f>
        <v>0.17823558023132147</v>
      </c>
      <c r="AZ33" s="541">
        <f t="shared" si="48"/>
        <v>0.13249706902258473</v>
      </c>
      <c r="BA33" s="541">
        <f t="shared" si="48"/>
        <v>0.17148124001113096</v>
      </c>
      <c r="BB33" s="540">
        <f t="shared" si="48"/>
        <v>0.1613433936532136</v>
      </c>
      <c r="BC33" s="565">
        <f t="shared" si="48"/>
        <v>0.16101100618993416</v>
      </c>
      <c r="BD33" s="541"/>
      <c r="BE33" s="594">
        <f t="shared" si="39"/>
        <v>0.20144514788231002</v>
      </c>
      <c r="BF33" s="541">
        <f t="shared" si="39"/>
        <v>0.164265516415049</v>
      </c>
      <c r="BG33" s="541">
        <f t="shared" si="39"/>
        <v>0.1651785714285714</v>
      </c>
      <c r="BH33" s="540">
        <f t="shared" si="39"/>
        <v>0.18143373493975895</v>
      </c>
      <c r="BI33" s="565">
        <f t="shared" si="39"/>
        <v>0.17803208006497873</v>
      </c>
      <c r="BJ33" s="541"/>
      <c r="BK33" s="594">
        <f t="shared" si="40"/>
        <v>0.17471903323262838</v>
      </c>
      <c r="BL33" s="541">
        <f t="shared" si="40"/>
        <v>0.19657320872274134</v>
      </c>
      <c r="BM33" s="541">
        <f t="shared" si="40"/>
        <v>0.16482142857142854</v>
      </c>
      <c r="BN33" s="540">
        <f t="shared" si="40"/>
        <v>0.153</v>
      </c>
      <c r="BO33" s="565">
        <f t="shared" si="40"/>
        <v>0.17198156643164297</v>
      </c>
      <c r="BP33" s="541"/>
      <c r="BQ33" s="594">
        <f t="shared" si="41"/>
        <v>0.15287603305785125</v>
      </c>
      <c r="BR33" s="541">
        <f t="shared" si="41"/>
        <v>0.21000000000000002</v>
      </c>
      <c r="BS33" s="541">
        <f t="shared" si="41"/>
        <v>0.2</v>
      </c>
      <c r="BT33" s="540">
        <f t="shared" si="41"/>
        <v>0.2</v>
      </c>
      <c r="BU33" s="565">
        <f t="shared" si="41"/>
        <v>0.19145542421645473</v>
      </c>
      <c r="BV33" s="541"/>
      <c r="BW33" s="594">
        <f t="shared" si="42"/>
        <v>0.16087603305785125</v>
      </c>
      <c r="BX33" s="541">
        <f t="shared" si="42"/>
        <v>0.19</v>
      </c>
      <c r="BY33" s="541">
        <f t="shared" si="42"/>
        <v>0.2</v>
      </c>
      <c r="BZ33" s="540">
        <f t="shared" si="42"/>
        <v>0.2</v>
      </c>
      <c r="CA33" s="565">
        <f t="shared" si="42"/>
        <v>0.18841427464101382</v>
      </c>
      <c r="CB33" s="541"/>
      <c r="CC33" s="594">
        <f t="shared" si="43"/>
        <v>0.155</v>
      </c>
      <c r="CD33" s="541">
        <f t="shared" si="43"/>
        <v>0.155</v>
      </c>
      <c r="CE33" s="541">
        <f t="shared" si="43"/>
        <v>0.155</v>
      </c>
      <c r="CF33" s="540">
        <f t="shared" si="43"/>
        <v>0.155</v>
      </c>
      <c r="CG33" s="565">
        <f t="shared" si="43"/>
        <v>0.155</v>
      </c>
      <c r="CH33" s="541"/>
      <c r="CI33" s="594">
        <f t="shared" si="44"/>
        <v>0.15</v>
      </c>
      <c r="CJ33" s="541">
        <f t="shared" si="44"/>
        <v>0.15</v>
      </c>
      <c r="CK33" s="541">
        <f t="shared" si="44"/>
        <v>0.15</v>
      </c>
      <c r="CL33" s="540">
        <f t="shared" si="44"/>
        <v>0.15</v>
      </c>
      <c r="CM33" s="565">
        <f t="shared" si="44"/>
        <v>0.15</v>
      </c>
      <c r="CN33" s="174"/>
      <c r="CO33" s="2082" t="str">
        <f>+CO18</f>
        <v>Reported Growth</v>
      </c>
      <c r="CP33" s="2074"/>
      <c r="CQ33" s="2074"/>
      <c r="CR33" s="2074"/>
      <c r="CS33" s="2074"/>
      <c r="CT33" s="2074"/>
      <c r="CU33" s="2074"/>
      <c r="CV33" s="2074"/>
      <c r="CW33" s="2074"/>
      <c r="CX33" s="2075">
        <f t="shared" si="46"/>
        <v>0.17004504230176143</v>
      </c>
      <c r="CY33" s="2075">
        <f t="shared" si="46"/>
        <v>0.15064993685504513</v>
      </c>
      <c r="CZ33" s="2075">
        <f t="shared" si="46"/>
        <v>0.14413194120084616</v>
      </c>
      <c r="DA33" s="2075">
        <f t="shared" si="46"/>
        <v>9.4809537007337852E-2</v>
      </c>
      <c r="DB33" s="2075">
        <f t="shared" si="46"/>
        <v>7.0049209662988332E-2</v>
      </c>
      <c r="DC33" s="2075">
        <f t="shared" si="46"/>
        <v>-8.842738374902237E-3</v>
      </c>
      <c r="DD33" s="2075">
        <f t="shared" si="46"/>
        <v>6.5943834615693309E-2</v>
      </c>
      <c r="DE33" s="2075">
        <f t="shared" si="46"/>
        <v>2.1944822769007666E-2</v>
      </c>
      <c r="DF33" s="2075">
        <f t="shared" si="45"/>
        <v>1.9806460595934272E-2</v>
      </c>
      <c r="DG33" s="2075">
        <f t="shared" si="45"/>
        <v>3.2847965828782244E-2</v>
      </c>
      <c r="DH33" s="2075">
        <f t="shared" si="45"/>
        <v>3.4541200204080358E-2</v>
      </c>
      <c r="DI33" s="2075">
        <f t="shared" si="45"/>
        <v>6.575976952399476E-2</v>
      </c>
      <c r="DJ33" s="2075">
        <f t="shared" si="45"/>
        <v>3.9887060929453044E-2</v>
      </c>
      <c r="DK33" s="2075">
        <f t="shared" si="45"/>
        <v>0.13960401387143739</v>
      </c>
      <c r="DL33" s="2075">
        <f t="shared" si="45"/>
        <v>9.663560724568665E-2</v>
      </c>
      <c r="DM33" s="2075">
        <f t="shared" si="45"/>
        <v>0.14363697239289142</v>
      </c>
      <c r="DN33" s="2075">
        <f t="shared" si="45"/>
        <v>0.1728955688701368</v>
      </c>
      <c r="DO33" s="2075">
        <f t="shared" si="45"/>
        <v>0.22092963475942717</v>
      </c>
      <c r="DP33" s="2075">
        <f t="shared" si="45"/>
        <v>0.18279431942076552</v>
      </c>
      <c r="DQ33" s="2075">
        <f t="shared" si="45"/>
        <v>0.17900585608639963</v>
      </c>
      <c r="DR33" s="2370"/>
    </row>
    <row r="34" spans="1:122">
      <c r="A34" s="2372" t="s">
        <v>618</v>
      </c>
      <c r="B34" s="2373"/>
      <c r="C34" s="2374"/>
      <c r="D34" s="2375"/>
      <c r="E34" s="2375"/>
      <c r="F34" s="2376"/>
      <c r="G34" s="2377"/>
      <c r="H34" s="2373"/>
      <c r="I34" s="2374">
        <f>I17+C17</f>
        <v>0.18182947729220228</v>
      </c>
      <c r="J34" s="2375">
        <f>J17+D17</f>
        <v>0.18037530266343826</v>
      </c>
      <c r="K34" s="2375">
        <f>K17+E17</f>
        <v>0.19395883777239714</v>
      </c>
      <c r="L34" s="2376">
        <f>L17+F17</f>
        <v>0.14385542168674698</v>
      </c>
      <c r="M34" s="2377">
        <f>M17+G17</f>
        <v>0.17488538105771159</v>
      </c>
      <c r="N34" s="2373"/>
      <c r="O34" s="2374">
        <f>O17+I17</f>
        <v>9.8064332551980285E-2</v>
      </c>
      <c r="P34" s="2375">
        <f>P17+J17</f>
        <v>3.6897182147266616E-2</v>
      </c>
      <c r="Q34" s="2375">
        <f>Q17+K17</f>
        <v>5.2659070405374903E-3</v>
      </c>
      <c r="R34" s="2376">
        <f>R17+L17</f>
        <v>1.6582772369750726E-2</v>
      </c>
      <c r="S34" s="2377">
        <f>S17+M17</f>
        <v>3.9370808069555827E-2</v>
      </c>
      <c r="T34" s="2163"/>
      <c r="U34" s="2374">
        <f>U17+O17</f>
        <v>5.058814207578971E-2</v>
      </c>
      <c r="V34" s="2375">
        <f>V17+P17</f>
        <v>1.1375093793852945E-2</v>
      </c>
      <c r="W34" s="2375">
        <f>W17+Q17</f>
        <v>6.0205423169569686E-2</v>
      </c>
      <c r="X34" s="2376">
        <f>X17+R17</f>
        <v>0.12147247825210375</v>
      </c>
      <c r="Y34" s="2377">
        <f>Y17+S17</f>
        <v>6.1371535166017316E-2</v>
      </c>
      <c r="Z34" s="2163"/>
      <c r="AA34" s="2374">
        <f>AA17+U17</f>
        <v>0.1500580560991519</v>
      </c>
      <c r="AB34" s="2375">
        <f>AB17+V17</f>
        <v>0.22467021933889403</v>
      </c>
      <c r="AC34" s="2375">
        <f>AC17+W17</f>
        <v>0.24648290161978612</v>
      </c>
      <c r="AD34" s="2376">
        <f>AD17+X17</f>
        <v>0.2196945839311335</v>
      </c>
      <c r="AE34" s="2377">
        <f>AE17+Y17</f>
        <v>0.20661905483069068</v>
      </c>
      <c r="AF34" s="2163"/>
      <c r="AG34" s="2374">
        <f>AG17+AA17</f>
        <v>0.21152495042660407</v>
      </c>
      <c r="AH34" s="2375">
        <f>AH17+AB17</f>
        <v>0.13854142011834322</v>
      </c>
      <c r="AI34" s="2375">
        <f>AI17+AC17</f>
        <v>0.12238907927065826</v>
      </c>
      <c r="AJ34" s="2376">
        <f>AJ17+AD17</f>
        <v>5.5786613208597784E-2</v>
      </c>
      <c r="AK34" s="2377">
        <f>AK17+AE17</f>
        <v>0.12901560870099649</v>
      </c>
      <c r="AL34" s="2163"/>
      <c r="AM34" s="2374">
        <f>AM17+AG17</f>
        <v>0.14876199906713095</v>
      </c>
      <c r="AN34" s="2375">
        <f>AN17+AH17</f>
        <v>6.7941877886945709E-2</v>
      </c>
      <c r="AO34" s="2375">
        <f>AO17+AI17</f>
        <v>7.4570067356214131E-2</v>
      </c>
      <c r="AP34" s="2376">
        <f>AP17+AJ17</f>
        <v>8.6202555349091797E-2</v>
      </c>
      <c r="AQ34" s="2377">
        <f>AQ17+AK17</f>
        <v>0.10205275559447816</v>
      </c>
      <c r="AR34" s="2163"/>
      <c r="AS34" s="2374">
        <f t="shared" si="47"/>
        <v>8.3445616719000804E-2</v>
      </c>
      <c r="AT34" s="2375">
        <f t="shared" si="47"/>
        <v>6.7226510316877319E-2</v>
      </c>
      <c r="AU34" s="2375">
        <f t="shared" si="47"/>
        <v>8.9197559696183648E-2</v>
      </c>
      <c r="AV34" s="2376">
        <f t="shared" si="47"/>
        <v>0.10872032660585884</v>
      </c>
      <c r="AW34" s="2377">
        <f t="shared" si="47"/>
        <v>9.3812382691398577E-2</v>
      </c>
      <c r="AX34" s="2163"/>
      <c r="AY34" s="2374">
        <f t="shared" si="48"/>
        <v>0.13186876594757602</v>
      </c>
      <c r="AZ34" s="2375">
        <f t="shared" si="48"/>
        <v>8.7360465503740437E-2</v>
      </c>
      <c r="BA34" s="2375">
        <f t="shared" si="48"/>
        <v>0.12097863706140019</v>
      </c>
      <c r="BB34" s="2376">
        <f t="shared" si="48"/>
        <v>0.10030966940795541</v>
      </c>
      <c r="BC34" s="2377">
        <f t="shared" si="48"/>
        <v>0.11051532848434789</v>
      </c>
      <c r="BD34" s="2163"/>
      <c r="BE34" s="2374">
        <f t="shared" si="39"/>
        <v>0.13193031189083829</v>
      </c>
      <c r="BF34" s="2375">
        <f t="shared" si="39"/>
        <v>0.10542730021128119</v>
      </c>
      <c r="BG34" s="2375">
        <f t="shared" si="39"/>
        <v>0.10107744305197994</v>
      </c>
      <c r="BH34" s="2376">
        <f t="shared" si="39"/>
        <v>0.12588359294306187</v>
      </c>
      <c r="BI34" s="2377">
        <f t="shared" si="39"/>
        <v>0.11705843276542556</v>
      </c>
      <c r="BJ34" s="2163"/>
      <c r="BK34" s="2374">
        <f t="shared" si="40"/>
        <v>0.11659224680111524</v>
      </c>
      <c r="BL34" s="2375">
        <f t="shared" si="40"/>
        <v>0.12725798878823802</v>
      </c>
      <c r="BM34" s="2375">
        <f t="shared" si="40"/>
        <v>0.10545704958171802</v>
      </c>
      <c r="BN34" s="2376">
        <f t="shared" si="40"/>
        <v>0.14030205281397706</v>
      </c>
      <c r="BO34" s="2377">
        <f t="shared" si="40"/>
        <v>0.12311246917256287</v>
      </c>
      <c r="BP34" s="2163"/>
      <c r="BQ34" s="2374">
        <f t="shared" si="41"/>
        <v>0.11946556398452463</v>
      </c>
      <c r="BR34" s="2375">
        <f t="shared" si="41"/>
        <v>0.17902375037400267</v>
      </c>
      <c r="BS34" s="2375">
        <f t="shared" si="41"/>
        <v>0.15475703704459895</v>
      </c>
      <c r="BT34" s="2376">
        <f t="shared" si="41"/>
        <v>0.1536069368000218</v>
      </c>
      <c r="BU34" s="2377">
        <f t="shared" si="41"/>
        <v>0.1522945239328381</v>
      </c>
      <c r="BV34" s="2163"/>
      <c r="BW34" s="2374">
        <f t="shared" si="42"/>
        <v>0.13397983517381126</v>
      </c>
      <c r="BX34" s="2375">
        <f t="shared" si="42"/>
        <v>0.16003097893930218</v>
      </c>
      <c r="BY34" s="2375">
        <f t="shared" si="42"/>
        <v>0.16080139449897857</v>
      </c>
      <c r="BZ34" s="2376">
        <f t="shared" si="42"/>
        <v>0.15572898203690325</v>
      </c>
      <c r="CA34" s="2377">
        <f t="shared" si="42"/>
        <v>0.15320859676750995</v>
      </c>
      <c r="CB34" s="2163"/>
      <c r="CC34" s="2374">
        <f t="shared" si="43"/>
        <v>0.12619971144107903</v>
      </c>
      <c r="CD34" s="2375">
        <f t="shared" si="43"/>
        <v>0.12937667402541003</v>
      </c>
      <c r="CE34" s="2375">
        <f t="shared" si="43"/>
        <v>0.15092383302628842</v>
      </c>
      <c r="CF34" s="2376">
        <f t="shared" si="43"/>
        <v>0.144731590712844</v>
      </c>
      <c r="CG34" s="2377">
        <f t="shared" si="43"/>
        <v>0.13820361564213909</v>
      </c>
      <c r="CH34" s="2163"/>
      <c r="CI34" s="2374">
        <f t="shared" si="44"/>
        <v>0.11967509020303599</v>
      </c>
      <c r="CJ34" s="2375">
        <f t="shared" si="44"/>
        <v>0.12593427306847066</v>
      </c>
      <c r="CK34" s="2375">
        <f t="shared" si="44"/>
        <v>0.14368731902688123</v>
      </c>
      <c r="CL34" s="2376">
        <f t="shared" si="44"/>
        <v>0.13584666098459791</v>
      </c>
      <c r="CM34" s="2377">
        <f t="shared" si="44"/>
        <v>0.1315696368657403</v>
      </c>
      <c r="CN34" s="174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R34" s="2370"/>
    </row>
    <row r="35" spans="1:122">
      <c r="A35" s="2160" t="s">
        <v>612</v>
      </c>
      <c r="B35" s="2161"/>
      <c r="C35" s="2162"/>
      <c r="D35" s="2163"/>
      <c r="E35" s="2163"/>
      <c r="F35" s="2164"/>
      <c r="G35" s="2165"/>
      <c r="H35" s="2161"/>
      <c r="I35" s="2162"/>
      <c r="J35" s="2163"/>
      <c r="K35" s="2163"/>
      <c r="L35" s="2164"/>
      <c r="M35" s="2165"/>
      <c r="N35" s="2161"/>
      <c r="O35" s="2162"/>
      <c r="P35" s="2163"/>
      <c r="Q35" s="2163"/>
      <c r="R35" s="2164"/>
      <c r="S35" s="2165"/>
      <c r="T35" s="2166"/>
      <c r="U35" s="2162"/>
      <c r="V35" s="2163"/>
      <c r="W35" s="2163"/>
      <c r="X35" s="2163"/>
      <c r="Y35" s="2165"/>
      <c r="Z35" s="2166"/>
      <c r="AA35" s="2162"/>
      <c r="AB35" s="2163"/>
      <c r="AC35" s="2163"/>
      <c r="AD35" s="2164"/>
      <c r="AE35" s="2165"/>
      <c r="AF35" s="2166"/>
      <c r="AG35" s="2162"/>
      <c r="AH35" s="2163"/>
      <c r="AI35" s="2163"/>
      <c r="AJ35" s="2164"/>
      <c r="AK35" s="2165"/>
      <c r="AL35" s="2166"/>
      <c r="AM35" s="2162"/>
      <c r="AN35" s="2163"/>
      <c r="AO35" s="2163"/>
      <c r="AP35" s="2164"/>
      <c r="AQ35" s="2165"/>
      <c r="AR35" s="2166"/>
      <c r="AS35" s="2162"/>
      <c r="AT35" s="2163"/>
      <c r="AU35" s="2163"/>
      <c r="AV35" s="2164"/>
      <c r="AW35" s="2165"/>
      <c r="AX35" s="2166"/>
      <c r="AY35" s="2162"/>
      <c r="AZ35" s="2163"/>
      <c r="BA35" s="2163"/>
      <c r="BB35" s="2164"/>
      <c r="BC35" s="2165"/>
      <c r="BD35" s="2166"/>
      <c r="BE35" s="2162"/>
      <c r="BF35" s="2163"/>
      <c r="BG35" s="2163"/>
      <c r="BH35" s="2164"/>
      <c r="BI35" s="2165"/>
      <c r="BJ35" s="2166"/>
      <c r="BK35" s="2162"/>
      <c r="BL35" s="2163"/>
      <c r="BM35" s="2163"/>
      <c r="BN35" s="2164"/>
      <c r="BO35" s="2165"/>
      <c r="BP35" s="2166"/>
      <c r="BQ35" s="2162"/>
      <c r="BR35" s="2163"/>
      <c r="BS35" s="2163"/>
      <c r="BT35" s="2164"/>
      <c r="BU35" s="2165"/>
      <c r="BV35" s="2166"/>
      <c r="BW35" s="2162"/>
      <c r="BX35" s="2163"/>
      <c r="BY35" s="2163"/>
      <c r="BZ35" s="2164"/>
      <c r="CA35" s="2165"/>
      <c r="CB35" s="2163"/>
      <c r="CC35" s="2162">
        <f t="shared" ref="CC35:CC37" si="49">CC18+BW18</f>
        <v>0.12460030461014818</v>
      </c>
      <c r="CD35" s="2163">
        <f t="shared" ref="CD35:CD37" si="50">CD18+BX18</f>
        <v>0.12783434273284491</v>
      </c>
      <c r="CE35" s="2163">
        <f t="shared" ref="CE35:CE37" si="51">CE18+BY18</f>
        <v>0.14937498051552556</v>
      </c>
      <c r="CF35" s="2164">
        <f t="shared" ref="CF35:CF37" si="52">CF18+BZ18</f>
        <v>0.14326966872555114</v>
      </c>
      <c r="CG35" s="2165">
        <f t="shared" ref="CG35:CG37" si="53">CG18+CA18</f>
        <v>0.13666709982963704</v>
      </c>
      <c r="CH35" s="2163"/>
      <c r="CI35" s="2162">
        <f t="shared" si="44"/>
        <v>0.11817078818798984</v>
      </c>
      <c r="CJ35" s="2163">
        <f t="shared" si="44"/>
        <v>0.12448576806057668</v>
      </c>
      <c r="CK35" s="2163">
        <f t="shared" si="44"/>
        <v>0.14224739235197711</v>
      </c>
      <c r="CL35" s="2164">
        <f t="shared" si="44"/>
        <v>0.1344836373415737</v>
      </c>
      <c r="CM35" s="2165">
        <f t="shared" si="44"/>
        <v>0.13013248403161937</v>
      </c>
      <c r="CN35" s="174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R35" s="2370"/>
    </row>
    <row r="36" spans="1:122">
      <c r="A36" s="2160" t="s">
        <v>613</v>
      </c>
      <c r="B36" s="2161"/>
      <c r="C36" s="2162"/>
      <c r="D36" s="2163"/>
      <c r="E36" s="2163"/>
      <c r="F36" s="2164"/>
      <c r="G36" s="2165"/>
      <c r="H36" s="2161"/>
      <c r="I36" s="2162"/>
      <c r="J36" s="2163"/>
      <c r="K36" s="2163"/>
      <c r="L36" s="2164"/>
      <c r="M36" s="2165"/>
      <c r="N36" s="2161"/>
      <c r="O36" s="2162"/>
      <c r="P36" s="2163"/>
      <c r="Q36" s="2163"/>
      <c r="R36" s="2164"/>
      <c r="S36" s="2165"/>
      <c r="T36" s="2166"/>
      <c r="U36" s="2162"/>
      <c r="V36" s="2163"/>
      <c r="W36" s="2163"/>
      <c r="X36" s="2163"/>
      <c r="Y36" s="2165"/>
      <c r="Z36" s="2166"/>
      <c r="AA36" s="2162"/>
      <c r="AB36" s="2163"/>
      <c r="AC36" s="2163"/>
      <c r="AD36" s="2164"/>
      <c r="AE36" s="2165"/>
      <c r="AF36" s="2166"/>
      <c r="AG36" s="2162"/>
      <c r="AH36" s="2163"/>
      <c r="AI36" s="2163"/>
      <c r="AJ36" s="2164"/>
      <c r="AK36" s="2165"/>
      <c r="AL36" s="2166"/>
      <c r="AM36" s="2162"/>
      <c r="AN36" s="2163"/>
      <c r="AO36" s="2163"/>
      <c r="AP36" s="2164"/>
      <c r="AQ36" s="2165"/>
      <c r="AR36" s="2166"/>
      <c r="AS36" s="2162"/>
      <c r="AT36" s="2163"/>
      <c r="AU36" s="2163"/>
      <c r="AV36" s="2164"/>
      <c r="AW36" s="2165"/>
      <c r="AX36" s="2166"/>
      <c r="AY36" s="2162"/>
      <c r="AZ36" s="2163"/>
      <c r="BA36" s="2163"/>
      <c r="BB36" s="2164"/>
      <c r="BC36" s="2165"/>
      <c r="BD36" s="2166"/>
      <c r="BE36" s="2162"/>
      <c r="BF36" s="2163"/>
      <c r="BG36" s="2163"/>
      <c r="BH36" s="2164"/>
      <c r="BI36" s="2165"/>
      <c r="BJ36" s="2166"/>
      <c r="BK36" s="2162"/>
      <c r="BL36" s="2163"/>
      <c r="BM36" s="2163"/>
      <c r="BN36" s="2164"/>
      <c r="BO36" s="2165"/>
      <c r="BP36" s="2166"/>
      <c r="BQ36" s="2162"/>
      <c r="BR36" s="2163"/>
      <c r="BS36" s="2163"/>
      <c r="BT36" s="2164"/>
      <c r="BU36" s="2165"/>
      <c r="BV36" s="2166"/>
      <c r="BW36" s="2162"/>
      <c r="BX36" s="2163"/>
      <c r="BY36" s="2163"/>
      <c r="BZ36" s="2164"/>
      <c r="CA36" s="2165"/>
      <c r="CB36" s="2166"/>
      <c r="CC36" s="2162">
        <f t="shared" si="49"/>
        <v>0.11797768920979661</v>
      </c>
      <c r="CD36" s="2163">
        <f t="shared" si="50"/>
        <v>0.11935674169362251</v>
      </c>
      <c r="CE36" s="2163">
        <f t="shared" si="51"/>
        <v>0.11929072564034884</v>
      </c>
      <c r="CF36" s="2164">
        <f t="shared" si="52"/>
        <v>0.1196602230939173</v>
      </c>
      <c r="CG36" s="2165">
        <f t="shared" si="53"/>
        <v>0.11930545111068536</v>
      </c>
      <c r="CH36" s="2166"/>
      <c r="CI36" s="2162">
        <f t="shared" si="44"/>
        <v>0.10130820644303387</v>
      </c>
      <c r="CJ36" s="2163">
        <f t="shared" si="44"/>
        <v>0.10358583408078093</v>
      </c>
      <c r="CK36" s="2163">
        <f t="shared" si="44"/>
        <v>0.10279005457279149</v>
      </c>
      <c r="CL36" s="2164">
        <f t="shared" si="44"/>
        <v>0.10334003522132505</v>
      </c>
      <c r="CM36" s="2165">
        <f t="shared" si="44"/>
        <v>0.10286399978231131</v>
      </c>
      <c r="CN36" s="174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R36" s="2370"/>
    </row>
    <row r="37" spans="1:122">
      <c r="A37" s="2160" t="s">
        <v>614</v>
      </c>
      <c r="B37" s="2161"/>
      <c r="C37" s="2162"/>
      <c r="D37" s="2163"/>
      <c r="E37" s="2163"/>
      <c r="F37" s="2164"/>
      <c r="G37" s="2165"/>
      <c r="H37" s="2161"/>
      <c r="I37" s="2162"/>
      <c r="J37" s="2163"/>
      <c r="K37" s="2163"/>
      <c r="L37" s="2164"/>
      <c r="M37" s="2165"/>
      <c r="N37" s="2161"/>
      <c r="O37" s="2162"/>
      <c r="P37" s="2163"/>
      <c r="Q37" s="2163"/>
      <c r="R37" s="2164"/>
      <c r="S37" s="2165"/>
      <c r="T37" s="2166"/>
      <c r="U37" s="2162"/>
      <c r="V37" s="2163"/>
      <c r="W37" s="2163"/>
      <c r="X37" s="2163"/>
      <c r="Y37" s="2165"/>
      <c r="Z37" s="2166"/>
      <c r="AA37" s="2162"/>
      <c r="AB37" s="2163"/>
      <c r="AC37" s="2163"/>
      <c r="AD37" s="2164"/>
      <c r="AE37" s="2165"/>
      <c r="AF37" s="2166"/>
      <c r="AG37" s="2162"/>
      <c r="AH37" s="2163"/>
      <c r="AI37" s="2163"/>
      <c r="AJ37" s="2164"/>
      <c r="AK37" s="2165"/>
      <c r="AL37" s="2166"/>
      <c r="AM37" s="2162"/>
      <c r="AN37" s="2163"/>
      <c r="AO37" s="2163"/>
      <c r="AP37" s="2164"/>
      <c r="AQ37" s="2165"/>
      <c r="AR37" s="2166"/>
      <c r="AS37" s="2162"/>
      <c r="AT37" s="2163"/>
      <c r="AU37" s="2163"/>
      <c r="AV37" s="2164"/>
      <c r="AW37" s="2165"/>
      <c r="AX37" s="2166"/>
      <c r="AY37" s="2162"/>
      <c r="AZ37" s="2163"/>
      <c r="BA37" s="2163"/>
      <c r="BB37" s="2164"/>
      <c r="BC37" s="2165"/>
      <c r="BD37" s="2166"/>
      <c r="BE37" s="2162"/>
      <c r="BF37" s="2163"/>
      <c r="BG37" s="2163"/>
      <c r="BH37" s="2164"/>
      <c r="BI37" s="2165"/>
      <c r="BJ37" s="2166"/>
      <c r="BK37" s="2162"/>
      <c r="BL37" s="2163"/>
      <c r="BM37" s="2163"/>
      <c r="BN37" s="2164"/>
      <c r="BO37" s="2165"/>
      <c r="BP37" s="2166"/>
      <c r="BQ37" s="2162"/>
      <c r="BR37" s="2163"/>
      <c r="BS37" s="2163"/>
      <c r="BT37" s="2164"/>
      <c r="BU37" s="2165"/>
      <c r="BV37" s="2166"/>
      <c r="BW37" s="2162"/>
      <c r="BX37" s="2163"/>
      <c r="BY37" s="2163"/>
      <c r="BZ37" s="2164"/>
      <c r="CA37" s="2165"/>
      <c r="CB37" s="2163"/>
      <c r="CC37" s="2162">
        <f t="shared" si="49"/>
        <v>0.11637828237886574</v>
      </c>
      <c r="CD37" s="2163">
        <f t="shared" si="50"/>
        <v>0.1178144104010574</v>
      </c>
      <c r="CE37" s="2163">
        <f t="shared" si="51"/>
        <v>0.11774187312958598</v>
      </c>
      <c r="CF37" s="2164">
        <f t="shared" si="52"/>
        <v>0.11819830110662444</v>
      </c>
      <c r="CG37" s="2165">
        <f t="shared" si="53"/>
        <v>0.11776893529818329</v>
      </c>
      <c r="CH37" s="2163"/>
      <c r="CI37" s="2162">
        <f t="shared" si="44"/>
        <v>9.9803904427987741E-2</v>
      </c>
      <c r="CJ37" s="2163">
        <f t="shared" si="44"/>
        <v>0.10213732907288697</v>
      </c>
      <c r="CK37" s="2163">
        <f t="shared" si="44"/>
        <v>0.10135012789788737</v>
      </c>
      <c r="CL37" s="2164">
        <f t="shared" si="44"/>
        <v>0.10197701157830087</v>
      </c>
      <c r="CM37" s="2165">
        <f t="shared" si="44"/>
        <v>0.10142684694819037</v>
      </c>
      <c r="CN37" s="174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R37" s="2370"/>
    </row>
    <row r="38" spans="1:122">
      <c r="A38" s="2472" t="s">
        <v>617</v>
      </c>
      <c r="B38" s="2473"/>
      <c r="C38" s="2474"/>
      <c r="D38" s="2475"/>
      <c r="E38" s="2475"/>
      <c r="F38" s="2476"/>
      <c r="G38" s="2477"/>
      <c r="H38" s="2473"/>
      <c r="I38" s="2474">
        <f>I21+C21</f>
        <v>0.18182947729220228</v>
      </c>
      <c r="J38" s="2475">
        <f>J21+D21</f>
        <v>0.18037530266343826</v>
      </c>
      <c r="K38" s="2475">
        <f t="shared" ref="K38:M38" si="54">K21+E21</f>
        <v>0.19395883777239714</v>
      </c>
      <c r="L38" s="2476">
        <f t="shared" si="54"/>
        <v>0.14385542168674698</v>
      </c>
      <c r="M38" s="2477">
        <f t="shared" si="54"/>
        <v>0.17488538105771159</v>
      </c>
      <c r="N38" s="2473"/>
      <c r="O38" s="2474">
        <f>O21+I21</f>
        <v>9.8064332551980285E-2</v>
      </c>
      <c r="P38" s="2475">
        <f>P21+J21</f>
        <v>3.6897182147266616E-2</v>
      </c>
      <c r="Q38" s="2475">
        <f t="shared" ref="Q38" si="55">Q21+K21</f>
        <v>5.2659070405374903E-3</v>
      </c>
      <c r="R38" s="2476">
        <f t="shared" ref="R38" si="56">R21+L21</f>
        <v>1.6582772369750726E-2</v>
      </c>
      <c r="S38" s="2477">
        <f t="shared" ref="S38" si="57">S21+M21</f>
        <v>3.9370808069555827E-2</v>
      </c>
      <c r="T38" s="2468"/>
      <c r="U38" s="2474">
        <f>U21+O21</f>
        <v>5.058814207578971E-2</v>
      </c>
      <c r="V38" s="2475">
        <f>V21+P21</f>
        <v>1.1375093793852945E-2</v>
      </c>
      <c r="W38" s="2475">
        <f t="shared" ref="W38" si="58">W21+Q21</f>
        <v>6.0205423169569686E-2</v>
      </c>
      <c r="X38" s="2476">
        <f t="shared" ref="X38" si="59">X21+R21</f>
        <v>0.12147247825210375</v>
      </c>
      <c r="Y38" s="2477">
        <f t="shared" ref="Y38" si="60">Y21+S21</f>
        <v>6.1371535166017316E-2</v>
      </c>
      <c r="Z38" s="2468"/>
      <c r="AA38" s="2474">
        <f>AA21+U21</f>
        <v>0.1500580560991519</v>
      </c>
      <c r="AB38" s="2475">
        <f>AB21+V21</f>
        <v>0.22467021933889403</v>
      </c>
      <c r="AC38" s="2475">
        <f t="shared" ref="AC38" si="61">AC21+W21</f>
        <v>0.24648290161978612</v>
      </c>
      <c r="AD38" s="2476">
        <f t="shared" ref="AD38" si="62">AD21+X21</f>
        <v>0.2196945839311335</v>
      </c>
      <c r="AE38" s="2477">
        <f t="shared" ref="AE38" si="63">AE21+Y21</f>
        <v>0.20661905483069068</v>
      </c>
      <c r="AF38" s="2468"/>
      <c r="AG38" s="2474">
        <f>AG21+AA21</f>
        <v>0.21152495042660407</v>
      </c>
      <c r="AH38" s="2475">
        <f>AH21+AB21</f>
        <v>0.13854142011834322</v>
      </c>
      <c r="AI38" s="2475">
        <f t="shared" ref="AI38" si="64">AI21+AC21</f>
        <v>0.12238907927065826</v>
      </c>
      <c r="AJ38" s="2476">
        <f t="shared" ref="AJ38" si="65">AJ21+AD21</f>
        <v>5.5786613208597784E-2</v>
      </c>
      <c r="AK38" s="2477">
        <f t="shared" ref="AK38" si="66">AK21+AE21</f>
        <v>0.12901560870099649</v>
      </c>
      <c r="AL38" s="2468"/>
      <c r="AM38" s="2474">
        <f>AM21+AG21</f>
        <v>0.14876199906713095</v>
      </c>
      <c r="AN38" s="2475">
        <f>AN21+AH21</f>
        <v>6.7941877886945709E-2</v>
      </c>
      <c r="AO38" s="2475">
        <f t="shared" ref="AO38" si="67">AO21+AI21</f>
        <v>7.4570067356214131E-2</v>
      </c>
      <c r="AP38" s="2476">
        <f t="shared" ref="AP38" si="68">AP21+AJ21</f>
        <v>8.6202555349091797E-2</v>
      </c>
      <c r="AQ38" s="2477">
        <f t="shared" ref="AQ38" si="69">AQ21+AK21</f>
        <v>0.10205275559447816</v>
      </c>
      <c r="AR38" s="2468"/>
      <c r="AS38" s="2474">
        <f>AS21+AM21</f>
        <v>8.3445616719000804E-2</v>
      </c>
      <c r="AT38" s="2475">
        <f>AT21+AN21</f>
        <v>6.7226510316877319E-2</v>
      </c>
      <c r="AU38" s="2475">
        <f t="shared" ref="AU38" si="70">AU21+AO21</f>
        <v>8.9197559696183648E-2</v>
      </c>
      <c r="AV38" s="2476">
        <f t="shared" ref="AV38" si="71">AV21+AP21</f>
        <v>0.10872032660585884</v>
      </c>
      <c r="AW38" s="2477">
        <f t="shared" ref="AW38" si="72">AW21+AQ21</f>
        <v>9.3812382691398577E-2</v>
      </c>
      <c r="AX38" s="2468"/>
      <c r="AY38" s="2474">
        <f>AY21+AS21</f>
        <v>0.13186876594757602</v>
      </c>
      <c r="AZ38" s="2475">
        <f>AZ21+AT21</f>
        <v>7.2178279268922618E-2</v>
      </c>
      <c r="BA38" s="2475">
        <f t="shared" ref="BA38" si="73">BA21+AU21</f>
        <v>0.13584484122393736</v>
      </c>
      <c r="BB38" s="2476">
        <f t="shared" ref="BB38" si="74">BB21+AV21</f>
        <v>0.10030966940795541</v>
      </c>
      <c r="BC38" s="2477">
        <f t="shared" ref="BC38" si="75">BC21+AW21</f>
        <v>0.10988710730189633</v>
      </c>
      <c r="BD38" s="2468"/>
      <c r="BE38" s="2474">
        <f>BE21+AY21</f>
        <v>0.13193031189083829</v>
      </c>
      <c r="BF38" s="2475">
        <f>BF21+AZ21</f>
        <v>9.024511397646337E-2</v>
      </c>
      <c r="BG38" s="2475">
        <f t="shared" ref="BG38" si="76">BG21+BA21</f>
        <v>0.1159436472145171</v>
      </c>
      <c r="BH38" s="2476">
        <f t="shared" ref="BH38" si="77">BH21+BB21</f>
        <v>0.12588359294306187</v>
      </c>
      <c r="BI38" s="2477">
        <f t="shared" ref="BI38" si="78">BI21+BC21</f>
        <v>0.11643021158297399</v>
      </c>
      <c r="BJ38" s="2468"/>
      <c r="BK38" s="2474">
        <f>BK21+BE21</f>
        <v>0.11659224680111524</v>
      </c>
      <c r="BL38" s="2475">
        <f>BL21+BF21</f>
        <v>0.12725798878823802</v>
      </c>
      <c r="BM38" s="2475">
        <f t="shared" ref="BM38" si="79">BM21+BG21</f>
        <v>0.10545704958171802</v>
      </c>
      <c r="BN38" s="2476">
        <f t="shared" ref="BN38" si="80">BN21+BH21</f>
        <v>0.12005002761145681</v>
      </c>
      <c r="BO38" s="2477">
        <f t="shared" ref="BO38" si="81">BO21+BI21</f>
        <v>0.11776887327238586</v>
      </c>
      <c r="BP38" s="2468"/>
      <c r="BQ38" s="2474">
        <f>BQ21+BK21</f>
        <v>0.14992479547468396</v>
      </c>
      <c r="BR38" s="2475">
        <f>BR21+BL21</f>
        <v>0.16994934021066327</v>
      </c>
      <c r="BS38" s="2475">
        <f t="shared" ref="BS38" si="82">BS21+BM21</f>
        <v>0.15475703704459895</v>
      </c>
      <c r="BT38" s="2476">
        <f t="shared" ref="BT38" si="83">BT21+BN21</f>
        <v>0.13335491159750157</v>
      </c>
      <c r="BU38" s="2477">
        <f t="shared" ref="BU38" si="84">BU21+BO21</f>
        <v>0.15199652108186196</v>
      </c>
      <c r="BV38" s="2468"/>
      <c r="BW38" s="2474">
        <f>BW21+BQ21</f>
        <v>0.1644390666639706</v>
      </c>
      <c r="BX38" s="2475">
        <f>BX21+BR21</f>
        <v>0.15095656877596281</v>
      </c>
      <c r="BY38" s="2475">
        <f t="shared" ref="BY38" si="85">BY21+BS21</f>
        <v>0.16080139449897857</v>
      </c>
      <c r="BZ38" s="2476">
        <f t="shared" ref="BZ38" si="86">BZ21+BT21</f>
        <v>0.15572898203690325</v>
      </c>
      <c r="CA38" s="2477">
        <f t="shared" ref="CA38" si="87">CA21+BU21</f>
        <v>0.1582541898167108</v>
      </c>
      <c r="CB38" s="2468"/>
      <c r="CC38" s="2474">
        <f>CC21+BW21</f>
        <v>0.12619971144107903</v>
      </c>
      <c r="CD38" s="2475">
        <f>CD21+BX21</f>
        <v>0.12937667402541003</v>
      </c>
      <c r="CE38" s="2475">
        <f t="shared" ref="CE38" si="88">CE21+BY21</f>
        <v>0.15092383302628842</v>
      </c>
      <c r="CF38" s="2476">
        <f t="shared" ref="CF38" si="89">CF21+BZ21</f>
        <v>0.144731590712844</v>
      </c>
      <c r="CG38" s="2477">
        <f t="shared" ref="CG38" si="90">CG21+CA21</f>
        <v>0.13820361564213909</v>
      </c>
      <c r="CH38" s="2468"/>
      <c r="CI38" s="2474">
        <f>CI21+CC21</f>
        <v>0.11967509020303599</v>
      </c>
      <c r="CJ38" s="2475">
        <f>CJ21+CD21</f>
        <v>0.12593427306847066</v>
      </c>
      <c r="CK38" s="2475">
        <f t="shared" si="44"/>
        <v>0.14368731902688123</v>
      </c>
      <c r="CL38" s="2476">
        <f t="shared" si="44"/>
        <v>0.13584666098459791</v>
      </c>
      <c r="CM38" s="2477">
        <f t="shared" si="44"/>
        <v>0.1315696368657403</v>
      </c>
      <c r="CN38" s="174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R38" s="2370"/>
    </row>
    <row r="39" spans="1:122">
      <c r="A39" s="550"/>
      <c r="B39" s="550"/>
      <c r="C39" s="551"/>
      <c r="D39" s="551"/>
      <c r="E39" s="551"/>
      <c r="F39" s="551"/>
      <c r="G39" s="551"/>
      <c r="H39" s="550"/>
      <c r="I39" s="551"/>
      <c r="J39" s="551"/>
      <c r="K39" s="551"/>
      <c r="L39" s="551"/>
      <c r="M39" s="551"/>
      <c r="N39" s="550"/>
      <c r="O39" s="551"/>
      <c r="P39" s="551"/>
      <c r="Q39" s="551"/>
      <c r="R39" s="551"/>
      <c r="S39" s="551"/>
      <c r="T39" s="551"/>
      <c r="U39" s="551"/>
      <c r="V39" s="551"/>
      <c r="W39" s="551"/>
      <c r="X39" s="551"/>
      <c r="Y39" s="551"/>
      <c r="Z39" s="551"/>
      <c r="AA39" s="551"/>
      <c r="AB39" s="551"/>
      <c r="AC39" s="551"/>
      <c r="AD39" s="551"/>
      <c r="AE39" s="551"/>
      <c r="AF39" s="551"/>
      <c r="AG39" s="551"/>
      <c r="AH39" s="551"/>
      <c r="AI39" s="551"/>
      <c r="AJ39" s="551"/>
      <c r="AK39" s="551"/>
      <c r="AL39" s="551"/>
      <c r="AM39" s="551"/>
      <c r="AN39" s="551"/>
      <c r="AO39" s="551"/>
      <c r="AP39" s="551"/>
      <c r="AQ39" s="551"/>
      <c r="AR39" s="551"/>
      <c r="AS39" s="551"/>
      <c r="AT39" s="551"/>
      <c r="AU39" s="551"/>
      <c r="AV39" s="551"/>
      <c r="AW39" s="551"/>
      <c r="AX39" s="551"/>
      <c r="AZ39" s="1876"/>
      <c r="BA39" s="551"/>
      <c r="BB39" s="551"/>
      <c r="BC39" s="551"/>
      <c r="BD39" s="551"/>
      <c r="BE39" s="551"/>
      <c r="BF39" s="551"/>
      <c r="BG39" s="551"/>
      <c r="BH39" s="556"/>
      <c r="BI39" s="551"/>
      <c r="BJ39" s="551"/>
      <c r="BK39" s="551"/>
      <c r="BL39" s="551"/>
      <c r="BM39" s="551"/>
      <c r="BN39" s="551"/>
      <c r="BO39" s="551"/>
      <c r="BP39" s="551"/>
      <c r="BQ39" s="551"/>
      <c r="BR39" s="551"/>
      <c r="BS39" s="551"/>
      <c r="BT39" s="551"/>
      <c r="BU39" s="551"/>
      <c r="BV39" s="551"/>
      <c r="BW39" s="551"/>
      <c r="BX39" s="551"/>
      <c r="BY39" s="551"/>
      <c r="BZ39" s="551"/>
      <c r="CA39" s="551"/>
      <c r="CB39" s="551"/>
      <c r="CC39" s="551"/>
      <c r="CD39" s="551"/>
      <c r="CE39" s="551"/>
      <c r="CF39" s="551"/>
      <c r="CG39" s="551"/>
      <c r="CH39" s="551"/>
      <c r="CI39" s="551"/>
      <c r="CJ39" s="551"/>
      <c r="CK39" s="551"/>
      <c r="CL39" s="551"/>
      <c r="CM39" s="551"/>
      <c r="CN39" s="174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R39" s="2371"/>
    </row>
    <row r="40" spans="1:122">
      <c r="A40" s="582" t="s">
        <v>506</v>
      </c>
      <c r="B40" s="513"/>
      <c r="C40" s="583"/>
      <c r="D40" s="584"/>
      <c r="E40" s="584"/>
      <c r="F40" s="585"/>
      <c r="G40" s="586"/>
      <c r="H40" s="513"/>
      <c r="I40" s="583"/>
      <c r="J40" s="584"/>
      <c r="K40" s="584"/>
      <c r="L40" s="585"/>
      <c r="M40" s="586"/>
      <c r="N40" s="513"/>
      <c r="O40" s="583"/>
      <c r="P40" s="584"/>
      <c r="Q40" s="584"/>
      <c r="R40" s="585"/>
      <c r="S40" s="586"/>
      <c r="T40" s="587"/>
      <c r="U40" s="583"/>
      <c r="V40" s="588"/>
      <c r="W40" s="588"/>
      <c r="X40" s="589"/>
      <c r="Y40" s="586"/>
      <c r="Z40" s="587"/>
      <c r="AA40" s="583"/>
      <c r="AB40" s="588"/>
      <c r="AC40" s="588"/>
      <c r="AD40" s="589"/>
      <c r="AE40" s="586"/>
      <c r="AF40" s="587"/>
      <c r="AG40" s="590"/>
      <c r="AH40" s="591"/>
      <c r="AI40" s="591"/>
      <c r="AJ40" s="592"/>
      <c r="AK40" s="586"/>
      <c r="AL40" s="587"/>
      <c r="AM40" s="590"/>
      <c r="AN40" s="591"/>
      <c r="AO40" s="591"/>
      <c r="AP40" s="591"/>
      <c r="AQ40" s="593"/>
      <c r="AR40" s="515"/>
      <c r="AS40" s="590"/>
      <c r="AT40" s="591"/>
      <c r="AU40" s="591"/>
      <c r="AV40" s="592"/>
      <c r="AW40" s="593"/>
      <c r="AX40" s="515"/>
      <c r="AY40" s="590"/>
      <c r="AZ40" s="591"/>
      <c r="BA40" s="591"/>
      <c r="BB40" s="592"/>
      <c r="BC40" s="593"/>
      <c r="BD40" s="515"/>
      <c r="BE40" s="590"/>
      <c r="BF40" s="591"/>
      <c r="BG40" s="591"/>
      <c r="BH40" s="592"/>
      <c r="BI40" s="593"/>
      <c r="BJ40" s="515"/>
      <c r="BK40" s="590"/>
      <c r="BL40" s="591"/>
      <c r="BM40" s="591"/>
      <c r="BN40" s="592"/>
      <c r="BO40" s="593"/>
      <c r="BP40" s="515"/>
      <c r="BQ40" s="590"/>
      <c r="BR40" s="591"/>
      <c r="BS40" s="591"/>
      <c r="BT40" s="592"/>
      <c r="BU40" s="593"/>
      <c r="BV40" s="515"/>
      <c r="BW40" s="590"/>
      <c r="BX40" s="591"/>
      <c r="BY40" s="591"/>
      <c r="BZ40" s="592"/>
      <c r="CA40" s="593"/>
      <c r="CB40" s="2121"/>
      <c r="CC40" s="590"/>
      <c r="CD40" s="591"/>
      <c r="CE40" s="591"/>
      <c r="CF40" s="592"/>
      <c r="CG40" s="593"/>
      <c r="CH40" s="2121"/>
      <c r="CI40" s="590"/>
      <c r="CJ40" s="591"/>
      <c r="CK40" s="591"/>
      <c r="CL40" s="592"/>
      <c r="CM40" s="593"/>
      <c r="CN40" s="174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R40" s="2370"/>
    </row>
    <row r="41" spans="1:122">
      <c r="A41" s="563" t="s">
        <v>192</v>
      </c>
      <c r="B41" s="564"/>
      <c r="C41" s="595"/>
      <c r="D41" s="596"/>
      <c r="E41" s="596"/>
      <c r="F41" s="597"/>
      <c r="G41" s="598"/>
      <c r="H41" s="564"/>
      <c r="I41" s="595"/>
      <c r="J41" s="596"/>
      <c r="K41" s="596"/>
      <c r="L41" s="597"/>
      <c r="M41" s="598"/>
      <c r="N41" s="564"/>
      <c r="O41" s="595"/>
      <c r="P41" s="596"/>
      <c r="Q41" s="596"/>
      <c r="R41" s="597"/>
      <c r="S41" s="598"/>
      <c r="T41" s="541"/>
      <c r="U41" s="599"/>
      <c r="V41" s="600"/>
      <c r="W41" s="600"/>
      <c r="X41" s="601"/>
      <c r="Y41" s="602"/>
      <c r="Z41" s="541"/>
      <c r="AA41" s="603">
        <v>0.25</v>
      </c>
      <c r="AB41" s="604">
        <v>0.23</v>
      </c>
      <c r="AC41" s="605">
        <v>0.22</v>
      </c>
      <c r="AD41" s="606">
        <v>7.0000000000000007E-2</v>
      </c>
      <c r="AE41" s="565">
        <f>AVERAGE(AA41:AD41)</f>
        <v>0.1925</v>
      </c>
      <c r="AF41" s="541"/>
      <c r="AG41" s="607">
        <v>0.04</v>
      </c>
      <c r="AH41" s="605">
        <v>0.16</v>
      </c>
      <c r="AI41" s="605">
        <v>0.1</v>
      </c>
      <c r="AJ41" s="606">
        <v>0.06</v>
      </c>
      <c r="AK41" s="565">
        <f>AVERAGE(AG41:AJ41)</f>
        <v>9.0000000000000011E-2</v>
      </c>
      <c r="AL41" s="541"/>
      <c r="AM41" s="607">
        <v>0.04</v>
      </c>
      <c r="AN41" s="1268">
        <v>-0.02</v>
      </c>
      <c r="AO41" s="1268">
        <v>-0.14000000000000001</v>
      </c>
      <c r="AP41" s="1269">
        <v>-0.09</v>
      </c>
      <c r="AQ41" s="565">
        <f>AVERAGE(AM41:AP41)</f>
        <v>-5.2500000000000005E-2</v>
      </c>
      <c r="AR41" s="576"/>
      <c r="AS41" s="1669">
        <v>0.01</v>
      </c>
      <c r="AT41" s="1670">
        <v>-0.02</v>
      </c>
      <c r="AU41" s="1670">
        <v>0.06</v>
      </c>
      <c r="AV41" s="1673">
        <v>0.06</v>
      </c>
      <c r="AW41" s="565">
        <f>AVERAGE(AS41:AV41)</f>
        <v>2.7499999999999997E-2</v>
      </c>
      <c r="AX41" s="1270"/>
      <c r="AY41" s="1598">
        <v>0.03</v>
      </c>
      <c r="AZ41" s="1670">
        <v>0.08</v>
      </c>
      <c r="BA41" s="1670">
        <v>0.05</v>
      </c>
      <c r="BB41" s="1670">
        <v>0.02</v>
      </c>
      <c r="BC41" s="565">
        <f>AVERAGE(AY41:BB41)</f>
        <v>4.4999999999999998E-2</v>
      </c>
      <c r="BD41" s="541"/>
      <c r="BE41" s="1598">
        <v>0.01</v>
      </c>
      <c r="BF41" s="1670">
        <v>0.03</v>
      </c>
      <c r="BG41" s="1670">
        <v>-0.01</v>
      </c>
      <c r="BH41" s="1670">
        <v>0.02</v>
      </c>
      <c r="BI41" s="565">
        <f>AVERAGE(BE41:BH41)</f>
        <v>1.2500000000000001E-2</v>
      </c>
      <c r="BJ41" s="541"/>
      <c r="BK41" s="2157">
        <v>0.05</v>
      </c>
      <c r="BL41" s="1670">
        <v>7.0000000000000007E-2</v>
      </c>
      <c r="BM41" s="1670">
        <v>0.04</v>
      </c>
      <c r="BN41" s="1670">
        <v>0.05</v>
      </c>
      <c r="BO41" s="565">
        <f>AVERAGE(BK41:BN41)</f>
        <v>5.2500000000000005E-2</v>
      </c>
      <c r="BP41" s="541"/>
      <c r="BQ41" s="2157">
        <v>0.09</v>
      </c>
      <c r="BR41" s="610"/>
      <c r="BS41" s="610"/>
      <c r="BT41" s="611"/>
      <c r="BU41" s="612"/>
      <c r="BV41" s="541"/>
      <c r="BW41" s="609"/>
      <c r="BX41" s="610"/>
      <c r="BY41" s="610"/>
      <c r="BZ41" s="611"/>
      <c r="CA41" s="612"/>
      <c r="CB41" s="610"/>
      <c r="CC41" s="609"/>
      <c r="CD41" s="610"/>
      <c r="CE41" s="610"/>
      <c r="CF41" s="611"/>
      <c r="CG41" s="612"/>
      <c r="CH41" s="610"/>
      <c r="CI41" s="609"/>
      <c r="CJ41" s="610"/>
      <c r="CK41" s="610"/>
      <c r="CL41" s="611"/>
      <c r="CM41" s="612"/>
      <c r="CN41" s="562"/>
    </row>
    <row r="42" spans="1:122">
      <c r="A42" s="563" t="s">
        <v>193</v>
      </c>
      <c r="B42" s="564"/>
      <c r="C42" s="609"/>
      <c r="D42" s="610"/>
      <c r="E42" s="610"/>
      <c r="F42" s="611"/>
      <c r="G42" s="598"/>
      <c r="H42" s="564"/>
      <c r="I42" s="609"/>
      <c r="J42" s="610"/>
      <c r="K42" s="610"/>
      <c r="L42" s="611"/>
      <c r="M42" s="598"/>
      <c r="N42" s="564"/>
      <c r="O42" s="609"/>
      <c r="P42" s="610"/>
      <c r="Q42" s="610"/>
      <c r="R42" s="611"/>
      <c r="S42" s="598"/>
      <c r="T42" s="541"/>
      <c r="U42" s="2362"/>
      <c r="V42" s="2360"/>
      <c r="W42" s="2360"/>
      <c r="X42" s="2361"/>
      <c r="Y42" s="2363"/>
      <c r="Z42" s="1966"/>
      <c r="AA42" s="2362">
        <v>0.2</v>
      </c>
      <c r="AB42" s="2360">
        <v>0.38</v>
      </c>
      <c r="AC42" s="2360">
        <v>0.13</v>
      </c>
      <c r="AD42" s="2361">
        <v>0.04</v>
      </c>
      <c r="AE42" s="2421">
        <f>AVERAGE(AA42:AD42)</f>
        <v>0.18750000000000003</v>
      </c>
      <c r="AF42" s="311"/>
      <c r="AG42" s="2362">
        <v>0.05</v>
      </c>
      <c r="AH42" s="2360">
        <v>-7.0000000000000007E-2</v>
      </c>
      <c r="AI42" s="2360">
        <v>-0.02</v>
      </c>
      <c r="AJ42" s="2361">
        <v>0.04</v>
      </c>
      <c r="AK42" s="565">
        <f t="shared" ref="AK42:AK44" si="91">AVERAGE(AG42:AJ42)</f>
        <v>0</v>
      </c>
      <c r="AL42" s="311"/>
      <c r="AM42" s="2420">
        <v>0.1</v>
      </c>
      <c r="AN42" s="1271">
        <v>-0.1</v>
      </c>
      <c r="AO42" s="1271">
        <v>0.06</v>
      </c>
      <c r="AP42" s="1272">
        <v>7.0000000000000007E-2</v>
      </c>
      <c r="AQ42" s="565">
        <f t="shared" ref="AQ42:AQ44" si="92">AVERAGE(AM42:AP42)</f>
        <v>3.2500000000000001E-2</v>
      </c>
      <c r="AR42" s="642"/>
      <c r="AS42" s="1598">
        <v>7.0000000000000007E-2</v>
      </c>
      <c r="AT42" s="1599">
        <v>0.11</v>
      </c>
      <c r="AU42" s="1599">
        <v>0.08</v>
      </c>
      <c r="AV42" s="1674">
        <v>0</v>
      </c>
      <c r="AW42" s="565">
        <f t="shared" ref="AW42:AW44" si="93">AVERAGE(AS42:AV42)</f>
        <v>6.5000000000000002E-2</v>
      </c>
      <c r="AX42" s="1273"/>
      <c r="AY42" s="1672">
        <v>0.02</v>
      </c>
      <c r="AZ42" s="1599">
        <v>-0.11</v>
      </c>
      <c r="BA42" s="1599">
        <v>-0.04</v>
      </c>
      <c r="BB42" s="1599">
        <v>-0.05</v>
      </c>
      <c r="BC42" s="565">
        <f t="shared" ref="BC42:BC44" si="94">AVERAGE(AY42:BB42)</f>
        <v>-4.4999999999999998E-2</v>
      </c>
      <c r="BD42" s="311"/>
      <c r="BE42" s="1672">
        <v>-0.08</v>
      </c>
      <c r="BF42" s="1599">
        <v>0</v>
      </c>
      <c r="BG42" s="1599">
        <v>0</v>
      </c>
      <c r="BH42" s="1599">
        <v>0.01</v>
      </c>
      <c r="BI42" s="565">
        <f t="shared" ref="BI42:BI44" si="95">AVERAGE(BE42:BH42)</f>
        <v>-1.7500000000000002E-2</v>
      </c>
      <c r="BJ42" s="311"/>
      <c r="BK42" s="2429">
        <v>-0.03</v>
      </c>
      <c r="BL42" s="1599">
        <v>7.0000000000000007E-2</v>
      </c>
      <c r="BM42" s="1599">
        <v>0.12</v>
      </c>
      <c r="BN42" s="1599">
        <v>0.14000000000000001</v>
      </c>
      <c r="BO42" s="565">
        <f t="shared" ref="BO42:BO45" si="96">AVERAGE(BK42:BN42)</f>
        <v>7.5000000000000011E-2</v>
      </c>
      <c r="BP42" s="311"/>
      <c r="BQ42" s="2429">
        <v>0.18</v>
      </c>
      <c r="BR42" s="573"/>
      <c r="BS42" s="573"/>
      <c r="BT42" s="574"/>
      <c r="BU42" s="575"/>
      <c r="BV42" s="311"/>
      <c r="BW42" s="572"/>
      <c r="BX42" s="573"/>
      <c r="BY42" s="573"/>
      <c r="BZ42" s="574"/>
      <c r="CA42" s="575"/>
      <c r="CB42" s="573"/>
      <c r="CC42" s="572"/>
      <c r="CD42" s="573"/>
      <c r="CE42" s="573"/>
      <c r="CF42" s="574"/>
      <c r="CG42" s="575"/>
      <c r="CH42" s="573"/>
      <c r="CI42" s="572"/>
      <c r="CJ42" s="573"/>
      <c r="CK42" s="573"/>
      <c r="CL42" s="574"/>
      <c r="CM42" s="575"/>
      <c r="CN42" s="552"/>
      <c r="CO42" s="527" t="s">
        <v>541</v>
      </c>
    </row>
    <row r="43" spans="1:122" s="79" customFormat="1">
      <c r="A43" s="563" t="s">
        <v>229</v>
      </c>
      <c r="B43" s="564"/>
      <c r="C43" s="613"/>
      <c r="D43" s="614"/>
      <c r="E43" s="614"/>
      <c r="F43" s="615"/>
      <c r="G43" s="598"/>
      <c r="H43" s="564"/>
      <c r="I43" s="613"/>
      <c r="J43" s="614"/>
      <c r="K43" s="614"/>
      <c r="L43" s="615"/>
      <c r="M43" s="598"/>
      <c r="N43" s="564"/>
      <c r="O43" s="613"/>
      <c r="P43" s="614"/>
      <c r="Q43" s="614"/>
      <c r="R43" s="615"/>
      <c r="S43" s="598"/>
      <c r="T43" s="541"/>
      <c r="U43" s="603"/>
      <c r="V43" s="604"/>
      <c r="W43" s="604"/>
      <c r="X43" s="616"/>
      <c r="Y43" s="617"/>
      <c r="Z43" s="541"/>
      <c r="AA43" s="603"/>
      <c r="AB43" s="604"/>
      <c r="AC43" s="604"/>
      <c r="AD43" s="616"/>
      <c r="AE43" s="622"/>
      <c r="AF43" s="541"/>
      <c r="AG43" s="603"/>
      <c r="AH43" s="604"/>
      <c r="AI43" s="604">
        <v>-0.04</v>
      </c>
      <c r="AJ43" s="616">
        <v>-0.03</v>
      </c>
      <c r="AK43" s="565">
        <f t="shared" si="91"/>
        <v>-3.5000000000000003E-2</v>
      </c>
      <c r="AL43" s="541"/>
      <c r="AM43" s="603">
        <v>-0.02</v>
      </c>
      <c r="AN43" s="1274">
        <v>0</v>
      </c>
      <c r="AO43" s="1274">
        <v>0.03</v>
      </c>
      <c r="AP43" s="1275">
        <v>0.03</v>
      </c>
      <c r="AQ43" s="565">
        <f t="shared" si="92"/>
        <v>9.9999999999999985E-3</v>
      </c>
      <c r="AR43" s="576"/>
      <c r="AS43" s="1598">
        <v>0.08</v>
      </c>
      <c r="AT43" s="1671">
        <v>-0.03</v>
      </c>
      <c r="AU43" s="1671">
        <v>0.04</v>
      </c>
      <c r="AV43" s="1599">
        <v>0.05</v>
      </c>
      <c r="AW43" s="565">
        <f t="shared" si="93"/>
        <v>3.5000000000000003E-2</v>
      </c>
      <c r="AX43" s="1270"/>
      <c r="AY43" s="1598">
        <v>0.01</v>
      </c>
      <c r="AZ43" s="1671">
        <v>0.04</v>
      </c>
      <c r="BA43" s="1671">
        <v>7.0000000000000007E-2</v>
      </c>
      <c r="BB43" s="1671">
        <v>0.02</v>
      </c>
      <c r="BC43" s="565">
        <f t="shared" si="94"/>
        <v>3.5000000000000003E-2</v>
      </c>
      <c r="BD43" s="541"/>
      <c r="BE43" s="1598">
        <v>0.1</v>
      </c>
      <c r="BF43" s="1671">
        <v>0.2</v>
      </c>
      <c r="BG43" s="1671">
        <v>0.1</v>
      </c>
      <c r="BH43" s="1671">
        <v>0.18</v>
      </c>
      <c r="BI43" s="565">
        <f t="shared" si="95"/>
        <v>0.14500000000000002</v>
      </c>
      <c r="BJ43" s="541"/>
      <c r="BK43" s="2157">
        <v>0.1</v>
      </c>
      <c r="BL43" s="1671">
        <v>0.17</v>
      </c>
      <c r="BM43" s="1671">
        <v>0.01</v>
      </c>
      <c r="BN43" s="1671">
        <v>0.05</v>
      </c>
      <c r="BO43" s="565">
        <f t="shared" si="96"/>
        <v>8.2500000000000004E-2</v>
      </c>
      <c r="BP43" s="541"/>
      <c r="BQ43" s="2157">
        <v>7.0000000000000007E-2</v>
      </c>
      <c r="BR43" s="604"/>
      <c r="BS43" s="604"/>
      <c r="BT43" s="616"/>
      <c r="BU43" s="617"/>
      <c r="BV43" s="541"/>
      <c r="BW43" s="603"/>
      <c r="BX43" s="604"/>
      <c r="BY43" s="604"/>
      <c r="BZ43" s="616"/>
      <c r="CA43" s="617"/>
      <c r="CB43" s="604"/>
      <c r="CC43" s="603"/>
      <c r="CD43" s="604"/>
      <c r="CE43" s="604"/>
      <c r="CF43" s="616"/>
      <c r="CG43" s="617"/>
      <c r="CH43" s="604"/>
      <c r="CI43" s="603"/>
      <c r="CJ43" s="604"/>
      <c r="CK43" s="604"/>
      <c r="CL43" s="616"/>
      <c r="CM43" s="617"/>
      <c r="CN43" s="6"/>
      <c r="CO43" s="2062"/>
      <c r="CP43" s="2063" t="s">
        <v>205</v>
      </c>
      <c r="CQ43" s="2063" t="s">
        <v>206</v>
      </c>
      <c r="CR43" s="2063" t="s">
        <v>207</v>
      </c>
      <c r="CS43" s="2063" t="s">
        <v>208</v>
      </c>
      <c r="CT43" s="2063" t="s">
        <v>209</v>
      </c>
      <c r="CU43" s="2063" t="s">
        <v>210</v>
      </c>
      <c r="CV43" s="2063" t="s">
        <v>211</v>
      </c>
      <c r="CW43" s="2063" t="s">
        <v>212</v>
      </c>
      <c r="CX43" s="2063" t="s">
        <v>213</v>
      </c>
      <c r="CY43" s="2063" t="s">
        <v>214</v>
      </c>
      <c r="CZ43" s="2063" t="s">
        <v>215</v>
      </c>
      <c r="DA43" s="2063" t="s">
        <v>216</v>
      </c>
      <c r="DB43" s="2063" t="s">
        <v>217</v>
      </c>
      <c r="DC43" s="2063" t="s">
        <v>218</v>
      </c>
      <c r="DD43" s="2063" t="s">
        <v>532</v>
      </c>
      <c r="DE43" s="2063" t="s">
        <v>537</v>
      </c>
      <c r="DF43" s="2063" t="s">
        <v>548</v>
      </c>
      <c r="DG43" s="2063" t="s">
        <v>555</v>
      </c>
      <c r="DH43" s="2063" t="s">
        <v>556</v>
      </c>
      <c r="DI43" s="2063" t="s">
        <v>561</v>
      </c>
      <c r="DJ43" s="2063" t="s">
        <v>567</v>
      </c>
      <c r="DK43" s="2063" t="s">
        <v>573</v>
      </c>
      <c r="DL43" s="2063" t="str">
        <f>DL25</f>
        <v>F3Q17</v>
      </c>
      <c r="DM43" s="2063" t="str">
        <f>DM25</f>
        <v>F4Q17</v>
      </c>
      <c r="DN43" s="2063" t="str">
        <f>DN25</f>
        <v>F1Q18</v>
      </c>
    </row>
    <row r="44" spans="1:122">
      <c r="A44" s="563" t="s">
        <v>230</v>
      </c>
      <c r="B44" s="564"/>
      <c r="C44" s="609"/>
      <c r="D44" s="610"/>
      <c r="E44" s="610"/>
      <c r="F44" s="611"/>
      <c r="G44" s="598"/>
      <c r="H44" s="564"/>
      <c r="I44" s="609"/>
      <c r="J44" s="610"/>
      <c r="K44" s="610"/>
      <c r="L44" s="611"/>
      <c r="M44" s="598"/>
      <c r="N44" s="564"/>
      <c r="O44" s="609"/>
      <c r="P44" s="610"/>
      <c r="Q44" s="610"/>
      <c r="R44" s="611"/>
      <c r="S44" s="598"/>
      <c r="T44" s="541"/>
      <c r="U44" s="603"/>
      <c r="V44" s="604"/>
      <c r="W44" s="604"/>
      <c r="X44" s="616"/>
      <c r="Y44" s="617"/>
      <c r="Z44" s="541"/>
      <c r="AA44" s="603"/>
      <c r="AB44" s="604"/>
      <c r="AC44" s="605"/>
      <c r="AD44" s="606"/>
      <c r="AE44" s="565"/>
      <c r="AF44" s="541"/>
      <c r="AG44" s="607"/>
      <c r="AH44" s="605"/>
      <c r="AI44" s="605">
        <v>-0.03</v>
      </c>
      <c r="AJ44" s="606">
        <v>-0.02</v>
      </c>
      <c r="AK44" s="565">
        <f t="shared" si="91"/>
        <v>-2.5000000000000001E-2</v>
      </c>
      <c r="AL44" s="541"/>
      <c r="AM44" s="607">
        <v>-0.06</v>
      </c>
      <c r="AN44" s="1268">
        <v>-0.14000000000000001</v>
      </c>
      <c r="AO44" s="1268">
        <v>-0.08</v>
      </c>
      <c r="AP44" s="1269">
        <v>-0.18</v>
      </c>
      <c r="AQ44" s="565">
        <f t="shared" si="92"/>
        <v>-0.115</v>
      </c>
      <c r="AR44" s="576"/>
      <c r="AS44" s="1267" t="s">
        <v>231</v>
      </c>
      <c r="AT44" s="333" t="s">
        <v>232</v>
      </c>
      <c r="AU44" s="333" t="s">
        <v>232</v>
      </c>
      <c r="AV44" s="1674">
        <v>-0.06</v>
      </c>
      <c r="AW44" s="565">
        <f t="shared" si="93"/>
        <v>-0.06</v>
      </c>
      <c r="AX44" s="1270"/>
      <c r="AY44" s="1598">
        <v>-0.19</v>
      </c>
      <c r="AZ44" s="1599">
        <v>-0.28000000000000003</v>
      </c>
      <c r="BA44" s="1599">
        <v>-0.12</v>
      </c>
      <c r="BB44" s="1599">
        <v>-0.11</v>
      </c>
      <c r="BC44" s="565">
        <f t="shared" si="94"/>
        <v>-0.17500000000000002</v>
      </c>
      <c r="BD44" s="541"/>
      <c r="BE44" s="1598">
        <v>-0.01</v>
      </c>
      <c r="BF44" s="1599">
        <v>0.03</v>
      </c>
      <c r="BG44" s="1599">
        <v>0.11</v>
      </c>
      <c r="BH44" s="1599">
        <v>0.2</v>
      </c>
      <c r="BI44" s="565">
        <f t="shared" si="95"/>
        <v>8.2500000000000004E-2</v>
      </c>
      <c r="BJ44" s="541"/>
      <c r="BK44" s="2157">
        <v>0.09</v>
      </c>
      <c r="BL44" s="1599">
        <v>0.15</v>
      </c>
      <c r="BM44" s="1599">
        <v>-0.04</v>
      </c>
      <c r="BN44" s="1599">
        <v>-0.09</v>
      </c>
      <c r="BO44" s="565">
        <f t="shared" si="96"/>
        <v>2.7499999999999997E-2</v>
      </c>
      <c r="BP44" s="541"/>
      <c r="BQ44" s="2157">
        <v>0.01</v>
      </c>
      <c r="BR44" s="610"/>
      <c r="BS44" s="610"/>
      <c r="BT44" s="611"/>
      <c r="BU44" s="598"/>
      <c r="BV44" s="541"/>
      <c r="BW44" s="609"/>
      <c r="BX44" s="610"/>
      <c r="BY44" s="610"/>
      <c r="BZ44" s="611"/>
      <c r="CA44" s="598"/>
      <c r="CB44" s="610"/>
      <c r="CC44" s="609"/>
      <c r="CD44" s="610"/>
      <c r="CE44" s="610"/>
      <c r="CF44" s="611"/>
      <c r="CG44" s="598"/>
      <c r="CH44" s="610"/>
      <c r="CI44" s="609"/>
      <c r="CJ44" s="610"/>
      <c r="CK44" s="610"/>
      <c r="CL44" s="611"/>
      <c r="CM44" s="598"/>
      <c r="CN44" s="174"/>
      <c r="CO44" s="2066" t="s">
        <v>178</v>
      </c>
      <c r="CP44" s="2067"/>
      <c r="CQ44" s="2067"/>
      <c r="CR44" s="2067"/>
      <c r="CS44" s="2067"/>
      <c r="CT44" s="2067"/>
      <c r="CU44" s="2067"/>
      <c r="CV44" s="2067"/>
      <c r="CW44" s="2067"/>
      <c r="CX44" s="2067">
        <f t="shared" ref="CX44:DA49" si="97">+AS70</f>
        <v>9.148225469728602E-2</v>
      </c>
      <c r="CY44" s="2067">
        <f t="shared" si="97"/>
        <v>4.617283950617284E-2</v>
      </c>
      <c r="CZ44" s="2067">
        <f t="shared" si="97"/>
        <v>6.9484752891692952E-2</v>
      </c>
      <c r="DA44" s="2067">
        <f t="shared" si="97"/>
        <v>5.8884501480750251E-2</v>
      </c>
      <c r="DB44" s="2067">
        <f t="shared" ref="DB44:DE49" si="98">AY70</f>
        <v>9.9682539682539678E-2</v>
      </c>
      <c r="DC44" s="2067">
        <f t="shared" si="98"/>
        <v>0.115</v>
      </c>
      <c r="DD44" s="2067">
        <f t="shared" si="98"/>
        <v>0.1353666997026759</v>
      </c>
      <c r="DE44" s="2067">
        <f t="shared" si="98"/>
        <v>0.19</v>
      </c>
      <c r="DF44" s="2067">
        <f t="shared" ref="DF44:DI49" si="99">BE70</f>
        <v>0.19</v>
      </c>
      <c r="DG44" s="2067">
        <f t="shared" si="99"/>
        <v>0.14000000000000001</v>
      </c>
      <c r="DH44" s="2067">
        <f t="shared" si="99"/>
        <v>0.1</v>
      </c>
      <c r="DI44" s="2067">
        <f t="shared" si="99"/>
        <v>0.16</v>
      </c>
      <c r="DJ44" s="2067">
        <f>BK70</f>
        <v>7.0000000000000007E-2</v>
      </c>
      <c r="DK44" s="2067">
        <f>BL70</f>
        <v>0.12</v>
      </c>
      <c r="DL44" s="2067">
        <f>BM70</f>
        <v>0.1</v>
      </c>
      <c r="DM44" s="2067">
        <f>BN70</f>
        <v>-3.0000000000000027E-3</v>
      </c>
      <c r="DN44" s="2067">
        <f t="shared" ref="DN44:DN49" si="100">BQ70</f>
        <v>2.8000000000000001E-2</v>
      </c>
    </row>
    <row r="45" spans="1:122">
      <c r="A45" s="566" t="s">
        <v>233</v>
      </c>
      <c r="B45" s="1255"/>
      <c r="C45" s="1256"/>
      <c r="D45" s="1257"/>
      <c r="E45" s="1257"/>
      <c r="F45" s="1258"/>
      <c r="G45" s="1259"/>
      <c r="H45" s="1255"/>
      <c r="I45" s="1256"/>
      <c r="J45" s="1257"/>
      <c r="K45" s="1257"/>
      <c r="L45" s="1258"/>
      <c r="M45" s="1259"/>
      <c r="N45" s="1255"/>
      <c r="O45" s="1256"/>
      <c r="P45" s="1257"/>
      <c r="Q45" s="1257"/>
      <c r="R45" s="1258"/>
      <c r="S45" s="1259"/>
      <c r="T45" s="1257"/>
      <c r="U45" s="1260"/>
      <c r="V45" s="1261"/>
      <c r="W45" s="1261"/>
      <c r="X45" s="1262"/>
      <c r="Y45" s="1263"/>
      <c r="Z45" s="1257"/>
      <c r="AA45" s="1260"/>
      <c r="AB45" s="1261"/>
      <c r="AC45" s="1261"/>
      <c r="AD45" s="1264"/>
      <c r="AE45" s="1259"/>
      <c r="AF45" s="1257"/>
      <c r="AG45" s="1260"/>
      <c r="AH45" s="1265"/>
      <c r="AI45" s="1261"/>
      <c r="AJ45" s="1262"/>
      <c r="AK45" s="1259"/>
      <c r="AL45" s="1257"/>
      <c r="AM45" s="1260"/>
      <c r="AN45" s="1276"/>
      <c r="AO45" s="1276"/>
      <c r="AP45" s="1277"/>
      <c r="AQ45" s="2061"/>
      <c r="AR45" s="1278"/>
      <c r="AS45" s="1279" t="s">
        <v>232</v>
      </c>
      <c r="AT45" s="1280" t="s">
        <v>232</v>
      </c>
      <c r="AU45" s="1280" t="s">
        <v>232</v>
      </c>
      <c r="AV45" s="1675">
        <v>0.02</v>
      </c>
      <c r="AW45" s="347"/>
      <c r="AX45" s="346"/>
      <c r="AY45" s="1784" t="s">
        <v>234</v>
      </c>
      <c r="AZ45" s="1697" t="s">
        <v>526</v>
      </c>
      <c r="BA45" s="1697" t="s">
        <v>234</v>
      </c>
      <c r="BB45" s="1697" t="s">
        <v>540</v>
      </c>
      <c r="BC45" s="570"/>
      <c r="BD45" s="1257"/>
      <c r="BE45" s="1784" t="s">
        <v>549</v>
      </c>
      <c r="BF45" s="1697" t="s">
        <v>234</v>
      </c>
      <c r="BG45" s="1697" t="s">
        <v>234</v>
      </c>
      <c r="BH45" s="1697" t="s">
        <v>564</v>
      </c>
      <c r="BI45" s="570"/>
      <c r="BJ45" s="1257"/>
      <c r="BK45" s="2445">
        <v>0.12</v>
      </c>
      <c r="BL45" s="1697">
        <v>0.05</v>
      </c>
      <c r="BM45" s="1697">
        <v>0.09</v>
      </c>
      <c r="BN45" s="1697">
        <v>7.0000000000000007E-2</v>
      </c>
      <c r="BO45" s="570">
        <f t="shared" si="96"/>
        <v>8.2500000000000004E-2</v>
      </c>
      <c r="BP45" s="1257"/>
      <c r="BQ45" s="2445">
        <v>0.21</v>
      </c>
      <c r="BR45" s="1257"/>
      <c r="BS45" s="1257"/>
      <c r="BT45" s="1258"/>
      <c r="BU45" s="1259"/>
      <c r="BV45" s="1257"/>
      <c r="BW45" s="1256"/>
      <c r="BX45" s="1257"/>
      <c r="BY45" s="1257"/>
      <c r="BZ45" s="1258"/>
      <c r="CA45" s="1259"/>
      <c r="CB45" s="610"/>
      <c r="CC45" s="1256"/>
      <c r="CD45" s="1257"/>
      <c r="CE45" s="1257"/>
      <c r="CF45" s="1258"/>
      <c r="CG45" s="1259"/>
      <c r="CH45" s="610"/>
      <c r="CI45" s="1256"/>
      <c r="CJ45" s="1257"/>
      <c r="CK45" s="1257"/>
      <c r="CL45" s="1258"/>
      <c r="CM45" s="1259"/>
      <c r="CN45" s="174"/>
      <c r="CO45" s="2064" t="s">
        <v>179</v>
      </c>
      <c r="CP45" s="2065"/>
      <c r="CQ45" s="2065"/>
      <c r="CR45" s="2065"/>
      <c r="CS45" s="2065"/>
      <c r="CT45" s="2065"/>
      <c r="CU45" s="2065"/>
      <c r="CV45" s="2065"/>
      <c r="CW45" s="2065"/>
      <c r="CX45" s="2065">
        <f t="shared" si="97"/>
        <v>0.11148225469728602</v>
      </c>
      <c r="CY45" s="2065">
        <f t="shared" si="97"/>
        <v>7.6172839506172846E-2</v>
      </c>
      <c r="CZ45" s="2065">
        <f t="shared" si="97"/>
        <v>4.9484752891692949E-2</v>
      </c>
      <c r="DA45" s="2065">
        <f t="shared" si="97"/>
        <v>1.8884501480750247E-2</v>
      </c>
      <c r="DB45" s="2065">
        <f t="shared" si="98"/>
        <v>-3.174603174603205E-4</v>
      </c>
      <c r="DC45" s="2065">
        <f t="shared" si="98"/>
        <v>0.125</v>
      </c>
      <c r="DD45" s="2065">
        <f t="shared" si="98"/>
        <v>8.5366699702675922E-2</v>
      </c>
      <c r="DE45" s="2065">
        <f t="shared" si="98"/>
        <v>7.0000000000000007E-2</v>
      </c>
      <c r="DF45" s="2065">
        <f t="shared" si="99"/>
        <v>7.0000000000000007E-2</v>
      </c>
      <c r="DG45" s="2065">
        <f t="shared" si="99"/>
        <v>7.0000000000000007E-2</v>
      </c>
      <c r="DH45" s="2065">
        <f t="shared" si="99"/>
        <v>0.04</v>
      </c>
      <c r="DI45" s="2065">
        <f t="shared" si="99"/>
        <v>0.08</v>
      </c>
      <c r="DJ45" s="2065">
        <f t="shared" ref="DJ45:DM49" si="101">BK71</f>
        <v>0.08</v>
      </c>
      <c r="DK45" s="2065">
        <f t="shared" si="101"/>
        <v>0.08</v>
      </c>
      <c r="DL45" s="2065">
        <f t="shared" si="101"/>
        <v>0.06</v>
      </c>
      <c r="DM45" s="2065">
        <f t="shared" si="101"/>
        <v>9.9999999999999992E-2</v>
      </c>
      <c r="DN45" s="2065">
        <f t="shared" si="100"/>
        <v>2.8999999999999998E-2</v>
      </c>
    </row>
    <row r="46" spans="1:122">
      <c r="A46" s="563"/>
      <c r="B46" s="564"/>
      <c r="C46" s="609"/>
      <c r="D46" s="610"/>
      <c r="E46" s="610"/>
      <c r="F46" s="611"/>
      <c r="G46" s="609"/>
      <c r="H46" s="564"/>
      <c r="I46" s="610"/>
      <c r="J46" s="610"/>
      <c r="K46" s="610"/>
      <c r="L46" s="610"/>
      <c r="M46" s="610"/>
      <c r="N46" s="564"/>
      <c r="O46" s="610"/>
      <c r="P46" s="610"/>
      <c r="Q46" s="610"/>
      <c r="R46" s="610"/>
      <c r="S46" s="610"/>
      <c r="T46" s="610"/>
      <c r="U46" s="608"/>
      <c r="V46" s="608"/>
      <c r="W46" s="608"/>
      <c r="X46" s="608"/>
      <c r="Y46" s="608"/>
      <c r="Z46" s="610"/>
      <c r="AA46" s="608"/>
      <c r="AB46" s="608"/>
      <c r="AC46" s="608"/>
      <c r="AD46" s="605"/>
      <c r="AE46" s="608"/>
      <c r="AF46" s="610"/>
      <c r="AG46" s="1261"/>
      <c r="AH46" s="1265"/>
      <c r="AI46" s="1261"/>
      <c r="AJ46" s="1261"/>
      <c r="AK46" s="608"/>
      <c r="AL46" s="610"/>
      <c r="AM46" s="1261"/>
      <c r="AN46" s="1276"/>
      <c r="AO46" s="1276"/>
      <c r="AP46" s="1276"/>
      <c r="AQ46" s="1276"/>
      <c r="AR46" s="5"/>
      <c r="AS46" s="1280"/>
      <c r="AT46" s="1280"/>
      <c r="AU46" s="1280"/>
      <c r="AV46" s="1696"/>
      <c r="AW46" s="1787"/>
      <c r="AX46" s="333"/>
      <c r="AY46" s="1697"/>
      <c r="AZ46" s="1266"/>
      <c r="BA46" s="1266"/>
      <c r="BB46" s="1266"/>
      <c r="BC46" s="1257"/>
      <c r="BD46" s="610"/>
      <c r="BE46" s="1257"/>
      <c r="BF46" s="1257"/>
      <c r="BG46" s="1257"/>
      <c r="BH46" s="1257"/>
      <c r="BI46" s="1257"/>
      <c r="BJ46" s="610"/>
      <c r="BK46" s="1257"/>
      <c r="BL46" s="1257"/>
      <c r="BM46" s="1257"/>
      <c r="BN46" s="1257"/>
      <c r="BO46" s="1257"/>
      <c r="BP46" s="610"/>
      <c r="BQ46" s="1257"/>
      <c r="BR46" s="1257"/>
      <c r="BS46" s="1257"/>
      <c r="BT46" s="1257"/>
      <c r="BU46" s="1257"/>
      <c r="BV46" s="610"/>
      <c r="BW46" s="1257"/>
      <c r="BX46" s="1257"/>
      <c r="BY46" s="1257"/>
      <c r="BZ46" s="1257"/>
      <c r="CA46" s="1257"/>
      <c r="CB46" s="610"/>
      <c r="CC46" s="1257"/>
      <c r="CD46" s="1257"/>
      <c r="CE46" s="1257"/>
      <c r="CF46" s="1257"/>
      <c r="CG46" s="1257"/>
      <c r="CH46" s="610"/>
      <c r="CI46" s="1257"/>
      <c r="CJ46" s="1257"/>
      <c r="CK46" s="1257"/>
      <c r="CL46" s="1257"/>
      <c r="CM46" s="1257"/>
      <c r="CN46" s="610"/>
      <c r="CO46" s="2066" t="s">
        <v>180</v>
      </c>
      <c r="CP46" s="2067"/>
      <c r="CQ46" s="2067"/>
      <c r="CR46" s="2067"/>
      <c r="CS46" s="2067"/>
      <c r="CT46" s="2067"/>
      <c r="CU46" s="2067"/>
      <c r="CV46" s="2067"/>
      <c r="CW46" s="2067"/>
      <c r="CX46" s="2067">
        <f t="shared" si="97"/>
        <v>-8.8517745302713988E-2</v>
      </c>
      <c r="CY46" s="2067">
        <f t="shared" si="97"/>
        <v>-5.3827160493827159E-2</v>
      </c>
      <c r="CZ46" s="2067">
        <f t="shared" si="97"/>
        <v>2.9484752891692955E-2</v>
      </c>
      <c r="DA46" s="2067">
        <f t="shared" si="97"/>
        <v>4.8884501480750249E-2</v>
      </c>
      <c r="DB46" s="2067">
        <f t="shared" si="98"/>
        <v>4.9682539682539682E-2</v>
      </c>
      <c r="DC46" s="2067">
        <f t="shared" si="98"/>
        <v>-1.4999999999999999E-2</v>
      </c>
      <c r="DD46" s="2067">
        <f t="shared" si="98"/>
        <v>3.5366699702675919E-2</v>
      </c>
      <c r="DE46" s="2067">
        <f t="shared" si="98"/>
        <v>-0.04</v>
      </c>
      <c r="DF46" s="2067">
        <f t="shared" si="99"/>
        <v>0.04</v>
      </c>
      <c r="DG46" s="2067">
        <f t="shared" si="99"/>
        <v>7.0000000000000007E-2</v>
      </c>
      <c r="DH46" s="2067">
        <f t="shared" si="99"/>
        <v>-0.05</v>
      </c>
      <c r="DI46" s="2067">
        <f t="shared" si="99"/>
        <v>-0.02</v>
      </c>
      <c r="DJ46" s="2067">
        <f t="shared" si="101"/>
        <v>-0.01</v>
      </c>
      <c r="DK46" s="2067">
        <f t="shared" si="101"/>
        <v>-0.02</v>
      </c>
      <c r="DL46" s="2067">
        <f t="shared" si="101"/>
        <v>0.03</v>
      </c>
      <c r="DM46" s="2067">
        <f t="shared" si="101"/>
        <v>0.13600000000000001</v>
      </c>
      <c r="DN46" s="2067">
        <f t="shared" si="100"/>
        <v>7.6999999999999999E-2</v>
      </c>
    </row>
    <row r="47" spans="1:122">
      <c r="A47" s="582" t="s">
        <v>228</v>
      </c>
      <c r="B47" s="513"/>
      <c r="C47" s="583"/>
      <c r="D47" s="584"/>
      <c r="E47" s="584"/>
      <c r="F47" s="585"/>
      <c r="G47" s="586"/>
      <c r="H47" s="513"/>
      <c r="I47" s="583"/>
      <c r="J47" s="584"/>
      <c r="K47" s="584"/>
      <c r="L47" s="585"/>
      <c r="M47" s="586"/>
      <c r="N47" s="513"/>
      <c r="O47" s="583"/>
      <c r="P47" s="584"/>
      <c r="Q47" s="584"/>
      <c r="R47" s="585"/>
      <c r="S47" s="586"/>
      <c r="T47" s="587"/>
      <c r="U47" s="2364"/>
      <c r="V47" s="2365"/>
      <c r="W47" s="2365"/>
      <c r="X47" s="2366"/>
      <c r="Y47" s="2367"/>
      <c r="Z47" s="2368"/>
      <c r="AA47" s="2364"/>
      <c r="AB47" s="2365"/>
      <c r="AC47" s="2365"/>
      <c r="AD47" s="2366"/>
      <c r="AE47" s="2367"/>
      <c r="AF47" s="587"/>
      <c r="AG47" s="590"/>
      <c r="AH47" s="591"/>
      <c r="AI47" s="591"/>
      <c r="AJ47" s="592"/>
      <c r="AK47" s="586"/>
      <c r="AL47" s="587"/>
      <c r="AM47" s="590"/>
      <c r="AN47" s="591"/>
      <c r="AO47" s="591"/>
      <c r="AP47" s="591"/>
      <c r="AQ47" s="593"/>
      <c r="AR47" s="515"/>
      <c r="AS47" s="590"/>
      <c r="AT47" s="591"/>
      <c r="AU47" s="591"/>
      <c r="AV47" s="592"/>
      <c r="AW47" s="593"/>
      <c r="AX47" s="515"/>
      <c r="AY47" s="590"/>
      <c r="AZ47" s="591"/>
      <c r="BA47" s="591"/>
      <c r="BB47" s="591"/>
      <c r="BC47" s="593"/>
      <c r="BD47" s="515"/>
      <c r="BE47" s="590"/>
      <c r="BF47" s="591"/>
      <c r="BG47" s="591"/>
      <c r="BH47" s="592"/>
      <c r="BI47" s="593"/>
      <c r="BJ47" s="515"/>
      <c r="BK47" s="590"/>
      <c r="BL47" s="591"/>
      <c r="BM47" s="591"/>
      <c r="BN47" s="592"/>
      <c r="BO47" s="593"/>
      <c r="BP47" s="515"/>
      <c r="BQ47" s="590"/>
      <c r="BR47" s="591"/>
      <c r="BS47" s="591"/>
      <c r="BT47" s="592"/>
      <c r="BU47" s="593"/>
      <c r="BV47" s="515"/>
      <c r="BW47" s="590"/>
      <c r="BX47" s="591"/>
      <c r="BY47" s="591"/>
      <c r="BZ47" s="592"/>
      <c r="CA47" s="593"/>
      <c r="CB47" s="2121"/>
      <c r="CC47" s="590"/>
      <c r="CD47" s="591"/>
      <c r="CE47" s="591"/>
      <c r="CF47" s="592"/>
      <c r="CG47" s="593"/>
      <c r="CH47" s="2121"/>
      <c r="CI47" s="590"/>
      <c r="CJ47" s="591"/>
      <c r="CK47" s="591"/>
      <c r="CL47" s="592"/>
      <c r="CM47" s="593"/>
      <c r="CN47" s="174"/>
      <c r="CO47" s="2064" t="s">
        <v>185</v>
      </c>
      <c r="CP47" s="2065"/>
      <c r="CQ47" s="2065"/>
      <c r="CR47" s="2065"/>
      <c r="CS47" s="2065"/>
      <c r="CT47" s="2065"/>
      <c r="CU47" s="2065"/>
      <c r="CV47" s="2065"/>
      <c r="CW47" s="2065"/>
      <c r="CX47" s="2065">
        <f t="shared" si="97"/>
        <v>4.148225469728601E-2</v>
      </c>
      <c r="CY47" s="2065">
        <f t="shared" si="97"/>
        <v>2.617283950617284E-2</v>
      </c>
      <c r="CZ47" s="2065">
        <f t="shared" si="97"/>
        <v>-5.1524710830704555E-4</v>
      </c>
      <c r="DA47" s="2065">
        <f t="shared" si="97"/>
        <v>1.8884501480750247E-2</v>
      </c>
      <c r="DB47" s="2065">
        <f t="shared" si="98"/>
        <v>3.968253968253968E-2</v>
      </c>
      <c r="DC47" s="2065">
        <f t="shared" si="98"/>
        <v>-1.4999999999999999E-2</v>
      </c>
      <c r="DD47" s="2065">
        <f t="shared" si="98"/>
        <v>-1.4633300297324084E-2</v>
      </c>
      <c r="DE47" s="2065">
        <f t="shared" si="98"/>
        <v>0.01</v>
      </c>
      <c r="DF47" s="2065">
        <f t="shared" si="99"/>
        <v>-0.02</v>
      </c>
      <c r="DG47" s="2065">
        <f t="shared" si="99"/>
        <v>-0.03</v>
      </c>
      <c r="DH47" s="2065">
        <f t="shared" si="99"/>
        <v>-0.04</v>
      </c>
      <c r="DI47" s="2065">
        <f t="shared" si="99"/>
        <v>-0.03</v>
      </c>
      <c r="DJ47" s="2065">
        <f t="shared" si="101"/>
        <v>0.03</v>
      </c>
      <c r="DK47" s="2065">
        <f t="shared" si="101"/>
        <v>0.14000000000000001</v>
      </c>
      <c r="DL47" s="2065">
        <f t="shared" si="101"/>
        <v>0.1</v>
      </c>
      <c r="DM47" s="2065">
        <f t="shared" si="101"/>
        <v>0.156</v>
      </c>
      <c r="DN47" s="2065">
        <f t="shared" si="100"/>
        <v>0.11799999999999999</v>
      </c>
    </row>
    <row r="48" spans="1:122">
      <c r="A48" s="563" t="s">
        <v>192</v>
      </c>
      <c r="B48" s="564"/>
      <c r="C48" s="595"/>
      <c r="D48" s="596"/>
      <c r="E48" s="596"/>
      <c r="F48" s="597"/>
      <c r="G48" s="598"/>
      <c r="H48" s="564"/>
      <c r="I48" s="595"/>
      <c r="J48" s="596"/>
      <c r="K48" s="596"/>
      <c r="L48" s="597"/>
      <c r="M48" s="598"/>
      <c r="N48" s="564"/>
      <c r="O48" s="595"/>
      <c r="P48" s="596"/>
      <c r="Q48" s="596"/>
      <c r="R48" s="597"/>
      <c r="S48" s="598"/>
      <c r="T48" s="541"/>
      <c r="U48" s="599"/>
      <c r="V48" s="600"/>
      <c r="W48" s="600"/>
      <c r="X48" s="601"/>
      <c r="Y48" s="602"/>
      <c r="Z48" s="541"/>
      <c r="AA48" s="603">
        <v>0.24</v>
      </c>
      <c r="AB48" s="604">
        <v>0.23</v>
      </c>
      <c r="AC48" s="605">
        <v>0.2</v>
      </c>
      <c r="AD48" s="606">
        <v>7.0000000000000007E-2</v>
      </c>
      <c r="AE48" s="565">
        <f>AVERAGE(AA48:AD48)</f>
        <v>0.185</v>
      </c>
      <c r="AF48" s="541"/>
      <c r="AG48" s="607">
        <v>0.03</v>
      </c>
      <c r="AH48" s="605">
        <v>0.16</v>
      </c>
      <c r="AI48" s="605">
        <v>0.08</v>
      </c>
      <c r="AJ48" s="606">
        <v>0.02</v>
      </c>
      <c r="AK48" s="565">
        <f>AVERAGE(AG48:AJ48)</f>
        <v>7.2500000000000009E-2</v>
      </c>
      <c r="AL48" s="541"/>
      <c r="AM48" s="607">
        <v>-0.02</v>
      </c>
      <c r="AN48" s="1268">
        <v>-7.0000000000000007E-2</v>
      </c>
      <c r="AO48" s="1268">
        <v>-0.17</v>
      </c>
      <c r="AP48" s="1269">
        <v>-0.09</v>
      </c>
      <c r="AQ48" s="565">
        <f>AVERAGE(AM48:AP48)</f>
        <v>-8.7499999999999994E-2</v>
      </c>
      <c r="AR48" s="576"/>
      <c r="AS48" s="1788">
        <v>0.01</v>
      </c>
      <c r="AT48" s="1789">
        <v>-0.02</v>
      </c>
      <c r="AU48" s="1789">
        <v>0.06</v>
      </c>
      <c r="AV48" s="1790">
        <v>0.06</v>
      </c>
      <c r="AW48" s="565">
        <f>AVERAGE(AS48:AV48)</f>
        <v>2.7499999999999997E-2</v>
      </c>
      <c r="AX48" s="1270"/>
      <c r="AY48" s="1598">
        <v>0.03</v>
      </c>
      <c r="AZ48" s="1670">
        <f>10%+1.5%</f>
        <v>0.115</v>
      </c>
      <c r="BA48" s="1670">
        <f>8%-1.5%</f>
        <v>6.5000000000000002E-2</v>
      </c>
      <c r="BB48" s="1670">
        <v>7.0000000000000007E-2</v>
      </c>
      <c r="BC48" s="565">
        <f>AVERAGE(AY48:BB48)</f>
        <v>7.0000000000000007E-2</v>
      </c>
      <c r="BD48" s="541"/>
      <c r="BE48" s="1598">
        <v>0.06</v>
      </c>
      <c r="BF48" s="1670">
        <v>0.04</v>
      </c>
      <c r="BG48" s="1670">
        <v>-0.01</v>
      </c>
      <c r="BH48" s="1670">
        <v>0</v>
      </c>
      <c r="BI48" s="565">
        <f>AVERAGE(BE48:BH48)</f>
        <v>2.2500000000000003E-2</v>
      </c>
      <c r="BJ48" s="541"/>
      <c r="BK48" s="1670">
        <v>0.04</v>
      </c>
      <c r="BL48" s="1670">
        <v>0.06</v>
      </c>
      <c r="BM48" s="1670">
        <v>0.04</v>
      </c>
      <c r="BN48" s="1670">
        <v>0.05</v>
      </c>
      <c r="BO48" s="565">
        <f>AVERAGE(BK48:BN48)</f>
        <v>4.7500000000000001E-2</v>
      </c>
      <c r="BP48" s="541"/>
      <c r="BQ48" s="1670">
        <v>0.08</v>
      </c>
      <c r="BR48" s="610"/>
      <c r="BS48" s="610"/>
      <c r="BT48" s="611"/>
      <c r="BU48" s="612"/>
      <c r="BV48" s="541"/>
      <c r="BW48" s="609"/>
      <c r="BX48" s="610"/>
      <c r="BY48" s="610"/>
      <c r="BZ48" s="611"/>
      <c r="CA48" s="612"/>
      <c r="CB48" s="610"/>
      <c r="CC48" s="609"/>
      <c r="CD48" s="610"/>
      <c r="CE48" s="610"/>
      <c r="CF48" s="611"/>
      <c r="CG48" s="612"/>
      <c r="CH48" s="610"/>
      <c r="CI48" s="609"/>
      <c r="CJ48" s="610"/>
      <c r="CK48" s="610"/>
      <c r="CL48" s="611"/>
      <c r="CM48" s="612"/>
      <c r="CN48" s="174"/>
      <c r="CO48" s="2066" t="s">
        <v>182</v>
      </c>
      <c r="CP48" s="2067"/>
      <c r="CQ48" s="2067"/>
      <c r="CR48" s="2067"/>
      <c r="CS48" s="2067"/>
      <c r="CT48" s="2067"/>
      <c r="CU48" s="2067"/>
      <c r="CV48" s="2067"/>
      <c r="CW48" s="2067"/>
      <c r="CX48" s="2067">
        <f t="shared" si="97"/>
        <v>8.1482254697286025E-2</v>
      </c>
      <c r="CY48" s="2067">
        <f t="shared" si="97"/>
        <v>-4.3827160493827164E-2</v>
      </c>
      <c r="CZ48" s="2067">
        <f t="shared" si="97"/>
        <v>0.13948475289169296</v>
      </c>
      <c r="DA48" s="2067">
        <f t="shared" si="97"/>
        <v>3.8884501480750247E-2</v>
      </c>
      <c r="DB48" s="2067">
        <f t="shared" si="98"/>
        <v>5.9682539682539684E-2</v>
      </c>
      <c r="DC48" s="2067">
        <f t="shared" si="98"/>
        <v>8.5000000000000006E-2</v>
      </c>
      <c r="DD48" s="2067">
        <f t="shared" si="98"/>
        <v>0.14536669970267591</v>
      </c>
      <c r="DE48" s="2067">
        <f t="shared" si="98"/>
        <v>0</v>
      </c>
      <c r="DF48" s="2067">
        <f t="shared" si="99"/>
        <v>0.06</v>
      </c>
      <c r="DG48" s="2067">
        <f t="shared" si="99"/>
        <v>0.06</v>
      </c>
      <c r="DH48" s="2067">
        <f t="shared" si="99"/>
        <v>0</v>
      </c>
      <c r="DI48" s="2067">
        <f t="shared" si="99"/>
        <v>0.03</v>
      </c>
      <c r="DJ48" s="2067">
        <f t="shared" si="101"/>
        <v>-0.01</v>
      </c>
      <c r="DK48" s="2067">
        <f t="shared" si="101"/>
        <v>7.0000000000000007E-2</v>
      </c>
      <c r="DL48" s="2067">
        <f t="shared" si="101"/>
        <v>7.0000000000000007E-2</v>
      </c>
      <c r="DM48" s="2067">
        <f t="shared" si="101"/>
        <v>5.2000000000000005E-2</v>
      </c>
      <c r="DN48" s="2067">
        <f t="shared" si="100"/>
        <v>0.115</v>
      </c>
    </row>
    <row r="49" spans="1:118">
      <c r="A49" s="563" t="s">
        <v>193</v>
      </c>
      <c r="B49" s="564"/>
      <c r="C49" s="609"/>
      <c r="D49" s="610"/>
      <c r="E49" s="610"/>
      <c r="F49" s="611"/>
      <c r="G49" s="598"/>
      <c r="H49" s="564"/>
      <c r="I49" s="609"/>
      <c r="J49" s="610"/>
      <c r="K49" s="610"/>
      <c r="L49" s="611"/>
      <c r="M49" s="598"/>
      <c r="N49" s="564"/>
      <c r="O49" s="609"/>
      <c r="P49" s="610"/>
      <c r="Q49" s="610"/>
      <c r="R49" s="611"/>
      <c r="S49" s="598"/>
      <c r="T49" s="541"/>
      <c r="U49" s="2362"/>
      <c r="V49" s="2360"/>
      <c r="W49" s="2360"/>
      <c r="X49" s="2361"/>
      <c r="Y49" s="2363"/>
      <c r="Z49" s="1966"/>
      <c r="AA49" s="2362">
        <v>0.11</v>
      </c>
      <c r="AB49" s="2360">
        <v>0.39</v>
      </c>
      <c r="AC49" s="2360">
        <v>0.13</v>
      </c>
      <c r="AD49" s="2361">
        <v>0.04</v>
      </c>
      <c r="AE49" s="2421">
        <f>AVERAGE(AA49:AD49)</f>
        <v>0.16750000000000001</v>
      </c>
      <c r="AF49" s="311"/>
      <c r="AG49" s="607">
        <v>0.05</v>
      </c>
      <c r="AH49" s="605">
        <v>-7.0000000000000007E-2</v>
      </c>
      <c r="AI49" s="605">
        <v>-7.0000000000000007E-2</v>
      </c>
      <c r="AJ49" s="606">
        <v>-7.0000000000000007E-2</v>
      </c>
      <c r="AK49" s="565">
        <f t="shared" ref="AK49:AK51" si="102">AVERAGE(AG49:AJ49)</f>
        <v>-4.0000000000000008E-2</v>
      </c>
      <c r="AL49" s="311"/>
      <c r="AM49" s="607">
        <v>-0.03</v>
      </c>
      <c r="AN49" s="1271">
        <v>-0.03</v>
      </c>
      <c r="AO49" s="1271">
        <v>-0.02</v>
      </c>
      <c r="AP49" s="1272">
        <v>0.04</v>
      </c>
      <c r="AQ49" s="565">
        <f t="shared" ref="AQ49:AQ51" si="103">AVERAGE(AM49:AP49)</f>
        <v>-0.01</v>
      </c>
      <c r="AR49" s="642"/>
      <c r="AS49" s="1267">
        <v>3.0226161587586231E-2</v>
      </c>
      <c r="AT49" s="333">
        <v>8.0949328936019152E-2</v>
      </c>
      <c r="AU49" s="333">
        <v>3.8383639542674805E-2</v>
      </c>
      <c r="AV49" s="1791">
        <v>3.6162437681330317E-2</v>
      </c>
      <c r="AW49" s="565">
        <f t="shared" ref="AW49:AW51" si="104">AVERAGE(AS49:AV49)</f>
        <v>4.6430391936902626E-2</v>
      </c>
      <c r="AX49" s="1273"/>
      <c r="AY49" s="1672">
        <v>0.12802068504355565</v>
      </c>
      <c r="AZ49" s="2012">
        <f>4%+1.5%</f>
        <v>5.5E-2</v>
      </c>
      <c r="BA49" s="2012">
        <f>11%-1.5%</f>
        <v>9.5000000000000001E-2</v>
      </c>
      <c r="BB49" s="2012">
        <v>0.05</v>
      </c>
      <c r="BC49" s="565">
        <f t="shared" ref="BC49:BC52" si="105">AVERAGE(AY49:BB49)</f>
        <v>8.2005171260888909E-2</v>
      </c>
      <c r="BD49" s="311"/>
      <c r="BE49" s="1672">
        <v>0.02</v>
      </c>
      <c r="BF49" s="1599">
        <v>0.02</v>
      </c>
      <c r="BG49" s="1599">
        <v>0.01</v>
      </c>
      <c r="BH49" s="1599">
        <v>0.05</v>
      </c>
      <c r="BI49" s="565">
        <f t="shared" ref="BI49:BI52" si="106">AVERAGE(BE49:BH49)</f>
        <v>2.5000000000000001E-2</v>
      </c>
      <c r="BJ49" s="311"/>
      <c r="BK49" s="1599">
        <v>0</v>
      </c>
      <c r="BL49" s="1599">
        <v>0.1</v>
      </c>
      <c r="BM49" s="1599">
        <v>0.12</v>
      </c>
      <c r="BN49" s="1599">
        <v>0.09</v>
      </c>
      <c r="BO49" s="565">
        <f t="shared" ref="BO49:BO52" si="107">AVERAGE(BK49:BN49)</f>
        <v>7.7499999999999999E-2</v>
      </c>
      <c r="BP49" s="311"/>
      <c r="BQ49" s="1599">
        <v>0.09</v>
      </c>
      <c r="BR49" s="573"/>
      <c r="BS49" s="573"/>
      <c r="BT49" s="574"/>
      <c r="BU49" s="575"/>
      <c r="BV49" s="311"/>
      <c r="BW49" s="572"/>
      <c r="BX49" s="573"/>
      <c r="BY49" s="573"/>
      <c r="BZ49" s="574"/>
      <c r="CA49" s="575"/>
      <c r="CB49" s="573"/>
      <c r="CC49" s="572"/>
      <c r="CD49" s="573"/>
      <c r="CE49" s="573"/>
      <c r="CF49" s="574"/>
      <c r="CG49" s="575"/>
      <c r="CH49" s="573"/>
      <c r="CI49" s="572"/>
      <c r="CJ49" s="573"/>
      <c r="CK49" s="573"/>
      <c r="CL49" s="574"/>
      <c r="CM49" s="575"/>
      <c r="CN49" s="610"/>
      <c r="CO49" s="2064" t="s">
        <v>183</v>
      </c>
      <c r="CP49" s="2065"/>
      <c r="CQ49" s="2065"/>
      <c r="CR49" s="2065"/>
      <c r="CS49" s="2065"/>
      <c r="CT49" s="2065"/>
      <c r="CU49" s="2065"/>
      <c r="CV49" s="2065"/>
      <c r="CW49" s="2065"/>
      <c r="CX49" s="2065">
        <f t="shared" si="97"/>
        <v>0.15148225469728602</v>
      </c>
      <c r="CY49" s="2065">
        <f t="shared" si="97"/>
        <v>0.10617283950617284</v>
      </c>
      <c r="CZ49" s="2065">
        <f t="shared" si="97"/>
        <v>2.9484752891692955E-2</v>
      </c>
      <c r="DA49" s="2065">
        <f t="shared" si="97"/>
        <v>4.8884501480750249E-2</v>
      </c>
      <c r="DB49" s="2065">
        <f t="shared" si="98"/>
        <v>8.9682539682539683E-2</v>
      </c>
      <c r="DC49" s="2065">
        <f t="shared" si="98"/>
        <v>1.4999999999999999E-2</v>
      </c>
      <c r="DD49" s="2065">
        <f t="shared" si="98"/>
        <v>5.5366699702675923E-2</v>
      </c>
      <c r="DE49" s="2065">
        <f t="shared" si="98"/>
        <v>0.04</v>
      </c>
      <c r="DF49" s="2065">
        <f t="shared" si="99"/>
        <v>-0.01</v>
      </c>
      <c r="DG49" s="2065">
        <f t="shared" si="99"/>
        <v>0.25</v>
      </c>
      <c r="DH49" s="2065">
        <f t="shared" si="99"/>
        <v>0.11</v>
      </c>
      <c r="DI49" s="2065">
        <f t="shared" si="99"/>
        <v>0.1</v>
      </c>
      <c r="DJ49" s="2065">
        <f t="shared" si="101"/>
        <v>0.11</v>
      </c>
      <c r="DK49" s="2065">
        <f t="shared" si="101"/>
        <v>0.01</v>
      </c>
      <c r="DL49" s="2065">
        <f t="shared" si="101"/>
        <v>0.02</v>
      </c>
      <c r="DM49" s="2065">
        <f t="shared" si="101"/>
        <v>0.113</v>
      </c>
      <c r="DN49" s="2065">
        <f t="shared" si="100"/>
        <v>5.3000000000000005E-2</v>
      </c>
    </row>
    <row r="50" spans="1:118" s="79" customFormat="1">
      <c r="A50" s="563" t="s">
        <v>229</v>
      </c>
      <c r="B50" s="564"/>
      <c r="C50" s="613"/>
      <c r="D50" s="614"/>
      <c r="E50" s="614"/>
      <c r="F50" s="615"/>
      <c r="G50" s="598"/>
      <c r="H50" s="564"/>
      <c r="I50" s="613"/>
      <c r="J50" s="614"/>
      <c r="K50" s="614"/>
      <c r="L50" s="615"/>
      <c r="M50" s="598"/>
      <c r="N50" s="564"/>
      <c r="O50" s="613"/>
      <c r="P50" s="614"/>
      <c r="Q50" s="614"/>
      <c r="R50" s="615"/>
      <c r="S50" s="598"/>
      <c r="T50" s="541"/>
      <c r="U50" s="603"/>
      <c r="V50" s="604"/>
      <c r="W50" s="604"/>
      <c r="X50" s="616"/>
      <c r="Y50" s="617"/>
      <c r="Z50" s="541"/>
      <c r="AA50" s="603"/>
      <c r="AB50" s="604"/>
      <c r="AC50" s="604"/>
      <c r="AD50" s="616"/>
      <c r="AE50" s="622"/>
      <c r="AF50" s="541"/>
      <c r="AG50" s="603"/>
      <c r="AH50" s="604"/>
      <c r="AI50" s="604">
        <v>-0.03</v>
      </c>
      <c r="AJ50" s="616">
        <v>-0.02</v>
      </c>
      <c r="AK50" s="565">
        <f t="shared" si="102"/>
        <v>-2.5000000000000001E-2</v>
      </c>
      <c r="AL50" s="541"/>
      <c r="AM50" s="603">
        <v>-0.02</v>
      </c>
      <c r="AN50" s="1274">
        <v>0</v>
      </c>
      <c r="AO50" s="1274">
        <v>0.03</v>
      </c>
      <c r="AP50" s="1275">
        <v>0.03</v>
      </c>
      <c r="AQ50" s="565">
        <f t="shared" si="103"/>
        <v>9.9999999999999985E-3</v>
      </c>
      <c r="AR50" s="576"/>
      <c r="AS50" s="1267">
        <v>0.08</v>
      </c>
      <c r="AT50" s="822">
        <v>-0.03</v>
      </c>
      <c r="AU50" s="822">
        <v>0.04</v>
      </c>
      <c r="AV50" s="333">
        <v>0.05</v>
      </c>
      <c r="AW50" s="565">
        <f t="shared" si="104"/>
        <v>3.5000000000000003E-2</v>
      </c>
      <c r="AX50" s="1270"/>
      <c r="AY50" s="1598">
        <v>0.01</v>
      </c>
      <c r="AZ50" s="1599">
        <f>5%+1.5%</f>
        <v>6.5000000000000002E-2</v>
      </c>
      <c r="BA50" s="1599">
        <f>9%-1.5%</f>
        <v>7.4999999999999997E-2</v>
      </c>
      <c r="BB50" s="1599">
        <v>7.0000000000000007E-2</v>
      </c>
      <c r="BC50" s="565">
        <f t="shared" si="105"/>
        <v>5.5E-2</v>
      </c>
      <c r="BD50" s="541"/>
      <c r="BE50" s="1598">
        <v>0.14000000000000001</v>
      </c>
      <c r="BF50" s="1671">
        <v>0.23</v>
      </c>
      <c r="BG50" s="1671">
        <v>0.11</v>
      </c>
      <c r="BH50" s="1671">
        <v>0.12</v>
      </c>
      <c r="BI50" s="565">
        <f t="shared" si="106"/>
        <v>0.15</v>
      </c>
      <c r="BJ50" s="541"/>
      <c r="BK50" s="1671">
        <v>0.11</v>
      </c>
      <c r="BL50" s="1671">
        <v>0.15</v>
      </c>
      <c r="BM50" s="1671">
        <v>0.03</v>
      </c>
      <c r="BN50" s="1671">
        <v>0.03</v>
      </c>
      <c r="BO50" s="565">
        <f t="shared" si="107"/>
        <v>8.0000000000000016E-2</v>
      </c>
      <c r="BP50" s="541"/>
      <c r="BQ50" s="1671">
        <v>0.03</v>
      </c>
      <c r="BR50" s="604"/>
      <c r="BS50" s="604"/>
      <c r="BT50" s="616"/>
      <c r="BU50" s="617"/>
      <c r="BV50" s="541"/>
      <c r="BW50" s="603"/>
      <c r="BX50" s="604"/>
      <c r="BY50" s="604"/>
      <c r="BZ50" s="616"/>
      <c r="CA50" s="617"/>
      <c r="CB50" s="604"/>
      <c r="CC50" s="603"/>
      <c r="CD50" s="604"/>
      <c r="CE50" s="604"/>
      <c r="CF50" s="616"/>
      <c r="CG50" s="617"/>
      <c r="CH50" s="604"/>
      <c r="CI50" s="603"/>
      <c r="CJ50" s="604"/>
      <c r="CK50" s="604"/>
      <c r="CL50" s="616"/>
      <c r="CM50" s="617"/>
      <c r="CN50" s="6"/>
      <c r="CO50" s="174"/>
      <c r="CP50" s="174"/>
      <c r="CQ50" s="174"/>
      <c r="CR50" s="174"/>
      <c r="CS50" s="174"/>
      <c r="CT50" s="174"/>
      <c r="CU50" s="174"/>
      <c r="CV50" s="174"/>
      <c r="CW50" s="174"/>
      <c r="CX50" s="174"/>
      <c r="CY50" s="174"/>
      <c r="CZ50" s="174"/>
      <c r="DA50" s="174"/>
      <c r="DB50" s="174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>
      <c r="A51" s="563" t="s">
        <v>230</v>
      </c>
      <c r="B51" s="564"/>
      <c r="C51" s="609"/>
      <c r="D51" s="610"/>
      <c r="E51" s="610"/>
      <c r="F51" s="611"/>
      <c r="G51" s="598"/>
      <c r="H51" s="564"/>
      <c r="I51" s="609"/>
      <c r="J51" s="610"/>
      <c r="K51" s="610"/>
      <c r="L51" s="611"/>
      <c r="M51" s="598"/>
      <c r="N51" s="564"/>
      <c r="O51" s="609"/>
      <c r="P51" s="610"/>
      <c r="Q51" s="610"/>
      <c r="R51" s="611"/>
      <c r="S51" s="598"/>
      <c r="T51" s="541"/>
      <c r="U51" s="603"/>
      <c r="V51" s="604"/>
      <c r="W51" s="604"/>
      <c r="X51" s="616"/>
      <c r="Y51" s="617"/>
      <c r="Z51" s="541"/>
      <c r="AA51" s="603"/>
      <c r="AB51" s="604"/>
      <c r="AC51" s="605"/>
      <c r="AD51" s="606"/>
      <c r="AE51" s="565"/>
      <c r="AF51" s="541"/>
      <c r="AG51" s="607"/>
      <c r="AH51" s="605"/>
      <c r="AI51" s="605">
        <v>-0.05</v>
      </c>
      <c r="AJ51" s="606">
        <v>-0.01</v>
      </c>
      <c r="AK51" s="565">
        <f t="shared" si="102"/>
        <v>-3.0000000000000002E-2</v>
      </c>
      <c r="AL51" s="541"/>
      <c r="AM51" s="607">
        <v>-0.01</v>
      </c>
      <c r="AN51" s="1268">
        <v>-0.03</v>
      </c>
      <c r="AO51" s="1268">
        <v>0.11</v>
      </c>
      <c r="AP51" s="1269">
        <v>0</v>
      </c>
      <c r="AQ51" s="565">
        <f t="shared" si="103"/>
        <v>1.7500000000000002E-2</v>
      </c>
      <c r="AR51" s="576"/>
      <c r="AS51" s="1267" t="s">
        <v>231</v>
      </c>
      <c r="AT51" s="333" t="s">
        <v>232</v>
      </c>
      <c r="AU51" s="333" t="s">
        <v>232</v>
      </c>
      <c r="AV51" s="1791">
        <v>1.4648924136719643E-2</v>
      </c>
      <c r="AW51" s="565">
        <f t="shared" si="104"/>
        <v>1.4648924136719643E-2</v>
      </c>
      <c r="AX51" s="1270"/>
      <c r="AY51" s="1598">
        <v>-5.8092742782709095E-2</v>
      </c>
      <c r="AZ51" s="1599">
        <f>-16%+1.5%</f>
        <v>-0.14500000000000002</v>
      </c>
      <c r="BA51" s="1599">
        <f>5%-1.5%</f>
        <v>3.5000000000000003E-2</v>
      </c>
      <c r="BB51" s="1599">
        <v>0.03</v>
      </c>
      <c r="BC51" s="565">
        <f t="shared" si="105"/>
        <v>-3.4523185695677278E-2</v>
      </c>
      <c r="BD51" s="541"/>
      <c r="BE51" s="1598">
        <v>0.04</v>
      </c>
      <c r="BF51" s="1599">
        <v>0</v>
      </c>
      <c r="BG51" s="1599">
        <v>-0.04</v>
      </c>
      <c r="BH51" s="1599">
        <v>0</v>
      </c>
      <c r="BI51" s="565">
        <f t="shared" si="106"/>
        <v>0</v>
      </c>
      <c r="BJ51" s="541"/>
      <c r="BK51" s="1599">
        <v>0.01</v>
      </c>
      <c r="BL51" s="1599">
        <v>0.12</v>
      </c>
      <c r="BM51" s="1599">
        <v>0</v>
      </c>
      <c r="BN51" s="1599">
        <v>0</v>
      </c>
      <c r="BO51" s="565">
        <f t="shared" si="107"/>
        <v>3.2500000000000001E-2</v>
      </c>
      <c r="BP51" s="541"/>
      <c r="BQ51" s="1599">
        <v>0.01</v>
      </c>
      <c r="BR51" s="610"/>
      <c r="BS51" s="610"/>
      <c r="BT51" s="611"/>
      <c r="BU51" s="598"/>
      <c r="BV51" s="541"/>
      <c r="BW51" s="609"/>
      <c r="BX51" s="610"/>
      <c r="BY51" s="610"/>
      <c r="BZ51" s="611"/>
      <c r="CA51" s="598"/>
      <c r="CB51" s="610"/>
      <c r="CC51" s="609"/>
      <c r="CD51" s="610"/>
      <c r="CE51" s="610"/>
      <c r="CF51" s="611"/>
      <c r="CG51" s="598"/>
      <c r="CH51" s="610"/>
      <c r="CI51" s="609"/>
      <c r="CJ51" s="610"/>
      <c r="CK51" s="610"/>
      <c r="CL51" s="611"/>
      <c r="CM51" s="598"/>
      <c r="CN51" s="174"/>
      <c r="CP51" s="174"/>
      <c r="CQ51" s="174"/>
      <c r="CR51" s="174"/>
      <c r="CS51" s="174"/>
      <c r="CT51" s="174"/>
      <c r="CU51" s="174"/>
      <c r="CV51" s="174"/>
      <c r="CW51" s="174"/>
      <c r="CX51" s="174"/>
      <c r="CY51" s="174"/>
      <c r="CZ51" s="174"/>
      <c r="DA51" s="174"/>
      <c r="DB51" s="174"/>
      <c r="DK51" s="2"/>
      <c r="DL51" s="2"/>
      <c r="DM51" s="2"/>
      <c r="DN51" s="2"/>
    </row>
    <row r="52" spans="1:118">
      <c r="A52" s="566" t="s">
        <v>233</v>
      </c>
      <c r="B52" s="1255"/>
      <c r="C52" s="1256"/>
      <c r="D52" s="1257"/>
      <c r="E52" s="1257"/>
      <c r="F52" s="1258"/>
      <c r="G52" s="1259"/>
      <c r="H52" s="1255"/>
      <c r="I52" s="1256"/>
      <c r="J52" s="1257"/>
      <c r="K52" s="1257"/>
      <c r="L52" s="1258"/>
      <c r="M52" s="1259"/>
      <c r="N52" s="1255"/>
      <c r="O52" s="1256"/>
      <c r="P52" s="1257"/>
      <c r="Q52" s="1257"/>
      <c r="R52" s="1258"/>
      <c r="S52" s="1259"/>
      <c r="T52" s="1257"/>
      <c r="U52" s="1260"/>
      <c r="V52" s="1261"/>
      <c r="W52" s="1261"/>
      <c r="X52" s="1262"/>
      <c r="Y52" s="1263"/>
      <c r="Z52" s="1257"/>
      <c r="AA52" s="1260"/>
      <c r="AB52" s="1261"/>
      <c r="AC52" s="1261"/>
      <c r="AD52" s="1264"/>
      <c r="AE52" s="1259"/>
      <c r="AF52" s="1257"/>
      <c r="AG52" s="1260"/>
      <c r="AH52" s="1265"/>
      <c r="AI52" s="1261"/>
      <c r="AJ52" s="1262"/>
      <c r="AK52" s="1259"/>
      <c r="AL52" s="1257"/>
      <c r="AM52" s="1260"/>
      <c r="AN52" s="1276"/>
      <c r="AO52" s="1276"/>
      <c r="AP52" s="1277"/>
      <c r="AQ52" s="2061"/>
      <c r="AR52" s="1278"/>
      <c r="AS52" s="1792" t="s">
        <v>232</v>
      </c>
      <c r="AT52" s="1793" t="s">
        <v>232</v>
      </c>
      <c r="AU52" s="1793" t="s">
        <v>232</v>
      </c>
      <c r="AV52" s="1794">
        <v>2.3943497847077926E-2</v>
      </c>
      <c r="AW52" s="347"/>
      <c r="AX52" s="346"/>
      <c r="AY52" s="2011">
        <v>0.12</v>
      </c>
      <c r="AZ52" s="2013">
        <f>-2%+1.5%</f>
        <v>-5.000000000000001E-3</v>
      </c>
      <c r="BA52" s="2013">
        <f>14%-1.5%</f>
        <v>0.125</v>
      </c>
      <c r="BB52" s="2013">
        <v>0.05</v>
      </c>
      <c r="BC52" s="570">
        <f t="shared" si="105"/>
        <v>7.2499999999999995E-2</v>
      </c>
      <c r="BD52" s="1257"/>
      <c r="BE52" s="2011">
        <v>0.08</v>
      </c>
      <c r="BF52" s="1697">
        <v>0.38</v>
      </c>
      <c r="BG52" s="1696">
        <v>0.11</v>
      </c>
      <c r="BH52" s="1696">
        <v>0.27</v>
      </c>
      <c r="BI52" s="570">
        <f t="shared" si="106"/>
        <v>0.21000000000000002</v>
      </c>
      <c r="BJ52" s="1257"/>
      <c r="BK52" s="1696">
        <v>0.12</v>
      </c>
      <c r="BL52" s="1696">
        <v>7.0000000000000007E-2</v>
      </c>
      <c r="BM52" s="1696">
        <v>0.11</v>
      </c>
      <c r="BN52" s="1696">
        <v>7.0000000000000007E-2</v>
      </c>
      <c r="BO52" s="570">
        <f t="shared" si="107"/>
        <v>9.2499999999999999E-2</v>
      </c>
      <c r="BP52" s="1257"/>
      <c r="BQ52" s="1696">
        <v>0.19</v>
      </c>
      <c r="BR52" s="1257"/>
      <c r="BS52" s="1257"/>
      <c r="BT52" s="1258"/>
      <c r="BU52" s="1259"/>
      <c r="BV52" s="1257"/>
      <c r="BW52" s="1256"/>
      <c r="BX52" s="1257"/>
      <c r="BY52" s="1257"/>
      <c r="BZ52" s="1258"/>
      <c r="CA52" s="1259"/>
      <c r="CB52" s="610"/>
      <c r="CC52" s="1256"/>
      <c r="CD52" s="1257"/>
      <c r="CE52" s="1257"/>
      <c r="CF52" s="1258"/>
      <c r="CG52" s="1259"/>
      <c r="CH52" s="610"/>
      <c r="CI52" s="1256"/>
      <c r="CJ52" s="1257"/>
      <c r="CK52" s="1257"/>
      <c r="CL52" s="1258"/>
      <c r="CM52" s="1259"/>
      <c r="CN52" s="174"/>
      <c r="CO52" s="2458"/>
      <c r="CP52" s="2063" t="s">
        <v>205</v>
      </c>
      <c r="CQ52" s="2063" t="s">
        <v>206</v>
      </c>
      <c r="CR52" s="2063" t="s">
        <v>207</v>
      </c>
      <c r="CS52" s="2063" t="s">
        <v>208</v>
      </c>
      <c r="CT52" s="2063" t="s">
        <v>209</v>
      </c>
      <c r="CU52" s="2063" t="s">
        <v>210</v>
      </c>
      <c r="CV52" s="2063" t="s">
        <v>211</v>
      </c>
      <c r="CW52" s="2063" t="s">
        <v>212</v>
      </c>
      <c r="CX52" s="2063" t="s">
        <v>213</v>
      </c>
      <c r="CY52" s="2063" t="s">
        <v>214</v>
      </c>
      <c r="CZ52" s="2063" t="s">
        <v>215</v>
      </c>
      <c r="DA52" s="2063" t="s">
        <v>216</v>
      </c>
      <c r="DB52" s="6"/>
      <c r="DC52" s="6"/>
      <c r="DD52" s="6"/>
      <c r="DE52" s="6"/>
      <c r="DF52" s="6"/>
      <c r="DG52" s="6"/>
      <c r="DH52" s="6"/>
      <c r="DI52" s="6"/>
      <c r="DJ52" s="6"/>
    </row>
    <row r="53" spans="1:118">
      <c r="A53" s="564"/>
      <c r="B53" s="564"/>
      <c r="C53" s="610"/>
      <c r="D53" s="610"/>
      <c r="E53" s="610"/>
      <c r="F53" s="610"/>
      <c r="G53" s="610"/>
      <c r="H53" s="564"/>
      <c r="I53" s="610"/>
      <c r="J53" s="610"/>
      <c r="K53" s="610"/>
      <c r="L53" s="610"/>
      <c r="M53" s="610"/>
      <c r="N53" s="564"/>
      <c r="O53" s="610"/>
      <c r="P53" s="610"/>
      <c r="Q53" s="610"/>
      <c r="R53" s="610"/>
      <c r="S53" s="610"/>
      <c r="T53" s="610"/>
      <c r="U53" s="608"/>
      <c r="V53" s="608"/>
      <c r="W53" s="608"/>
      <c r="X53" s="608"/>
      <c r="Y53" s="608"/>
      <c r="Z53" s="610"/>
      <c r="AA53" s="608"/>
      <c r="AB53" s="608"/>
      <c r="AC53" s="608"/>
      <c r="AD53" s="605"/>
      <c r="AE53" s="610"/>
      <c r="AF53" s="610"/>
      <c r="AG53" s="608"/>
      <c r="AH53" s="605"/>
      <c r="AI53" s="608"/>
      <c r="AJ53" s="608"/>
      <c r="AK53" s="610"/>
      <c r="AL53" s="610"/>
      <c r="AM53" s="608"/>
      <c r="AN53" s="1274"/>
      <c r="AO53" s="1274"/>
      <c r="AP53" s="1274"/>
      <c r="AQ53" s="5"/>
      <c r="AR53" s="5"/>
      <c r="AS53" s="822"/>
      <c r="AT53" s="822"/>
      <c r="AU53" s="822"/>
      <c r="AV53" s="822"/>
      <c r="AW53" s="333"/>
      <c r="AX53" s="333"/>
      <c r="AY53" s="2461"/>
      <c r="AZ53" s="2462"/>
      <c r="BA53" s="2462"/>
      <c r="BB53" s="2462"/>
      <c r="BC53" s="541"/>
      <c r="BD53" s="610"/>
      <c r="BE53" s="2461"/>
      <c r="BF53" s="1694"/>
      <c r="BG53" s="1671"/>
      <c r="BH53" s="1671"/>
      <c r="BI53" s="541"/>
      <c r="BJ53" s="610"/>
      <c r="BK53" s="1671"/>
      <c r="BL53" s="1671"/>
      <c r="BM53" s="1671"/>
      <c r="BN53" s="1671"/>
      <c r="BO53" s="541"/>
      <c r="BP53" s="610"/>
      <c r="BQ53" s="1671"/>
      <c r="BR53" s="610"/>
      <c r="BS53" s="610"/>
      <c r="BT53" s="610"/>
      <c r="BU53" s="610"/>
      <c r="BV53" s="610"/>
      <c r="BW53" s="610"/>
      <c r="BX53" s="610"/>
      <c r="BY53" s="610"/>
      <c r="BZ53" s="610"/>
      <c r="CA53" s="610"/>
      <c r="CB53" s="610"/>
      <c r="CC53" s="610"/>
      <c r="CD53" s="610"/>
      <c r="CE53" s="610"/>
      <c r="CF53" s="610"/>
      <c r="CG53" s="610"/>
      <c r="CH53" s="610"/>
      <c r="CI53" s="610"/>
      <c r="CJ53" s="610"/>
      <c r="CK53" s="610"/>
      <c r="CL53" s="610"/>
      <c r="CM53" s="610"/>
      <c r="CN53" s="174"/>
      <c r="CO53" s="2458"/>
      <c r="CP53" s="2063"/>
      <c r="CQ53" s="2063"/>
      <c r="CR53" s="2063"/>
      <c r="CS53" s="2063"/>
      <c r="CT53" s="2063"/>
      <c r="CU53" s="2063"/>
      <c r="CV53" s="2063"/>
      <c r="CW53" s="2063"/>
      <c r="CX53" s="2063"/>
      <c r="CY53" s="2063"/>
      <c r="CZ53" s="2063"/>
      <c r="DA53" s="2063"/>
      <c r="DB53" s="2459"/>
      <c r="DC53" s="2459"/>
      <c r="DD53" s="2459"/>
      <c r="DE53" s="2459"/>
      <c r="DF53" s="2459"/>
      <c r="DG53" s="2459"/>
      <c r="DH53" s="2459"/>
      <c r="DI53" s="2459"/>
      <c r="DJ53" s="2459"/>
      <c r="DK53" s="2459"/>
      <c r="DL53" s="2459"/>
      <c r="DM53" s="2459"/>
      <c r="DN53" s="2459"/>
    </row>
    <row r="54" spans="1:118">
      <c r="A54" s="582" t="s">
        <v>616</v>
      </c>
      <c r="B54" s="513"/>
      <c r="C54" s="583"/>
      <c r="D54" s="584"/>
      <c r="E54" s="584"/>
      <c r="F54" s="585"/>
      <c r="G54" s="586"/>
      <c r="H54" s="513"/>
      <c r="I54" s="583"/>
      <c r="J54" s="584"/>
      <c r="K54" s="584"/>
      <c r="L54" s="585"/>
      <c r="M54" s="586"/>
      <c r="N54" s="513"/>
      <c r="O54" s="583"/>
      <c r="P54" s="584"/>
      <c r="Q54" s="584"/>
      <c r="R54" s="585"/>
      <c r="S54" s="586"/>
      <c r="T54" s="587"/>
      <c r="U54" s="2364"/>
      <c r="V54" s="2365"/>
      <c r="W54" s="2365"/>
      <c r="X54" s="2366"/>
      <c r="Y54" s="2367"/>
      <c r="Z54" s="2368"/>
      <c r="AA54" s="2364"/>
      <c r="AB54" s="2365"/>
      <c r="AC54" s="2365"/>
      <c r="AD54" s="2366"/>
      <c r="AE54" s="2367"/>
      <c r="AF54" s="587"/>
      <c r="AG54" s="590"/>
      <c r="AH54" s="591"/>
      <c r="AI54" s="591"/>
      <c r="AJ54" s="592"/>
      <c r="AK54" s="586"/>
      <c r="AL54" s="587"/>
      <c r="AM54" s="590"/>
      <c r="AN54" s="591"/>
      <c r="AO54" s="591"/>
      <c r="AP54" s="591"/>
      <c r="AQ54" s="593"/>
      <c r="AR54" s="515"/>
      <c r="AS54" s="590"/>
      <c r="AT54" s="591"/>
      <c r="AU54" s="591"/>
      <c r="AV54" s="592"/>
      <c r="AW54" s="593"/>
      <c r="AX54" s="515"/>
      <c r="AY54" s="590"/>
      <c r="AZ54" s="591"/>
      <c r="BA54" s="591"/>
      <c r="BB54" s="591"/>
      <c r="BC54" s="593"/>
      <c r="BD54" s="515"/>
      <c r="BE54" s="590"/>
      <c r="BF54" s="591"/>
      <c r="BG54" s="591"/>
      <c r="BH54" s="592"/>
      <c r="BI54" s="593"/>
      <c r="BJ54" s="515"/>
      <c r="BK54" s="590"/>
      <c r="BL54" s="591"/>
      <c r="BM54" s="591"/>
      <c r="BN54" s="592"/>
      <c r="BO54" s="593"/>
      <c r="BP54" s="515"/>
      <c r="BQ54" s="590"/>
      <c r="BR54" s="591"/>
      <c r="BS54" s="591"/>
      <c r="BT54" s="592"/>
      <c r="BU54" s="593"/>
      <c r="BV54" s="515"/>
      <c r="BW54" s="590"/>
      <c r="BX54" s="591"/>
      <c r="BY54" s="591"/>
      <c r="BZ54" s="592"/>
      <c r="CA54" s="593"/>
      <c r="CB54" s="2121"/>
      <c r="CC54" s="590"/>
      <c r="CD54" s="591"/>
      <c r="CE54" s="591"/>
      <c r="CF54" s="592"/>
      <c r="CG54" s="593"/>
      <c r="CH54" s="2121"/>
      <c r="CI54" s="590"/>
      <c r="CJ54" s="591"/>
      <c r="CK54" s="591"/>
      <c r="CL54" s="592"/>
      <c r="CM54" s="593"/>
      <c r="CN54" s="174"/>
      <c r="CO54" s="2458"/>
      <c r="CP54" s="2063"/>
      <c r="CQ54" s="2063"/>
      <c r="CR54" s="2063"/>
      <c r="CS54" s="2063"/>
      <c r="CT54" s="2063"/>
      <c r="CU54" s="2063"/>
      <c r="CV54" s="2063"/>
      <c r="CW54" s="2063"/>
      <c r="CX54" s="2063"/>
      <c r="CY54" s="2063"/>
      <c r="CZ54" s="2063"/>
      <c r="DA54" s="2063"/>
      <c r="DB54" s="2459"/>
      <c r="DC54" s="2459"/>
      <c r="DD54" s="2459"/>
      <c r="DE54" s="2459"/>
      <c r="DF54" s="2459"/>
      <c r="DG54" s="2459"/>
      <c r="DH54" s="2459"/>
      <c r="DI54" s="2459"/>
      <c r="DJ54" s="2459"/>
      <c r="DK54" s="2459"/>
      <c r="DL54" s="2459"/>
      <c r="DM54" s="2459"/>
      <c r="DN54" s="2459"/>
    </row>
    <row r="55" spans="1:118">
      <c r="A55" s="563" t="s">
        <v>192</v>
      </c>
      <c r="B55" s="564"/>
      <c r="C55" s="595"/>
      <c r="D55" s="596"/>
      <c r="E55" s="596"/>
      <c r="F55" s="597"/>
      <c r="G55" s="598"/>
      <c r="H55" s="564"/>
      <c r="I55" s="595"/>
      <c r="J55" s="596"/>
      <c r="K55" s="596"/>
      <c r="L55" s="597"/>
      <c r="M55" s="598"/>
      <c r="N55" s="564"/>
      <c r="O55" s="595"/>
      <c r="P55" s="596"/>
      <c r="Q55" s="596"/>
      <c r="R55" s="597"/>
      <c r="S55" s="598"/>
      <c r="T55" s="541"/>
      <c r="U55" s="599"/>
      <c r="V55" s="600"/>
      <c r="W55" s="600"/>
      <c r="X55" s="601"/>
      <c r="Y55" s="602"/>
      <c r="Z55" s="541"/>
      <c r="AA55" s="603"/>
      <c r="AB55" s="604"/>
      <c r="AC55" s="605"/>
      <c r="AD55" s="606"/>
      <c r="AE55" s="565"/>
      <c r="AF55" s="541"/>
      <c r="AG55" s="607"/>
      <c r="AH55" s="605"/>
      <c r="AI55" s="605"/>
      <c r="AJ55" s="606"/>
      <c r="AK55" s="565"/>
      <c r="AL55" s="541"/>
      <c r="AM55" s="594">
        <f>AM48+AG48</f>
        <v>9.9999999999999985E-3</v>
      </c>
      <c r="AN55" s="576">
        <f t="shared" ref="AN55:AQ58" si="108">AN48+AH48</f>
        <v>0.09</v>
      </c>
      <c r="AO55" s="576">
        <f t="shared" si="108"/>
        <v>-9.0000000000000011E-2</v>
      </c>
      <c r="AP55" s="2463">
        <f t="shared" si="108"/>
        <v>-6.9999999999999993E-2</v>
      </c>
      <c r="AQ55" s="565">
        <f t="shared" si="108"/>
        <v>-1.4999999999999986E-2</v>
      </c>
      <c r="AR55" s="576"/>
      <c r="AS55" s="594">
        <f>AS48+AM48</f>
        <v>-0.01</v>
      </c>
      <c r="AT55" s="576">
        <f t="shared" ref="AT55:AT57" si="109">AT48+AN48</f>
        <v>-9.0000000000000011E-2</v>
      </c>
      <c r="AU55" s="576">
        <f t="shared" ref="AU55:AU57" si="110">AU48+AO48</f>
        <v>-0.11000000000000001</v>
      </c>
      <c r="AV55" s="2463">
        <f t="shared" ref="AV55:AV58" si="111">AV48+AP48</f>
        <v>-0.03</v>
      </c>
      <c r="AW55" s="565">
        <f t="shared" ref="AW55:AW58" si="112">AW48+AQ48</f>
        <v>-0.06</v>
      </c>
      <c r="AX55" s="1270"/>
      <c r="AY55" s="594">
        <f>AY48+AS48</f>
        <v>0.04</v>
      </c>
      <c r="AZ55" s="576">
        <f t="shared" ref="AZ55:AZ57" si="113">AZ48+AT48</f>
        <v>9.5000000000000001E-2</v>
      </c>
      <c r="BA55" s="576">
        <f t="shared" ref="BA55:BA57" si="114">BA48+AU48</f>
        <v>0.125</v>
      </c>
      <c r="BB55" s="2463">
        <f t="shared" ref="BB55:BB58" si="115">BB48+AV48</f>
        <v>0.13</v>
      </c>
      <c r="BC55" s="565">
        <f t="shared" ref="BC55:BC58" si="116">BC48+AW48</f>
        <v>9.7500000000000003E-2</v>
      </c>
      <c r="BD55" s="541"/>
      <c r="BE55" s="594">
        <f>BE48+AY48</f>
        <v>0.09</v>
      </c>
      <c r="BF55" s="576">
        <f t="shared" ref="BF55:BF58" si="117">BF48+AZ48</f>
        <v>0.155</v>
      </c>
      <c r="BG55" s="576">
        <f t="shared" ref="BG55:BG58" si="118">BG48+BA48</f>
        <v>5.5E-2</v>
      </c>
      <c r="BH55" s="2463">
        <f t="shared" ref="BH55:BH58" si="119">BH48+BB48</f>
        <v>7.0000000000000007E-2</v>
      </c>
      <c r="BI55" s="565">
        <f t="shared" ref="BI55:BI58" si="120">BI48+BC48</f>
        <v>9.2500000000000013E-2</v>
      </c>
      <c r="BJ55" s="541"/>
      <c r="BK55" s="594">
        <f>BK48+BE48</f>
        <v>0.1</v>
      </c>
      <c r="BL55" s="576">
        <f t="shared" ref="BL55:BL59" si="121">BL48+BF48</f>
        <v>0.1</v>
      </c>
      <c r="BM55" s="576">
        <f t="shared" ref="BM55:BM59" si="122">BM48+BG48</f>
        <v>0.03</v>
      </c>
      <c r="BN55" s="2463">
        <f t="shared" ref="BN55:BN59" si="123">BN48+BH48</f>
        <v>0.05</v>
      </c>
      <c r="BO55" s="565">
        <f t="shared" ref="BO55:BO59" si="124">BO48+BI48</f>
        <v>7.0000000000000007E-2</v>
      </c>
      <c r="BP55" s="541"/>
      <c r="BQ55" s="594">
        <f>BQ48+BK48</f>
        <v>0.12</v>
      </c>
      <c r="BR55" s="610"/>
      <c r="BS55" s="610"/>
      <c r="BT55" s="611"/>
      <c r="BU55" s="612"/>
      <c r="BV55" s="541"/>
      <c r="BW55" s="609"/>
      <c r="BX55" s="610"/>
      <c r="BY55" s="610"/>
      <c r="BZ55" s="611"/>
      <c r="CA55" s="612"/>
      <c r="CB55" s="610"/>
      <c r="CC55" s="609"/>
      <c r="CD55" s="610"/>
      <c r="CE55" s="610"/>
      <c r="CF55" s="611"/>
      <c r="CG55" s="612"/>
      <c r="CH55" s="610"/>
      <c r="CI55" s="609"/>
      <c r="CJ55" s="610"/>
      <c r="CK55" s="610"/>
      <c r="CL55" s="611"/>
      <c r="CM55" s="612"/>
      <c r="CN55" s="174"/>
      <c r="CO55" s="2458"/>
      <c r="CP55" s="2063"/>
      <c r="CQ55" s="2063"/>
      <c r="CR55" s="2063"/>
      <c r="CS55" s="2063"/>
      <c r="CT55" s="2063"/>
      <c r="CU55" s="2063"/>
      <c r="CV55" s="2063"/>
      <c r="CW55" s="2063"/>
      <c r="CX55" s="2063"/>
      <c r="CY55" s="2063"/>
      <c r="CZ55" s="2063"/>
      <c r="DA55" s="2063"/>
      <c r="DB55" s="2459"/>
      <c r="DC55" s="2459"/>
      <c r="DD55" s="2459"/>
      <c r="DE55" s="2459"/>
      <c r="DF55" s="2459"/>
      <c r="DG55" s="2459"/>
      <c r="DH55" s="2459"/>
      <c r="DI55" s="2459"/>
      <c r="DJ55" s="2459"/>
      <c r="DK55" s="2459"/>
      <c r="DL55" s="2459"/>
      <c r="DM55" s="2459"/>
      <c r="DN55" s="2459"/>
    </row>
    <row r="56" spans="1:118">
      <c r="A56" s="563" t="s">
        <v>193</v>
      </c>
      <c r="B56" s="564"/>
      <c r="C56" s="609"/>
      <c r="D56" s="610"/>
      <c r="E56" s="610"/>
      <c r="F56" s="611"/>
      <c r="G56" s="598"/>
      <c r="H56" s="564"/>
      <c r="I56" s="609"/>
      <c r="J56" s="610"/>
      <c r="K56" s="610"/>
      <c r="L56" s="611"/>
      <c r="M56" s="598"/>
      <c r="N56" s="564"/>
      <c r="O56" s="609"/>
      <c r="P56" s="610"/>
      <c r="Q56" s="610"/>
      <c r="R56" s="611"/>
      <c r="S56" s="598"/>
      <c r="T56" s="541"/>
      <c r="U56" s="2362"/>
      <c r="V56" s="2360"/>
      <c r="W56" s="2360"/>
      <c r="X56" s="2361"/>
      <c r="Y56" s="2363"/>
      <c r="Z56" s="1966"/>
      <c r="AA56" s="2362"/>
      <c r="AB56" s="2360"/>
      <c r="AC56" s="2360"/>
      <c r="AD56" s="2361"/>
      <c r="AE56" s="2421"/>
      <c r="AF56" s="311"/>
      <c r="AG56" s="607"/>
      <c r="AH56" s="605"/>
      <c r="AI56" s="605"/>
      <c r="AJ56" s="606"/>
      <c r="AK56" s="565"/>
      <c r="AL56" s="311"/>
      <c r="AM56" s="594">
        <f t="shared" ref="AM56:AM58" si="125">AM49+AG49</f>
        <v>2.0000000000000004E-2</v>
      </c>
      <c r="AN56" s="642">
        <f t="shared" si="108"/>
        <v>-0.1</v>
      </c>
      <c r="AO56" s="642">
        <f t="shared" si="108"/>
        <v>-9.0000000000000011E-2</v>
      </c>
      <c r="AP56" s="643">
        <f t="shared" si="108"/>
        <v>-3.0000000000000006E-2</v>
      </c>
      <c r="AQ56" s="565">
        <f t="shared" si="108"/>
        <v>-5.000000000000001E-2</v>
      </c>
      <c r="AR56" s="642"/>
      <c r="AS56" s="594">
        <f t="shared" ref="AS56:AS57" si="126">AS49+AM49</f>
        <v>2.2616158758623217E-4</v>
      </c>
      <c r="AT56" s="642">
        <f t="shared" si="109"/>
        <v>5.0949328936019153E-2</v>
      </c>
      <c r="AU56" s="642">
        <f t="shared" si="110"/>
        <v>1.8383639542674805E-2</v>
      </c>
      <c r="AV56" s="643">
        <f t="shared" si="111"/>
        <v>7.6162437681330325E-2</v>
      </c>
      <c r="AW56" s="565">
        <f t="shared" si="112"/>
        <v>3.6430391936902624E-2</v>
      </c>
      <c r="AX56" s="1273"/>
      <c r="AY56" s="594">
        <f t="shared" ref="AY56:AY57" si="127">AY49+AS49</f>
        <v>0.15824684663114189</v>
      </c>
      <c r="AZ56" s="642">
        <f t="shared" si="113"/>
        <v>0.13594932893601916</v>
      </c>
      <c r="BA56" s="642">
        <f t="shared" si="114"/>
        <v>0.13338363954267479</v>
      </c>
      <c r="BB56" s="643">
        <f t="shared" si="115"/>
        <v>8.616243768133032E-2</v>
      </c>
      <c r="BC56" s="565">
        <f t="shared" si="116"/>
        <v>0.12843556319779154</v>
      </c>
      <c r="BD56" s="311"/>
      <c r="BE56" s="594">
        <f t="shared" ref="BE56:BE58" si="128">BE49+AY49</f>
        <v>0.14802068504355564</v>
      </c>
      <c r="BF56" s="642">
        <f t="shared" si="117"/>
        <v>7.4999999999999997E-2</v>
      </c>
      <c r="BG56" s="642">
        <f t="shared" si="118"/>
        <v>0.105</v>
      </c>
      <c r="BH56" s="643">
        <f t="shared" si="119"/>
        <v>0.1</v>
      </c>
      <c r="BI56" s="565">
        <f t="shared" si="120"/>
        <v>0.1070051712608889</v>
      </c>
      <c r="BJ56" s="311"/>
      <c r="BK56" s="594">
        <f t="shared" ref="BK56:BK59" si="129">BK49+BE49</f>
        <v>0.02</v>
      </c>
      <c r="BL56" s="642">
        <f t="shared" si="121"/>
        <v>0.12000000000000001</v>
      </c>
      <c r="BM56" s="642">
        <f t="shared" si="122"/>
        <v>0.13</v>
      </c>
      <c r="BN56" s="643">
        <f t="shared" si="123"/>
        <v>0.14000000000000001</v>
      </c>
      <c r="BO56" s="565">
        <f t="shared" si="124"/>
        <v>0.10250000000000001</v>
      </c>
      <c r="BP56" s="311"/>
      <c r="BQ56" s="594">
        <f t="shared" ref="BQ56:BQ59" si="130">BQ49+BK49</f>
        <v>0.09</v>
      </c>
      <c r="BR56" s="573"/>
      <c r="BS56" s="573"/>
      <c r="BT56" s="574"/>
      <c r="BU56" s="575"/>
      <c r="BV56" s="311"/>
      <c r="BW56" s="572"/>
      <c r="BX56" s="573"/>
      <c r="BY56" s="573"/>
      <c r="BZ56" s="574"/>
      <c r="CA56" s="575"/>
      <c r="CB56" s="573"/>
      <c r="CC56" s="572"/>
      <c r="CD56" s="573"/>
      <c r="CE56" s="573"/>
      <c r="CF56" s="574"/>
      <c r="CG56" s="575"/>
      <c r="CH56" s="573"/>
      <c r="CI56" s="572"/>
      <c r="CJ56" s="573"/>
      <c r="CK56" s="573"/>
      <c r="CL56" s="574"/>
      <c r="CM56" s="575"/>
      <c r="CN56" s="174"/>
      <c r="CO56" s="2458"/>
      <c r="CP56" s="2063"/>
      <c r="CQ56" s="2063"/>
      <c r="CR56" s="2063"/>
      <c r="CS56" s="2063"/>
      <c r="CT56" s="2063"/>
      <c r="CU56" s="2063"/>
      <c r="CV56" s="2063"/>
      <c r="CW56" s="2063"/>
      <c r="CX56" s="2063"/>
      <c r="CY56" s="2063"/>
      <c r="CZ56" s="2063"/>
      <c r="DA56" s="2063"/>
      <c r="DB56" s="2459"/>
      <c r="DC56" s="2459"/>
      <c r="DD56" s="2459"/>
      <c r="DE56" s="2459"/>
      <c r="DF56" s="2459"/>
      <c r="DG56" s="2459"/>
      <c r="DH56" s="2459"/>
      <c r="DI56" s="2459"/>
      <c r="DJ56" s="2459"/>
      <c r="DK56" s="2459"/>
      <c r="DL56" s="2459"/>
      <c r="DM56" s="2459"/>
      <c r="DN56" s="2459"/>
    </row>
    <row r="57" spans="1:118">
      <c r="A57" s="563" t="s">
        <v>229</v>
      </c>
      <c r="B57" s="564"/>
      <c r="C57" s="613"/>
      <c r="D57" s="614"/>
      <c r="E57" s="614"/>
      <c r="F57" s="615"/>
      <c r="G57" s="598"/>
      <c r="H57" s="564"/>
      <c r="I57" s="613"/>
      <c r="J57" s="614"/>
      <c r="K57" s="614"/>
      <c r="L57" s="615"/>
      <c r="M57" s="598"/>
      <c r="N57" s="564"/>
      <c r="O57" s="613"/>
      <c r="P57" s="614"/>
      <c r="Q57" s="614"/>
      <c r="R57" s="615"/>
      <c r="S57" s="598"/>
      <c r="T57" s="541"/>
      <c r="U57" s="603"/>
      <c r="V57" s="604"/>
      <c r="W57" s="604"/>
      <c r="X57" s="616"/>
      <c r="Y57" s="617"/>
      <c r="Z57" s="541"/>
      <c r="AA57" s="603"/>
      <c r="AB57" s="604"/>
      <c r="AC57" s="604"/>
      <c r="AD57" s="616"/>
      <c r="AE57" s="622"/>
      <c r="AF57" s="541"/>
      <c r="AG57" s="603"/>
      <c r="AH57" s="604"/>
      <c r="AI57" s="604"/>
      <c r="AJ57" s="616"/>
      <c r="AK57" s="565"/>
      <c r="AL57" s="541"/>
      <c r="AM57" s="594">
        <f t="shared" si="125"/>
        <v>-0.02</v>
      </c>
      <c r="AN57" s="5">
        <f t="shared" si="108"/>
        <v>0</v>
      </c>
      <c r="AO57" s="5">
        <f t="shared" si="108"/>
        <v>0</v>
      </c>
      <c r="AP57" s="632">
        <f t="shared" si="108"/>
        <v>9.9999999999999985E-3</v>
      </c>
      <c r="AQ57" s="565">
        <f t="shared" si="108"/>
        <v>-1.5000000000000003E-2</v>
      </c>
      <c r="AR57" s="576"/>
      <c r="AS57" s="594">
        <f t="shared" si="126"/>
        <v>0.06</v>
      </c>
      <c r="AT57" s="5">
        <f t="shared" si="109"/>
        <v>-0.03</v>
      </c>
      <c r="AU57" s="5">
        <f t="shared" si="110"/>
        <v>7.0000000000000007E-2</v>
      </c>
      <c r="AV57" s="632">
        <f t="shared" si="111"/>
        <v>0.08</v>
      </c>
      <c r="AW57" s="565">
        <f t="shared" si="112"/>
        <v>4.4999999999999998E-2</v>
      </c>
      <c r="AX57" s="1270"/>
      <c r="AY57" s="594">
        <f t="shared" si="127"/>
        <v>0.09</v>
      </c>
      <c r="AZ57" s="5">
        <f t="shared" si="113"/>
        <v>3.5000000000000003E-2</v>
      </c>
      <c r="BA57" s="5">
        <f t="shared" si="114"/>
        <v>0.11499999999999999</v>
      </c>
      <c r="BB57" s="632">
        <f t="shared" si="115"/>
        <v>0.12000000000000001</v>
      </c>
      <c r="BC57" s="565">
        <f t="shared" si="116"/>
        <v>0.09</v>
      </c>
      <c r="BD57" s="541"/>
      <c r="BE57" s="594">
        <f t="shared" si="128"/>
        <v>0.15000000000000002</v>
      </c>
      <c r="BF57" s="5">
        <f t="shared" si="117"/>
        <v>0.29500000000000004</v>
      </c>
      <c r="BG57" s="5">
        <f t="shared" si="118"/>
        <v>0.185</v>
      </c>
      <c r="BH57" s="632">
        <f t="shared" si="119"/>
        <v>0.19</v>
      </c>
      <c r="BI57" s="565">
        <f t="shared" si="120"/>
        <v>0.20499999999999999</v>
      </c>
      <c r="BJ57" s="541"/>
      <c r="BK57" s="594">
        <f t="shared" si="129"/>
        <v>0.25</v>
      </c>
      <c r="BL57" s="5">
        <f t="shared" si="121"/>
        <v>0.38</v>
      </c>
      <c r="BM57" s="5">
        <f t="shared" si="122"/>
        <v>0.14000000000000001</v>
      </c>
      <c r="BN57" s="632">
        <f t="shared" si="123"/>
        <v>0.15</v>
      </c>
      <c r="BO57" s="565">
        <f t="shared" si="124"/>
        <v>0.23</v>
      </c>
      <c r="BP57" s="541"/>
      <c r="BQ57" s="594">
        <f t="shared" si="130"/>
        <v>0.14000000000000001</v>
      </c>
      <c r="BR57" s="604"/>
      <c r="BS57" s="604"/>
      <c r="BT57" s="616"/>
      <c r="BU57" s="617"/>
      <c r="BV57" s="541"/>
      <c r="BW57" s="603"/>
      <c r="BX57" s="604"/>
      <c r="BY57" s="604"/>
      <c r="BZ57" s="616"/>
      <c r="CA57" s="617"/>
      <c r="CB57" s="604"/>
      <c r="CC57" s="603"/>
      <c r="CD57" s="604"/>
      <c r="CE57" s="604"/>
      <c r="CF57" s="616"/>
      <c r="CG57" s="617"/>
      <c r="CH57" s="604"/>
      <c r="CI57" s="603"/>
      <c r="CJ57" s="604"/>
      <c r="CK57" s="604"/>
      <c r="CL57" s="616"/>
      <c r="CM57" s="617"/>
      <c r="CN57" s="174"/>
      <c r="CO57" s="2458"/>
      <c r="CP57" s="2063"/>
      <c r="CQ57" s="2063"/>
      <c r="CR57" s="2063"/>
      <c r="CS57" s="2063"/>
      <c r="CT57" s="2063"/>
      <c r="CU57" s="2063"/>
      <c r="CV57" s="2063"/>
      <c r="CW57" s="2063"/>
      <c r="CX57" s="2063"/>
      <c r="CY57" s="2063"/>
      <c r="CZ57" s="2063"/>
      <c r="DA57" s="2063"/>
      <c r="DB57" s="2459"/>
      <c r="DC57" s="2459"/>
      <c r="DD57" s="2459"/>
      <c r="DE57" s="2459"/>
      <c r="DF57" s="2459"/>
      <c r="DG57" s="2459"/>
      <c r="DH57" s="2459"/>
      <c r="DI57" s="2459"/>
      <c r="DJ57" s="2459"/>
      <c r="DK57" s="2459"/>
      <c r="DL57" s="2459"/>
      <c r="DM57" s="2459"/>
      <c r="DN57" s="2459"/>
    </row>
    <row r="58" spans="1:118">
      <c r="A58" s="563" t="s">
        <v>230</v>
      </c>
      <c r="B58" s="564"/>
      <c r="C58" s="609"/>
      <c r="D58" s="610"/>
      <c r="E58" s="610"/>
      <c r="F58" s="611"/>
      <c r="G58" s="598"/>
      <c r="H58" s="564"/>
      <c r="I58" s="609"/>
      <c r="J58" s="610"/>
      <c r="K58" s="610"/>
      <c r="L58" s="611"/>
      <c r="M58" s="598"/>
      <c r="N58" s="564"/>
      <c r="O58" s="609"/>
      <c r="P58" s="610"/>
      <c r="Q58" s="610"/>
      <c r="R58" s="611"/>
      <c r="S58" s="598"/>
      <c r="T58" s="541"/>
      <c r="U58" s="603"/>
      <c r="V58" s="604"/>
      <c r="W58" s="604"/>
      <c r="X58" s="616"/>
      <c r="Y58" s="617"/>
      <c r="Z58" s="541"/>
      <c r="AA58" s="603"/>
      <c r="AB58" s="604"/>
      <c r="AC58" s="605"/>
      <c r="AD58" s="606"/>
      <c r="AE58" s="565"/>
      <c r="AF58" s="541"/>
      <c r="AG58" s="607"/>
      <c r="AH58" s="605"/>
      <c r="AI58" s="605"/>
      <c r="AJ58" s="606"/>
      <c r="AK58" s="565"/>
      <c r="AL58" s="541"/>
      <c r="AM58" s="594">
        <f t="shared" si="125"/>
        <v>-0.01</v>
      </c>
      <c r="AN58" s="576">
        <f t="shared" si="108"/>
        <v>-0.03</v>
      </c>
      <c r="AO58" s="576">
        <f t="shared" si="108"/>
        <v>0.06</v>
      </c>
      <c r="AP58" s="2463">
        <f t="shared" si="108"/>
        <v>-0.01</v>
      </c>
      <c r="AQ58" s="565">
        <f t="shared" si="108"/>
        <v>-1.2500000000000001E-2</v>
      </c>
      <c r="AR58" s="576"/>
      <c r="AS58" s="594"/>
      <c r="AT58" s="576"/>
      <c r="AU58" s="576"/>
      <c r="AV58" s="2463">
        <f t="shared" si="111"/>
        <v>1.4648924136719643E-2</v>
      </c>
      <c r="AW58" s="565">
        <f t="shared" si="112"/>
        <v>3.2148924136719645E-2</v>
      </c>
      <c r="AX58" s="1270"/>
      <c r="AY58" s="594"/>
      <c r="AZ58" s="576"/>
      <c r="BA58" s="576"/>
      <c r="BB58" s="2463">
        <f t="shared" si="115"/>
        <v>4.4648924136719642E-2</v>
      </c>
      <c r="BC58" s="565">
        <f t="shared" si="116"/>
        <v>-1.9874261558957634E-2</v>
      </c>
      <c r="BD58" s="541"/>
      <c r="BE58" s="594">
        <f t="shared" si="128"/>
        <v>-1.8092742782709094E-2</v>
      </c>
      <c r="BF58" s="576">
        <f t="shared" si="117"/>
        <v>-0.14500000000000002</v>
      </c>
      <c r="BG58" s="576">
        <f t="shared" si="118"/>
        <v>-4.9999999999999975E-3</v>
      </c>
      <c r="BH58" s="2463">
        <f t="shared" si="119"/>
        <v>0.03</v>
      </c>
      <c r="BI58" s="565">
        <f t="shared" si="120"/>
        <v>-3.4523185695677278E-2</v>
      </c>
      <c r="BJ58" s="541"/>
      <c r="BK58" s="594">
        <f t="shared" si="129"/>
        <v>0.05</v>
      </c>
      <c r="BL58" s="576">
        <f t="shared" si="121"/>
        <v>0.12</v>
      </c>
      <c r="BM58" s="576">
        <f t="shared" si="122"/>
        <v>-0.04</v>
      </c>
      <c r="BN58" s="2463">
        <f t="shared" si="123"/>
        <v>0</v>
      </c>
      <c r="BO58" s="565">
        <f t="shared" si="124"/>
        <v>3.2500000000000001E-2</v>
      </c>
      <c r="BP58" s="541"/>
      <c r="BQ58" s="594">
        <f t="shared" si="130"/>
        <v>0.02</v>
      </c>
      <c r="BR58" s="610"/>
      <c r="BS58" s="610"/>
      <c r="BT58" s="611"/>
      <c r="BU58" s="598"/>
      <c r="BV58" s="541"/>
      <c r="BW58" s="609"/>
      <c r="BX58" s="610"/>
      <c r="BY58" s="610"/>
      <c r="BZ58" s="611"/>
      <c r="CA58" s="598"/>
      <c r="CB58" s="610"/>
      <c r="CC58" s="609"/>
      <c r="CD58" s="610"/>
      <c r="CE58" s="610"/>
      <c r="CF58" s="611"/>
      <c r="CG58" s="598"/>
      <c r="CH58" s="610"/>
      <c r="CI58" s="609"/>
      <c r="CJ58" s="610"/>
      <c r="CK58" s="610"/>
      <c r="CL58" s="611"/>
      <c r="CM58" s="598"/>
      <c r="CN58" s="174"/>
      <c r="CO58" s="527" t="s">
        <v>542</v>
      </c>
      <c r="CP58" s="2063"/>
      <c r="CQ58" s="2063"/>
      <c r="CR58" s="2063"/>
      <c r="CS58" s="2063"/>
      <c r="CT58" s="2063"/>
      <c r="CU58" s="2063"/>
      <c r="CV58" s="2063"/>
      <c r="CW58" s="2063"/>
      <c r="CX58" s="2063"/>
      <c r="CY58" s="2063"/>
      <c r="CZ58" s="2063"/>
      <c r="DA58" s="2063"/>
      <c r="DB58" s="2459"/>
      <c r="DC58" s="2459"/>
      <c r="DD58" s="2459"/>
      <c r="DE58" s="2459"/>
      <c r="DF58" s="2459"/>
      <c r="DG58" s="2459"/>
      <c r="DH58" s="2459"/>
      <c r="DI58" s="2459"/>
      <c r="DJ58" s="2459"/>
      <c r="DK58" s="2459"/>
      <c r="DL58" s="2459"/>
      <c r="DM58" s="2459"/>
      <c r="DN58" s="2459"/>
    </row>
    <row r="59" spans="1:118">
      <c r="A59" s="566" t="s">
        <v>233</v>
      </c>
      <c r="B59" s="1255"/>
      <c r="C59" s="1256"/>
      <c r="D59" s="1257"/>
      <c r="E59" s="1257"/>
      <c r="F59" s="1258"/>
      <c r="G59" s="1259"/>
      <c r="H59" s="1255"/>
      <c r="I59" s="1256"/>
      <c r="J59" s="1257"/>
      <c r="K59" s="1257"/>
      <c r="L59" s="1258"/>
      <c r="M59" s="1259"/>
      <c r="N59" s="1255"/>
      <c r="O59" s="1256"/>
      <c r="P59" s="1257"/>
      <c r="Q59" s="1257"/>
      <c r="R59" s="1258"/>
      <c r="S59" s="1259"/>
      <c r="T59" s="1257"/>
      <c r="U59" s="1260"/>
      <c r="V59" s="1261"/>
      <c r="W59" s="1261"/>
      <c r="X59" s="1262"/>
      <c r="Y59" s="1263"/>
      <c r="Z59" s="1257"/>
      <c r="AA59" s="1260"/>
      <c r="AB59" s="1261"/>
      <c r="AC59" s="1261"/>
      <c r="AD59" s="1264"/>
      <c r="AE59" s="1259"/>
      <c r="AF59" s="1257"/>
      <c r="AG59" s="1260"/>
      <c r="AH59" s="1265"/>
      <c r="AI59" s="1261"/>
      <c r="AJ59" s="1262"/>
      <c r="AK59" s="1259"/>
      <c r="AL59" s="1257"/>
      <c r="AM59" s="1260"/>
      <c r="AN59" s="1276"/>
      <c r="AO59" s="1276"/>
      <c r="AP59" s="1277"/>
      <c r="AQ59" s="2061"/>
      <c r="AR59" s="1278"/>
      <c r="AS59" s="1792"/>
      <c r="AT59" s="1793"/>
      <c r="AU59" s="1793"/>
      <c r="AV59" s="1794"/>
      <c r="AW59" s="347"/>
      <c r="AX59" s="346"/>
      <c r="AY59" s="2011"/>
      <c r="AZ59" s="2013"/>
      <c r="BA59" s="2013"/>
      <c r="BB59" s="2013"/>
      <c r="BC59" s="570"/>
      <c r="BD59" s="1257"/>
      <c r="BE59" s="2464">
        <f t="shared" ref="BE59" si="131">BE52+AY52</f>
        <v>0.2</v>
      </c>
      <c r="BF59" s="2178">
        <f t="shared" ref="BF59" si="132">BF52+AZ52</f>
        <v>0.375</v>
      </c>
      <c r="BG59" s="1793">
        <f t="shared" ref="BG59" si="133">BG52+BA52</f>
        <v>0.23499999999999999</v>
      </c>
      <c r="BH59" s="1793">
        <f t="shared" ref="BH59" si="134">BH52+BB52</f>
        <v>0.32</v>
      </c>
      <c r="BI59" s="570">
        <f t="shared" ref="BI59" si="135">BI52+BC52</f>
        <v>0.28250000000000003</v>
      </c>
      <c r="BJ59" s="1257"/>
      <c r="BK59" s="2464">
        <f t="shared" si="129"/>
        <v>0.2</v>
      </c>
      <c r="BL59" s="2178">
        <f t="shared" si="121"/>
        <v>0.45</v>
      </c>
      <c r="BM59" s="1793">
        <f t="shared" si="122"/>
        <v>0.22</v>
      </c>
      <c r="BN59" s="1793">
        <f t="shared" si="123"/>
        <v>0.34</v>
      </c>
      <c r="BO59" s="570">
        <f t="shared" si="124"/>
        <v>0.30249999999999999</v>
      </c>
      <c r="BP59" s="1257"/>
      <c r="BQ59" s="2464">
        <f t="shared" si="130"/>
        <v>0.31</v>
      </c>
      <c r="BR59" s="1257"/>
      <c r="BS59" s="1257"/>
      <c r="BT59" s="1258"/>
      <c r="BU59" s="1259"/>
      <c r="BV59" s="1257"/>
      <c r="BW59" s="1256"/>
      <c r="BX59" s="1257"/>
      <c r="BY59" s="1257"/>
      <c r="BZ59" s="1258"/>
      <c r="CA59" s="1259"/>
      <c r="CB59" s="610"/>
      <c r="CC59" s="1256"/>
      <c r="CD59" s="1257"/>
      <c r="CE59" s="1257"/>
      <c r="CF59" s="1258"/>
      <c r="CG59" s="1259"/>
      <c r="CH59" s="610"/>
      <c r="CI59" s="1256"/>
      <c r="CJ59" s="1257"/>
      <c r="CK59" s="1257"/>
      <c r="CL59" s="1258"/>
      <c r="CM59" s="1259"/>
      <c r="CN59" s="174"/>
      <c r="CO59" s="2062"/>
      <c r="CP59" s="2063"/>
      <c r="CQ59" s="2063"/>
      <c r="CR59" s="2063"/>
      <c r="CS59" s="2063"/>
      <c r="CT59" s="2063"/>
      <c r="CU59" s="2063"/>
      <c r="CV59" s="2063"/>
      <c r="CW59" s="2063"/>
      <c r="CX59" s="2063"/>
      <c r="CY59" s="2063"/>
      <c r="CZ59" s="2063"/>
      <c r="DA59" s="2063"/>
      <c r="DB59" s="2063" t="s">
        <v>217</v>
      </c>
      <c r="DC59" s="2063" t="s">
        <v>218</v>
      </c>
      <c r="DD59" s="2063" t="s">
        <v>532</v>
      </c>
      <c r="DE59" s="2063" t="s">
        <v>537</v>
      </c>
      <c r="DF59" s="2063" t="s">
        <v>548</v>
      </c>
      <c r="DG59" s="2063" t="s">
        <v>555</v>
      </c>
      <c r="DH59" s="2063" t="s">
        <v>556</v>
      </c>
      <c r="DI59" s="2063" t="s">
        <v>561</v>
      </c>
      <c r="DJ59" s="2063" t="str">
        <f>DJ43</f>
        <v>F1Q17</v>
      </c>
      <c r="DK59" s="2063" t="str">
        <f>DK43</f>
        <v>F2Q17</v>
      </c>
      <c r="DL59" s="2063" t="str">
        <f>DL43</f>
        <v>F3Q17</v>
      </c>
      <c r="DM59" s="2063" t="str">
        <f>DM43</f>
        <v>F4Q17</v>
      </c>
      <c r="DN59" s="2063" t="str">
        <f>DN43</f>
        <v>F1Q18</v>
      </c>
    </row>
    <row r="60" spans="1:118">
      <c r="A60" s="564"/>
      <c r="B60" s="564"/>
      <c r="C60" s="610"/>
      <c r="D60" s="610"/>
      <c r="E60" s="610"/>
      <c r="F60" s="610"/>
      <c r="G60" s="610"/>
      <c r="H60" s="564"/>
      <c r="I60" s="610"/>
      <c r="J60" s="610"/>
      <c r="K60" s="610"/>
      <c r="L60" s="610"/>
      <c r="M60" s="610"/>
      <c r="N60" s="564"/>
      <c r="O60" s="610"/>
      <c r="P60" s="610"/>
      <c r="Q60" s="610"/>
      <c r="R60" s="610"/>
      <c r="S60" s="610"/>
      <c r="T60" s="610"/>
      <c r="U60" s="608"/>
      <c r="V60" s="608"/>
      <c r="W60" s="608"/>
      <c r="X60" s="608"/>
      <c r="Y60" s="608"/>
      <c r="Z60" s="610"/>
      <c r="AA60" s="608"/>
      <c r="AB60" s="608"/>
      <c r="AC60" s="608"/>
      <c r="AD60" s="605"/>
      <c r="AE60" s="608"/>
      <c r="AF60" s="610"/>
      <c r="AG60" s="608"/>
      <c r="AH60" s="605"/>
      <c r="AI60" s="608"/>
      <c r="AJ60" s="608"/>
      <c r="AK60" s="608"/>
      <c r="AL60" s="610"/>
      <c r="AM60" s="608"/>
      <c r="AN60" s="1274"/>
      <c r="AO60" s="1274"/>
      <c r="AP60" s="1274"/>
      <c r="AQ60" s="1274"/>
      <c r="AR60" s="5"/>
      <c r="AS60" s="608"/>
      <c r="AT60" s="608"/>
      <c r="AU60" s="608"/>
      <c r="AV60" s="608"/>
      <c r="AW60" s="1274"/>
      <c r="AX60" s="5"/>
      <c r="AY60" s="608"/>
      <c r="AZ60" s="608"/>
      <c r="BA60" s="608"/>
      <c r="BB60" s="608"/>
      <c r="BC60" s="610"/>
      <c r="BD60" s="610"/>
      <c r="BE60" s="642"/>
      <c r="BF60" s="642"/>
      <c r="BG60" s="642"/>
      <c r="BH60" s="610"/>
      <c r="BI60" s="610"/>
      <c r="BJ60" s="610"/>
      <c r="BK60" s="610"/>
      <c r="BL60" s="610"/>
      <c r="BM60" s="610"/>
      <c r="BN60" s="610"/>
      <c r="BO60" s="610"/>
      <c r="BP60" s="610"/>
      <c r="BQ60" s="610"/>
      <c r="BR60" s="610"/>
      <c r="BS60" s="610"/>
      <c r="BT60" s="610"/>
      <c r="BU60" s="610"/>
      <c r="BV60" s="610"/>
      <c r="BW60" s="610"/>
      <c r="BX60" s="610"/>
      <c r="BY60" s="610"/>
      <c r="BZ60" s="610"/>
      <c r="CA60" s="610"/>
      <c r="CB60" s="610"/>
      <c r="CC60" s="610"/>
      <c r="CD60" s="610"/>
      <c r="CE60" s="610"/>
      <c r="CF60" s="610"/>
      <c r="CG60" s="610"/>
      <c r="CH60" s="610"/>
      <c r="CI60" s="610"/>
      <c r="CJ60" s="610"/>
      <c r="CK60" s="610"/>
      <c r="CL60" s="610"/>
      <c r="CM60" s="610"/>
      <c r="CN60" s="610"/>
      <c r="CO60" s="2066" t="s">
        <v>178</v>
      </c>
      <c r="CP60" s="2067"/>
      <c r="CQ60" s="2067"/>
      <c r="CR60" s="2067"/>
      <c r="CS60" s="2067"/>
      <c r="CT60" s="2067"/>
      <c r="CU60" s="2067"/>
      <c r="CV60" s="2067"/>
      <c r="CW60" s="2067"/>
      <c r="CX60" s="2067">
        <f t="shared" ref="CX60:DA65" si="136">+AS78</f>
        <v>0.11148225469728602</v>
      </c>
      <c r="CY60" s="2067">
        <f t="shared" si="136"/>
        <v>0.14600947894607949</v>
      </c>
      <c r="CZ60" s="2067">
        <f t="shared" si="136"/>
        <v>0.1520132266957932</v>
      </c>
      <c r="DA60" s="2067">
        <f t="shared" si="136"/>
        <v>0.17045127329988802</v>
      </c>
      <c r="DB60" s="2067">
        <f t="shared" ref="DB60:DE65" si="137">AY78</f>
        <v>0.1911647943798257</v>
      </c>
      <c r="DC60" s="2067">
        <f t="shared" si="137"/>
        <v>0.16117283950617284</v>
      </c>
      <c r="DD60" s="2067">
        <f t="shared" si="137"/>
        <v>0.20485145259436885</v>
      </c>
      <c r="DE60" s="2067">
        <f t="shared" si="137"/>
        <v>0.24888450148075025</v>
      </c>
      <c r="DF60" s="2067">
        <f t="shared" ref="DF60:DI65" si="138">BE78</f>
        <v>0.28968253968253965</v>
      </c>
      <c r="DG60" s="2067">
        <f t="shared" si="138"/>
        <v>0.255</v>
      </c>
      <c r="DH60" s="2067">
        <f t="shared" si="138"/>
        <v>0.2353666997026759</v>
      </c>
      <c r="DI60" s="2067">
        <f t="shared" si="138"/>
        <v>0.35</v>
      </c>
      <c r="DJ60" s="2067">
        <f>BK78</f>
        <v>0.26</v>
      </c>
      <c r="DK60" s="2067">
        <f>BL78</f>
        <v>0.26</v>
      </c>
      <c r="DL60" s="2067">
        <f>BM78</f>
        <v>0.2</v>
      </c>
      <c r="DM60" s="2067">
        <f>BN78</f>
        <v>0.157</v>
      </c>
      <c r="DN60" s="2067">
        <f t="shared" ref="DN60:DN65" si="139">BQ78</f>
        <v>9.8000000000000004E-2</v>
      </c>
    </row>
    <row r="61" spans="1:118">
      <c r="A61" s="582" t="s">
        <v>235</v>
      </c>
      <c r="B61" s="513"/>
      <c r="C61" s="583"/>
      <c r="D61" s="584"/>
      <c r="E61" s="584"/>
      <c r="F61" s="585"/>
      <c r="G61" s="586"/>
      <c r="H61" s="513"/>
      <c r="I61" s="583"/>
      <c r="J61" s="584"/>
      <c r="K61" s="584"/>
      <c r="L61" s="585"/>
      <c r="M61" s="586"/>
      <c r="N61" s="513"/>
      <c r="O61" s="583"/>
      <c r="P61" s="584"/>
      <c r="Q61" s="584"/>
      <c r="R61" s="585"/>
      <c r="S61" s="586"/>
      <c r="T61" s="587"/>
      <c r="U61" s="583"/>
      <c r="V61" s="588"/>
      <c r="W61" s="588"/>
      <c r="X61" s="589"/>
      <c r="Y61" s="586"/>
      <c r="Z61" s="587"/>
      <c r="AA61" s="583"/>
      <c r="AB61" s="588"/>
      <c r="AC61" s="588"/>
      <c r="AD61" s="589"/>
      <c r="AE61" s="586"/>
      <c r="AF61" s="587"/>
      <c r="AG61" s="590"/>
      <c r="AH61" s="591"/>
      <c r="AI61" s="591"/>
      <c r="AJ61" s="592"/>
      <c r="AK61" s="586"/>
      <c r="AL61" s="587"/>
      <c r="AM61" s="590"/>
      <c r="AN61" s="1281"/>
      <c r="AO61" s="1281"/>
      <c r="AP61" s="1281"/>
      <c r="AQ61" s="1282"/>
      <c r="AR61" s="1283"/>
      <c r="AS61" s="1284"/>
      <c r="AT61" s="1281"/>
      <c r="AU61" s="1281"/>
      <c r="AV61" s="1285"/>
      <c r="AW61" s="1282"/>
      <c r="AX61" s="1283"/>
      <c r="AY61" s="1284"/>
      <c r="AZ61" s="591"/>
      <c r="BA61" s="591"/>
      <c r="BB61" s="591"/>
      <c r="BC61" s="593"/>
      <c r="BD61" s="515"/>
      <c r="BE61" s="590"/>
      <c r="BF61" s="591"/>
      <c r="BG61" s="591"/>
      <c r="BH61" s="592"/>
      <c r="BI61" s="593"/>
      <c r="BJ61" s="515"/>
      <c r="BK61" s="590"/>
      <c r="BL61" s="591"/>
      <c r="BM61" s="591"/>
      <c r="BN61" s="592"/>
      <c r="BO61" s="593"/>
      <c r="BP61" s="515"/>
      <c r="BQ61" s="590"/>
      <c r="BR61" s="591"/>
      <c r="BS61" s="591"/>
      <c r="BT61" s="592"/>
      <c r="BU61" s="593"/>
      <c r="BV61" s="515"/>
      <c r="BW61" s="590"/>
      <c r="BX61" s="591"/>
      <c r="BY61" s="591"/>
      <c r="BZ61" s="592"/>
      <c r="CA61" s="593"/>
      <c r="CB61" s="2121"/>
      <c r="CC61" s="590"/>
      <c r="CD61" s="591"/>
      <c r="CE61" s="591"/>
      <c r="CF61" s="592"/>
      <c r="CG61" s="593"/>
      <c r="CH61" s="2121"/>
      <c r="CI61" s="590"/>
      <c r="CJ61" s="591"/>
      <c r="CK61" s="591"/>
      <c r="CL61" s="592"/>
      <c r="CM61" s="593"/>
      <c r="CN61" s="174"/>
      <c r="CO61" s="2064" t="s">
        <v>179</v>
      </c>
      <c r="CP61" s="2065"/>
      <c r="CQ61" s="2065"/>
      <c r="CR61" s="2065"/>
      <c r="CS61" s="2065"/>
      <c r="CT61" s="2065"/>
      <c r="CU61" s="2065"/>
      <c r="CV61" s="2065"/>
      <c r="CW61" s="2065"/>
      <c r="CX61" s="2065">
        <f t="shared" si="136"/>
        <v>0.15148225469728602</v>
      </c>
      <c r="CY61" s="2065">
        <f t="shared" si="136"/>
        <v>4.6172839506172847E-2</v>
      </c>
      <c r="CZ61" s="2065">
        <f t="shared" si="136"/>
        <v>0.16392666633132846</v>
      </c>
      <c r="DA61" s="2065">
        <f t="shared" si="136"/>
        <v>0.19045127329988801</v>
      </c>
      <c r="DB61" s="2065">
        <f t="shared" si="137"/>
        <v>0.11116479437982571</v>
      </c>
      <c r="DC61" s="2065">
        <f t="shared" si="137"/>
        <v>0.20117283950617285</v>
      </c>
      <c r="DD61" s="2065">
        <f t="shared" si="137"/>
        <v>0.13485145259436887</v>
      </c>
      <c r="DE61" s="2065">
        <f t="shared" si="137"/>
        <v>8.888450148075025E-2</v>
      </c>
      <c r="DF61" s="2065">
        <f t="shared" si="138"/>
        <v>6.9682539682539679E-2</v>
      </c>
      <c r="DG61" s="2065">
        <f t="shared" si="138"/>
        <v>0.19500000000000001</v>
      </c>
      <c r="DH61" s="2065">
        <f t="shared" si="138"/>
        <v>0.12536669970267592</v>
      </c>
      <c r="DI61" s="2065">
        <f t="shared" si="138"/>
        <v>0.15000000000000002</v>
      </c>
      <c r="DJ61" s="2065">
        <f t="shared" ref="DJ61:DM65" si="140">BK79</f>
        <v>0.15000000000000002</v>
      </c>
      <c r="DK61" s="2065">
        <f t="shared" si="140"/>
        <v>0.15000000000000002</v>
      </c>
      <c r="DL61" s="2065">
        <f t="shared" si="140"/>
        <v>0.1</v>
      </c>
      <c r="DM61" s="2065">
        <f t="shared" si="140"/>
        <v>0.18</v>
      </c>
      <c r="DN61" s="2065">
        <f t="shared" si="139"/>
        <v>0.109</v>
      </c>
    </row>
    <row r="62" spans="1:118">
      <c r="A62" s="618" t="s">
        <v>178</v>
      </c>
      <c r="B62" s="564"/>
      <c r="C62" s="619"/>
      <c r="D62" s="620"/>
      <c r="E62" s="620"/>
      <c r="F62" s="621"/>
      <c r="G62" s="622"/>
      <c r="H62" s="564"/>
      <c r="I62" s="619"/>
      <c r="J62" s="620"/>
      <c r="K62" s="620"/>
      <c r="L62" s="621"/>
      <c r="M62" s="622"/>
      <c r="N62" s="564"/>
      <c r="O62" s="619"/>
      <c r="P62" s="620"/>
      <c r="Q62" s="620"/>
      <c r="R62" s="621"/>
      <c r="S62" s="622"/>
      <c r="T62" s="541"/>
      <c r="U62" s="619"/>
      <c r="V62" s="620"/>
      <c r="W62" s="620"/>
      <c r="X62" s="621"/>
      <c r="Y62" s="623"/>
      <c r="Z62" s="541"/>
      <c r="AA62" s="624"/>
      <c r="AB62" s="2221">
        <v>0.16</v>
      </c>
      <c r="AC62" s="2221">
        <v>0.18</v>
      </c>
      <c r="AD62" s="2220">
        <v>0.05</v>
      </c>
      <c r="AE62" s="331"/>
      <c r="AF62" s="541"/>
      <c r="AG62" s="2219">
        <v>0.18</v>
      </c>
      <c r="AH62" s="1692">
        <v>0.04</v>
      </c>
      <c r="AI62" s="1692">
        <v>0.04</v>
      </c>
      <c r="AJ62" s="2174">
        <f>AVERAGE(AH62:AI62)</f>
        <v>0.04</v>
      </c>
      <c r="AK62" s="331">
        <f t="shared" ref="AK62:AK67" si="141">AVERAGE(AG62:AJ62)</f>
        <v>7.4999999999999997E-2</v>
      </c>
      <c r="AL62" s="629"/>
      <c r="AM62" s="1676">
        <v>0.02</v>
      </c>
      <c r="AN62" s="1677">
        <v>0.08</v>
      </c>
      <c r="AO62" s="1677">
        <v>7.0000000000000007E-2</v>
      </c>
      <c r="AP62" s="1677">
        <v>0.1</v>
      </c>
      <c r="AQ62" s="331">
        <f t="shared" ref="AQ62:AQ67" si="142">AVERAGE(AM62:AP62)</f>
        <v>6.7500000000000004E-2</v>
      </c>
      <c r="AR62" s="1287"/>
      <c r="AS62" s="1683">
        <v>0.08</v>
      </c>
      <c r="AT62" s="1677">
        <v>0.04</v>
      </c>
      <c r="AU62" s="1677">
        <v>0.08</v>
      </c>
      <c r="AV62" s="1684">
        <v>0.05</v>
      </c>
      <c r="AW62" s="331">
        <f t="shared" ref="AW62:AW67" si="143">AVERAGE(AS62:AV62)</f>
        <v>6.25E-2</v>
      </c>
      <c r="AX62" s="1287"/>
      <c r="AY62" s="1683">
        <v>0.06</v>
      </c>
      <c r="AZ62" s="1872">
        <v>0.06</v>
      </c>
      <c r="BA62" s="1872">
        <v>0.08</v>
      </c>
      <c r="BB62" s="1872">
        <v>0.19</v>
      </c>
      <c r="BC62" s="331">
        <f t="shared" ref="BC62:BC67" si="144">AVERAGE(AY62:BB62)</f>
        <v>9.7500000000000003E-2</v>
      </c>
      <c r="BD62" s="576"/>
      <c r="BE62" s="1683">
        <v>0.19</v>
      </c>
      <c r="BF62" s="1872">
        <v>0.14000000000000001</v>
      </c>
      <c r="BG62" s="1872">
        <v>0.1</v>
      </c>
      <c r="BH62" s="1872">
        <v>0.16</v>
      </c>
      <c r="BI62" s="331">
        <f t="shared" ref="BI62:BI67" si="145">AVERAGE(BE62:BH62)</f>
        <v>0.14750000000000002</v>
      </c>
      <c r="BJ62" s="576"/>
      <c r="BK62" s="2224">
        <v>7.0000000000000007E-2</v>
      </c>
      <c r="BL62" s="2225">
        <v>0.12</v>
      </c>
      <c r="BM62" s="1872">
        <v>0.1</v>
      </c>
      <c r="BN62" s="1872">
        <v>-0.05</v>
      </c>
      <c r="BO62" s="331">
        <f t="shared" ref="BO62:BO67" si="146">AVERAGE(BK62:BN62)</f>
        <v>6.0000000000000012E-2</v>
      </c>
      <c r="BP62" s="576"/>
      <c r="BQ62" s="2224">
        <v>0.08</v>
      </c>
      <c r="BR62" s="5"/>
      <c r="BS62" s="5"/>
      <c r="BT62" s="632"/>
      <c r="BU62" s="633"/>
      <c r="BV62" s="576"/>
      <c r="BW62" s="330"/>
      <c r="BX62" s="5"/>
      <c r="BY62" s="5"/>
      <c r="BZ62" s="632"/>
      <c r="CA62" s="633"/>
      <c r="CB62" s="5"/>
      <c r="CC62" s="330"/>
      <c r="CD62" s="5"/>
      <c r="CE62" s="5"/>
      <c r="CF62" s="632"/>
      <c r="CG62" s="633"/>
      <c r="CH62" s="5"/>
      <c r="CI62" s="330"/>
      <c r="CJ62" s="5"/>
      <c r="CK62" s="5"/>
      <c r="CL62" s="632"/>
      <c r="CM62" s="633"/>
      <c r="CN62" s="174"/>
      <c r="CO62" s="2066" t="s">
        <v>180</v>
      </c>
      <c r="CP62" s="2067"/>
      <c r="CQ62" s="2067"/>
      <c r="CR62" s="2067"/>
      <c r="CS62" s="2067"/>
      <c r="CT62" s="2067"/>
      <c r="CU62" s="2067"/>
      <c r="CV62" s="2067"/>
      <c r="CW62" s="2067"/>
      <c r="CX62" s="2067">
        <f t="shared" si="136"/>
        <v>-8.8517745302713988E-2</v>
      </c>
      <c r="CY62" s="2067">
        <f t="shared" si="136"/>
        <v>-8.3990521053920505E-2</v>
      </c>
      <c r="CZ62" s="2067">
        <f t="shared" si="136"/>
        <v>-2.7986773304206822E-2</v>
      </c>
      <c r="DA62" s="2067">
        <f t="shared" si="136"/>
        <v>0.100451273299888</v>
      </c>
      <c r="DB62" s="2067">
        <f t="shared" si="137"/>
        <v>-3.8835205620174305E-2</v>
      </c>
      <c r="DC62" s="2067">
        <f t="shared" si="137"/>
        <v>-6.8827160493827158E-2</v>
      </c>
      <c r="DD62" s="2067">
        <f t="shared" si="137"/>
        <v>6.4851452594368877E-2</v>
      </c>
      <c r="DE62" s="2067">
        <f t="shared" si="137"/>
        <v>8.8845014807502481E-3</v>
      </c>
      <c r="DF62" s="2067">
        <f t="shared" si="138"/>
        <v>8.9682539682539683E-2</v>
      </c>
      <c r="DG62" s="2067">
        <f t="shared" si="138"/>
        <v>5.5000000000000007E-2</v>
      </c>
      <c r="DH62" s="2067">
        <f t="shared" si="138"/>
        <v>-1.4633300297324084E-2</v>
      </c>
      <c r="DI62" s="2067">
        <f t="shared" si="138"/>
        <v>-0.06</v>
      </c>
      <c r="DJ62" s="2067">
        <f t="shared" si="140"/>
        <v>0.03</v>
      </c>
      <c r="DK62" s="2067">
        <f t="shared" si="140"/>
        <v>0.05</v>
      </c>
      <c r="DL62" s="2067">
        <f t="shared" si="140"/>
        <v>-2.0000000000000004E-2</v>
      </c>
      <c r="DM62" s="2067">
        <f t="shared" si="140"/>
        <v>0.11600000000000001</v>
      </c>
      <c r="DN62" s="2067">
        <f t="shared" si="139"/>
        <v>6.7000000000000004E-2</v>
      </c>
    </row>
    <row r="63" spans="1:118">
      <c r="A63" s="618" t="s">
        <v>179</v>
      </c>
      <c r="B63" s="564"/>
      <c r="C63" s="624"/>
      <c r="D63" s="218"/>
      <c r="E63" s="218"/>
      <c r="F63" s="634"/>
      <c r="G63" s="622"/>
      <c r="H63" s="564"/>
      <c r="I63" s="624"/>
      <c r="J63" s="218"/>
      <c r="K63" s="218"/>
      <c r="L63" s="634"/>
      <c r="M63" s="622"/>
      <c r="N63" s="564"/>
      <c r="O63" s="624"/>
      <c r="P63" s="218"/>
      <c r="Q63" s="218"/>
      <c r="R63" s="634"/>
      <c r="S63" s="622"/>
      <c r="T63" s="541"/>
      <c r="U63" s="635"/>
      <c r="V63" s="311"/>
      <c r="W63" s="311"/>
      <c r="X63" s="636"/>
      <c r="Y63" s="637"/>
      <c r="Z63" s="311"/>
      <c r="AA63" s="635"/>
      <c r="AB63" s="311"/>
      <c r="AC63" s="311"/>
      <c r="AD63" s="636"/>
      <c r="AE63" s="331"/>
      <c r="AF63" s="311"/>
      <c r="AG63" s="1708" t="s">
        <v>232</v>
      </c>
      <c r="AH63" s="1694" t="s">
        <v>232</v>
      </c>
      <c r="AI63" s="1694" t="s">
        <v>232</v>
      </c>
      <c r="AJ63" s="1698" t="s">
        <v>236</v>
      </c>
      <c r="AK63" s="331"/>
      <c r="AL63" s="1249"/>
      <c r="AM63" s="1678">
        <v>0.04</v>
      </c>
      <c r="AN63" s="1679">
        <v>-0.03</v>
      </c>
      <c r="AO63" s="1679">
        <v>0.16</v>
      </c>
      <c r="AP63" s="1679">
        <v>0.16</v>
      </c>
      <c r="AQ63" s="331">
        <f t="shared" si="142"/>
        <v>8.2500000000000004E-2</v>
      </c>
      <c r="AR63" s="1515"/>
      <c r="AS63" s="1685">
        <v>0.1</v>
      </c>
      <c r="AT63" s="1686">
        <v>7.0000000000000007E-2</v>
      </c>
      <c r="AU63" s="1686">
        <v>0.06</v>
      </c>
      <c r="AV63" s="1687">
        <v>0.01</v>
      </c>
      <c r="AW63" s="331">
        <f t="shared" si="143"/>
        <v>6.0000000000000005E-2</v>
      </c>
      <c r="AX63" s="1287"/>
      <c r="AY63" s="1690">
        <v>-0.04</v>
      </c>
      <c r="AZ63" s="1873">
        <v>0.04</v>
      </c>
      <c r="BA63" s="1873">
        <v>0.03</v>
      </c>
      <c r="BB63" s="1873">
        <v>7.0000000000000007E-2</v>
      </c>
      <c r="BC63" s="331">
        <f t="shared" si="144"/>
        <v>2.5000000000000001E-2</v>
      </c>
      <c r="BD63" s="642"/>
      <c r="BE63" s="1690">
        <v>7.0000000000000007E-2</v>
      </c>
      <c r="BF63" s="1873">
        <v>7.0000000000000007E-2</v>
      </c>
      <c r="BG63" s="1873">
        <v>0.04</v>
      </c>
      <c r="BH63" s="1873">
        <v>0.08</v>
      </c>
      <c r="BI63" s="331">
        <f t="shared" si="145"/>
        <v>6.5000000000000002E-2</v>
      </c>
      <c r="BJ63" s="642"/>
      <c r="BK63" s="2226">
        <v>0.08</v>
      </c>
      <c r="BL63" s="2227">
        <v>0.08</v>
      </c>
      <c r="BM63" s="1873">
        <v>0.06</v>
      </c>
      <c r="BN63" s="1873">
        <v>0.09</v>
      </c>
      <c r="BO63" s="331">
        <f t="shared" si="146"/>
        <v>7.7499999999999999E-2</v>
      </c>
      <c r="BP63" s="642"/>
      <c r="BQ63" s="2226">
        <v>0.05</v>
      </c>
      <c r="BR63" s="642"/>
      <c r="BS63" s="642"/>
      <c r="BT63" s="643"/>
      <c r="BU63" s="644"/>
      <c r="BV63" s="642"/>
      <c r="BW63" s="645"/>
      <c r="BX63" s="642"/>
      <c r="BY63" s="642"/>
      <c r="BZ63" s="643"/>
      <c r="CA63" s="644"/>
      <c r="CB63" s="642"/>
      <c r="CC63" s="645"/>
      <c r="CD63" s="642"/>
      <c r="CE63" s="642"/>
      <c r="CF63" s="643"/>
      <c r="CG63" s="644"/>
      <c r="CH63" s="642"/>
      <c r="CI63" s="645"/>
      <c r="CJ63" s="642"/>
      <c r="CK63" s="642"/>
      <c r="CL63" s="643"/>
      <c r="CM63" s="644"/>
      <c r="CN63" s="174"/>
      <c r="CO63" s="2064" t="s">
        <v>185</v>
      </c>
      <c r="CP63" s="2065"/>
      <c r="CQ63" s="2065"/>
      <c r="CR63" s="2065"/>
      <c r="CS63" s="2065"/>
      <c r="CT63" s="2065"/>
      <c r="CU63" s="2065"/>
      <c r="CV63" s="2065"/>
      <c r="CW63" s="2065"/>
      <c r="CX63" s="2065">
        <f t="shared" si="136"/>
        <v>5.1482254697286012E-2</v>
      </c>
      <c r="CY63" s="2065">
        <f t="shared" si="136"/>
        <v>7.6009478946079498E-2</v>
      </c>
      <c r="CZ63" s="2065">
        <f t="shared" si="136"/>
        <v>7.2013226695793187E-2</v>
      </c>
      <c r="DA63" s="2065">
        <f t="shared" si="136"/>
        <v>8.0451273299887993E-2</v>
      </c>
      <c r="DB63" s="2065">
        <f t="shared" si="137"/>
        <v>8.1164794379825683E-2</v>
      </c>
      <c r="DC63" s="2065">
        <f t="shared" si="137"/>
        <v>1.117283950617284E-2</v>
      </c>
      <c r="DD63" s="2065">
        <f t="shared" si="137"/>
        <v>-1.5148547405631129E-2</v>
      </c>
      <c r="DE63" s="2065">
        <f t="shared" si="137"/>
        <v>2.8884501480750245E-2</v>
      </c>
      <c r="DF63" s="2065">
        <f t="shared" si="138"/>
        <v>1.968253968253968E-2</v>
      </c>
      <c r="DG63" s="2065">
        <f t="shared" si="138"/>
        <v>-4.4999999999999998E-2</v>
      </c>
      <c r="DH63" s="2065">
        <f t="shared" si="138"/>
        <v>-5.4633300297324085E-2</v>
      </c>
      <c r="DI63" s="2065">
        <f t="shared" si="138"/>
        <v>-1.9999999999999997E-2</v>
      </c>
      <c r="DJ63" s="2065">
        <f t="shared" si="140"/>
        <v>9.9999999999999985E-3</v>
      </c>
      <c r="DK63" s="2065">
        <f t="shared" si="140"/>
        <v>0.11000000000000001</v>
      </c>
      <c r="DL63" s="2065">
        <f t="shared" si="140"/>
        <v>6.0000000000000005E-2</v>
      </c>
      <c r="DM63" s="2065">
        <f t="shared" si="140"/>
        <v>0.126</v>
      </c>
      <c r="DN63" s="2065">
        <f t="shared" si="139"/>
        <v>0.14799999999999999</v>
      </c>
    </row>
    <row r="64" spans="1:118">
      <c r="A64" s="618" t="s">
        <v>180</v>
      </c>
      <c r="B64" s="564"/>
      <c r="C64" s="624"/>
      <c r="D64" s="218"/>
      <c r="E64" s="218"/>
      <c r="F64" s="2493">
        <v>1.1000000000000001</v>
      </c>
      <c r="G64" s="622"/>
      <c r="H64" s="564"/>
      <c r="I64" s="2492">
        <v>0.9</v>
      </c>
      <c r="J64" s="2221">
        <v>0.74</v>
      </c>
      <c r="K64" s="2221">
        <v>0.36</v>
      </c>
      <c r="L64" s="2493">
        <v>0.22</v>
      </c>
      <c r="M64" s="331">
        <f t="shared" ref="M64" si="147">AVERAGE(I64:L64)</f>
        <v>0.55500000000000005</v>
      </c>
      <c r="N64" s="2494"/>
      <c r="O64" s="2492">
        <v>0.2</v>
      </c>
      <c r="P64" s="2221">
        <v>0.1</v>
      </c>
      <c r="Q64" s="2221">
        <v>-0.02</v>
      </c>
      <c r="R64" s="2493">
        <v>-0.04</v>
      </c>
      <c r="S64" s="331">
        <f t="shared" ref="S64" si="148">AVERAGE(O64:R64)</f>
        <v>6.0000000000000005E-2</v>
      </c>
      <c r="T64" s="541"/>
      <c r="U64" s="2489">
        <v>0.15</v>
      </c>
      <c r="V64" s="2490">
        <v>0.11</v>
      </c>
      <c r="W64" s="2490">
        <v>0.21</v>
      </c>
      <c r="X64" s="2491">
        <v>0.31</v>
      </c>
      <c r="Y64" s="331">
        <f t="shared" ref="Y64" si="149">AVERAGE(U64:X64)</f>
        <v>0.19500000000000001</v>
      </c>
      <c r="Z64" s="311"/>
      <c r="AA64" s="2226">
        <v>0.12</v>
      </c>
      <c r="AB64" s="2221">
        <v>0.09</v>
      </c>
      <c r="AC64" s="642">
        <f>AVERAGE(AA64:AB64)</f>
        <v>0.105</v>
      </c>
      <c r="AD64" s="2220">
        <v>0.04</v>
      </c>
      <c r="AE64" s="331">
        <f t="shared" ref="AE64" si="150">AVERAGE(AA64:AD64)</f>
        <v>8.8749999999999996E-2</v>
      </c>
      <c r="AF64" s="311"/>
      <c r="AG64" s="1708">
        <v>7.0000000000000007E-2</v>
      </c>
      <c r="AH64" s="1694">
        <v>-0.06</v>
      </c>
      <c r="AI64" s="1694">
        <v>-0.06</v>
      </c>
      <c r="AJ64" s="2176">
        <f>AVERAGE(AH64:AI64)</f>
        <v>-0.06</v>
      </c>
      <c r="AK64" s="331">
        <f t="shared" si="141"/>
        <v>-2.7499999999999997E-2</v>
      </c>
      <c r="AL64" s="1249"/>
      <c r="AM64" s="1678">
        <v>0</v>
      </c>
      <c r="AN64" s="1679">
        <v>-0.05</v>
      </c>
      <c r="AO64" s="1679">
        <v>-7.0000000000000007E-2</v>
      </c>
      <c r="AP64" s="1679">
        <v>0.04</v>
      </c>
      <c r="AQ64" s="331">
        <f t="shared" si="142"/>
        <v>-2.0000000000000004E-2</v>
      </c>
      <c r="AR64" s="1515"/>
      <c r="AS64" s="1685">
        <v>-0.1</v>
      </c>
      <c r="AT64" s="1686">
        <v>-0.06</v>
      </c>
      <c r="AU64" s="1686">
        <v>0.04</v>
      </c>
      <c r="AV64" s="1687">
        <v>0.04</v>
      </c>
      <c r="AW64" s="331">
        <f t="shared" si="143"/>
        <v>-1.9999999999999997E-2</v>
      </c>
      <c r="AX64" s="1287"/>
      <c r="AY64" s="1690">
        <v>0.01</v>
      </c>
      <c r="AZ64" s="1873">
        <v>-0.1</v>
      </c>
      <c r="BA64" s="1873">
        <v>-0.02</v>
      </c>
      <c r="BB64" s="1873">
        <v>-0.04</v>
      </c>
      <c r="BC64" s="331">
        <f t="shared" si="144"/>
        <v>-3.7500000000000006E-2</v>
      </c>
      <c r="BD64" s="642"/>
      <c r="BE64" s="1690">
        <v>0.04</v>
      </c>
      <c r="BF64" s="1873">
        <v>7.0000000000000007E-2</v>
      </c>
      <c r="BG64" s="1873">
        <v>-0.05</v>
      </c>
      <c r="BH64" s="1873">
        <v>-0.02</v>
      </c>
      <c r="BI64" s="331">
        <f t="shared" si="145"/>
        <v>1.0000000000000002E-2</v>
      </c>
      <c r="BJ64" s="642"/>
      <c r="BK64" s="2226">
        <v>-0.01</v>
      </c>
      <c r="BL64" s="2227">
        <v>-0.02</v>
      </c>
      <c r="BM64" s="1873">
        <v>0.03</v>
      </c>
      <c r="BN64" s="1873">
        <v>0.12</v>
      </c>
      <c r="BO64" s="331">
        <f t="shared" si="146"/>
        <v>0.03</v>
      </c>
      <c r="BP64" s="642"/>
      <c r="BQ64" s="2226">
        <v>0.11</v>
      </c>
      <c r="BR64" s="642"/>
      <c r="BS64" s="642"/>
      <c r="BT64" s="643"/>
      <c r="BU64" s="644"/>
      <c r="BV64" s="642"/>
      <c r="BW64" s="645"/>
      <c r="BX64" s="642"/>
      <c r="BY64" s="642"/>
      <c r="BZ64" s="643"/>
      <c r="CA64" s="644"/>
      <c r="CB64" s="642"/>
      <c r="CC64" s="645"/>
      <c r="CD64" s="642"/>
      <c r="CE64" s="642"/>
      <c r="CF64" s="643"/>
      <c r="CG64" s="644"/>
      <c r="CH64" s="642"/>
      <c r="CI64" s="645"/>
      <c r="CJ64" s="642"/>
      <c r="CK64" s="642"/>
      <c r="CL64" s="643"/>
      <c r="CM64" s="644"/>
      <c r="CN64" s="174"/>
      <c r="CO64" s="2066" t="s">
        <v>182</v>
      </c>
      <c r="CP64" s="2067"/>
      <c r="CQ64" s="2067"/>
      <c r="CR64" s="2067"/>
      <c r="CS64" s="2067"/>
      <c r="CT64" s="2067"/>
      <c r="CU64" s="2067"/>
      <c r="CV64" s="2067"/>
      <c r="CW64" s="2067"/>
      <c r="CX64" s="2067">
        <f t="shared" si="136"/>
        <v>6.1482254697286021E-2</v>
      </c>
      <c r="CY64" s="2067">
        <f t="shared" si="136"/>
        <v>-9.3990521053920514E-2</v>
      </c>
      <c r="CZ64" s="2067">
        <f t="shared" si="136"/>
        <v>4.2013226695793188E-2</v>
      </c>
      <c r="DA64" s="2067">
        <f t="shared" si="136"/>
        <v>5.0451273299887994E-2</v>
      </c>
      <c r="DB64" s="2067">
        <f t="shared" si="137"/>
        <v>0.14116479437982571</v>
      </c>
      <c r="DC64" s="2067">
        <f t="shared" si="137"/>
        <v>4.1172839506172842E-2</v>
      </c>
      <c r="DD64" s="2067">
        <f t="shared" si="137"/>
        <v>0.28485145259436884</v>
      </c>
      <c r="DE64" s="2067">
        <f t="shared" si="137"/>
        <v>3.8884501480750247E-2</v>
      </c>
      <c r="DF64" s="2067">
        <f t="shared" si="138"/>
        <v>0.11968253968253968</v>
      </c>
      <c r="DG64" s="2067">
        <f t="shared" si="138"/>
        <v>0.14500000000000002</v>
      </c>
      <c r="DH64" s="2067">
        <f t="shared" si="138"/>
        <v>0.14536669970267591</v>
      </c>
      <c r="DI64" s="2067">
        <f t="shared" si="138"/>
        <v>0.03</v>
      </c>
      <c r="DJ64" s="2067">
        <f t="shared" si="140"/>
        <v>4.9999999999999996E-2</v>
      </c>
      <c r="DK64" s="2067">
        <f t="shared" si="140"/>
        <v>0.13</v>
      </c>
      <c r="DL64" s="2067">
        <f t="shared" si="140"/>
        <v>7.0000000000000007E-2</v>
      </c>
      <c r="DM64" s="2067">
        <f t="shared" si="140"/>
        <v>8.2000000000000003E-2</v>
      </c>
      <c r="DN64" s="2067">
        <f t="shared" si="139"/>
        <v>0.10500000000000001</v>
      </c>
    </row>
    <row r="65" spans="1:123">
      <c r="A65" s="618" t="s">
        <v>185</v>
      </c>
      <c r="B65" s="564"/>
      <c r="C65" s="624"/>
      <c r="D65" s="218"/>
      <c r="E65" s="218"/>
      <c r="F65" s="634"/>
      <c r="G65" s="622"/>
      <c r="H65" s="564"/>
      <c r="I65" s="624"/>
      <c r="J65" s="218"/>
      <c r="K65" s="218"/>
      <c r="L65" s="634"/>
      <c r="M65" s="622"/>
      <c r="N65" s="564"/>
      <c r="O65" s="624"/>
      <c r="P65" s="218"/>
      <c r="Q65" s="218"/>
      <c r="R65" s="634"/>
      <c r="S65" s="622"/>
      <c r="T65" s="541"/>
      <c r="U65" s="635"/>
      <c r="V65" s="311"/>
      <c r="W65" s="311"/>
      <c r="X65" s="636"/>
      <c r="Y65" s="637"/>
      <c r="Z65" s="311"/>
      <c r="AA65" s="635"/>
      <c r="AB65" s="311"/>
      <c r="AC65" s="311"/>
      <c r="AD65" s="636"/>
      <c r="AE65" s="637"/>
      <c r="AF65" s="311"/>
      <c r="AG65" s="1708">
        <v>0.14000000000000001</v>
      </c>
      <c r="AH65" s="1694">
        <v>0.02</v>
      </c>
      <c r="AI65" s="1694">
        <v>-0.1</v>
      </c>
      <c r="AJ65" s="1694">
        <v>-0.05</v>
      </c>
      <c r="AK65" s="331">
        <f t="shared" si="141"/>
        <v>2.4999999999999988E-3</v>
      </c>
      <c r="AL65" s="1249"/>
      <c r="AM65" s="1678">
        <v>0.01</v>
      </c>
      <c r="AN65" s="1679">
        <v>0.03</v>
      </c>
      <c r="AO65" s="1679">
        <v>0.06</v>
      </c>
      <c r="AP65" s="1679">
        <v>0.05</v>
      </c>
      <c r="AQ65" s="331">
        <f t="shared" si="142"/>
        <v>3.7500000000000006E-2</v>
      </c>
      <c r="AR65" s="1515"/>
      <c r="AS65" s="1685">
        <v>0.03</v>
      </c>
      <c r="AT65" s="1686">
        <v>0.02</v>
      </c>
      <c r="AU65" s="1686">
        <v>0.01</v>
      </c>
      <c r="AV65" s="1687">
        <v>0.01</v>
      </c>
      <c r="AW65" s="331">
        <f t="shared" si="143"/>
        <v>1.7500000000000002E-2</v>
      </c>
      <c r="AX65" s="1287"/>
      <c r="AY65" s="1690">
        <v>0</v>
      </c>
      <c r="AZ65" s="1873">
        <v>-0.1</v>
      </c>
      <c r="BA65" s="1873">
        <v>-7.0000000000000007E-2</v>
      </c>
      <c r="BB65" s="1873">
        <v>0.01</v>
      </c>
      <c r="BC65" s="331">
        <f t="shared" si="144"/>
        <v>-0.04</v>
      </c>
      <c r="BD65" s="642"/>
      <c r="BE65" s="1690">
        <v>-0.02</v>
      </c>
      <c r="BF65" s="1873">
        <v>-0.03</v>
      </c>
      <c r="BG65" s="1873">
        <v>-0.04</v>
      </c>
      <c r="BH65" s="1873">
        <v>-0.03</v>
      </c>
      <c r="BI65" s="331">
        <f t="shared" si="145"/>
        <v>-0.03</v>
      </c>
      <c r="BJ65" s="642"/>
      <c r="BK65" s="2226">
        <v>0.03</v>
      </c>
      <c r="BL65" s="2227">
        <v>0.14000000000000001</v>
      </c>
      <c r="BM65" s="1873">
        <v>0.1</v>
      </c>
      <c r="BN65" s="1873">
        <v>0.15</v>
      </c>
      <c r="BO65" s="331">
        <f t="shared" si="146"/>
        <v>0.10500000000000001</v>
      </c>
      <c r="BP65" s="642"/>
      <c r="BQ65" s="2226">
        <v>0.13</v>
      </c>
      <c r="BR65" s="642"/>
      <c r="BS65" s="642"/>
      <c r="BT65" s="643"/>
      <c r="BU65" s="644"/>
      <c r="BV65" s="642"/>
      <c r="BW65" s="645"/>
      <c r="BX65" s="642"/>
      <c r="BY65" s="642"/>
      <c r="BZ65" s="643"/>
      <c r="CA65" s="644"/>
      <c r="CB65" s="642"/>
      <c r="CC65" s="645"/>
      <c r="CD65" s="642"/>
      <c r="CE65" s="642"/>
      <c r="CF65" s="643"/>
      <c r="CG65" s="644"/>
      <c r="CH65" s="642"/>
      <c r="CI65" s="645"/>
      <c r="CJ65" s="642"/>
      <c r="CK65" s="642"/>
      <c r="CL65" s="643"/>
      <c r="CM65" s="644"/>
      <c r="CN65" s="1968"/>
      <c r="CO65" s="2064" t="s">
        <v>183</v>
      </c>
      <c r="CP65" s="2065"/>
      <c r="CQ65" s="2065"/>
      <c r="CR65" s="2065"/>
      <c r="CS65" s="2065"/>
      <c r="CT65" s="2065"/>
      <c r="CU65" s="2065"/>
      <c r="CV65" s="2065"/>
      <c r="CW65" s="2065"/>
      <c r="CX65" s="2065">
        <f t="shared" si="136"/>
        <v>0.16148225469728603</v>
      </c>
      <c r="CY65" s="2065">
        <f t="shared" si="136"/>
        <v>0.20600947894607952</v>
      </c>
      <c r="CZ65" s="2065">
        <f t="shared" si="136"/>
        <v>0.15201322669579317</v>
      </c>
      <c r="DA65" s="2065">
        <f t="shared" si="136"/>
        <v>0.13045127329988801</v>
      </c>
      <c r="DB65" s="2065">
        <f t="shared" si="137"/>
        <v>0.24116479437982569</v>
      </c>
      <c r="DC65" s="2065">
        <f t="shared" si="137"/>
        <v>0.12117283950617284</v>
      </c>
      <c r="DD65" s="2065">
        <f t="shared" si="137"/>
        <v>8.4851452594368881E-2</v>
      </c>
      <c r="DE65" s="2065">
        <f t="shared" si="137"/>
        <v>8.888450148075025E-2</v>
      </c>
      <c r="DF65" s="2065">
        <f t="shared" si="138"/>
        <v>7.9682539682539688E-2</v>
      </c>
      <c r="DG65" s="2065">
        <f t="shared" si="138"/>
        <v>0.26500000000000001</v>
      </c>
      <c r="DH65" s="2065">
        <f t="shared" si="138"/>
        <v>0.16536669970267592</v>
      </c>
      <c r="DI65" s="2065">
        <f t="shared" si="138"/>
        <v>0.14000000000000001</v>
      </c>
      <c r="DJ65" s="2065">
        <f t="shared" si="140"/>
        <v>0.1</v>
      </c>
      <c r="DK65" s="2065">
        <f t="shared" si="140"/>
        <v>0.26</v>
      </c>
      <c r="DL65" s="2065">
        <f t="shared" si="140"/>
        <v>0.13</v>
      </c>
      <c r="DM65" s="2065">
        <f t="shared" si="140"/>
        <v>0.21300000000000002</v>
      </c>
      <c r="DN65" s="2065">
        <f t="shared" si="139"/>
        <v>0.16300000000000001</v>
      </c>
    </row>
    <row r="66" spans="1:123">
      <c r="A66" s="618" t="s">
        <v>182</v>
      </c>
      <c r="B66" s="564"/>
      <c r="C66" s="624"/>
      <c r="D66" s="218"/>
      <c r="E66" s="218"/>
      <c r="F66" s="634"/>
      <c r="G66" s="622"/>
      <c r="H66" s="564"/>
      <c r="I66" s="624"/>
      <c r="J66" s="218"/>
      <c r="K66" s="218"/>
      <c r="L66" s="634"/>
      <c r="M66" s="622"/>
      <c r="N66" s="564"/>
      <c r="O66" s="624"/>
      <c r="P66" s="218"/>
      <c r="Q66" s="218"/>
      <c r="R66" s="634"/>
      <c r="S66" s="622"/>
      <c r="T66" s="541"/>
      <c r="U66" s="635"/>
      <c r="V66" s="311"/>
      <c r="W66" s="311"/>
      <c r="X66" s="636"/>
      <c r="Y66" s="637"/>
      <c r="Z66" s="311"/>
      <c r="AA66" s="635"/>
      <c r="AB66" s="311"/>
      <c r="AC66" s="311"/>
      <c r="AD66" s="636"/>
      <c r="AE66" s="637"/>
      <c r="AF66" s="311"/>
      <c r="AG66" s="1708">
        <v>0.16</v>
      </c>
      <c r="AH66" s="1694">
        <v>0.01</v>
      </c>
      <c r="AI66" s="1694">
        <v>-0.06</v>
      </c>
      <c r="AJ66" s="2176">
        <f>AVERAGE(AH66:AI66)</f>
        <v>-2.4999999999999998E-2</v>
      </c>
      <c r="AK66" s="331">
        <f t="shared" si="141"/>
        <v>2.1250000000000005E-2</v>
      </c>
      <c r="AL66" s="1249"/>
      <c r="AM66" s="1678">
        <v>-0.02</v>
      </c>
      <c r="AN66" s="1679">
        <v>-7.0000000000000007E-2</v>
      </c>
      <c r="AO66" s="1679">
        <v>-0.11</v>
      </c>
      <c r="AP66" s="1679">
        <v>0</v>
      </c>
      <c r="AQ66" s="331">
        <f t="shared" si="142"/>
        <v>-0.05</v>
      </c>
      <c r="AR66" s="1515"/>
      <c r="AS66" s="1685">
        <v>7.0000000000000007E-2</v>
      </c>
      <c r="AT66" s="1686">
        <v>-0.05</v>
      </c>
      <c r="AU66" s="1686">
        <v>0.15</v>
      </c>
      <c r="AV66" s="1292">
        <f>(2%*0.75)+(6%*0.25)</f>
        <v>0.03</v>
      </c>
      <c r="AW66" s="331">
        <f t="shared" si="143"/>
        <v>4.9999999999999996E-2</v>
      </c>
      <c r="AX66" s="1287"/>
      <c r="AY66" s="1690">
        <v>0.02</v>
      </c>
      <c r="AZ66" s="1873">
        <v>0</v>
      </c>
      <c r="BA66" s="1873">
        <v>0.09</v>
      </c>
      <c r="BB66" s="1873">
        <v>0</v>
      </c>
      <c r="BC66" s="331">
        <f t="shared" si="144"/>
        <v>2.75E-2</v>
      </c>
      <c r="BD66" s="642"/>
      <c r="BE66" s="1690">
        <v>0.06</v>
      </c>
      <c r="BF66" s="1873">
        <v>0.06</v>
      </c>
      <c r="BG66" s="1873">
        <v>0</v>
      </c>
      <c r="BH66" s="1873">
        <v>0.03</v>
      </c>
      <c r="BI66" s="331">
        <f t="shared" si="145"/>
        <v>3.7499999999999999E-2</v>
      </c>
      <c r="BJ66" s="642"/>
      <c r="BK66" s="2226">
        <v>-0.01</v>
      </c>
      <c r="BL66" s="2227">
        <v>7.0000000000000007E-2</v>
      </c>
      <c r="BM66" s="1873">
        <v>7.0000000000000007E-2</v>
      </c>
      <c r="BN66" s="1873">
        <v>0.04</v>
      </c>
      <c r="BO66" s="331">
        <f t="shared" si="146"/>
        <v>4.2500000000000003E-2</v>
      </c>
      <c r="BP66" s="642"/>
      <c r="BQ66" s="2226">
        <v>0.14000000000000001</v>
      </c>
      <c r="BR66" s="642"/>
      <c r="BS66" s="642"/>
      <c r="BT66" s="643"/>
      <c r="BU66" s="644"/>
      <c r="BV66" s="642"/>
      <c r="BW66" s="645"/>
      <c r="BX66" s="642"/>
      <c r="BY66" s="642"/>
      <c r="BZ66" s="643"/>
      <c r="CA66" s="644"/>
      <c r="CB66" s="642"/>
      <c r="CC66" s="645"/>
      <c r="CD66" s="642"/>
      <c r="CE66" s="642"/>
      <c r="CF66" s="643"/>
      <c r="CG66" s="644"/>
      <c r="CH66" s="642"/>
      <c r="CI66" s="645"/>
      <c r="CJ66" s="642"/>
      <c r="CK66" s="642"/>
      <c r="CL66" s="643"/>
      <c r="CM66" s="644"/>
      <c r="CN66" s="1968"/>
      <c r="CO66" s="174"/>
      <c r="CP66" s="174"/>
      <c r="CQ66" s="174"/>
      <c r="CR66" s="174"/>
      <c r="CS66" s="174"/>
      <c r="CT66" s="174"/>
      <c r="CU66" s="174"/>
      <c r="CV66" s="174"/>
      <c r="CW66" s="174"/>
      <c r="CX66" s="174"/>
      <c r="CY66" s="174"/>
      <c r="CZ66" s="174"/>
      <c r="DA66" s="174"/>
      <c r="DB66" s="174"/>
      <c r="DC66" s="6"/>
      <c r="DD66" s="6"/>
      <c r="DE66" s="6"/>
      <c r="DF66" s="6"/>
      <c r="DG66" s="6"/>
      <c r="DH66" s="6"/>
      <c r="DI66" s="6"/>
      <c r="DJ66" s="6"/>
    </row>
    <row r="67" spans="1:123">
      <c r="A67" s="646" t="s">
        <v>183</v>
      </c>
      <c r="B67" s="539"/>
      <c r="C67" s="567"/>
      <c r="D67" s="568"/>
      <c r="E67" s="568"/>
      <c r="F67" s="569"/>
      <c r="G67" s="570"/>
      <c r="H67" s="647"/>
      <c r="I67" s="567"/>
      <c r="J67" s="568"/>
      <c r="K67" s="568"/>
      <c r="L67" s="569"/>
      <c r="M67" s="570"/>
      <c r="N67" s="647"/>
      <c r="O67" s="567"/>
      <c r="P67" s="568"/>
      <c r="Q67" s="568"/>
      <c r="R67" s="569"/>
      <c r="S67" s="570"/>
      <c r="T67" s="541"/>
      <c r="U67" s="567"/>
      <c r="V67" s="568"/>
      <c r="W67" s="568"/>
      <c r="X67" s="569"/>
      <c r="Y67" s="570"/>
      <c r="Z67" s="568"/>
      <c r="AA67" s="567"/>
      <c r="AB67" s="568"/>
      <c r="AC67" s="568"/>
      <c r="AD67" s="569"/>
      <c r="AE67" s="570"/>
      <c r="AF67" s="541"/>
      <c r="AG67" s="1710">
        <v>0.14000000000000001</v>
      </c>
      <c r="AH67" s="1696">
        <v>0.02</v>
      </c>
      <c r="AI67" s="1696">
        <v>0.03</v>
      </c>
      <c r="AJ67" s="2487">
        <f>AVERAGE(AH67:AI67)</f>
        <v>2.5000000000000001E-2</v>
      </c>
      <c r="AK67" s="2061">
        <f t="shared" si="141"/>
        <v>5.3749999999999999E-2</v>
      </c>
      <c r="AL67" s="629"/>
      <c r="AM67" s="1680">
        <v>0.01</v>
      </c>
      <c r="AN67" s="1681">
        <v>0.08</v>
      </c>
      <c r="AO67" s="1681">
        <v>0.11</v>
      </c>
      <c r="AP67" s="1682">
        <v>7.0000000000000007E-2</v>
      </c>
      <c r="AQ67" s="2061">
        <f t="shared" si="142"/>
        <v>6.7500000000000004E-2</v>
      </c>
      <c r="AR67" s="1287"/>
      <c r="AS67" s="1688">
        <v>0.14000000000000001</v>
      </c>
      <c r="AT67" s="1681">
        <v>0.1</v>
      </c>
      <c r="AU67" s="1681">
        <v>0.04</v>
      </c>
      <c r="AV67" s="1689">
        <v>0.04</v>
      </c>
      <c r="AW67" s="2061">
        <f t="shared" si="143"/>
        <v>0.08</v>
      </c>
      <c r="AX67" s="1287"/>
      <c r="AY67" s="1688">
        <v>0.05</v>
      </c>
      <c r="AZ67" s="1682">
        <v>-7.0000000000000007E-2</v>
      </c>
      <c r="BA67" s="1682">
        <v>0</v>
      </c>
      <c r="BB67" s="1682">
        <v>0.04</v>
      </c>
      <c r="BC67" s="2061">
        <f t="shared" si="144"/>
        <v>4.9999999999999992E-3</v>
      </c>
      <c r="BD67" s="541"/>
      <c r="BE67" s="1688">
        <v>-0.01</v>
      </c>
      <c r="BF67" s="1682">
        <v>0.25</v>
      </c>
      <c r="BG67" s="1682">
        <v>0.11</v>
      </c>
      <c r="BH67" s="1682">
        <v>0.1</v>
      </c>
      <c r="BI67" s="2061">
        <f t="shared" si="145"/>
        <v>0.11249999999999999</v>
      </c>
      <c r="BJ67" s="541"/>
      <c r="BK67" s="2228">
        <v>0.11</v>
      </c>
      <c r="BL67" s="2229">
        <v>0.01</v>
      </c>
      <c r="BM67" s="1682">
        <v>0.02</v>
      </c>
      <c r="BN67" s="1682">
        <v>0.1</v>
      </c>
      <c r="BO67" s="2061">
        <f t="shared" si="146"/>
        <v>0.06</v>
      </c>
      <c r="BP67" s="541"/>
      <c r="BQ67" s="2228">
        <v>0.08</v>
      </c>
      <c r="BR67" s="568"/>
      <c r="BS67" s="568"/>
      <c r="BT67" s="569"/>
      <c r="BU67" s="570"/>
      <c r="BV67" s="541"/>
      <c r="BW67" s="567"/>
      <c r="BX67" s="568"/>
      <c r="BY67" s="568"/>
      <c r="BZ67" s="569"/>
      <c r="CA67" s="570"/>
      <c r="CB67" s="541"/>
      <c r="CC67" s="567"/>
      <c r="CD67" s="568"/>
      <c r="CE67" s="568"/>
      <c r="CF67" s="569"/>
      <c r="CG67" s="570"/>
      <c r="CH67" s="541"/>
      <c r="CI67" s="567"/>
      <c r="CJ67" s="568"/>
      <c r="CK67" s="568"/>
      <c r="CL67" s="569"/>
      <c r="CM67" s="570"/>
      <c r="CN67" s="1968"/>
      <c r="CO67" s="527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</row>
    <row r="68" spans="1:123">
      <c r="A68" s="564"/>
      <c r="B68" s="564"/>
      <c r="C68" s="610"/>
      <c r="D68" s="610"/>
      <c r="E68" s="610"/>
      <c r="F68" s="610"/>
      <c r="G68" s="610"/>
      <c r="H68" s="564"/>
      <c r="I68" s="610"/>
      <c r="J68" s="610"/>
      <c r="K68" s="610"/>
      <c r="L68" s="610"/>
      <c r="M68" s="610"/>
      <c r="N68" s="564"/>
      <c r="O68" s="610"/>
      <c r="P68" s="610"/>
      <c r="Q68" s="610"/>
      <c r="R68" s="610"/>
      <c r="S68" s="610"/>
      <c r="T68" s="610"/>
      <c r="U68" s="608"/>
      <c r="V68" s="608"/>
      <c r="W68" s="608"/>
      <c r="X68" s="608"/>
      <c r="Y68" s="608"/>
      <c r="Z68" s="610"/>
      <c r="AA68" s="608"/>
      <c r="AB68" s="608"/>
      <c r="AC68" s="608"/>
      <c r="AD68" s="605"/>
      <c r="AE68" s="608"/>
      <c r="AF68" s="610"/>
      <c r="AG68" s="608"/>
      <c r="AH68" s="605"/>
      <c r="AI68" s="608"/>
      <c r="AJ68" s="608"/>
      <c r="AK68" s="608"/>
      <c r="AL68" s="610"/>
      <c r="AM68" s="608"/>
      <c r="AN68" s="1274"/>
      <c r="AO68" s="1274"/>
      <c r="AP68" s="1274"/>
      <c r="AQ68" s="1274"/>
      <c r="AR68" s="5"/>
      <c r="AS68" s="1274"/>
      <c r="AT68" s="1274"/>
      <c r="AU68" s="1274"/>
      <c r="AV68" s="1274"/>
      <c r="AW68" s="1274"/>
      <c r="AX68" s="5"/>
      <c r="AY68" s="1274"/>
      <c r="AZ68" s="608"/>
      <c r="BA68" s="608"/>
      <c r="BB68" s="608"/>
      <c r="BC68" s="610"/>
      <c r="BD68" s="610"/>
      <c r="BE68" s="610"/>
      <c r="BF68" s="610"/>
      <c r="BG68" s="610"/>
      <c r="BH68" s="610"/>
      <c r="BI68" s="610"/>
      <c r="BJ68" s="610"/>
      <c r="BK68" s="610"/>
      <c r="BL68" s="610"/>
      <c r="BM68" s="610"/>
      <c r="BN68" s="610"/>
      <c r="BO68" s="610"/>
      <c r="BP68" s="610"/>
      <c r="BQ68" s="610"/>
      <c r="BR68" s="610"/>
      <c r="BS68" s="610"/>
      <c r="BT68" s="610"/>
      <c r="BU68" s="610"/>
      <c r="BV68" s="610"/>
      <c r="BW68" s="610"/>
      <c r="BX68" s="610"/>
      <c r="BY68" s="610"/>
      <c r="BZ68" s="610"/>
      <c r="CA68" s="610"/>
      <c r="CB68" s="610"/>
      <c r="CC68" s="610"/>
      <c r="CD68" s="610"/>
      <c r="CE68" s="610"/>
      <c r="CF68" s="610"/>
      <c r="CG68" s="610"/>
      <c r="CH68" s="610"/>
      <c r="CI68" s="610"/>
      <c r="CJ68" s="610"/>
      <c r="CK68" s="610"/>
      <c r="CL68" s="610"/>
      <c r="CM68" s="610"/>
      <c r="CN68" s="1968"/>
      <c r="CO68" s="2458"/>
      <c r="CP68" s="2459"/>
      <c r="CQ68" s="2459"/>
      <c r="CR68" s="2459"/>
      <c r="CS68" s="2459"/>
      <c r="CT68" s="2459"/>
      <c r="CU68" s="2459"/>
      <c r="CV68" s="2459"/>
      <c r="CW68" s="2459"/>
      <c r="CX68" s="2459"/>
      <c r="CY68" s="2459"/>
      <c r="CZ68" s="2459"/>
      <c r="DA68" s="2459"/>
      <c r="DB68" s="2459"/>
      <c r="DC68" s="2459"/>
      <c r="DD68" s="2459"/>
      <c r="DE68" s="2459"/>
      <c r="DF68" s="2459"/>
      <c r="DG68" s="2459"/>
      <c r="DH68" s="2459"/>
      <c r="DI68" s="2459"/>
      <c r="DJ68" s="2459"/>
      <c r="DK68" s="2459"/>
      <c r="DL68" s="2459"/>
      <c r="DM68" s="2459"/>
      <c r="DN68" s="2459"/>
    </row>
    <row r="69" spans="1:123">
      <c r="A69" s="582" t="s">
        <v>615</v>
      </c>
      <c r="B69" s="513"/>
      <c r="C69" s="583"/>
      <c r="D69" s="584"/>
      <c r="E69" s="584"/>
      <c r="F69" s="585"/>
      <c r="G69" s="586"/>
      <c r="H69" s="513"/>
      <c r="I69" s="583"/>
      <c r="J69" s="584"/>
      <c r="K69" s="584"/>
      <c r="L69" s="585"/>
      <c r="M69" s="586"/>
      <c r="N69" s="513"/>
      <c r="O69" s="583"/>
      <c r="P69" s="584"/>
      <c r="Q69" s="584"/>
      <c r="R69" s="585"/>
      <c r="S69" s="586"/>
      <c r="T69" s="587"/>
      <c r="U69" s="583"/>
      <c r="V69" s="588"/>
      <c r="W69" s="588"/>
      <c r="X69" s="589"/>
      <c r="Y69" s="586"/>
      <c r="Z69" s="587"/>
      <c r="AA69" s="583"/>
      <c r="AB69" s="588"/>
      <c r="AC69" s="588"/>
      <c r="AD69" s="589"/>
      <c r="AE69" s="586"/>
      <c r="AF69" s="587"/>
      <c r="AG69" s="590"/>
      <c r="AH69" s="591"/>
      <c r="AI69" s="591"/>
      <c r="AJ69" s="592"/>
      <c r="AK69" s="586"/>
      <c r="AL69" s="587"/>
      <c r="AM69" s="590"/>
      <c r="AN69" s="1281"/>
      <c r="AO69" s="1281"/>
      <c r="AP69" s="1281"/>
      <c r="AQ69" s="1282"/>
      <c r="AR69" s="1283"/>
      <c r="AS69" s="1284"/>
      <c r="AT69" s="1281"/>
      <c r="AU69" s="1281"/>
      <c r="AV69" s="1285"/>
      <c r="AW69" s="1282"/>
      <c r="AX69" s="1283"/>
      <c r="AY69" s="1284"/>
      <c r="AZ69" s="591"/>
      <c r="BA69" s="591"/>
      <c r="BB69" s="591"/>
      <c r="BC69" s="593"/>
      <c r="BD69" s="515"/>
      <c r="BE69" s="590"/>
      <c r="BF69" s="591"/>
      <c r="BG69" s="591"/>
      <c r="BH69" s="591"/>
      <c r="BI69" s="593"/>
      <c r="BJ69" s="515"/>
      <c r="BK69" s="590"/>
      <c r="BL69" s="591"/>
      <c r="BM69" s="591"/>
      <c r="BN69" s="592"/>
      <c r="BO69" s="2379"/>
      <c r="BP69" s="515"/>
      <c r="BQ69" s="590"/>
      <c r="BR69" s="591"/>
      <c r="BS69" s="591"/>
      <c r="BT69" s="592"/>
      <c r="BU69" s="593"/>
      <c r="BV69" s="515"/>
      <c r="BW69" s="590"/>
      <c r="BX69" s="591"/>
      <c r="BY69" s="591"/>
      <c r="BZ69" s="592"/>
      <c r="CA69" s="593"/>
      <c r="CB69" s="2121"/>
      <c r="CC69" s="590"/>
      <c r="CD69" s="591"/>
      <c r="CE69" s="591"/>
      <c r="CF69" s="592"/>
      <c r="CG69" s="593"/>
      <c r="CH69" s="2121"/>
      <c r="CI69" s="590"/>
      <c r="CJ69" s="591"/>
      <c r="CK69" s="591"/>
      <c r="CL69" s="592"/>
      <c r="CM69" s="593"/>
      <c r="CN69" s="1968"/>
      <c r="CO69" s="2460"/>
      <c r="CP69" s="529"/>
      <c r="CQ69" s="529"/>
      <c r="CR69" s="529"/>
      <c r="CS69" s="529"/>
      <c r="CT69" s="529"/>
      <c r="CU69" s="529"/>
      <c r="CV69" s="529"/>
      <c r="CW69" s="529"/>
      <c r="CX69" s="529"/>
      <c r="CY69" s="529"/>
      <c r="CZ69" s="529"/>
      <c r="DA69" s="529"/>
      <c r="DB69" s="529"/>
      <c r="DC69" s="529"/>
      <c r="DD69" s="529"/>
      <c r="DE69" s="529"/>
      <c r="DF69" s="529"/>
      <c r="DG69" s="529"/>
      <c r="DH69" s="529"/>
      <c r="DI69" s="529"/>
      <c r="DJ69" s="529"/>
      <c r="DK69" s="529"/>
      <c r="DL69" s="529"/>
      <c r="DM69" s="529"/>
      <c r="DN69" s="529"/>
    </row>
    <row r="70" spans="1:123">
      <c r="A70" s="618" t="s">
        <v>178</v>
      </c>
      <c r="B70" s="564"/>
      <c r="C70" s="619"/>
      <c r="D70" s="620"/>
      <c r="E70" s="620"/>
      <c r="F70" s="621"/>
      <c r="G70" s="622"/>
      <c r="H70" s="564"/>
      <c r="I70" s="619"/>
      <c r="J70" s="620"/>
      <c r="K70" s="620"/>
      <c r="L70" s="621"/>
      <c r="M70" s="622"/>
      <c r="N70" s="564"/>
      <c r="O70" s="619"/>
      <c r="P70" s="620"/>
      <c r="Q70" s="620"/>
      <c r="R70" s="621"/>
      <c r="S70" s="622"/>
      <c r="T70" s="541"/>
      <c r="U70" s="619"/>
      <c r="V70" s="620"/>
      <c r="W70" s="620"/>
      <c r="X70" s="621"/>
      <c r="Y70" s="623"/>
      <c r="Z70" s="541"/>
      <c r="AA70" s="624"/>
      <c r="AB70" s="2174">
        <f>+AB62</f>
        <v>0.16</v>
      </c>
      <c r="AC70" s="2174">
        <f t="shared" ref="AC70:AD70" si="151">+AC62</f>
        <v>0.18</v>
      </c>
      <c r="AD70" s="2174">
        <f t="shared" si="151"/>
        <v>0.05</v>
      </c>
      <c r="AE70" s="565"/>
      <c r="AF70" s="541"/>
      <c r="AG70" s="2173">
        <f>AG62</f>
        <v>0.18</v>
      </c>
      <c r="AH70" s="2174">
        <f t="shared" ref="AH70:AJ70" si="152">AH62</f>
        <v>0.04</v>
      </c>
      <c r="AI70" s="2174">
        <f t="shared" si="152"/>
        <v>0.04</v>
      </c>
      <c r="AJ70" s="2174">
        <f t="shared" si="152"/>
        <v>0.04</v>
      </c>
      <c r="AK70" s="628">
        <f>AVERAGE(AG70:AJ70)</f>
        <v>7.4999999999999997E-2</v>
      </c>
      <c r="AL70" s="629"/>
      <c r="AM70" s="630">
        <f>AM62</f>
        <v>0.02</v>
      </c>
      <c r="AN70" s="1286">
        <f>+AN62-AN$23</f>
        <v>9.9836639439906658E-2</v>
      </c>
      <c r="AO70" s="1286">
        <f>+AO62-AO$23</f>
        <v>8.2528473804100236E-2</v>
      </c>
      <c r="AP70" s="1286">
        <f>+AP62-AP$23</f>
        <v>0.11156677181913775</v>
      </c>
      <c r="AQ70" s="331">
        <f t="shared" ref="AQ70:AQ75" si="153">AVERAGE(AM70:AP70)</f>
        <v>7.8482971265786169E-2</v>
      </c>
      <c r="AR70" s="1287"/>
      <c r="AS70" s="1288">
        <f t="shared" ref="AS70:AV75" si="154">+AS62-AS$23</f>
        <v>9.148225469728602E-2</v>
      </c>
      <c r="AT70" s="1286">
        <f t="shared" si="154"/>
        <v>4.617283950617284E-2</v>
      </c>
      <c r="AU70" s="1286">
        <f t="shared" si="154"/>
        <v>6.9484752891692952E-2</v>
      </c>
      <c r="AV70" s="654">
        <f t="shared" si="154"/>
        <v>5.8884501480750251E-2</v>
      </c>
      <c r="AW70" s="331">
        <f t="shared" ref="AW70:AW75" si="155">+AVERAGE(AS70:AV70)</f>
        <v>6.6506087143975517E-2</v>
      </c>
      <c r="AX70" s="1287"/>
      <c r="AY70" s="1288">
        <f t="shared" ref="AY70:AY75" si="156">+AY62-AY$23</f>
        <v>9.9682539682539678E-2</v>
      </c>
      <c r="AZ70" s="1927">
        <f>10%+1.5%</f>
        <v>0.115</v>
      </c>
      <c r="BA70" s="1927">
        <f t="shared" ref="BA70:BA75" si="157">+BA62-BA$23-1.5%</f>
        <v>0.1353666997026759</v>
      </c>
      <c r="BB70" s="1927">
        <f t="shared" ref="BB70:BB75" si="158">+BB62</f>
        <v>0.19</v>
      </c>
      <c r="BC70" s="331">
        <f t="shared" ref="BC70:BC75" si="159">+AVERAGE(AY70:BB70)</f>
        <v>0.13501230984630391</v>
      </c>
      <c r="BD70" s="576"/>
      <c r="BE70" s="1288">
        <f t="shared" ref="BE70:BF75" si="160">+BE62</f>
        <v>0.19</v>
      </c>
      <c r="BF70" s="1927">
        <f t="shared" ref="BF70:BH71" si="161">+BF62</f>
        <v>0.14000000000000001</v>
      </c>
      <c r="BG70" s="1927">
        <f t="shared" si="161"/>
        <v>0.1</v>
      </c>
      <c r="BH70" s="1927">
        <f t="shared" si="161"/>
        <v>0.16</v>
      </c>
      <c r="BI70" s="331">
        <f t="shared" ref="BI70:BI75" si="162">AVERAGE(BE70:BH70)</f>
        <v>0.14750000000000002</v>
      </c>
      <c r="BJ70" s="576"/>
      <c r="BK70" s="1288">
        <f t="shared" ref="BK70:BL75" si="163">+BK62</f>
        <v>7.0000000000000007E-2</v>
      </c>
      <c r="BL70" s="5">
        <f t="shared" si="163"/>
        <v>0.12</v>
      </c>
      <c r="BM70" s="5">
        <f t="shared" ref="BM70" si="164">+BM62</f>
        <v>0.1</v>
      </c>
      <c r="BN70" s="218">
        <f>+BN62+4.7%</f>
        <v>-3.0000000000000027E-3</v>
      </c>
      <c r="BO70" s="331">
        <f t="shared" ref="BO70:BO75" si="165">AVERAGE(BK70:BN70)</f>
        <v>7.1750000000000008E-2</v>
      </c>
      <c r="BP70" s="576"/>
      <c r="BQ70" s="2453">
        <f>+BQ62-4.7%-0.5%</f>
        <v>2.8000000000000001E-2</v>
      </c>
      <c r="BR70" s="5"/>
      <c r="BS70" s="5"/>
      <c r="BT70" s="632"/>
      <c r="BU70" s="633"/>
      <c r="BV70" s="576"/>
      <c r="BW70" s="330"/>
      <c r="BX70" s="5"/>
      <c r="BY70" s="5"/>
      <c r="BZ70" s="632"/>
      <c r="CA70" s="633"/>
      <c r="CB70" s="5"/>
      <c r="CC70" s="330"/>
      <c r="CD70" s="5"/>
      <c r="CE70" s="5"/>
      <c r="CF70" s="632"/>
      <c r="CG70" s="633"/>
      <c r="CH70" s="5"/>
      <c r="CI70" s="330"/>
      <c r="CJ70" s="5"/>
      <c r="CK70" s="5"/>
      <c r="CL70" s="632"/>
      <c r="CM70" s="633"/>
      <c r="CN70" s="1968"/>
      <c r="CO70" s="2460"/>
      <c r="CP70" s="529"/>
      <c r="CQ70" s="529"/>
      <c r="CR70" s="529"/>
      <c r="CS70" s="529"/>
      <c r="CT70" s="529"/>
      <c r="CU70" s="529"/>
      <c r="CV70" s="529"/>
      <c r="CW70" s="529"/>
      <c r="CX70" s="529"/>
      <c r="CY70" s="529"/>
      <c r="CZ70" s="529"/>
      <c r="DA70" s="529"/>
      <c r="DB70" s="529"/>
      <c r="DC70" s="529"/>
      <c r="DD70" s="529"/>
      <c r="DE70" s="529"/>
      <c r="DF70" s="529"/>
      <c r="DG70" s="529"/>
      <c r="DH70" s="529"/>
      <c r="DI70" s="529"/>
      <c r="DJ70" s="529"/>
      <c r="DK70" s="529"/>
      <c r="DL70" s="529"/>
      <c r="DM70" s="529"/>
      <c r="DN70" s="529"/>
    </row>
    <row r="71" spans="1:123">
      <c r="A71" s="618" t="s">
        <v>179</v>
      </c>
      <c r="B71" s="564"/>
      <c r="C71" s="624"/>
      <c r="D71" s="218"/>
      <c r="E71" s="218"/>
      <c r="F71" s="634"/>
      <c r="G71" s="622"/>
      <c r="H71" s="564"/>
      <c r="I71" s="624"/>
      <c r="J71" s="218"/>
      <c r="K71" s="218"/>
      <c r="L71" s="634"/>
      <c r="M71" s="622"/>
      <c r="N71" s="564"/>
      <c r="O71" s="624"/>
      <c r="P71" s="218"/>
      <c r="Q71" s="218"/>
      <c r="R71" s="634"/>
      <c r="S71" s="622"/>
      <c r="T71" s="541"/>
      <c r="U71" s="635"/>
      <c r="V71" s="311"/>
      <c r="W71" s="311"/>
      <c r="X71" s="636"/>
      <c r="Y71" s="637"/>
      <c r="Z71" s="311"/>
      <c r="AA71" s="635"/>
      <c r="AB71" s="311"/>
      <c r="AC71" s="311"/>
      <c r="AD71" s="636"/>
      <c r="AE71" s="637"/>
      <c r="AF71" s="311"/>
      <c r="AG71" s="1693" t="str">
        <f t="shared" ref="AG71:AJ71" si="166">AG63</f>
        <v>--</v>
      </c>
      <c r="AH71" s="1694" t="str">
        <f t="shared" si="166"/>
        <v>--</v>
      </c>
      <c r="AI71" s="1694" t="str">
        <f t="shared" si="166"/>
        <v>--</v>
      </c>
      <c r="AJ71" s="1698" t="str">
        <f t="shared" si="166"/>
        <v>Up slightly</v>
      </c>
      <c r="AK71" s="641"/>
      <c r="AL71" s="1249"/>
      <c r="AM71" s="638">
        <f t="shared" ref="AM71:AM75" si="167">AM63</f>
        <v>0.04</v>
      </c>
      <c r="AN71" s="1229">
        <f>+AN63</f>
        <v>-0.03</v>
      </c>
      <c r="AO71" s="1229">
        <f>+AO63-AO$23-AO24</f>
        <v>0.11444191343963553</v>
      </c>
      <c r="AP71" s="1229">
        <f>+AP63-AP$23</f>
        <v>0.17156677181913776</v>
      </c>
      <c r="AQ71" s="331">
        <f t="shared" si="153"/>
        <v>7.4002171314693332E-2</v>
      </c>
      <c r="AR71" s="1515"/>
      <c r="AS71" s="1291">
        <f t="shared" si="154"/>
        <v>0.11148225469728602</v>
      </c>
      <c r="AT71" s="1290">
        <f t="shared" si="154"/>
        <v>7.6172839506172846E-2</v>
      </c>
      <c r="AU71" s="1290">
        <f t="shared" si="154"/>
        <v>4.9484752891692949E-2</v>
      </c>
      <c r="AV71" s="1292">
        <f t="shared" si="154"/>
        <v>1.8884501480750247E-2</v>
      </c>
      <c r="AW71" s="644">
        <f t="shared" si="155"/>
        <v>6.4006087143975529E-2</v>
      </c>
      <c r="AX71" s="1287"/>
      <c r="AY71" s="1289">
        <f t="shared" si="156"/>
        <v>-3.174603174603205E-4</v>
      </c>
      <c r="AZ71" s="642">
        <f>+AZ63-AZ$23+1.5%</f>
        <v>0.125</v>
      </c>
      <c r="BA71" s="642">
        <f t="shared" si="157"/>
        <v>8.5366699702675922E-2</v>
      </c>
      <c r="BB71" s="642">
        <f t="shared" si="158"/>
        <v>7.0000000000000007E-2</v>
      </c>
      <c r="BC71" s="644">
        <f t="shared" si="159"/>
        <v>7.0012309846303897E-2</v>
      </c>
      <c r="BD71" s="642"/>
      <c r="BE71" s="645">
        <f t="shared" si="160"/>
        <v>7.0000000000000007E-2</v>
      </c>
      <c r="BF71" s="642">
        <f t="shared" si="161"/>
        <v>7.0000000000000007E-2</v>
      </c>
      <c r="BG71" s="642">
        <f t="shared" si="161"/>
        <v>0.04</v>
      </c>
      <c r="BH71" s="642">
        <f t="shared" si="161"/>
        <v>0.08</v>
      </c>
      <c r="BI71" s="331">
        <f t="shared" si="162"/>
        <v>6.5000000000000002E-2</v>
      </c>
      <c r="BJ71" s="642"/>
      <c r="BK71" s="645">
        <f t="shared" si="163"/>
        <v>0.08</v>
      </c>
      <c r="BL71" s="642">
        <f t="shared" si="163"/>
        <v>0.08</v>
      </c>
      <c r="BM71" s="642">
        <f t="shared" ref="BM71" si="168">+BM63</f>
        <v>0.06</v>
      </c>
      <c r="BN71" s="1966">
        <f>+BN63+1%</f>
        <v>9.9999999999999992E-2</v>
      </c>
      <c r="BO71" s="331">
        <f t="shared" si="165"/>
        <v>0.08</v>
      </c>
      <c r="BP71" s="642"/>
      <c r="BQ71" s="2454">
        <f>+BQ63-1.1%-1%</f>
        <v>2.8999999999999998E-2</v>
      </c>
      <c r="BR71" s="642"/>
      <c r="BS71" s="642"/>
      <c r="BT71" s="643"/>
      <c r="BU71" s="644"/>
      <c r="BV71" s="642"/>
      <c r="BW71" s="645"/>
      <c r="BX71" s="642"/>
      <c r="BY71" s="642"/>
      <c r="BZ71" s="643"/>
      <c r="CA71" s="644"/>
      <c r="CB71" s="642"/>
      <c r="CC71" s="645"/>
      <c r="CD71" s="642"/>
      <c r="CE71" s="642"/>
      <c r="CF71" s="643"/>
      <c r="CG71" s="644"/>
      <c r="CH71" s="642"/>
      <c r="CI71" s="645"/>
      <c r="CJ71" s="642"/>
      <c r="CK71" s="642"/>
      <c r="CL71" s="643"/>
      <c r="CM71" s="644"/>
      <c r="CN71" s="174"/>
      <c r="CO71" s="2460"/>
      <c r="CP71" s="529"/>
      <c r="CQ71" s="529"/>
      <c r="CR71" s="529"/>
      <c r="CS71" s="529"/>
      <c r="CT71" s="529"/>
      <c r="CU71" s="529"/>
      <c r="CV71" s="529"/>
      <c r="CW71" s="529"/>
      <c r="CX71" s="529"/>
      <c r="CY71" s="529"/>
      <c r="CZ71" s="529"/>
      <c r="DA71" s="529"/>
      <c r="DB71" s="529"/>
      <c r="DC71" s="529"/>
      <c r="DD71" s="529"/>
      <c r="DE71" s="529"/>
      <c r="DF71" s="529"/>
      <c r="DG71" s="529"/>
      <c r="DH71" s="529"/>
      <c r="DI71" s="529"/>
      <c r="DJ71" s="529"/>
      <c r="DK71" s="529"/>
      <c r="DL71" s="529"/>
      <c r="DM71" s="529"/>
      <c r="DN71" s="529"/>
    </row>
    <row r="72" spans="1:123">
      <c r="A72" s="618" t="s">
        <v>180</v>
      </c>
      <c r="B72" s="564"/>
      <c r="C72" s="624"/>
      <c r="D72" s="218"/>
      <c r="E72" s="218"/>
      <c r="F72" s="2493">
        <v>0.25</v>
      </c>
      <c r="G72" s="622"/>
      <c r="H72" s="564"/>
      <c r="I72" s="2492">
        <v>0.14000000000000001</v>
      </c>
      <c r="J72" s="2221">
        <v>0.36</v>
      </c>
      <c r="K72" s="1966">
        <f>K64/2</f>
        <v>0.18</v>
      </c>
      <c r="L72" s="2488">
        <f>L64/2</f>
        <v>0.11</v>
      </c>
      <c r="M72" s="331">
        <f t="shared" ref="M72" si="169">AVERAGE(I72:L72)</f>
        <v>0.19749999999999998</v>
      </c>
      <c r="N72" s="564"/>
      <c r="O72" s="2454">
        <f>O64/2</f>
        <v>0.1</v>
      </c>
      <c r="P72" s="1966">
        <f t="shared" ref="P72:R72" si="170">P64</f>
        <v>0.1</v>
      </c>
      <c r="Q72" s="1966">
        <f t="shared" si="170"/>
        <v>-0.02</v>
      </c>
      <c r="R72" s="2488">
        <f t="shared" si="170"/>
        <v>-0.04</v>
      </c>
      <c r="S72" s="331">
        <f t="shared" ref="S72" si="171">AVERAGE(O72:R72)</f>
        <v>3.5000000000000003E-2</v>
      </c>
      <c r="T72" s="541"/>
      <c r="U72" s="2454">
        <f>U64</f>
        <v>0.15</v>
      </c>
      <c r="V72" s="1966">
        <f t="shared" ref="V72:X72" si="172">V64</f>
        <v>0.11</v>
      </c>
      <c r="W72" s="1966">
        <f t="shared" si="172"/>
        <v>0.21</v>
      </c>
      <c r="X72" s="2488">
        <f t="shared" si="172"/>
        <v>0.31</v>
      </c>
      <c r="Y72" s="331">
        <f t="shared" ref="Y72" si="173">AVERAGE(U72:X72)</f>
        <v>0.19500000000000001</v>
      </c>
      <c r="Z72" s="311"/>
      <c r="AA72" s="2175">
        <f>+AA64</f>
        <v>0.12</v>
      </c>
      <c r="AB72" s="1966">
        <f t="shared" ref="AB72:AD72" si="174">+AB64</f>
        <v>0.09</v>
      </c>
      <c r="AC72" s="1966">
        <f t="shared" si="174"/>
        <v>0.105</v>
      </c>
      <c r="AD72" s="2488">
        <f t="shared" si="174"/>
        <v>0.04</v>
      </c>
      <c r="AE72" s="331">
        <f t="shared" ref="AE72" si="175">AVERAGE(AA72:AD72)</f>
        <v>8.8749999999999996E-2</v>
      </c>
      <c r="AF72" s="311"/>
      <c r="AG72" s="2175">
        <f t="shared" ref="AG72:AJ72" si="176">AG64</f>
        <v>7.0000000000000007E-2</v>
      </c>
      <c r="AH72" s="2176">
        <f t="shared" si="176"/>
        <v>-0.06</v>
      </c>
      <c r="AI72" s="2176">
        <f t="shared" si="176"/>
        <v>-0.06</v>
      </c>
      <c r="AJ72" s="2176">
        <f t="shared" si="176"/>
        <v>-0.06</v>
      </c>
      <c r="AK72" s="331">
        <f t="shared" ref="AK72" si="177">AVERAGE(AG72:AJ72)</f>
        <v>-2.7499999999999997E-2</v>
      </c>
      <c r="AL72" s="1249"/>
      <c r="AM72" s="638">
        <f t="shared" si="167"/>
        <v>0</v>
      </c>
      <c r="AN72" s="1229">
        <f t="shared" ref="AN72:AO75" si="178">+AN64-AN$23</f>
        <v>-3.016336056009335E-2</v>
      </c>
      <c r="AO72" s="1229">
        <f t="shared" si="178"/>
        <v>-5.7471526195899778E-2</v>
      </c>
      <c r="AP72" s="1229">
        <f>+AP64-AP$23</f>
        <v>5.1566771819137748E-2</v>
      </c>
      <c r="AQ72" s="331">
        <f t="shared" si="153"/>
        <v>-9.0170287342138441E-3</v>
      </c>
      <c r="AR72" s="1515"/>
      <c r="AS72" s="1291">
        <f t="shared" si="154"/>
        <v>-8.8517745302713988E-2</v>
      </c>
      <c r="AT72" s="1290">
        <f t="shared" si="154"/>
        <v>-5.3827160493827159E-2</v>
      </c>
      <c r="AU72" s="1290">
        <f t="shared" si="154"/>
        <v>2.9484752891692955E-2</v>
      </c>
      <c r="AV72" s="1292">
        <f t="shared" si="154"/>
        <v>4.8884501480750249E-2</v>
      </c>
      <c r="AW72" s="644">
        <f t="shared" si="155"/>
        <v>-1.5993912856024479E-2</v>
      </c>
      <c r="AX72" s="1287"/>
      <c r="AY72" s="1289">
        <f t="shared" si="156"/>
        <v>4.9682539682539682E-2</v>
      </c>
      <c r="AZ72" s="642">
        <f>+AZ64-AZ$23+1.5%</f>
        <v>-1.4999999999999999E-2</v>
      </c>
      <c r="BA72" s="642">
        <f t="shared" si="157"/>
        <v>3.5366699702675919E-2</v>
      </c>
      <c r="BB72" s="642">
        <f t="shared" si="158"/>
        <v>-0.04</v>
      </c>
      <c r="BC72" s="644">
        <f t="shared" si="159"/>
        <v>7.5123098463038985E-3</v>
      </c>
      <c r="BD72" s="642"/>
      <c r="BE72" s="645">
        <f t="shared" si="160"/>
        <v>0.04</v>
      </c>
      <c r="BF72" s="642">
        <f t="shared" si="160"/>
        <v>7.0000000000000007E-2</v>
      </c>
      <c r="BG72" s="642">
        <f t="shared" ref="BG72:BH75" si="179">+BG64</f>
        <v>-0.05</v>
      </c>
      <c r="BH72" s="642">
        <f t="shared" si="179"/>
        <v>-0.02</v>
      </c>
      <c r="BI72" s="331">
        <f t="shared" si="162"/>
        <v>1.0000000000000002E-2</v>
      </c>
      <c r="BJ72" s="642"/>
      <c r="BK72" s="645">
        <f t="shared" si="163"/>
        <v>-0.01</v>
      </c>
      <c r="BL72" s="642">
        <f t="shared" si="163"/>
        <v>-0.02</v>
      </c>
      <c r="BM72" s="642">
        <f t="shared" ref="BM72" si="180">+BM64</f>
        <v>0.03</v>
      </c>
      <c r="BN72" s="1966">
        <f>+BN64+1.6%</f>
        <v>0.13600000000000001</v>
      </c>
      <c r="BO72" s="331">
        <f t="shared" si="165"/>
        <v>3.4000000000000002E-2</v>
      </c>
      <c r="BP72" s="642"/>
      <c r="BQ72" s="2454">
        <f>+BQ64-1.7%-1.6%</f>
        <v>7.6999999999999999E-2</v>
      </c>
      <c r="BR72" s="642"/>
      <c r="BS72" s="642"/>
      <c r="BT72" s="643"/>
      <c r="BU72" s="644"/>
      <c r="BV72" s="642"/>
      <c r="BW72" s="645"/>
      <c r="BX72" s="642"/>
      <c r="BY72" s="642"/>
      <c r="BZ72" s="643"/>
      <c r="CA72" s="644"/>
      <c r="CB72" s="642"/>
      <c r="CC72" s="645"/>
      <c r="CD72" s="642"/>
      <c r="CE72" s="642"/>
      <c r="CF72" s="643"/>
      <c r="CG72" s="644"/>
      <c r="CH72" s="642"/>
      <c r="CI72" s="645"/>
      <c r="CJ72" s="642"/>
      <c r="CK72" s="642"/>
      <c r="CL72" s="643"/>
      <c r="CM72" s="644"/>
      <c r="CN72" s="174"/>
      <c r="CO72" s="2460"/>
      <c r="CP72" s="529"/>
      <c r="CQ72" s="529"/>
      <c r="CR72" s="529"/>
      <c r="CS72" s="529"/>
      <c r="CT72" s="529"/>
      <c r="CU72" s="529"/>
      <c r="CV72" s="529"/>
      <c r="CW72" s="529"/>
      <c r="CX72" s="529"/>
      <c r="CY72" s="529"/>
      <c r="CZ72" s="529"/>
      <c r="DA72" s="529"/>
      <c r="DB72" s="529"/>
      <c r="DC72" s="529"/>
      <c r="DD72" s="529"/>
      <c r="DE72" s="529"/>
      <c r="DF72" s="529"/>
      <c r="DG72" s="529"/>
      <c r="DH72" s="529"/>
      <c r="DI72" s="529"/>
      <c r="DJ72" s="529"/>
      <c r="DK72" s="529"/>
      <c r="DL72" s="529"/>
      <c r="DM72" s="529"/>
      <c r="DN72" s="529"/>
    </row>
    <row r="73" spans="1:123">
      <c r="A73" s="618" t="s">
        <v>185</v>
      </c>
      <c r="B73" s="564"/>
      <c r="C73" s="624"/>
      <c r="D73" s="218"/>
      <c r="E73" s="218"/>
      <c r="F73" s="634"/>
      <c r="G73" s="622"/>
      <c r="H73" s="564"/>
      <c r="I73" s="624"/>
      <c r="J73" s="218"/>
      <c r="K73" s="218"/>
      <c r="L73" s="634"/>
      <c r="M73" s="622"/>
      <c r="N73" s="564"/>
      <c r="O73" s="624"/>
      <c r="P73" s="218"/>
      <c r="Q73" s="218"/>
      <c r="R73" s="634"/>
      <c r="S73" s="622"/>
      <c r="T73" s="541"/>
      <c r="U73" s="635"/>
      <c r="V73" s="311"/>
      <c r="W73" s="311"/>
      <c r="X73" s="636"/>
      <c r="Y73" s="637"/>
      <c r="Z73" s="311"/>
      <c r="AA73" s="635"/>
      <c r="AB73" s="311"/>
      <c r="AC73" s="311"/>
      <c r="AD73" s="636"/>
      <c r="AE73" s="637"/>
      <c r="AF73" s="311"/>
      <c r="AG73" s="2175">
        <f t="shared" ref="AG73:AJ73" si="181">AG65</f>
        <v>0.14000000000000001</v>
      </c>
      <c r="AH73" s="2176">
        <f t="shared" si="181"/>
        <v>0.02</v>
      </c>
      <c r="AI73" s="2176">
        <f t="shared" si="181"/>
        <v>-0.1</v>
      </c>
      <c r="AJ73" s="2176">
        <f t="shared" si="181"/>
        <v>-0.05</v>
      </c>
      <c r="AK73" s="641">
        <f>AVERAGE(AG73:AJ73)</f>
        <v>2.4999999999999988E-3</v>
      </c>
      <c r="AL73" s="1249"/>
      <c r="AM73" s="638">
        <f t="shared" si="167"/>
        <v>0.01</v>
      </c>
      <c r="AN73" s="1229">
        <f t="shared" si="178"/>
        <v>4.9836639439906655E-2</v>
      </c>
      <c r="AO73" s="1229">
        <f t="shared" si="178"/>
        <v>7.2528473804100227E-2</v>
      </c>
      <c r="AP73" s="1229">
        <f>+AP65-AP$23</f>
        <v>6.156677181913775E-2</v>
      </c>
      <c r="AQ73" s="331">
        <f t="shared" si="153"/>
        <v>4.8482971265786157E-2</v>
      </c>
      <c r="AR73" s="1515"/>
      <c r="AS73" s="1291">
        <f t="shared" si="154"/>
        <v>4.148225469728601E-2</v>
      </c>
      <c r="AT73" s="1290">
        <f t="shared" si="154"/>
        <v>2.617283950617284E-2</v>
      </c>
      <c r="AU73" s="1290">
        <f t="shared" si="154"/>
        <v>-5.1524710830704555E-4</v>
      </c>
      <c r="AV73" s="1292">
        <f t="shared" si="154"/>
        <v>1.8884501480750247E-2</v>
      </c>
      <c r="AW73" s="644">
        <f t="shared" si="155"/>
        <v>2.1506087143975512E-2</v>
      </c>
      <c r="AX73" s="1287"/>
      <c r="AY73" s="1289">
        <f t="shared" si="156"/>
        <v>3.968253968253968E-2</v>
      </c>
      <c r="AZ73" s="642">
        <f>+AZ65-AZ$23+1.5%</f>
        <v>-1.4999999999999999E-2</v>
      </c>
      <c r="BA73" s="642">
        <f t="shared" si="157"/>
        <v>-1.4633300297324084E-2</v>
      </c>
      <c r="BB73" s="642">
        <f t="shared" si="158"/>
        <v>0.01</v>
      </c>
      <c r="BC73" s="644">
        <f t="shared" si="159"/>
        <v>5.0123098463038997E-3</v>
      </c>
      <c r="BD73" s="642"/>
      <c r="BE73" s="645">
        <f t="shared" si="160"/>
        <v>-0.02</v>
      </c>
      <c r="BF73" s="642">
        <f t="shared" si="160"/>
        <v>-0.03</v>
      </c>
      <c r="BG73" s="642">
        <f t="shared" si="179"/>
        <v>-0.04</v>
      </c>
      <c r="BH73" s="642">
        <f t="shared" si="179"/>
        <v>-0.03</v>
      </c>
      <c r="BI73" s="331">
        <f t="shared" si="162"/>
        <v>-0.03</v>
      </c>
      <c r="BJ73" s="642"/>
      <c r="BK73" s="645">
        <f t="shared" si="163"/>
        <v>0.03</v>
      </c>
      <c r="BL73" s="642">
        <f t="shared" si="163"/>
        <v>0.14000000000000001</v>
      </c>
      <c r="BM73" s="642">
        <f t="shared" ref="BM73" si="182">+BM65</f>
        <v>0.1</v>
      </c>
      <c r="BN73" s="1966">
        <f>+BN65+0.6%</f>
        <v>0.156</v>
      </c>
      <c r="BO73" s="331">
        <f t="shared" si="165"/>
        <v>0.10650000000000001</v>
      </c>
      <c r="BP73" s="642"/>
      <c r="BQ73" s="2454">
        <f>+BQ65-0.6%-0.6%</f>
        <v>0.11799999999999999</v>
      </c>
      <c r="BR73" s="642"/>
      <c r="BS73" s="642"/>
      <c r="BT73" s="643"/>
      <c r="BU73" s="644"/>
      <c r="BV73" s="642"/>
      <c r="BW73" s="645"/>
      <c r="BX73" s="642"/>
      <c r="BY73" s="642"/>
      <c r="BZ73" s="643"/>
      <c r="CA73" s="644"/>
      <c r="CB73" s="642"/>
      <c r="CC73" s="645"/>
      <c r="CD73" s="642"/>
      <c r="CE73" s="642"/>
      <c r="CF73" s="643"/>
      <c r="CG73" s="644"/>
      <c r="CH73" s="642"/>
      <c r="CI73" s="645"/>
      <c r="CJ73" s="642"/>
      <c r="CK73" s="642"/>
      <c r="CL73" s="643"/>
      <c r="CM73" s="644"/>
      <c r="CN73" s="5"/>
      <c r="CO73" s="2460"/>
      <c r="CP73" s="529"/>
      <c r="CQ73" s="529"/>
      <c r="CR73" s="529"/>
      <c r="CS73" s="529"/>
      <c r="CT73" s="529"/>
      <c r="CU73" s="529"/>
      <c r="CV73" s="529"/>
      <c r="CW73" s="529"/>
      <c r="CX73" s="529"/>
      <c r="CY73" s="529"/>
      <c r="CZ73" s="529"/>
      <c r="DA73" s="529"/>
      <c r="DB73" s="529"/>
      <c r="DC73" s="529"/>
      <c r="DD73" s="529"/>
      <c r="DE73" s="529"/>
      <c r="DF73" s="529"/>
      <c r="DG73" s="529"/>
      <c r="DH73" s="529"/>
      <c r="DI73" s="529"/>
      <c r="DJ73" s="529"/>
      <c r="DK73" s="529"/>
      <c r="DL73" s="529"/>
      <c r="DM73" s="529"/>
      <c r="DN73" s="529"/>
    </row>
    <row r="74" spans="1:123">
      <c r="A74" s="618" t="s">
        <v>182</v>
      </c>
      <c r="B74" s="564"/>
      <c r="C74" s="624"/>
      <c r="D74" s="218"/>
      <c r="E74" s="218"/>
      <c r="F74" s="634"/>
      <c r="G74" s="622"/>
      <c r="H74" s="564"/>
      <c r="I74" s="624"/>
      <c r="J74" s="218"/>
      <c r="K74" s="218"/>
      <c r="L74" s="634"/>
      <c r="M74" s="622"/>
      <c r="N74" s="564"/>
      <c r="O74" s="624"/>
      <c r="P74" s="218"/>
      <c r="Q74" s="218"/>
      <c r="R74" s="634"/>
      <c r="S74" s="622"/>
      <c r="T74" s="541"/>
      <c r="U74" s="635"/>
      <c r="V74" s="311"/>
      <c r="W74" s="311"/>
      <c r="X74" s="636"/>
      <c r="Y74" s="637"/>
      <c r="Z74" s="311"/>
      <c r="AA74" s="635"/>
      <c r="AB74" s="311"/>
      <c r="AC74" s="311"/>
      <c r="AD74" s="636"/>
      <c r="AE74" s="637"/>
      <c r="AF74" s="311"/>
      <c r="AG74" s="2175">
        <f t="shared" ref="AG74:AJ74" si="183">AG66</f>
        <v>0.16</v>
      </c>
      <c r="AH74" s="2176">
        <f t="shared" si="183"/>
        <v>0.01</v>
      </c>
      <c r="AI74" s="2176">
        <f t="shared" si="183"/>
        <v>-0.06</v>
      </c>
      <c r="AJ74" s="2176">
        <f t="shared" si="183"/>
        <v>-2.4999999999999998E-2</v>
      </c>
      <c r="AK74" s="641">
        <f>AVERAGE(AG74:AJ74)</f>
        <v>2.1250000000000005E-2</v>
      </c>
      <c r="AL74" s="1249"/>
      <c r="AM74" s="638">
        <f t="shared" si="167"/>
        <v>-0.02</v>
      </c>
      <c r="AN74" s="1229">
        <f t="shared" si="178"/>
        <v>-5.0163360560093351E-2</v>
      </c>
      <c r="AO74" s="1229">
        <f t="shared" si="178"/>
        <v>-9.7471526195899771E-2</v>
      </c>
      <c r="AP74" s="1229">
        <f>+AP66-AP$23</f>
        <v>1.1566771819137749E-2</v>
      </c>
      <c r="AQ74" s="331">
        <f t="shared" si="153"/>
        <v>-3.9017028734213845E-2</v>
      </c>
      <c r="AR74" s="1515"/>
      <c r="AS74" s="1291">
        <f t="shared" si="154"/>
        <v>8.1482254697286025E-2</v>
      </c>
      <c r="AT74" s="1290">
        <f t="shared" si="154"/>
        <v>-4.3827160493827164E-2</v>
      </c>
      <c r="AU74" s="1290">
        <f t="shared" si="154"/>
        <v>0.13948475289169296</v>
      </c>
      <c r="AV74" s="1292">
        <f t="shared" si="154"/>
        <v>3.8884501480750247E-2</v>
      </c>
      <c r="AW74" s="644">
        <f t="shared" si="155"/>
        <v>5.400608714397552E-2</v>
      </c>
      <c r="AX74" s="1287"/>
      <c r="AY74" s="1289">
        <f t="shared" si="156"/>
        <v>5.9682539682539684E-2</v>
      </c>
      <c r="AZ74" s="642">
        <f>+AZ66-AZ$23+1.5%</f>
        <v>8.5000000000000006E-2</v>
      </c>
      <c r="BA74" s="642">
        <f t="shared" si="157"/>
        <v>0.14536669970267591</v>
      </c>
      <c r="BB74" s="642">
        <f t="shared" si="158"/>
        <v>0</v>
      </c>
      <c r="BC74" s="644">
        <f t="shared" si="159"/>
        <v>7.2512309846303899E-2</v>
      </c>
      <c r="BD74" s="642"/>
      <c r="BE74" s="645">
        <f t="shared" si="160"/>
        <v>0.06</v>
      </c>
      <c r="BF74" s="642">
        <f t="shared" si="160"/>
        <v>0.06</v>
      </c>
      <c r="BG74" s="642">
        <f t="shared" si="179"/>
        <v>0</v>
      </c>
      <c r="BH74" s="642">
        <f t="shared" si="179"/>
        <v>0.03</v>
      </c>
      <c r="BI74" s="331">
        <f t="shared" si="162"/>
        <v>3.7499999999999999E-2</v>
      </c>
      <c r="BJ74" s="642"/>
      <c r="BK74" s="645">
        <f t="shared" si="163"/>
        <v>-0.01</v>
      </c>
      <c r="BL74" s="642">
        <f t="shared" si="163"/>
        <v>7.0000000000000007E-2</v>
      </c>
      <c r="BM74" s="642">
        <f t="shared" ref="BM74" si="184">+BM66</f>
        <v>7.0000000000000007E-2</v>
      </c>
      <c r="BN74" s="1966">
        <f>+BN66+1.2%</f>
        <v>5.2000000000000005E-2</v>
      </c>
      <c r="BO74" s="331">
        <f t="shared" si="165"/>
        <v>4.5499999999999999E-2</v>
      </c>
      <c r="BP74" s="642"/>
      <c r="BQ74" s="2454">
        <f>+BQ66-1.3%-1.2%</f>
        <v>0.115</v>
      </c>
      <c r="BR74" s="642"/>
      <c r="BS74" s="642"/>
      <c r="BT74" s="643"/>
      <c r="BU74" s="644"/>
      <c r="BV74" s="642"/>
      <c r="BW74" s="645"/>
      <c r="BX74" s="642"/>
      <c r="BY74" s="642"/>
      <c r="BZ74" s="643"/>
      <c r="CA74" s="644"/>
      <c r="CB74" s="642"/>
      <c r="CC74" s="645"/>
      <c r="CD74" s="642"/>
      <c r="CE74" s="642"/>
      <c r="CF74" s="643"/>
      <c r="CG74" s="644"/>
      <c r="CH74" s="642"/>
      <c r="CI74" s="645"/>
      <c r="CJ74" s="642"/>
      <c r="CK74" s="642"/>
      <c r="CL74" s="643"/>
      <c r="CM74" s="644"/>
      <c r="CN74" s="642"/>
      <c r="CO74" s="2460"/>
      <c r="CP74" s="529"/>
      <c r="CQ74" s="529"/>
      <c r="CR74" s="529"/>
      <c r="CS74" s="529"/>
      <c r="CT74" s="529"/>
      <c r="CU74" s="529"/>
      <c r="CV74" s="529"/>
      <c r="CW74" s="529"/>
      <c r="CX74" s="529"/>
      <c r="CY74" s="529"/>
      <c r="CZ74" s="529"/>
      <c r="DA74" s="529"/>
      <c r="DB74" s="529"/>
      <c r="DC74" s="529"/>
      <c r="DD74" s="529"/>
      <c r="DE74" s="529"/>
      <c r="DF74" s="529"/>
      <c r="DG74" s="529"/>
      <c r="DH74" s="529"/>
      <c r="DI74" s="529"/>
      <c r="DJ74" s="529"/>
      <c r="DK74" s="529"/>
      <c r="DL74" s="529"/>
      <c r="DM74" s="529"/>
      <c r="DN74" s="529"/>
    </row>
    <row r="75" spans="1:123">
      <c r="A75" s="646" t="s">
        <v>183</v>
      </c>
      <c r="B75" s="539"/>
      <c r="C75" s="567"/>
      <c r="D75" s="568"/>
      <c r="E75" s="568"/>
      <c r="F75" s="569"/>
      <c r="G75" s="570"/>
      <c r="H75" s="647"/>
      <c r="I75" s="567"/>
      <c r="J75" s="568"/>
      <c r="K75" s="568"/>
      <c r="L75" s="569"/>
      <c r="M75" s="570"/>
      <c r="N75" s="647"/>
      <c r="O75" s="567"/>
      <c r="P75" s="568"/>
      <c r="Q75" s="568"/>
      <c r="R75" s="569"/>
      <c r="S75" s="570"/>
      <c r="T75" s="541"/>
      <c r="U75" s="567"/>
      <c r="V75" s="568"/>
      <c r="W75" s="568"/>
      <c r="X75" s="569"/>
      <c r="Y75" s="570"/>
      <c r="Z75" s="568"/>
      <c r="AA75" s="567"/>
      <c r="AB75" s="568"/>
      <c r="AC75" s="568"/>
      <c r="AD75" s="569"/>
      <c r="AE75" s="570"/>
      <c r="AF75" s="541"/>
      <c r="AG75" s="2177">
        <f t="shared" ref="AG75:AJ75" si="185">AG67</f>
        <v>0.14000000000000001</v>
      </c>
      <c r="AH75" s="1793">
        <f t="shared" si="185"/>
        <v>0.02</v>
      </c>
      <c r="AI75" s="1793">
        <f t="shared" si="185"/>
        <v>0.03</v>
      </c>
      <c r="AJ75" s="2178">
        <f t="shared" si="185"/>
        <v>2.5000000000000001E-2</v>
      </c>
      <c r="AK75" s="650">
        <f>AVERAGE(AG75:AJ75)</f>
        <v>5.3749999999999999E-2</v>
      </c>
      <c r="AL75" s="629"/>
      <c r="AM75" s="651">
        <f t="shared" si="167"/>
        <v>0.01</v>
      </c>
      <c r="AN75" s="1293">
        <f t="shared" si="178"/>
        <v>9.9836639439906658E-2</v>
      </c>
      <c r="AO75" s="1293">
        <f t="shared" si="178"/>
        <v>0.12252847380410023</v>
      </c>
      <c r="AP75" s="1294">
        <f>+AP67-AP$23</f>
        <v>8.1566771819137754E-2</v>
      </c>
      <c r="AQ75" s="2061">
        <f t="shared" si="153"/>
        <v>7.8482971265786156E-2</v>
      </c>
      <c r="AR75" s="1287"/>
      <c r="AS75" s="1295">
        <f t="shared" si="154"/>
        <v>0.15148225469728602</v>
      </c>
      <c r="AT75" s="1293">
        <f t="shared" si="154"/>
        <v>0.10617283950617284</v>
      </c>
      <c r="AU75" s="1293">
        <f t="shared" si="154"/>
        <v>2.9484752891692955E-2</v>
      </c>
      <c r="AV75" s="1296">
        <f t="shared" si="154"/>
        <v>4.8884501480750249E-2</v>
      </c>
      <c r="AW75" s="570">
        <f t="shared" si="155"/>
        <v>8.4006087143975519E-2</v>
      </c>
      <c r="AX75" s="1287"/>
      <c r="AY75" s="1295">
        <f t="shared" si="156"/>
        <v>8.9682539682539683E-2</v>
      </c>
      <c r="AZ75" s="1874">
        <f>+AZ67-AZ$23+1.5%</f>
        <v>1.4999999999999999E-2</v>
      </c>
      <c r="BA75" s="1874">
        <f t="shared" si="157"/>
        <v>5.5366699702675923E-2</v>
      </c>
      <c r="BB75" s="1874">
        <f t="shared" si="158"/>
        <v>0.04</v>
      </c>
      <c r="BC75" s="570">
        <f t="shared" si="159"/>
        <v>5.00123098463039E-2</v>
      </c>
      <c r="BD75" s="541"/>
      <c r="BE75" s="2156">
        <f t="shared" si="160"/>
        <v>-0.01</v>
      </c>
      <c r="BF75" s="1874">
        <f t="shared" si="160"/>
        <v>0.25</v>
      </c>
      <c r="BG75" s="1874">
        <f t="shared" si="179"/>
        <v>0.11</v>
      </c>
      <c r="BH75" s="1874">
        <f t="shared" si="179"/>
        <v>0.1</v>
      </c>
      <c r="BI75" s="2061">
        <f t="shared" si="162"/>
        <v>0.11249999999999999</v>
      </c>
      <c r="BJ75" s="541"/>
      <c r="BK75" s="2156">
        <f t="shared" si="163"/>
        <v>0.11</v>
      </c>
      <c r="BL75" s="568">
        <f t="shared" si="163"/>
        <v>0.01</v>
      </c>
      <c r="BM75" s="568">
        <f t="shared" ref="BM75" si="186">+BM67</f>
        <v>0.02</v>
      </c>
      <c r="BN75" s="568">
        <f>+BN67+1.3%</f>
        <v>0.113</v>
      </c>
      <c r="BO75" s="2061">
        <f t="shared" si="165"/>
        <v>6.3250000000000001E-2</v>
      </c>
      <c r="BP75" s="541"/>
      <c r="BQ75" s="2455">
        <f>+BQ67-1.4%-1.3%</f>
        <v>5.3000000000000005E-2</v>
      </c>
      <c r="BR75" s="568"/>
      <c r="BS75" s="568"/>
      <c r="BT75" s="569"/>
      <c r="BU75" s="570"/>
      <c r="BV75" s="541"/>
      <c r="BW75" s="567"/>
      <c r="BX75" s="568"/>
      <c r="BY75" s="568"/>
      <c r="BZ75" s="569"/>
      <c r="CA75" s="570"/>
      <c r="CB75" s="541"/>
      <c r="CC75" s="567"/>
      <c r="CD75" s="568"/>
      <c r="CE75" s="568"/>
      <c r="CF75" s="569"/>
      <c r="CG75" s="570"/>
      <c r="CH75" s="541"/>
      <c r="CI75" s="567"/>
      <c r="CJ75" s="568"/>
      <c r="CK75" s="568"/>
      <c r="CL75" s="569"/>
      <c r="CM75" s="570"/>
      <c r="CN75" s="642"/>
      <c r="CO75" s="174"/>
      <c r="CP75" s="174"/>
      <c r="CQ75" s="174"/>
      <c r="CR75" s="174"/>
      <c r="CS75" s="174"/>
      <c r="CT75" s="174"/>
      <c r="CU75" s="174"/>
      <c r="CV75" s="174"/>
      <c r="CW75" s="174"/>
      <c r="CX75" s="174"/>
      <c r="CY75" s="174"/>
      <c r="CZ75" s="174"/>
      <c r="DA75" s="174"/>
      <c r="DB75" s="174"/>
      <c r="DC75" s="6"/>
      <c r="DD75" s="6"/>
      <c r="DE75" s="6"/>
      <c r="DF75" s="6"/>
      <c r="DG75" s="6"/>
      <c r="DH75" s="6"/>
      <c r="DI75" s="6"/>
      <c r="DJ75" s="6"/>
    </row>
    <row r="76" spans="1:123">
      <c r="A76" s="539"/>
      <c r="B76" s="539"/>
      <c r="C76" s="541"/>
      <c r="D76" s="541"/>
      <c r="E76" s="541"/>
      <c r="F76" s="541"/>
      <c r="G76" s="541"/>
      <c r="H76" s="539"/>
      <c r="I76" s="541"/>
      <c r="J76" s="541"/>
      <c r="K76" s="541"/>
      <c r="L76" s="541"/>
      <c r="M76" s="541"/>
      <c r="N76" s="539"/>
      <c r="O76" s="541"/>
      <c r="P76" s="541"/>
      <c r="Q76" s="541"/>
      <c r="R76" s="541"/>
      <c r="S76" s="541"/>
      <c r="T76" s="541"/>
      <c r="U76" s="541"/>
      <c r="V76" s="541"/>
      <c r="W76" s="541"/>
      <c r="X76" s="541"/>
      <c r="Y76" s="541"/>
      <c r="Z76" s="541"/>
      <c r="AA76" s="541"/>
      <c r="AB76" s="541"/>
      <c r="AC76" s="541"/>
      <c r="AD76" s="541"/>
      <c r="AE76" s="541"/>
      <c r="AF76" s="541"/>
      <c r="AG76" s="625"/>
      <c r="AH76" s="629"/>
      <c r="AI76" s="625"/>
      <c r="AJ76" s="625"/>
      <c r="AK76" s="629"/>
      <c r="AL76" s="629"/>
      <c r="AM76" s="629">
        <f>+SUMPRODUCT(AM70:AM75,RevBuild!AM64:AM69)</f>
        <v>1.0350730688935283E-2</v>
      </c>
      <c r="AN76" s="629">
        <f>+SUMPRODUCT(AN70:AN75,RevBuild!AN64:AN69)</f>
        <v>3.4102253050405526E-2</v>
      </c>
      <c r="AO76" s="629">
        <f>+SUMPRODUCT(AO70:AO75,RevBuild!AO64:AO69)</f>
        <v>4.2679967136858704E-2</v>
      </c>
      <c r="AP76" s="629">
        <f>+SUMPRODUCT(AP70:AP75,RevBuild!AP64:AP69)</f>
        <v>7.970122394154644E-2</v>
      </c>
      <c r="AQ76" s="629"/>
      <c r="AR76" s="629"/>
      <c r="AS76" s="629"/>
      <c r="AT76" s="629"/>
      <c r="AU76" s="629"/>
      <c r="AV76" s="629"/>
      <c r="AW76" s="629"/>
      <c r="AX76" s="629"/>
      <c r="AY76" s="629"/>
      <c r="AZ76" s="541"/>
      <c r="BA76" s="541"/>
      <c r="BB76" s="541"/>
      <c r="BC76" s="541"/>
      <c r="BD76" s="541"/>
      <c r="BE76" s="541"/>
      <c r="BF76" s="541"/>
      <c r="BG76" s="541"/>
      <c r="BH76" s="541"/>
      <c r="BI76" s="541"/>
      <c r="BJ76" s="541"/>
      <c r="BK76" s="541"/>
      <c r="BL76" s="541"/>
      <c r="BM76" s="541"/>
      <c r="BN76" s="541"/>
      <c r="BO76" s="541"/>
      <c r="BP76" s="541"/>
      <c r="BQ76" s="541"/>
      <c r="BR76" s="541"/>
      <c r="BS76" s="541"/>
      <c r="BT76" s="541"/>
      <c r="BU76" s="541"/>
      <c r="BV76" s="541"/>
      <c r="BW76" s="541"/>
      <c r="BX76" s="541"/>
      <c r="BY76" s="541"/>
      <c r="BZ76" s="541"/>
      <c r="CA76" s="541"/>
      <c r="CB76" s="541"/>
      <c r="CC76" s="541"/>
      <c r="CD76" s="541"/>
      <c r="CE76" s="541"/>
      <c r="CF76" s="541"/>
      <c r="CG76" s="541"/>
      <c r="CH76" s="541"/>
      <c r="CI76" s="541"/>
      <c r="CJ76" s="541"/>
      <c r="CK76" s="541"/>
      <c r="CL76" s="541"/>
      <c r="CM76" s="541"/>
      <c r="CN76" s="642"/>
      <c r="CO76" s="174"/>
      <c r="CP76" s="174"/>
      <c r="CQ76" s="174"/>
      <c r="CR76" s="174"/>
      <c r="CS76" s="174"/>
      <c r="CT76" s="174"/>
      <c r="CU76" s="174"/>
      <c r="CV76" s="174"/>
      <c r="CW76" s="174"/>
      <c r="CX76" s="174"/>
      <c r="CY76" s="174"/>
      <c r="CZ76" s="174"/>
      <c r="DA76" s="174"/>
      <c r="DB76" s="174"/>
      <c r="DC76" s="2444"/>
      <c r="DD76" s="2444"/>
      <c r="DE76" s="2444"/>
      <c r="DF76" s="6"/>
      <c r="DG76" s="6"/>
      <c r="DH76" s="6"/>
      <c r="DI76" s="6"/>
      <c r="DJ76" s="6"/>
    </row>
    <row r="77" spans="1:123">
      <c r="A77" s="582" t="s">
        <v>237</v>
      </c>
      <c r="B77" s="513"/>
      <c r="C77" s="583"/>
      <c r="D77" s="584"/>
      <c r="E77" s="584"/>
      <c r="F77" s="585"/>
      <c r="G77" s="586"/>
      <c r="H77" s="513"/>
      <c r="I77" s="583"/>
      <c r="J77" s="584"/>
      <c r="K77" s="584"/>
      <c r="L77" s="585"/>
      <c r="M77" s="586"/>
      <c r="N77" s="513"/>
      <c r="O77" s="583"/>
      <c r="P77" s="584"/>
      <c r="Q77" s="584"/>
      <c r="R77" s="585"/>
      <c r="S77" s="586"/>
      <c r="T77" s="587"/>
      <c r="U77" s="583"/>
      <c r="V77" s="588"/>
      <c r="W77" s="588"/>
      <c r="X77" s="589"/>
      <c r="Y77" s="586"/>
      <c r="Z77" s="587"/>
      <c r="AA77" s="583"/>
      <c r="AB77" s="588"/>
      <c r="AC77" s="588"/>
      <c r="AD77" s="589"/>
      <c r="AE77" s="586"/>
      <c r="AF77" s="587"/>
      <c r="AG77" s="655"/>
      <c r="AH77" s="656"/>
      <c r="AI77" s="656"/>
      <c r="AJ77" s="657"/>
      <c r="AK77" s="586"/>
      <c r="AM77" s="655"/>
      <c r="AN77" s="656"/>
      <c r="AO77" s="656"/>
      <c r="AP77" s="656"/>
      <c r="AQ77" s="658"/>
      <c r="AR77" s="659"/>
      <c r="AS77" s="655"/>
      <c r="AT77" s="656"/>
      <c r="AU77" s="656"/>
      <c r="AV77" s="657"/>
      <c r="AW77" s="658"/>
      <c r="AX77" s="659"/>
      <c r="AY77" s="655"/>
      <c r="AZ77" s="591"/>
      <c r="BA77" s="591"/>
      <c r="BB77" s="591"/>
      <c r="BC77" s="593"/>
      <c r="BD77" s="515"/>
      <c r="BE77" s="590"/>
      <c r="BF77" s="591"/>
      <c r="BG77" s="591"/>
      <c r="BH77" s="591"/>
      <c r="BI77" s="593"/>
      <c r="BJ77" s="515"/>
      <c r="BK77" s="590"/>
      <c r="BL77" s="591"/>
      <c r="BM77" s="591"/>
      <c r="BN77" s="591"/>
      <c r="BO77" s="593"/>
      <c r="BP77" s="515"/>
      <c r="BQ77" s="590"/>
      <c r="BR77" s="591"/>
      <c r="BS77" s="591"/>
      <c r="BT77" s="592"/>
      <c r="BU77" s="593"/>
      <c r="BV77" s="515"/>
      <c r="BW77" s="590"/>
      <c r="BX77" s="591"/>
      <c r="BY77" s="591"/>
      <c r="BZ77" s="592"/>
      <c r="CA77" s="593"/>
      <c r="CB77" s="2121"/>
      <c r="CC77" s="590"/>
      <c r="CD77" s="591"/>
      <c r="CE77" s="591"/>
      <c r="CF77" s="592"/>
      <c r="CG77" s="593"/>
      <c r="CH77" s="2121"/>
      <c r="CI77" s="590"/>
      <c r="CJ77" s="591"/>
      <c r="CK77" s="591"/>
      <c r="CL77" s="592"/>
      <c r="CM77" s="593"/>
      <c r="CN77" s="642"/>
      <c r="CO77" s="174"/>
      <c r="CP77" s="174"/>
      <c r="CQ77" s="174"/>
      <c r="CR77" s="174"/>
      <c r="CS77" s="174"/>
      <c r="CT77" s="174"/>
      <c r="CU77" s="174"/>
      <c r="CV77" s="174"/>
      <c r="CW77" s="174"/>
      <c r="CX77" s="174"/>
      <c r="CY77" s="174"/>
      <c r="CZ77" s="174"/>
      <c r="DA77" s="174"/>
      <c r="DB77" s="174"/>
      <c r="DC77" s="2444"/>
      <c r="DD77" s="2444"/>
      <c r="DE77" s="2444"/>
      <c r="DF77" s="6"/>
      <c r="DG77" s="6"/>
      <c r="DH77" s="6"/>
      <c r="DI77" s="6"/>
      <c r="DJ77" s="6"/>
    </row>
    <row r="78" spans="1:123">
      <c r="A78" s="618" t="s">
        <v>178</v>
      </c>
      <c r="B78" s="564"/>
      <c r="C78" s="619"/>
      <c r="D78" s="620"/>
      <c r="E78" s="620"/>
      <c r="F78" s="621"/>
      <c r="G78" s="622"/>
      <c r="H78" s="564"/>
      <c r="I78" s="619"/>
      <c r="J78" s="620"/>
      <c r="K78" s="620"/>
      <c r="L78" s="621"/>
      <c r="M78" s="622"/>
      <c r="N78" s="564"/>
      <c r="O78" s="619"/>
      <c r="P78" s="620"/>
      <c r="Q78" s="620"/>
      <c r="R78" s="621"/>
      <c r="S78" s="622"/>
      <c r="T78" s="541"/>
      <c r="U78" s="619"/>
      <c r="V78" s="620"/>
      <c r="W78" s="620"/>
      <c r="X78" s="621"/>
      <c r="Y78" s="623"/>
      <c r="Z78" s="541"/>
      <c r="AA78" s="624"/>
      <c r="AB78" s="218"/>
      <c r="AC78" s="541"/>
      <c r="AD78" s="540"/>
      <c r="AE78" s="565"/>
      <c r="AF78" s="541"/>
      <c r="AG78" s="1691"/>
      <c r="AH78" s="1692"/>
      <c r="AI78" s="1692"/>
      <c r="AJ78" s="1692"/>
      <c r="AK78" s="628"/>
      <c r="AL78" s="629"/>
      <c r="AM78" s="630"/>
      <c r="AN78" s="627"/>
      <c r="AO78" s="627"/>
      <c r="AP78" s="627"/>
      <c r="AQ78" s="314"/>
      <c r="AR78" s="629"/>
      <c r="AS78" s="626">
        <f t="shared" ref="AS78:AV83" si="187">+AS70+AM70</f>
        <v>0.11148225469728602</v>
      </c>
      <c r="AT78" s="627">
        <f t="shared" si="187"/>
        <v>0.14600947894607949</v>
      </c>
      <c r="AU78" s="627">
        <f t="shared" si="187"/>
        <v>0.1520132266957932</v>
      </c>
      <c r="AV78" s="654">
        <f t="shared" si="187"/>
        <v>0.17045127329988802</v>
      </c>
      <c r="AW78" s="631"/>
      <c r="AX78" s="629"/>
      <c r="AY78" s="626">
        <f t="shared" ref="AY78:BH83" si="188">+AY70+AS70</f>
        <v>0.1911647943798257</v>
      </c>
      <c r="AZ78" s="627">
        <f t="shared" si="188"/>
        <v>0.16117283950617284</v>
      </c>
      <c r="BA78" s="627">
        <f t="shared" si="188"/>
        <v>0.20485145259436885</v>
      </c>
      <c r="BB78" s="627">
        <f t="shared" si="188"/>
        <v>0.24888450148075025</v>
      </c>
      <c r="BC78" s="2428">
        <f t="shared" si="188"/>
        <v>0.20151839699027943</v>
      </c>
      <c r="BD78" s="576"/>
      <c r="BE78" s="626">
        <f t="shared" si="188"/>
        <v>0.28968253968253965</v>
      </c>
      <c r="BF78" s="627">
        <f t="shared" si="188"/>
        <v>0.255</v>
      </c>
      <c r="BG78" s="627">
        <f t="shared" si="188"/>
        <v>0.2353666997026759</v>
      </c>
      <c r="BH78" s="627">
        <f t="shared" si="188"/>
        <v>0.35</v>
      </c>
      <c r="BI78" s="2428">
        <f t="shared" ref="BI78:BI83" si="189">+BI70+BC70</f>
        <v>0.28251230984630393</v>
      </c>
      <c r="BJ78" s="576"/>
      <c r="BK78" s="626">
        <f t="shared" ref="BK78:BQ83" si="190">+BK70+BE70</f>
        <v>0.26</v>
      </c>
      <c r="BL78" s="5">
        <f t="shared" si="190"/>
        <v>0.26</v>
      </c>
      <c r="BM78" s="5">
        <f t="shared" si="190"/>
        <v>0.2</v>
      </c>
      <c r="BN78" s="218">
        <f t="shared" si="190"/>
        <v>0.157</v>
      </c>
      <c r="BO78" s="2428">
        <f t="shared" si="190"/>
        <v>0.21925000000000003</v>
      </c>
      <c r="BP78" s="576"/>
      <c r="BQ78" s="2453">
        <f t="shared" si="190"/>
        <v>9.8000000000000004E-2</v>
      </c>
      <c r="BR78" s="5"/>
      <c r="BS78" s="5"/>
      <c r="BT78" s="632"/>
      <c r="BU78" s="633"/>
      <c r="BV78" s="576"/>
      <c r="BW78" s="330"/>
      <c r="BX78" s="5"/>
      <c r="BY78" s="5"/>
      <c r="BZ78" s="632"/>
      <c r="CA78" s="633"/>
      <c r="CB78" s="5"/>
      <c r="CC78" s="330"/>
      <c r="CD78" s="5"/>
      <c r="CE78" s="5"/>
      <c r="CF78" s="632"/>
      <c r="CG78" s="633"/>
      <c r="CH78" s="5"/>
      <c r="CI78" s="330"/>
      <c r="CJ78" s="5"/>
      <c r="CK78" s="5"/>
      <c r="CL78" s="632"/>
      <c r="CM78" s="633"/>
      <c r="CN78" s="541"/>
      <c r="CO78" s="174"/>
      <c r="CP78" s="174"/>
      <c r="CQ78" s="174"/>
      <c r="CR78" s="174"/>
      <c r="CS78" s="174"/>
      <c r="CT78" s="174"/>
      <c r="CU78" s="174"/>
      <c r="CV78" s="174"/>
      <c r="CW78" s="174"/>
      <c r="CX78" s="174"/>
      <c r="CY78" s="174"/>
      <c r="CZ78" s="174"/>
      <c r="DA78" s="174"/>
      <c r="DB78" s="174"/>
      <c r="DC78" s="2444"/>
      <c r="DD78" s="2444"/>
      <c r="DE78" s="2444"/>
      <c r="DF78" s="6"/>
      <c r="DG78" s="6"/>
      <c r="DH78" s="6"/>
      <c r="DI78" s="6"/>
      <c r="DJ78" s="6"/>
    </row>
    <row r="79" spans="1:123">
      <c r="A79" s="618" t="s">
        <v>179</v>
      </c>
      <c r="B79" s="564"/>
      <c r="C79" s="624"/>
      <c r="D79" s="218"/>
      <c r="E79" s="218"/>
      <c r="F79" s="634"/>
      <c r="G79" s="622"/>
      <c r="H79" s="564"/>
      <c r="I79" s="624"/>
      <c r="J79" s="218"/>
      <c r="K79" s="218"/>
      <c r="L79" s="634"/>
      <c r="M79" s="622"/>
      <c r="N79" s="564"/>
      <c r="O79" s="624"/>
      <c r="P79" s="218"/>
      <c r="Q79" s="218"/>
      <c r="R79" s="634"/>
      <c r="S79" s="622"/>
      <c r="T79" s="541"/>
      <c r="U79" s="635"/>
      <c r="V79" s="311"/>
      <c r="W79" s="311"/>
      <c r="X79" s="636"/>
      <c r="Y79" s="637"/>
      <c r="Z79" s="311"/>
      <c r="AA79" s="635"/>
      <c r="AB79" s="311"/>
      <c r="AC79" s="311"/>
      <c r="AD79" s="636"/>
      <c r="AE79" s="637"/>
      <c r="AF79" s="311"/>
      <c r="AG79" s="1693"/>
      <c r="AH79" s="1694"/>
      <c r="AI79" s="1694"/>
      <c r="AJ79" s="1694"/>
      <c r="AK79" s="641"/>
      <c r="AL79" s="1249"/>
      <c r="AM79" s="638"/>
      <c r="AN79" s="639"/>
      <c r="AO79" s="639"/>
      <c r="AP79" s="639"/>
      <c r="AQ79" s="641"/>
      <c r="AR79" s="1249"/>
      <c r="AS79" s="638">
        <f t="shared" si="187"/>
        <v>0.15148225469728602</v>
      </c>
      <c r="AT79" s="625">
        <f t="shared" si="187"/>
        <v>4.6172839506172847E-2</v>
      </c>
      <c r="AU79" s="625">
        <f t="shared" si="187"/>
        <v>0.16392666633132846</v>
      </c>
      <c r="AV79" s="640">
        <f t="shared" si="187"/>
        <v>0.19045127329988801</v>
      </c>
      <c r="AW79" s="631"/>
      <c r="AX79" s="629"/>
      <c r="AY79" s="638">
        <f t="shared" si="188"/>
        <v>0.11116479437982571</v>
      </c>
      <c r="AZ79" s="625">
        <f t="shared" si="188"/>
        <v>0.20117283950617285</v>
      </c>
      <c r="BA79" s="625">
        <f t="shared" si="188"/>
        <v>0.13485145259436887</v>
      </c>
      <c r="BB79" s="625">
        <f t="shared" si="188"/>
        <v>8.888450148075025E-2</v>
      </c>
      <c r="BC79" s="641">
        <f t="shared" si="188"/>
        <v>0.13401839699027943</v>
      </c>
      <c r="BD79" s="642"/>
      <c r="BE79" s="638">
        <f t="shared" si="188"/>
        <v>6.9682539682539679E-2</v>
      </c>
      <c r="BF79" s="625">
        <f t="shared" si="188"/>
        <v>0.19500000000000001</v>
      </c>
      <c r="BG79" s="625">
        <f t="shared" si="188"/>
        <v>0.12536669970267592</v>
      </c>
      <c r="BH79" s="625">
        <f t="shared" si="188"/>
        <v>0.15000000000000002</v>
      </c>
      <c r="BI79" s="641">
        <f t="shared" si="189"/>
        <v>0.13501230984630391</v>
      </c>
      <c r="BJ79" s="642"/>
      <c r="BK79" s="638">
        <f t="shared" si="190"/>
        <v>0.15000000000000002</v>
      </c>
      <c r="BL79" s="642">
        <f t="shared" si="190"/>
        <v>0.15000000000000002</v>
      </c>
      <c r="BM79" s="642">
        <f t="shared" si="190"/>
        <v>0.1</v>
      </c>
      <c r="BN79" s="1966">
        <f t="shared" si="190"/>
        <v>0.18</v>
      </c>
      <c r="BO79" s="641">
        <f t="shared" si="190"/>
        <v>0.14500000000000002</v>
      </c>
      <c r="BP79" s="642"/>
      <c r="BQ79" s="1235">
        <f t="shared" si="190"/>
        <v>0.109</v>
      </c>
      <c r="BR79" s="642"/>
      <c r="BS79" s="642"/>
      <c r="BT79" s="643"/>
      <c r="BU79" s="644"/>
      <c r="BV79" s="642"/>
      <c r="BW79" s="645"/>
      <c r="BX79" s="642"/>
      <c r="BY79" s="642"/>
      <c r="BZ79" s="643"/>
      <c r="CA79" s="644"/>
      <c r="CB79" s="642"/>
      <c r="CC79" s="645"/>
      <c r="CD79" s="642"/>
      <c r="CE79" s="642"/>
      <c r="CF79" s="643"/>
      <c r="CG79" s="644"/>
      <c r="CH79" s="642"/>
      <c r="CI79" s="645"/>
      <c r="CJ79" s="642"/>
      <c r="CK79" s="642"/>
      <c r="CL79" s="643"/>
      <c r="CM79" s="644"/>
      <c r="CN79" s="610"/>
      <c r="CO79" s="174"/>
      <c r="CP79" s="174"/>
      <c r="CQ79" s="174"/>
      <c r="CR79" s="174"/>
      <c r="CS79" s="174"/>
      <c r="CT79" s="174"/>
      <c r="CU79" s="174"/>
      <c r="CV79" s="174"/>
      <c r="CW79" s="174"/>
      <c r="CX79" s="174"/>
      <c r="CY79" s="174"/>
      <c r="CZ79" s="174"/>
      <c r="DA79" s="174"/>
      <c r="DB79" s="174"/>
      <c r="DC79" s="2444"/>
      <c r="DD79" s="2444"/>
      <c r="DE79" s="2444"/>
      <c r="DF79" s="6"/>
      <c r="DG79" s="6"/>
      <c r="DH79" s="6"/>
      <c r="DI79" s="6"/>
      <c r="DJ79" s="6"/>
    </row>
    <row r="80" spans="1:123">
      <c r="A80" s="618" t="s">
        <v>180</v>
      </c>
      <c r="B80" s="564"/>
      <c r="C80" s="624"/>
      <c r="D80" s="218"/>
      <c r="E80" s="218"/>
      <c r="F80" s="634"/>
      <c r="G80" s="622"/>
      <c r="H80" s="564"/>
      <c r="I80" s="624"/>
      <c r="J80" s="218"/>
      <c r="K80" s="218"/>
      <c r="L80" s="634"/>
      <c r="M80" s="622"/>
      <c r="N80" s="564"/>
      <c r="O80" s="624"/>
      <c r="P80" s="218"/>
      <c r="Q80" s="218"/>
      <c r="R80" s="634"/>
      <c r="S80" s="622"/>
      <c r="T80" s="541"/>
      <c r="U80" s="635"/>
      <c r="V80" s="311"/>
      <c r="W80" s="311"/>
      <c r="X80" s="636"/>
      <c r="Y80" s="637"/>
      <c r="Z80" s="311"/>
      <c r="AA80" s="635"/>
      <c r="AB80" s="311"/>
      <c r="AC80" s="311"/>
      <c r="AD80" s="636"/>
      <c r="AE80" s="637"/>
      <c r="AF80" s="311"/>
      <c r="AG80" s="1693"/>
      <c r="AH80" s="1694"/>
      <c r="AI80" s="1694"/>
      <c r="AJ80" s="1694"/>
      <c r="AK80" s="641"/>
      <c r="AL80" s="1249"/>
      <c r="AM80" s="638"/>
      <c r="AN80" s="639"/>
      <c r="AO80" s="639"/>
      <c r="AP80" s="639"/>
      <c r="AQ80" s="641"/>
      <c r="AR80" s="1249"/>
      <c r="AS80" s="638">
        <f t="shared" si="187"/>
        <v>-8.8517745302713988E-2</v>
      </c>
      <c r="AT80" s="625">
        <f t="shared" si="187"/>
        <v>-8.3990521053920505E-2</v>
      </c>
      <c r="AU80" s="625">
        <f t="shared" si="187"/>
        <v>-2.7986773304206822E-2</v>
      </c>
      <c r="AV80" s="640">
        <f t="shared" si="187"/>
        <v>0.100451273299888</v>
      </c>
      <c r="AW80" s="631"/>
      <c r="AX80" s="629"/>
      <c r="AY80" s="638">
        <f t="shared" si="188"/>
        <v>-3.8835205620174305E-2</v>
      </c>
      <c r="AZ80" s="625">
        <f t="shared" si="188"/>
        <v>-6.8827160493827158E-2</v>
      </c>
      <c r="BA80" s="625">
        <f t="shared" si="188"/>
        <v>6.4851452594368877E-2</v>
      </c>
      <c r="BB80" s="625">
        <f t="shared" si="188"/>
        <v>8.8845014807502481E-3</v>
      </c>
      <c r="BC80" s="641">
        <f t="shared" si="188"/>
        <v>-8.481603009720581E-3</v>
      </c>
      <c r="BD80" s="642"/>
      <c r="BE80" s="638">
        <f t="shared" si="188"/>
        <v>8.9682539682539683E-2</v>
      </c>
      <c r="BF80" s="625">
        <f t="shared" si="188"/>
        <v>5.5000000000000007E-2</v>
      </c>
      <c r="BG80" s="625">
        <f t="shared" si="188"/>
        <v>-1.4633300297324084E-2</v>
      </c>
      <c r="BH80" s="625">
        <f t="shared" si="188"/>
        <v>-0.06</v>
      </c>
      <c r="BI80" s="641">
        <f t="shared" si="189"/>
        <v>1.7512309846303899E-2</v>
      </c>
      <c r="BJ80" s="642"/>
      <c r="BK80" s="638">
        <f t="shared" si="190"/>
        <v>0.03</v>
      </c>
      <c r="BL80" s="642">
        <f t="shared" si="190"/>
        <v>0.05</v>
      </c>
      <c r="BM80" s="642">
        <f t="shared" si="190"/>
        <v>-2.0000000000000004E-2</v>
      </c>
      <c r="BN80" s="1966">
        <f t="shared" si="190"/>
        <v>0.11600000000000001</v>
      </c>
      <c r="BO80" s="641">
        <f t="shared" si="190"/>
        <v>4.4000000000000004E-2</v>
      </c>
      <c r="BP80" s="642"/>
      <c r="BQ80" s="1235">
        <f t="shared" si="190"/>
        <v>6.7000000000000004E-2</v>
      </c>
      <c r="BR80" s="642"/>
      <c r="BS80" s="642"/>
      <c r="BT80" s="643"/>
      <c r="BU80" s="644"/>
      <c r="BV80" s="642"/>
      <c r="BW80" s="645"/>
      <c r="BX80" s="642"/>
      <c r="BY80" s="642"/>
      <c r="BZ80" s="643"/>
      <c r="CA80" s="644"/>
      <c r="CB80" s="642"/>
      <c r="CC80" s="645"/>
      <c r="CD80" s="642"/>
      <c r="CE80" s="642"/>
      <c r="CF80" s="643"/>
      <c r="CG80" s="644"/>
      <c r="CH80" s="642"/>
      <c r="CI80" s="645"/>
      <c r="CJ80" s="642"/>
      <c r="CK80" s="642"/>
      <c r="CL80" s="643"/>
      <c r="CM80" s="644"/>
      <c r="CN80" s="174"/>
      <c r="CO80" s="174"/>
      <c r="CP80" s="174"/>
      <c r="CQ80" s="174"/>
      <c r="CR80" s="174"/>
      <c r="CS80" s="174"/>
      <c r="CT80" s="174"/>
      <c r="CU80" s="174"/>
      <c r="CV80" s="174"/>
      <c r="CW80" s="174"/>
      <c r="CX80" s="174"/>
      <c r="CY80" s="174"/>
      <c r="CZ80" s="174"/>
      <c r="DA80" s="174"/>
      <c r="DB80" s="174"/>
      <c r="DC80" s="2444"/>
      <c r="DD80" s="2444"/>
      <c r="DE80" s="2444"/>
      <c r="DF80" s="6"/>
      <c r="DG80" s="6"/>
      <c r="DH80" s="6"/>
      <c r="DI80" s="6"/>
      <c r="DJ80" s="6"/>
      <c r="DS80" s="174"/>
    </row>
    <row r="81" spans="1:132">
      <c r="A81" s="618" t="s">
        <v>185</v>
      </c>
      <c r="B81" s="564"/>
      <c r="C81" s="624"/>
      <c r="D81" s="218"/>
      <c r="E81" s="218"/>
      <c r="F81" s="634"/>
      <c r="G81" s="622"/>
      <c r="H81" s="564"/>
      <c r="I81" s="624"/>
      <c r="J81" s="218"/>
      <c r="K81" s="218"/>
      <c r="L81" s="634"/>
      <c r="M81" s="622"/>
      <c r="N81" s="564"/>
      <c r="O81" s="624"/>
      <c r="P81" s="218"/>
      <c r="Q81" s="218"/>
      <c r="R81" s="634"/>
      <c r="S81" s="622"/>
      <c r="T81" s="541"/>
      <c r="U81" s="635"/>
      <c r="V81" s="311"/>
      <c r="W81" s="311"/>
      <c r="X81" s="636"/>
      <c r="Y81" s="637"/>
      <c r="Z81" s="311"/>
      <c r="AA81" s="635"/>
      <c r="AB81" s="311"/>
      <c r="AC81" s="311"/>
      <c r="AD81" s="636"/>
      <c r="AE81" s="637"/>
      <c r="AF81" s="311"/>
      <c r="AG81" s="1693"/>
      <c r="AH81" s="1694"/>
      <c r="AI81" s="1694"/>
      <c r="AJ81" s="1694"/>
      <c r="AK81" s="641"/>
      <c r="AL81" s="1249"/>
      <c r="AM81" s="638"/>
      <c r="AN81" s="639"/>
      <c r="AO81" s="639"/>
      <c r="AP81" s="639"/>
      <c r="AQ81" s="641"/>
      <c r="AR81" s="1249"/>
      <c r="AS81" s="638">
        <f t="shared" si="187"/>
        <v>5.1482254697286012E-2</v>
      </c>
      <c r="AT81" s="625">
        <f t="shared" si="187"/>
        <v>7.6009478946079498E-2</v>
      </c>
      <c r="AU81" s="625">
        <f t="shared" si="187"/>
        <v>7.2013226695793187E-2</v>
      </c>
      <c r="AV81" s="640">
        <f t="shared" si="187"/>
        <v>8.0451273299887993E-2</v>
      </c>
      <c r="AW81" s="631"/>
      <c r="AX81" s="629"/>
      <c r="AY81" s="638">
        <f t="shared" si="188"/>
        <v>8.1164794379825683E-2</v>
      </c>
      <c r="AZ81" s="625">
        <f t="shared" si="188"/>
        <v>1.117283950617284E-2</v>
      </c>
      <c r="BA81" s="625">
        <f t="shared" si="188"/>
        <v>-1.5148547405631129E-2</v>
      </c>
      <c r="BB81" s="625">
        <f t="shared" si="188"/>
        <v>2.8884501480750245E-2</v>
      </c>
      <c r="BC81" s="641">
        <f t="shared" si="188"/>
        <v>2.6518396990279414E-2</v>
      </c>
      <c r="BD81" s="642"/>
      <c r="BE81" s="638">
        <f t="shared" si="188"/>
        <v>1.968253968253968E-2</v>
      </c>
      <c r="BF81" s="625">
        <f t="shared" si="188"/>
        <v>-4.4999999999999998E-2</v>
      </c>
      <c r="BG81" s="625">
        <f t="shared" si="188"/>
        <v>-5.4633300297324085E-2</v>
      </c>
      <c r="BH81" s="625">
        <f t="shared" si="188"/>
        <v>-1.9999999999999997E-2</v>
      </c>
      <c r="BI81" s="641">
        <f t="shared" si="189"/>
        <v>-2.4987690153696097E-2</v>
      </c>
      <c r="BJ81" s="642"/>
      <c r="BK81" s="638">
        <f t="shared" si="190"/>
        <v>9.9999999999999985E-3</v>
      </c>
      <c r="BL81" s="642">
        <f t="shared" si="190"/>
        <v>0.11000000000000001</v>
      </c>
      <c r="BM81" s="642">
        <f t="shared" si="190"/>
        <v>6.0000000000000005E-2</v>
      </c>
      <c r="BN81" s="1966">
        <f t="shared" si="190"/>
        <v>0.126</v>
      </c>
      <c r="BO81" s="641">
        <f t="shared" si="190"/>
        <v>7.6500000000000012E-2</v>
      </c>
      <c r="BP81" s="642"/>
      <c r="BQ81" s="1235">
        <f t="shared" si="190"/>
        <v>0.14799999999999999</v>
      </c>
      <c r="BR81" s="642"/>
      <c r="BS81" s="642"/>
      <c r="BT81" s="643"/>
      <c r="BU81" s="644"/>
      <c r="BV81" s="642"/>
      <c r="BW81" s="645"/>
      <c r="BX81" s="642"/>
      <c r="BY81" s="642"/>
      <c r="BZ81" s="643"/>
      <c r="CA81" s="644"/>
      <c r="CB81" s="642"/>
      <c r="CC81" s="645"/>
      <c r="CD81" s="642"/>
      <c r="CE81" s="642"/>
      <c r="CF81" s="643"/>
      <c r="CG81" s="644"/>
      <c r="CH81" s="642"/>
      <c r="CI81" s="645"/>
      <c r="CJ81" s="642"/>
      <c r="CK81" s="642"/>
      <c r="CL81" s="643"/>
      <c r="CM81" s="644"/>
      <c r="CN81" s="174"/>
      <c r="CP81" s="174"/>
      <c r="CQ81" s="174"/>
      <c r="CR81" s="174"/>
      <c r="CS81" s="174"/>
      <c r="CT81" s="174"/>
      <c r="CU81" s="174"/>
      <c r="CV81" s="174"/>
      <c r="CW81" s="174"/>
      <c r="CX81" s="174"/>
      <c r="CY81" s="174"/>
      <c r="CZ81" s="174"/>
      <c r="DA81" s="174"/>
      <c r="DB81" s="174"/>
      <c r="DC81" s="6"/>
      <c r="DE81" s="6"/>
      <c r="DF81" s="6"/>
      <c r="DG81" s="6"/>
      <c r="DH81" s="6"/>
      <c r="DI81" s="6"/>
      <c r="DJ81" s="6"/>
      <c r="DS81" s="2448"/>
      <c r="DT81" s="2448"/>
      <c r="DU81" s="2448"/>
      <c r="DV81" s="2448"/>
      <c r="DW81" s="2448"/>
      <c r="DY81" s="2448"/>
      <c r="DZ81" s="2448"/>
      <c r="EA81" s="2448"/>
      <c r="EB81" s="2448"/>
    </row>
    <row r="82" spans="1:132">
      <c r="A82" s="618" t="s">
        <v>182</v>
      </c>
      <c r="B82" s="564"/>
      <c r="C82" s="624"/>
      <c r="D82" s="218"/>
      <c r="E82" s="218"/>
      <c r="F82" s="634"/>
      <c r="G82" s="622"/>
      <c r="H82" s="564"/>
      <c r="I82" s="624"/>
      <c r="J82" s="218"/>
      <c r="K82" s="218"/>
      <c r="L82" s="634"/>
      <c r="M82" s="622"/>
      <c r="N82" s="564"/>
      <c r="O82" s="624"/>
      <c r="P82" s="218"/>
      <c r="Q82" s="218"/>
      <c r="R82" s="634"/>
      <c r="S82" s="622"/>
      <c r="T82" s="541"/>
      <c r="U82" s="635"/>
      <c r="V82" s="311"/>
      <c r="W82" s="311"/>
      <c r="X82" s="636"/>
      <c r="Y82" s="637"/>
      <c r="Z82" s="311"/>
      <c r="AA82" s="635"/>
      <c r="AB82" s="311"/>
      <c r="AC82" s="311"/>
      <c r="AD82" s="636"/>
      <c r="AE82" s="637"/>
      <c r="AF82" s="311"/>
      <c r="AG82" s="1693"/>
      <c r="AH82" s="1694"/>
      <c r="AI82" s="1694"/>
      <c r="AJ82" s="1694"/>
      <c r="AK82" s="641"/>
      <c r="AL82" s="1249"/>
      <c r="AM82" s="638"/>
      <c r="AN82" s="639"/>
      <c r="AO82" s="639"/>
      <c r="AP82" s="639"/>
      <c r="AQ82" s="641"/>
      <c r="AR82" s="1249"/>
      <c r="AS82" s="638">
        <f t="shared" si="187"/>
        <v>6.1482254697286021E-2</v>
      </c>
      <c r="AT82" s="625">
        <f t="shared" si="187"/>
        <v>-9.3990521053920514E-2</v>
      </c>
      <c r="AU82" s="625">
        <f t="shared" si="187"/>
        <v>4.2013226695793188E-2</v>
      </c>
      <c r="AV82" s="640">
        <f t="shared" si="187"/>
        <v>5.0451273299887994E-2</v>
      </c>
      <c r="AW82" s="631"/>
      <c r="AX82" s="629"/>
      <c r="AY82" s="638">
        <f t="shared" si="188"/>
        <v>0.14116479437982571</v>
      </c>
      <c r="AZ82" s="625">
        <f t="shared" si="188"/>
        <v>4.1172839506172842E-2</v>
      </c>
      <c r="BA82" s="625">
        <f t="shared" si="188"/>
        <v>0.28485145259436884</v>
      </c>
      <c r="BB82" s="625">
        <f t="shared" si="188"/>
        <v>3.8884501480750247E-2</v>
      </c>
      <c r="BC82" s="641">
        <f t="shared" si="188"/>
        <v>0.12651839699027942</v>
      </c>
      <c r="BD82" s="642"/>
      <c r="BE82" s="638">
        <f t="shared" si="188"/>
        <v>0.11968253968253968</v>
      </c>
      <c r="BF82" s="625">
        <f t="shared" si="188"/>
        <v>0.14500000000000002</v>
      </c>
      <c r="BG82" s="625">
        <f t="shared" si="188"/>
        <v>0.14536669970267591</v>
      </c>
      <c r="BH82" s="625">
        <f t="shared" si="188"/>
        <v>0.03</v>
      </c>
      <c r="BI82" s="641">
        <f t="shared" si="189"/>
        <v>0.11001230984630389</v>
      </c>
      <c r="BJ82" s="642"/>
      <c r="BK82" s="638">
        <f t="shared" si="190"/>
        <v>4.9999999999999996E-2</v>
      </c>
      <c r="BL82" s="642">
        <f t="shared" si="190"/>
        <v>0.13</v>
      </c>
      <c r="BM82" s="642">
        <f t="shared" si="190"/>
        <v>7.0000000000000007E-2</v>
      </c>
      <c r="BN82" s="1966">
        <f t="shared" si="190"/>
        <v>8.2000000000000003E-2</v>
      </c>
      <c r="BO82" s="641">
        <f t="shared" si="190"/>
        <v>8.299999999999999E-2</v>
      </c>
      <c r="BP82" s="642"/>
      <c r="BQ82" s="1235">
        <f t="shared" si="190"/>
        <v>0.10500000000000001</v>
      </c>
      <c r="BR82" s="642"/>
      <c r="BS82" s="642"/>
      <c r="BT82" s="643"/>
      <c r="BU82" s="644"/>
      <c r="BV82" s="642"/>
      <c r="BW82" s="645"/>
      <c r="BX82" s="642"/>
      <c r="BY82" s="642"/>
      <c r="BZ82" s="643"/>
      <c r="CA82" s="644"/>
      <c r="CB82" s="642"/>
      <c r="CC82" s="645"/>
      <c r="CD82" s="642"/>
      <c r="CE82" s="642"/>
      <c r="CF82" s="643"/>
      <c r="CG82" s="644"/>
      <c r="CH82" s="642"/>
      <c r="CI82" s="645"/>
      <c r="CJ82" s="642"/>
      <c r="CK82" s="642"/>
      <c r="CL82" s="643"/>
      <c r="CM82" s="644"/>
      <c r="CN82" s="174"/>
      <c r="CP82" s="174"/>
      <c r="CQ82" s="174"/>
      <c r="CR82" s="174"/>
      <c r="CS82" s="174"/>
      <c r="CT82" s="174"/>
      <c r="CU82" s="174"/>
      <c r="CV82" s="174"/>
      <c r="CW82" s="174"/>
      <c r="CX82" s="174"/>
      <c r="CY82" s="174"/>
      <c r="CZ82" s="174"/>
      <c r="DA82" s="174"/>
      <c r="DB82" s="174"/>
      <c r="DC82" s="2449"/>
      <c r="DE82" s="6"/>
      <c r="DG82" s="6"/>
      <c r="DH82" s="6"/>
      <c r="DI82" s="6"/>
      <c r="DJ82" s="6"/>
      <c r="DS82" s="2449"/>
      <c r="DT82" s="2449"/>
      <c r="DU82" s="2449"/>
      <c r="DV82" s="2449"/>
      <c r="DW82" s="2449"/>
      <c r="DX82" s="2449"/>
      <c r="DY82" s="2449"/>
    </row>
    <row r="83" spans="1:132">
      <c r="A83" s="646" t="s">
        <v>183</v>
      </c>
      <c r="B83" s="539"/>
      <c r="C83" s="567"/>
      <c r="D83" s="568"/>
      <c r="E83" s="568"/>
      <c r="F83" s="569"/>
      <c r="G83" s="570"/>
      <c r="H83" s="647"/>
      <c r="I83" s="567"/>
      <c r="J83" s="568"/>
      <c r="K83" s="568"/>
      <c r="L83" s="569"/>
      <c r="M83" s="570"/>
      <c r="N83" s="647"/>
      <c r="O83" s="567"/>
      <c r="P83" s="568"/>
      <c r="Q83" s="568"/>
      <c r="R83" s="569"/>
      <c r="S83" s="570"/>
      <c r="T83" s="541"/>
      <c r="U83" s="567"/>
      <c r="V83" s="568"/>
      <c r="W83" s="568"/>
      <c r="X83" s="569"/>
      <c r="Y83" s="570"/>
      <c r="Z83" s="568"/>
      <c r="AA83" s="567"/>
      <c r="AB83" s="568"/>
      <c r="AC83" s="568"/>
      <c r="AD83" s="569"/>
      <c r="AE83" s="570"/>
      <c r="AF83" s="541"/>
      <c r="AG83" s="1695"/>
      <c r="AH83" s="1696"/>
      <c r="AI83" s="1696"/>
      <c r="AJ83" s="1697"/>
      <c r="AK83" s="650"/>
      <c r="AL83" s="629"/>
      <c r="AM83" s="651"/>
      <c r="AN83" s="652"/>
      <c r="AO83" s="652"/>
      <c r="AP83" s="648"/>
      <c r="AQ83" s="653"/>
      <c r="AR83" s="629"/>
      <c r="AS83" s="651">
        <f t="shared" si="187"/>
        <v>0.16148225469728603</v>
      </c>
      <c r="AT83" s="652">
        <f t="shared" si="187"/>
        <v>0.20600947894607952</v>
      </c>
      <c r="AU83" s="652">
        <f t="shared" si="187"/>
        <v>0.15201322669579317</v>
      </c>
      <c r="AV83" s="649">
        <f t="shared" si="187"/>
        <v>0.13045127329988801</v>
      </c>
      <c r="AW83" s="650"/>
      <c r="AX83" s="629"/>
      <c r="AY83" s="651">
        <f t="shared" si="188"/>
        <v>0.24116479437982569</v>
      </c>
      <c r="AZ83" s="652">
        <f t="shared" si="188"/>
        <v>0.12117283950617284</v>
      </c>
      <c r="BA83" s="652">
        <f t="shared" si="188"/>
        <v>8.4851452594368881E-2</v>
      </c>
      <c r="BB83" s="652">
        <f t="shared" si="188"/>
        <v>8.888450148075025E-2</v>
      </c>
      <c r="BC83" s="650">
        <f t="shared" si="188"/>
        <v>0.13401839699027943</v>
      </c>
      <c r="BD83" s="541"/>
      <c r="BE83" s="651">
        <f t="shared" si="188"/>
        <v>7.9682539682539688E-2</v>
      </c>
      <c r="BF83" s="652">
        <f t="shared" si="188"/>
        <v>0.26500000000000001</v>
      </c>
      <c r="BG83" s="652">
        <f t="shared" si="188"/>
        <v>0.16536669970267592</v>
      </c>
      <c r="BH83" s="652">
        <f t="shared" si="188"/>
        <v>0.14000000000000001</v>
      </c>
      <c r="BI83" s="650">
        <f t="shared" si="189"/>
        <v>0.16251230984630388</v>
      </c>
      <c r="BJ83" s="541"/>
      <c r="BK83" s="651">
        <f t="shared" si="190"/>
        <v>0.1</v>
      </c>
      <c r="BL83" s="2348">
        <f t="shared" si="190"/>
        <v>0.26</v>
      </c>
      <c r="BM83" s="2348">
        <f t="shared" si="190"/>
        <v>0.13</v>
      </c>
      <c r="BN83" s="568">
        <f t="shared" si="190"/>
        <v>0.21300000000000002</v>
      </c>
      <c r="BO83" s="650">
        <f t="shared" si="190"/>
        <v>0.17574999999999999</v>
      </c>
      <c r="BP83" s="541"/>
      <c r="BQ83" s="2456">
        <f t="shared" si="190"/>
        <v>0.16300000000000001</v>
      </c>
      <c r="BR83" s="568"/>
      <c r="BS83" s="568"/>
      <c r="BT83" s="569"/>
      <c r="BU83" s="570"/>
      <c r="BV83" s="541"/>
      <c r="BW83" s="567"/>
      <c r="BX83" s="568"/>
      <c r="BY83" s="568"/>
      <c r="BZ83" s="569"/>
      <c r="CA83" s="570"/>
      <c r="CB83" s="541"/>
      <c r="CC83" s="567"/>
      <c r="CD83" s="568"/>
      <c r="CE83" s="568"/>
      <c r="CF83" s="569"/>
      <c r="CG83" s="570"/>
      <c r="CH83" s="541"/>
      <c r="CI83" s="567"/>
      <c r="CJ83" s="568"/>
      <c r="CK83" s="568"/>
      <c r="CL83" s="569"/>
      <c r="CM83" s="570"/>
      <c r="CN83" s="174"/>
      <c r="CO83" s="2450"/>
      <c r="CP83" s="2448"/>
      <c r="CQ83" s="2448"/>
      <c r="CR83" s="2448"/>
      <c r="CS83" s="2448"/>
      <c r="CT83" s="2448"/>
      <c r="CU83" s="2448"/>
      <c r="CV83" s="2448"/>
      <c r="CW83" s="2448"/>
      <c r="CX83" s="2448"/>
      <c r="CY83" s="2448"/>
      <c r="CZ83" s="2448"/>
      <c r="DA83" s="2448"/>
      <c r="DB83" s="2450"/>
      <c r="DC83" s="1953"/>
      <c r="DD83" s="1953"/>
      <c r="DE83" s="6"/>
      <c r="DF83" s="1953"/>
      <c r="DG83" s="6"/>
      <c r="DH83" s="6"/>
      <c r="DI83" s="6"/>
      <c r="DJ83" s="6"/>
      <c r="DY83" s="2452"/>
    </row>
    <row r="84" spans="1:132">
      <c r="B84" s="79"/>
      <c r="C84" s="6"/>
      <c r="D84" s="6"/>
      <c r="E84" s="6"/>
      <c r="F84" s="6"/>
      <c r="G84" s="6"/>
      <c r="H84" s="79"/>
      <c r="I84" s="6"/>
      <c r="J84" s="6"/>
      <c r="K84" s="6"/>
      <c r="L84" s="6"/>
      <c r="M84" s="6"/>
      <c r="N84" s="79"/>
      <c r="O84" s="6"/>
      <c r="P84" s="6"/>
      <c r="Q84" s="6"/>
      <c r="R84" s="6"/>
      <c r="S84" s="6"/>
      <c r="T84" s="79"/>
      <c r="U84" s="6"/>
      <c r="V84" s="6"/>
      <c r="W84" s="6"/>
      <c r="X84" s="6"/>
      <c r="Y84" s="6"/>
      <c r="Z84" s="79"/>
      <c r="AA84" s="6"/>
      <c r="AB84" s="6"/>
      <c r="AC84" s="6"/>
      <c r="AD84" s="6"/>
      <c r="AE84" s="6"/>
      <c r="AF84" s="79"/>
      <c r="AG84" s="6"/>
      <c r="AH84" s="6"/>
      <c r="AI84" s="6"/>
      <c r="AJ84" s="6"/>
      <c r="AK84" s="6"/>
      <c r="AL84" s="79"/>
      <c r="AM84" s="6"/>
      <c r="AN84" s="6"/>
      <c r="AO84" s="6"/>
      <c r="AP84" s="6"/>
      <c r="AQ84" s="6"/>
      <c r="AR84" s="79"/>
      <c r="AS84" s="6"/>
      <c r="AT84" s="6"/>
      <c r="AV84" s="6"/>
      <c r="AW84" s="6"/>
      <c r="AX84" s="79"/>
      <c r="AY84" s="6"/>
      <c r="AZ84" s="6"/>
      <c r="BA84" s="6"/>
      <c r="BB84" s="6"/>
      <c r="BC84" s="6"/>
      <c r="BD84" s="79"/>
      <c r="BE84" s="6"/>
      <c r="BF84" s="6"/>
      <c r="BG84" s="6"/>
      <c r="BH84" s="6"/>
      <c r="BI84" s="6"/>
      <c r="BJ84" s="79"/>
      <c r="BK84" s="6"/>
      <c r="BL84" s="6"/>
      <c r="BM84" s="6"/>
      <c r="BN84" s="6"/>
      <c r="BO84" s="6"/>
      <c r="BP84" s="79"/>
      <c r="BQ84" s="6"/>
      <c r="BR84" s="6"/>
      <c r="BS84" s="6"/>
      <c r="BT84" s="6"/>
      <c r="BU84" s="6"/>
      <c r="BV84" s="79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2451"/>
      <c r="DC84" s="1953"/>
      <c r="DD84" s="1953"/>
      <c r="DE84" s="6"/>
      <c r="DF84" s="6"/>
      <c r="DG84" s="6"/>
      <c r="DH84" s="6"/>
      <c r="DI84" s="6"/>
      <c r="DJ84" s="6"/>
      <c r="DY84" s="2449"/>
    </row>
    <row r="85" spans="1:132">
      <c r="A85" s="382" t="s">
        <v>238</v>
      </c>
      <c r="B85" s="133"/>
      <c r="C85" s="660"/>
      <c r="D85" s="661"/>
      <c r="E85" s="661"/>
      <c r="F85" s="662"/>
      <c r="G85" s="663"/>
      <c r="H85" s="133"/>
      <c r="I85" s="660"/>
      <c r="J85" s="661"/>
      <c r="K85" s="661"/>
      <c r="L85" s="662"/>
      <c r="M85" s="663"/>
      <c r="N85" s="133"/>
      <c r="O85" s="660"/>
      <c r="P85" s="661"/>
      <c r="Q85" s="661"/>
      <c r="R85" s="662"/>
      <c r="S85" s="663"/>
      <c r="T85" s="133"/>
      <c r="U85" s="660"/>
      <c r="V85" s="661"/>
      <c r="W85" s="661"/>
      <c r="X85" s="662"/>
      <c r="Y85" s="663"/>
      <c r="Z85" s="133"/>
      <c r="AA85" s="660"/>
      <c r="AB85" s="661"/>
      <c r="AC85" s="661"/>
      <c r="AD85" s="662"/>
      <c r="AE85" s="663"/>
      <c r="AF85" s="133"/>
      <c r="AG85" s="660"/>
      <c r="AH85" s="661"/>
      <c r="AI85" s="661"/>
      <c r="AJ85" s="662"/>
      <c r="AK85" s="663"/>
      <c r="AL85" s="133"/>
      <c r="AM85" s="660"/>
      <c r="AN85" s="661"/>
      <c r="AO85" s="661"/>
      <c r="AP85" s="662"/>
      <c r="AQ85" s="663"/>
      <c r="AR85" s="133"/>
      <c r="AS85" s="660"/>
      <c r="AT85" s="661"/>
      <c r="AU85" s="661"/>
      <c r="AV85" s="662"/>
      <c r="AW85" s="663"/>
      <c r="AX85" s="133"/>
      <c r="AY85" s="660"/>
      <c r="AZ85" s="661"/>
      <c r="BA85" s="661"/>
      <c r="BB85" s="662"/>
      <c r="BC85" s="663"/>
      <c r="BD85" s="133"/>
      <c r="BE85" s="660"/>
      <c r="BF85" s="661"/>
      <c r="BG85" s="661"/>
      <c r="BH85" s="662"/>
      <c r="BI85" s="663"/>
      <c r="BJ85" s="133"/>
      <c r="BK85" s="660"/>
      <c r="BL85" s="661"/>
      <c r="BM85" s="661"/>
      <c r="BN85" s="662"/>
      <c r="BO85" s="663"/>
      <c r="BP85" s="133"/>
      <c r="BQ85" s="660"/>
      <c r="BR85" s="661"/>
      <c r="BS85" s="661"/>
      <c r="BT85" s="662"/>
      <c r="BU85" s="663"/>
      <c r="BV85" s="133"/>
      <c r="BW85" s="660"/>
      <c r="BX85" s="661"/>
      <c r="BY85" s="661"/>
      <c r="BZ85" s="662"/>
      <c r="CA85" s="663"/>
      <c r="CB85" s="2122"/>
      <c r="CC85" s="660"/>
      <c r="CD85" s="661"/>
      <c r="CE85" s="661"/>
      <c r="CF85" s="662"/>
      <c r="CG85" s="663"/>
      <c r="CH85" s="2122"/>
      <c r="CI85" s="660"/>
      <c r="CJ85" s="661"/>
      <c r="CK85" s="661"/>
      <c r="CL85" s="662"/>
      <c r="CM85" s="663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1"/>
      <c r="CY85" s="21"/>
      <c r="CZ85" s="21"/>
      <c r="DA85" s="21"/>
      <c r="DB85" s="21"/>
      <c r="DC85" s="1953"/>
      <c r="DD85" s="1953"/>
      <c r="DE85" s="6"/>
      <c r="DF85" s="6"/>
      <c r="DG85" s="6"/>
      <c r="DH85" s="6"/>
      <c r="DI85" s="6"/>
      <c r="DJ85" s="6"/>
      <c r="DY85" s="2452"/>
    </row>
    <row r="86" spans="1:132" hidden="1" outlineLevel="2">
      <c r="A86" s="1473" t="s">
        <v>219</v>
      </c>
      <c r="B86" s="4"/>
      <c r="C86" s="1494"/>
      <c r="D86" s="1495"/>
      <c r="E86" s="1495"/>
      <c r="F86" s="1496"/>
      <c r="G86" s="1497"/>
      <c r="H86" s="4"/>
      <c r="I86" s="1494">
        <f>RevBuild!C8*I7</f>
        <v>35</v>
      </c>
      <c r="J86" s="1495">
        <f>RevBuild!D8*J7</f>
        <v>39.200000000000003</v>
      </c>
      <c r="K86" s="1495">
        <f>RevBuild!E8*K7</f>
        <v>28.38</v>
      </c>
      <c r="L86" s="1496">
        <f>RevBuild!F8*L7</f>
        <v>29.3</v>
      </c>
      <c r="M86" s="1497">
        <f>RevBuild!G8*M7</f>
        <v>133.36500000000001</v>
      </c>
      <c r="N86" s="4"/>
      <c r="O86" s="1494">
        <f>RevBuild!I8*O7</f>
        <v>-12.24</v>
      </c>
      <c r="P86" s="1495">
        <f>RevBuild!J8*P7</f>
        <v>-21.14</v>
      </c>
      <c r="Q86" s="1495">
        <f>RevBuild!K8*Q7</f>
        <v>15.4</v>
      </c>
      <c r="R86" s="1496">
        <f>RevBuild!L8*R7</f>
        <v>-23.94</v>
      </c>
      <c r="S86" s="1497">
        <f>RevBuild!M8*S7</f>
        <v>-40.884999999999998</v>
      </c>
      <c r="T86" s="664"/>
      <c r="U86" s="1494">
        <f>RevBuild!O8*U7</f>
        <v>10.249999999999973</v>
      </c>
      <c r="V86" s="1495">
        <f>RevBuild!P8*V7</f>
        <v>20.52</v>
      </c>
      <c r="W86" s="1495">
        <f>RevBuild!Q8*W7</f>
        <v>50.799999999999983</v>
      </c>
      <c r="X86" s="1496">
        <f>RevBuild!R8*X7</f>
        <v>36.990000000000045</v>
      </c>
      <c r="Y86" s="1497">
        <f>RevBuild!S8*Y7</f>
        <v>118.56</v>
      </c>
      <c r="Z86" s="664"/>
      <c r="AA86" s="1494">
        <f>RevBuild!U8*AA7</f>
        <v>22.240000000000002</v>
      </c>
      <c r="AB86" s="1495">
        <f>RevBuild!V8*AB7</f>
        <v>34.71</v>
      </c>
      <c r="AC86" s="1495">
        <f>RevBuild!W8*AC7</f>
        <v>37.68</v>
      </c>
      <c r="AD86" s="1496">
        <f>RevBuild!X8*AD7</f>
        <v>22.289999999999981</v>
      </c>
      <c r="AE86" s="1497">
        <f>RevBuild!Y8*AE7</f>
        <v>122.60000000000001</v>
      </c>
      <c r="AF86" s="664"/>
      <c r="AG86" s="1494">
        <f>RevBuild!AA8*AG7</f>
        <v>53.620000000000026</v>
      </c>
      <c r="AH86" s="1495">
        <f>RevBuild!AB8*AH7</f>
        <v>6.920000000000015</v>
      </c>
      <c r="AI86" s="1495">
        <f>RevBuild!AC8*AI7</f>
        <v>20.61700000000004</v>
      </c>
      <c r="AJ86" s="1496">
        <f>RevBuild!AD8*AJ7</f>
        <v>9.9999999999999822</v>
      </c>
      <c r="AK86" s="1497">
        <f>RevBuild!AE8*AK7</f>
        <v>97.299999999999841</v>
      </c>
      <c r="AL86" s="664"/>
      <c r="AM86" s="1494">
        <f>RevBuild!AG8*AM7</f>
        <v>10.000000000000032</v>
      </c>
      <c r="AN86" s="1495">
        <f>RevBuild!AH8*AN7</f>
        <v>17.499999999999964</v>
      </c>
      <c r="AO86" s="1495">
        <f>RevBuild!AI8*AO7</f>
        <v>14.999999999999998</v>
      </c>
      <c r="AP86" s="1496">
        <f>RevBuild!AJ8*AP7</f>
        <v>0</v>
      </c>
      <c r="AQ86" s="1497">
        <f>RevBuild!AK8*AQ7</f>
        <v>66.786330609670131</v>
      </c>
      <c r="AR86" s="664"/>
      <c r="AS86" s="1494"/>
      <c r="AT86" s="1495"/>
      <c r="AU86" s="1495"/>
      <c r="AV86" s="1496"/>
      <c r="AW86" s="1497"/>
      <c r="AX86" s="664"/>
      <c r="AY86" s="1494"/>
      <c r="AZ86" s="1495"/>
      <c r="BA86" s="1495"/>
      <c r="BB86" s="1496"/>
      <c r="BC86" s="1497"/>
      <c r="BD86" s="664"/>
      <c r="BE86" s="1494"/>
      <c r="BF86" s="1495"/>
      <c r="BG86" s="1495"/>
      <c r="BH86" s="1496"/>
      <c r="BI86" s="1497"/>
      <c r="BJ86" s="664"/>
      <c r="BK86" s="1494"/>
      <c r="BL86" s="1495"/>
      <c r="BM86" s="1495"/>
      <c r="BN86" s="1496"/>
      <c r="BO86" s="1497"/>
      <c r="BP86" s="664"/>
      <c r="BQ86" s="1494"/>
      <c r="BR86" s="1495"/>
      <c r="BS86" s="1495"/>
      <c r="BT86" s="1496"/>
      <c r="BU86" s="1497"/>
      <c r="BV86" s="664"/>
      <c r="BW86" s="1494"/>
      <c r="BX86" s="1495"/>
      <c r="BY86" s="1495"/>
      <c r="BZ86" s="1496"/>
      <c r="CA86" s="1497"/>
      <c r="CB86" s="1495"/>
      <c r="CC86" s="1494"/>
      <c r="CD86" s="1495"/>
      <c r="CE86" s="1495"/>
      <c r="CF86" s="1496"/>
      <c r="CG86" s="1497"/>
      <c r="CH86" s="1495"/>
      <c r="CI86" s="1494"/>
      <c r="CJ86" s="1495"/>
      <c r="CK86" s="1495"/>
      <c r="CL86" s="1496"/>
      <c r="CM86" s="1497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1"/>
      <c r="CY86" s="21"/>
      <c r="CZ86" s="21"/>
      <c r="DA86" s="21"/>
      <c r="DB86" s="21"/>
      <c r="DC86" s="1953"/>
      <c r="DD86" s="1953"/>
      <c r="DE86" s="6"/>
      <c r="DF86" s="6"/>
      <c r="DG86" s="6"/>
      <c r="DH86" s="6"/>
      <c r="DI86" s="6"/>
      <c r="DJ86" s="6"/>
    </row>
    <row r="87" spans="1:132" hidden="1" outlineLevel="2">
      <c r="A87" s="1473" t="s">
        <v>220</v>
      </c>
      <c r="B87" s="4"/>
      <c r="C87" s="1494"/>
      <c r="D87" s="1495"/>
      <c r="E87" s="1495"/>
      <c r="F87" s="1496"/>
      <c r="G87" s="1497"/>
      <c r="H87" s="4"/>
      <c r="I87" s="1494">
        <f>RevBuild!C9*I8</f>
        <v>0</v>
      </c>
      <c r="J87" s="1495">
        <f>RevBuild!D9*J8</f>
        <v>0</v>
      </c>
      <c r="K87" s="1495">
        <f>RevBuild!E9*K8</f>
        <v>0</v>
      </c>
      <c r="L87" s="1496">
        <f>RevBuild!F9*L8</f>
        <v>0</v>
      </c>
      <c r="M87" s="1497">
        <f>RevBuild!G9*M8</f>
        <v>0</v>
      </c>
      <c r="N87" s="4"/>
      <c r="O87" s="1494">
        <f>RevBuild!I9*O8</f>
        <v>0</v>
      </c>
      <c r="P87" s="1495">
        <f>RevBuild!J9*P8</f>
        <v>0</v>
      </c>
      <c r="Q87" s="1495">
        <f>RevBuild!K9*Q8</f>
        <v>0</v>
      </c>
      <c r="R87" s="1496">
        <f>RevBuild!L9*R8</f>
        <v>0</v>
      </c>
      <c r="S87" s="1497">
        <f>RevBuild!M9*S8</f>
        <v>0</v>
      </c>
      <c r="T87" s="664"/>
      <c r="U87" s="1494">
        <f>RevBuild!O9*U8</f>
        <v>8</v>
      </c>
      <c r="V87" s="1495">
        <f>RevBuild!P9*V8</f>
        <v>6.0000000000000071</v>
      </c>
      <c r="W87" s="1495">
        <f>RevBuild!Q9*W8</f>
        <v>2.000000000000004</v>
      </c>
      <c r="X87" s="1496">
        <f>RevBuild!R9*X8</f>
        <v>5.9999999999999991</v>
      </c>
      <c r="Y87" s="1497">
        <f>RevBuild!S9*Y8</f>
        <v>22.000000000000025</v>
      </c>
      <c r="Z87" s="664"/>
      <c r="AA87" s="1494">
        <f>RevBuild!U9*AA8</f>
        <v>3.9999999999999964</v>
      </c>
      <c r="AB87" s="1495">
        <f>RevBuild!V9*AB8</f>
        <v>5</v>
      </c>
      <c r="AC87" s="1495">
        <f>RevBuild!W9*AC8</f>
        <v>10.000000000000004</v>
      </c>
      <c r="AD87" s="1496">
        <f>RevBuild!X9*AD8</f>
        <v>5</v>
      </c>
      <c r="AE87" s="1497">
        <f>RevBuild!Y9*AE8</f>
        <v>23.999999999999975</v>
      </c>
      <c r="AF87" s="664"/>
      <c r="AG87" s="1494">
        <f>RevBuild!AA9*AG8</f>
        <v>0</v>
      </c>
      <c r="AH87" s="1495">
        <f>RevBuild!AB9*AH8</f>
        <v>1.9999999999999929</v>
      </c>
      <c r="AI87" s="1495">
        <f>RevBuild!AC9*AI8</f>
        <v>-1.6500000000000006</v>
      </c>
      <c r="AJ87" s="1496">
        <f>RevBuild!AD9*AJ8</f>
        <v>2.9999999999999827</v>
      </c>
      <c r="AK87" s="1497">
        <f>RevBuild!AE9*AK8</f>
        <v>3.1199999999999921</v>
      </c>
      <c r="AL87" s="664"/>
      <c r="AM87" s="1494">
        <f>RevBuild!AG9*AM8</f>
        <v>3.9439999999999955</v>
      </c>
      <c r="AN87" s="1495">
        <f>RevBuild!AH9*AN8</f>
        <v>-0.2839999999999846</v>
      </c>
      <c r="AO87" s="1495">
        <f>RevBuild!AI9*AO8</f>
        <v>7.9999999999999982</v>
      </c>
      <c r="AP87" s="1496">
        <f>RevBuild!AJ9*AP8</f>
        <v>0</v>
      </c>
      <c r="AQ87" s="1497">
        <f>RevBuild!AK9*AQ8</f>
        <v>51.858930294411351</v>
      </c>
      <c r="AR87" s="664"/>
      <c r="AS87" s="1494"/>
      <c r="AT87" s="1495"/>
      <c r="AU87" s="1495"/>
      <c r="AV87" s="1496"/>
      <c r="AW87" s="1497"/>
      <c r="AX87" s="664"/>
      <c r="AY87" s="1494"/>
      <c r="AZ87" s="1495"/>
      <c r="BA87" s="1495"/>
      <c r="BB87" s="1496"/>
      <c r="BC87" s="1497"/>
      <c r="BD87" s="664"/>
      <c r="BE87" s="1494"/>
      <c r="BF87" s="1495"/>
      <c r="BG87" s="1495"/>
      <c r="BH87" s="1496"/>
      <c r="BI87" s="1497"/>
      <c r="BJ87" s="664"/>
      <c r="BK87" s="1494"/>
      <c r="BL87" s="1495"/>
      <c r="BM87" s="1495"/>
      <c r="BN87" s="1496"/>
      <c r="BO87" s="1497"/>
      <c r="BP87" s="664"/>
      <c r="BQ87" s="1494"/>
      <c r="BR87" s="1495"/>
      <c r="BS87" s="1495"/>
      <c r="BT87" s="1496"/>
      <c r="BU87" s="1497"/>
      <c r="BV87" s="664"/>
      <c r="BW87" s="1494"/>
      <c r="BX87" s="1495"/>
      <c r="BY87" s="1495"/>
      <c r="BZ87" s="1496"/>
      <c r="CA87" s="1497"/>
      <c r="CB87" s="1495"/>
      <c r="CC87" s="1494"/>
      <c r="CD87" s="1495"/>
      <c r="CE87" s="1495"/>
      <c r="CF87" s="1496"/>
      <c r="CG87" s="1497"/>
      <c r="CH87" s="1495"/>
      <c r="CI87" s="1494"/>
      <c r="CJ87" s="1495"/>
      <c r="CK87" s="1495"/>
      <c r="CL87" s="1496"/>
      <c r="CM87" s="1497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1953"/>
      <c r="DD87" s="1953"/>
      <c r="DE87" s="6"/>
      <c r="DF87" s="6"/>
      <c r="DG87" s="6"/>
      <c r="DH87" s="6"/>
      <c r="DI87" s="6"/>
      <c r="DJ87" s="6"/>
    </row>
    <row r="88" spans="1:132" hidden="1" outlineLevel="2">
      <c r="A88" s="1341" t="s">
        <v>101</v>
      </c>
      <c r="B88" s="4"/>
      <c r="C88" s="1494"/>
      <c r="D88" s="1495"/>
      <c r="E88" s="1495"/>
      <c r="F88" s="1496"/>
      <c r="G88" s="1497"/>
      <c r="H88" s="4"/>
      <c r="I88" s="1494">
        <f>RevBuild!C10*I9</f>
        <v>18.45</v>
      </c>
      <c r="J88" s="1495">
        <f>RevBuild!D10*J9</f>
        <v>20.13</v>
      </c>
      <c r="K88" s="1495">
        <f>RevBuild!E10*K9</f>
        <v>21.1</v>
      </c>
      <c r="L88" s="1496">
        <f>RevBuild!F10*L9</f>
        <v>11.55</v>
      </c>
      <c r="M88" s="1497">
        <f>RevBuild!G10*M9</f>
        <v>72.625</v>
      </c>
      <c r="N88" s="4"/>
      <c r="O88" s="1494">
        <f>RevBuild!I10*O9</f>
        <v>4.5</v>
      </c>
      <c r="P88" s="1495">
        <f>RevBuild!J10*P9</f>
        <v>-13.68</v>
      </c>
      <c r="Q88" s="1495">
        <f>RevBuild!K10*Q9</f>
        <v>-9.2799999999999994</v>
      </c>
      <c r="R88" s="1496">
        <f>RevBuild!L10*R9</f>
        <v>-22.68</v>
      </c>
      <c r="S88" s="1497">
        <f>RevBuild!M10*S9</f>
        <v>-39.822500000000005</v>
      </c>
      <c r="T88" s="664"/>
      <c r="U88" s="1494">
        <f>RevBuild!O10*U9</f>
        <v>17.199999999999982</v>
      </c>
      <c r="V88" s="1495">
        <f>RevBuild!P10*V9</f>
        <v>27.999999999999993</v>
      </c>
      <c r="W88" s="1495">
        <f>RevBuild!Q10*W9</f>
        <v>26.529999999999983</v>
      </c>
      <c r="X88" s="1496">
        <f>RevBuild!R10*X9</f>
        <v>54.870000000000005</v>
      </c>
      <c r="Y88" s="1497">
        <f>RevBuild!S10*Y9</f>
        <v>126.6</v>
      </c>
      <c r="Z88" s="664"/>
      <c r="AA88" s="1494">
        <f>RevBuild!U10*AA9</f>
        <v>21.96</v>
      </c>
      <c r="AB88" s="1495">
        <f>RevBuild!V10*AB9</f>
        <v>26.18</v>
      </c>
      <c r="AC88" s="1495">
        <f>RevBuild!W10*AC9</f>
        <v>13.159999999999998</v>
      </c>
      <c r="AD88" s="1496">
        <f>RevBuild!X10*AD9</f>
        <v>5.3499999999999872</v>
      </c>
      <c r="AE88" s="1497">
        <f>RevBuild!Y10*AE9</f>
        <v>60</v>
      </c>
      <c r="AF88" s="664"/>
      <c r="AG88" s="1494">
        <f>RevBuild!AA10*AG9</f>
        <v>43.509999999999984</v>
      </c>
      <c r="AH88" s="1495">
        <f>RevBuild!AB10*AH9</f>
        <v>10.810000000000016</v>
      </c>
      <c r="AI88" s="1495">
        <f>RevBuild!AC10*AI9</f>
        <v>10.999999999999991</v>
      </c>
      <c r="AJ88" s="1496">
        <f>RevBuild!AD10*AJ9</f>
        <v>1.0000000000000147</v>
      </c>
      <c r="AK88" s="1497">
        <f>RevBuild!AE10*AK9</f>
        <v>71.359999999999886</v>
      </c>
      <c r="AL88" s="664"/>
      <c r="AM88" s="1494">
        <f>RevBuild!AG10*AM9</f>
        <v>2.9999999999999871</v>
      </c>
      <c r="AN88" s="1495">
        <f>RevBuild!AH10*AN9</f>
        <v>21.000000000000039</v>
      </c>
      <c r="AO88" s="1495">
        <f>RevBuild!AI10*AO9</f>
        <v>10.999999999999989</v>
      </c>
      <c r="AP88" s="1496">
        <f>RevBuild!AJ10*AP9</f>
        <v>24.000000000000011</v>
      </c>
      <c r="AQ88" s="1497">
        <f>RevBuild!AK10*AQ9</f>
        <v>59.055585701898174</v>
      </c>
      <c r="AR88" s="664"/>
      <c r="AS88" s="1494">
        <f>RevBuild!AM10*AS9</f>
        <v>27.999999999999957</v>
      </c>
      <c r="AT88" s="1495">
        <f>RevBuild!AN10*AT9</f>
        <v>13</v>
      </c>
      <c r="AU88" s="1495">
        <f>RevBuild!AO10*AU9</f>
        <v>26.999999999999968</v>
      </c>
      <c r="AV88" s="1496">
        <f>RevBuild!AP10*AV9</f>
        <v>23.000000000000036</v>
      </c>
      <c r="AW88" s="1497">
        <f>RevBuild!AQ10*AW9</f>
        <v>91.410013004339703</v>
      </c>
      <c r="AX88" s="664"/>
      <c r="AY88" s="1494"/>
      <c r="AZ88" s="1495"/>
      <c r="BA88" s="1495"/>
      <c r="BB88" s="1496"/>
      <c r="BC88" s="1497"/>
      <c r="BD88" s="664"/>
      <c r="BE88" s="1494"/>
      <c r="BF88" s="1495"/>
      <c r="BG88" s="1495"/>
      <c r="BH88" s="1496"/>
      <c r="BI88" s="1497"/>
      <c r="BJ88" s="664"/>
      <c r="BK88" s="1494"/>
      <c r="BL88" s="1495"/>
      <c r="BM88" s="1495"/>
      <c r="BN88" s="1496"/>
      <c r="BO88" s="1497"/>
      <c r="BP88" s="664"/>
      <c r="BQ88" s="1494"/>
      <c r="BR88" s="1495"/>
      <c r="BS88" s="1495"/>
      <c r="BT88" s="1496"/>
      <c r="BU88" s="1497"/>
      <c r="BV88" s="664"/>
      <c r="BW88" s="1494"/>
      <c r="BX88" s="1495"/>
      <c r="BY88" s="1495"/>
      <c r="BZ88" s="1496"/>
      <c r="CA88" s="1497"/>
      <c r="CB88" s="1495"/>
      <c r="CC88" s="1494"/>
      <c r="CD88" s="1495"/>
      <c r="CE88" s="1495"/>
      <c r="CF88" s="1496"/>
      <c r="CG88" s="1497"/>
      <c r="CH88" s="1495"/>
      <c r="CI88" s="1494"/>
      <c r="CJ88" s="1495"/>
      <c r="CK88" s="1495"/>
      <c r="CL88" s="1496"/>
      <c r="CM88" s="1497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1953"/>
      <c r="DD88" s="1953"/>
      <c r="DE88" s="6"/>
      <c r="DF88" s="6"/>
      <c r="DG88" s="6"/>
      <c r="DH88" s="6"/>
      <c r="DI88" s="6"/>
      <c r="DJ88" s="6"/>
    </row>
    <row r="89" spans="1:132" hidden="1" outlineLevel="2">
      <c r="A89" s="1341" t="s">
        <v>103</v>
      </c>
      <c r="B89" s="4"/>
      <c r="C89" s="1494"/>
      <c r="D89" s="1495"/>
      <c r="E89" s="1495"/>
      <c r="F89" s="1496"/>
      <c r="G89" s="1497"/>
      <c r="H89" s="4"/>
      <c r="I89" s="1494">
        <f>RevBuild!C11*I10</f>
        <v>0</v>
      </c>
      <c r="J89" s="1495">
        <f>RevBuild!D11*J10</f>
        <v>0</v>
      </c>
      <c r="K89" s="1495">
        <f>RevBuild!E11*K10</f>
        <v>0</v>
      </c>
      <c r="L89" s="1496">
        <f>RevBuild!F11*L10</f>
        <v>0</v>
      </c>
      <c r="M89" s="1497">
        <f>RevBuild!G11*M10</f>
        <v>0</v>
      </c>
      <c r="N89" s="4"/>
      <c r="O89" s="1494">
        <f>RevBuild!I11*O10</f>
        <v>0</v>
      </c>
      <c r="P89" s="1495">
        <f>RevBuild!J11*P10</f>
        <v>0</v>
      </c>
      <c r="Q89" s="1495">
        <f>RevBuild!K11*Q10</f>
        <v>0</v>
      </c>
      <c r="R89" s="1496">
        <f>RevBuild!L11*R10</f>
        <v>0</v>
      </c>
      <c r="S89" s="1497">
        <f>RevBuild!M11*S10</f>
        <v>0</v>
      </c>
      <c r="T89" s="664"/>
      <c r="U89" s="1494">
        <f>RevBuild!O11*U10</f>
        <v>18.249999999999975</v>
      </c>
      <c r="V89" s="1495">
        <f>RevBuild!P11*V10</f>
        <v>26.52000000000001</v>
      </c>
      <c r="W89" s="1495">
        <f>RevBuild!Q11*W10</f>
        <v>52.79999999999999</v>
      </c>
      <c r="X89" s="1496">
        <f>RevBuild!R11*X10</f>
        <v>42.990000000000052</v>
      </c>
      <c r="Y89" s="1497">
        <f>RevBuild!S11*Y10</f>
        <v>140.56000000000003</v>
      </c>
      <c r="Z89" s="664"/>
      <c r="AA89" s="1494">
        <f>RevBuild!U11*AA10</f>
        <v>26.239999999999995</v>
      </c>
      <c r="AB89" s="1495">
        <f>RevBuild!V11*AB10</f>
        <v>39.71</v>
      </c>
      <c r="AC89" s="1495">
        <f>RevBuild!W11*AC10</f>
        <v>47.680000000000007</v>
      </c>
      <c r="AD89" s="1496">
        <f>RevBuild!X11*AD10</f>
        <v>27.289999999999985</v>
      </c>
      <c r="AE89" s="1497">
        <f>RevBuild!Y11*AE10</f>
        <v>146.59999999999997</v>
      </c>
      <c r="AF89" s="664"/>
      <c r="AG89" s="1494">
        <f>RevBuild!AA11*AG10</f>
        <v>52.959999999999958</v>
      </c>
      <c r="AH89" s="1495">
        <f>RevBuild!AB11*AH10</f>
        <v>9.6400000000000041</v>
      </c>
      <c r="AI89" s="1495">
        <f>RevBuild!AC11*AI10</f>
        <v>19.000000000000021</v>
      </c>
      <c r="AJ89" s="1496">
        <f>RevBuild!AD11*AJ10</f>
        <v>12.999999999999984</v>
      </c>
      <c r="AK89" s="1497">
        <f>RevBuild!AE11*AK10</f>
        <v>94.600000000000108</v>
      </c>
      <c r="AL89" s="664"/>
      <c r="AM89" s="1494">
        <f>RevBuild!AG11*AM10</f>
        <v>15.000000000000014</v>
      </c>
      <c r="AN89" s="1495">
        <f>RevBuild!AH11*AN10</f>
        <v>18.399999999999959</v>
      </c>
      <c r="AO89" s="1495">
        <f>RevBuild!AI11*AO10</f>
        <v>23.000000000000053</v>
      </c>
      <c r="AP89" s="1496">
        <f>RevBuild!AJ11*AP10</f>
        <v>48.999999999999993</v>
      </c>
      <c r="AQ89" s="1497">
        <f>RevBuild!AK11*AQ10</f>
        <v>118.64526090408147</v>
      </c>
      <c r="AR89" s="664"/>
      <c r="AS89" s="1494">
        <f>RevBuild!AM11*AS10</f>
        <v>32.999999999999993</v>
      </c>
      <c r="AT89" s="1495">
        <f>RevBuild!AN11*AT10</f>
        <v>9.0000000000000551</v>
      </c>
      <c r="AU89" s="1495">
        <f>RevBuild!AO11*AU10</f>
        <v>20.999999999999975</v>
      </c>
      <c r="AV89" s="1496">
        <f>RevBuild!AP11*AV10</f>
        <v>15.999999999999989</v>
      </c>
      <c r="AW89" s="1497">
        <f>RevBuild!AQ11*AW10</f>
        <v>79.520421672324019</v>
      </c>
      <c r="AX89" s="664"/>
      <c r="AY89" s="1494"/>
      <c r="AZ89" s="1495"/>
      <c r="BA89" s="1495"/>
      <c r="BB89" s="1496"/>
      <c r="BC89" s="1497"/>
      <c r="BD89" s="664"/>
      <c r="BE89" s="1494"/>
      <c r="BF89" s="1495"/>
      <c r="BG89" s="1495"/>
      <c r="BH89" s="1496"/>
      <c r="BI89" s="1497"/>
      <c r="BJ89" s="664"/>
      <c r="BK89" s="1494"/>
      <c r="BL89" s="1495"/>
      <c r="BM89" s="1495"/>
      <c r="BN89" s="1496"/>
      <c r="BO89" s="1497"/>
      <c r="BP89" s="664"/>
      <c r="BQ89" s="1494"/>
      <c r="BR89" s="1495"/>
      <c r="BS89" s="1495"/>
      <c r="BT89" s="1496"/>
      <c r="BU89" s="1497"/>
      <c r="BV89" s="664"/>
      <c r="BW89" s="1494"/>
      <c r="BX89" s="1495"/>
      <c r="BY89" s="1495"/>
      <c r="BZ89" s="1496"/>
      <c r="CA89" s="1497"/>
      <c r="CB89" s="1495"/>
      <c r="CC89" s="1494"/>
      <c r="CD89" s="1495"/>
      <c r="CE89" s="1495"/>
      <c r="CF89" s="1496"/>
      <c r="CG89" s="1497"/>
      <c r="CH89" s="1495"/>
      <c r="CI89" s="1494"/>
      <c r="CJ89" s="1495"/>
      <c r="CK89" s="1495"/>
      <c r="CL89" s="1496"/>
      <c r="CM89" s="1497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1953"/>
      <c r="DD89" s="1953"/>
      <c r="DE89" s="6"/>
      <c r="DF89" s="6"/>
      <c r="DG89" s="6"/>
      <c r="DH89" s="6"/>
      <c r="DI89" s="6"/>
      <c r="DJ89" s="6"/>
    </row>
    <row r="90" spans="1:132" hidden="1" outlineLevel="1" collapsed="1">
      <c r="A90" s="490" t="s">
        <v>105</v>
      </c>
      <c r="B90" s="4"/>
      <c r="C90" s="665"/>
      <c r="D90" s="664"/>
      <c r="E90" s="664"/>
      <c r="F90" s="666"/>
      <c r="G90" s="667"/>
      <c r="H90" s="4"/>
      <c r="I90" s="665"/>
      <c r="J90" s="664"/>
      <c r="K90" s="664"/>
      <c r="L90" s="666"/>
      <c r="M90" s="667"/>
      <c r="N90" s="4"/>
      <c r="O90" s="665"/>
      <c r="P90" s="664"/>
      <c r="Q90" s="664"/>
      <c r="R90" s="666"/>
      <c r="S90" s="667"/>
      <c r="T90" s="664"/>
      <c r="U90" s="665"/>
      <c r="V90" s="664"/>
      <c r="W90" s="664"/>
      <c r="X90" s="666"/>
      <c r="Y90" s="667"/>
      <c r="Z90" s="664"/>
      <c r="AA90" s="665"/>
      <c r="AB90" s="664"/>
      <c r="AC90" s="664"/>
      <c r="AD90" s="666"/>
      <c r="AE90" s="667"/>
      <c r="AF90" s="664"/>
      <c r="AG90" s="665"/>
      <c r="AH90" s="664"/>
      <c r="AI90" s="664"/>
      <c r="AJ90" s="666"/>
      <c r="AK90" s="667"/>
      <c r="AL90" s="664"/>
      <c r="AM90" s="665">
        <f>RevBuild!AG12*AM11</f>
        <v>3.2672112018650612E-2</v>
      </c>
      <c r="AN90" s="664">
        <f>RevBuild!AH12*AN11</f>
        <v>19.878646441073528</v>
      </c>
      <c r="AO90" s="664">
        <f>RevBuild!AI12*AO11</f>
        <v>-0.78587699316630855</v>
      </c>
      <c r="AP90" s="666">
        <f>RevBuild!AJ12*AP11</f>
        <v>26.852786540483692</v>
      </c>
      <c r="AQ90" s="667">
        <f>RevBuild!AK12*AQ11</f>
        <v>45.895286480384044</v>
      </c>
      <c r="AR90" s="664"/>
      <c r="AS90" s="665">
        <f>RevBuild!AM12*AS11</f>
        <v>31.867432150313206</v>
      </c>
      <c r="AT90" s="664">
        <f>RevBuild!AN12*AT11</f>
        <v>-9.8641975308641747</v>
      </c>
      <c r="AU90" s="664">
        <f>RevBuild!AO12*AU11</f>
        <v>12.858044164037858</v>
      </c>
      <c r="AV90" s="666">
        <f>RevBuild!AP12*AV11</f>
        <v>27.22213228035535</v>
      </c>
      <c r="AW90" s="667">
        <f>RevBuild!AQ12*AW11</f>
        <v>51.36158192090393</v>
      </c>
      <c r="AX90" s="664"/>
      <c r="AY90" s="665">
        <f>RevBuild!AS12*AY11</f>
        <v>38.740000000000045</v>
      </c>
      <c r="AZ90" s="664">
        <f>RevBuild!AT12*AZ11</f>
        <v>24.950000000000024</v>
      </c>
      <c r="BA90" s="664">
        <f>RevBuild!AU12*BA11</f>
        <v>27.140000000000025</v>
      </c>
      <c r="BB90" s="666">
        <f>RevBuild!AV12*BB11</f>
        <v>10.468000000000002</v>
      </c>
      <c r="BC90" s="667">
        <f>RevBuild!AW12*BC11</f>
        <v>102.23286819536031</v>
      </c>
      <c r="BD90" s="664"/>
      <c r="BE90" s="665">
        <f>RevBuild!AY12*BE11</f>
        <v>12.392999999999997</v>
      </c>
      <c r="BF90" s="664">
        <f>RevBuild!AZ12*BF11</f>
        <v>-0.50534188034187855</v>
      </c>
      <c r="BG90" s="664">
        <f>RevBuild!BA12*BG11</f>
        <v>-10.000000000000028</v>
      </c>
      <c r="BH90" s="666">
        <f>RevBuild!BB12*BH11</f>
        <v>25.75</v>
      </c>
      <c r="BI90" s="667">
        <f>RevBuild!BC12*BI11</f>
        <v>28.548616425322969</v>
      </c>
      <c r="BJ90" s="664"/>
      <c r="BK90" s="665">
        <f>RevBuild!BE12*BK11</f>
        <v>21.566000000000003</v>
      </c>
      <c r="BL90" s="664">
        <f>RevBuild!BF12*BL11</f>
        <v>29.7</v>
      </c>
      <c r="BM90" s="664">
        <f>RevBuild!BG12*BM11</f>
        <v>32.76</v>
      </c>
      <c r="BN90" s="666">
        <f>RevBuild!BH12*BN11</f>
        <v>42.019999999999975</v>
      </c>
      <c r="BO90" s="667">
        <f>RevBuild!BI12*BO11</f>
        <v>126.27745777427788</v>
      </c>
      <c r="BP90" s="664"/>
      <c r="BQ90" s="665">
        <f>RevBuild!BK12*BQ11</f>
        <v>31.839999999999964</v>
      </c>
      <c r="BR90" s="664">
        <f>RevBuild!BL12*BR11</f>
        <v>47.07</v>
      </c>
      <c r="BS90" s="664">
        <f>RevBuild!BM12*BS11</f>
        <v>26.55</v>
      </c>
      <c r="BT90" s="666">
        <f>RevBuild!BN12*BT11</f>
        <v>25.875</v>
      </c>
      <c r="BU90" s="667">
        <f>RevBuild!BO12*BU11</f>
        <v>132.14038446772923</v>
      </c>
      <c r="BV90" s="664"/>
      <c r="BW90" s="665">
        <f>RevBuild!BQ12*BW11</f>
        <v>37.08</v>
      </c>
      <c r="BX90" s="664">
        <f>RevBuild!BR12*BX11</f>
        <v>35.849339999999991</v>
      </c>
      <c r="BY90" s="664">
        <f>RevBuild!BS12*BY11</f>
        <v>34.672379999999997</v>
      </c>
      <c r="BZ90" s="666">
        <f>RevBuild!BT12*BZ11</f>
        <v>37.122</v>
      </c>
      <c r="CA90" s="667">
        <f>RevBuild!BU12*CA11</f>
        <v>144.72371999999999</v>
      </c>
      <c r="CB90" s="664"/>
      <c r="CC90" s="665">
        <f>RevBuild!BW12*CC11</f>
        <v>19.6524</v>
      </c>
      <c r="CD90" s="664">
        <f>RevBuild!BX12*CD11</f>
        <v>19.000150199999997</v>
      </c>
      <c r="CE90" s="664">
        <f>RevBuild!BY12*CE11</f>
        <v>18.376361399999997</v>
      </c>
      <c r="CF90" s="666">
        <f>RevBuild!BZ12*CF11</f>
        <v>19.674660000000003</v>
      </c>
      <c r="CG90" s="667">
        <f>RevBuild!CA12*CG11</f>
        <v>76.703571599999989</v>
      </c>
      <c r="CH90" s="664"/>
      <c r="CI90" s="665">
        <f>RevBuild!CC12*CI11</f>
        <v>20.241972000000001</v>
      </c>
      <c r="CJ90" s="664">
        <f>RevBuild!CD12*CJ11</f>
        <v>19.570154705999997</v>
      </c>
      <c r="CK90" s="664">
        <f>RevBuild!CE12*CK11</f>
        <v>18.927652241999997</v>
      </c>
      <c r="CL90" s="666">
        <f>RevBuild!CF12*CL11</f>
        <v>20.264899800000002</v>
      </c>
      <c r="CM90" s="667">
        <f>RevBuild!CG12*CM11</f>
        <v>79.004678748000003</v>
      </c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1953"/>
      <c r="DD90" s="1953"/>
      <c r="DE90" s="6"/>
      <c r="DF90" s="6"/>
      <c r="DG90" s="6"/>
      <c r="DH90" s="6"/>
      <c r="DI90" s="6"/>
      <c r="DJ90" s="6"/>
    </row>
    <row r="91" spans="1:132" hidden="1" outlineLevel="1">
      <c r="A91" s="490" t="s">
        <v>99</v>
      </c>
      <c r="B91" s="4"/>
      <c r="C91" s="665"/>
      <c r="D91" s="664"/>
      <c r="E91" s="664"/>
      <c r="F91" s="666"/>
      <c r="G91" s="667"/>
      <c r="H91" s="4"/>
      <c r="I91" s="665"/>
      <c r="J91" s="664"/>
      <c r="K91" s="664"/>
      <c r="L91" s="666"/>
      <c r="M91" s="667"/>
      <c r="N91" s="4"/>
      <c r="O91" s="665"/>
      <c r="P91" s="664"/>
      <c r="Q91" s="664"/>
      <c r="R91" s="666"/>
      <c r="S91" s="667"/>
      <c r="T91" s="664"/>
      <c r="U91" s="665"/>
      <c r="V91" s="664"/>
      <c r="W91" s="664"/>
      <c r="X91" s="666"/>
      <c r="Y91" s="667"/>
      <c r="Z91" s="664"/>
      <c r="AA91" s="665"/>
      <c r="AB91" s="664"/>
      <c r="AC91" s="664"/>
      <c r="AD91" s="666"/>
      <c r="AE91" s="667"/>
      <c r="AF91" s="664"/>
      <c r="AG91" s="665"/>
      <c r="AH91" s="664"/>
      <c r="AI91" s="664"/>
      <c r="AJ91" s="666"/>
      <c r="AK91" s="667"/>
      <c r="AL91" s="664"/>
      <c r="AM91" s="665">
        <f>RevBuild!AG13*AM12</f>
        <v>1.6884480746791237</v>
      </c>
      <c r="AN91" s="664">
        <f>RevBuild!AH13*AN12</f>
        <v>-2.1709451575262566</v>
      </c>
      <c r="AO91" s="664">
        <f>RevBuild!AI13*AO12</f>
        <v>10.215261958997722</v>
      </c>
      <c r="AP91" s="666">
        <f>RevBuild!AJ13*AP12</f>
        <v>16.769716088328089</v>
      </c>
      <c r="AQ91" s="667">
        <f>RevBuild!AK13*AQ12</f>
        <v>26.700112898673424</v>
      </c>
      <c r="AR91" s="664"/>
      <c r="AS91" s="665">
        <f>RevBuild!AM13*AS12</f>
        <v>5.7567849686847454</v>
      </c>
      <c r="AT91" s="664">
        <f>RevBuild!AN13*AT12</f>
        <v>11.969135802469133</v>
      </c>
      <c r="AU91" s="664">
        <f>RevBuild!AO13*AU12</f>
        <v>7.3491062039957908</v>
      </c>
      <c r="AV91" s="666">
        <f>RevBuild!AP13*AV12</f>
        <v>5.4925962487660271</v>
      </c>
      <c r="AW91" s="667">
        <f>RevBuild!AQ13*AW12</f>
        <v>30.609142270159257</v>
      </c>
      <c r="AX91" s="664"/>
      <c r="AY91" s="665">
        <f>RevBuild!AS13*AY12</f>
        <v>-0.99999999999999756</v>
      </c>
      <c r="AZ91" s="664">
        <f>RevBuild!AT13*AZ12</f>
        <v>16.999999999999996</v>
      </c>
      <c r="BA91" s="664">
        <f>RevBuild!AU13*BA12</f>
        <v>17.000000000000014</v>
      </c>
      <c r="BB91" s="666">
        <f>RevBuild!AV13*BB12</f>
        <v>18.000000000000011</v>
      </c>
      <c r="BC91" s="667">
        <f>RevBuild!AW13*BC12</f>
        <v>51.967213853601045</v>
      </c>
      <c r="BD91" s="664"/>
      <c r="BE91" s="665">
        <f>RevBuild!AY13*BE12</f>
        <v>18.999999999999996</v>
      </c>
      <c r="BF91" s="664">
        <f>RevBuild!AZ13*BF12</f>
        <v>8.7000000000000082</v>
      </c>
      <c r="BG91" s="664">
        <f>RevBuild!BA13*BG12</f>
        <v>12.500000000000011</v>
      </c>
      <c r="BH91" s="666">
        <f>RevBuild!BB13*BH12</f>
        <v>15.600000000000017</v>
      </c>
      <c r="BI91" s="667">
        <f>RevBuild!BC13*BI12</f>
        <v>55.86827900409083</v>
      </c>
      <c r="BJ91" s="664"/>
      <c r="BK91" s="665">
        <f>RevBuild!BE13*BK12</f>
        <v>8.002357976653693</v>
      </c>
      <c r="BL91" s="664">
        <f>RevBuild!BF13*BL12</f>
        <v>23.901999999999997</v>
      </c>
      <c r="BM91" s="664">
        <f>RevBuild!BG13*BM12</f>
        <v>16.620000000000019</v>
      </c>
      <c r="BN91" s="666">
        <f>RevBuild!BH13*BN12</f>
        <v>13.07000000000002</v>
      </c>
      <c r="BO91" s="667">
        <f>RevBuild!BI13*BO12</f>
        <v>62.182253419001142</v>
      </c>
      <c r="BP91" s="664"/>
      <c r="BQ91" s="665">
        <f>RevBuild!BK13*BQ12</f>
        <v>9.873999999999981</v>
      </c>
      <c r="BR91" s="664">
        <f>RevBuild!BL13*BR12</f>
        <v>13.24790794649835</v>
      </c>
      <c r="BS91" s="664">
        <f>RevBuild!BM13*BS12</f>
        <v>16.107385244694708</v>
      </c>
      <c r="BT91" s="666">
        <f>RevBuild!BN13*BT12</f>
        <v>17.647815271967609</v>
      </c>
      <c r="BU91" s="667">
        <f>RevBuild!BO13*BU12</f>
        <v>56.87396515062013</v>
      </c>
      <c r="BV91" s="664"/>
      <c r="BW91" s="665">
        <f>RevBuild!BQ13*BW12</f>
        <v>11.86585780879383</v>
      </c>
      <c r="BX91" s="664">
        <f>RevBuild!BR13*BX12</f>
        <v>14.086719711929858</v>
      </c>
      <c r="BY91" s="664">
        <f>RevBuild!BS13*BY12</f>
        <v>30.313337235892785</v>
      </c>
      <c r="BZ91" s="666">
        <f>RevBuild!BT13*BZ12</f>
        <v>28.972209022990128</v>
      </c>
      <c r="CA91" s="667">
        <f>RevBuild!BU13*CA12</f>
        <v>86.126368283003103</v>
      </c>
      <c r="CB91" s="664"/>
      <c r="CC91" s="665">
        <f>RevBuild!BW13*CC12</f>
        <v>23.341212143726171</v>
      </c>
      <c r="CD91" s="664">
        <f>RevBuild!BX13*CD12</f>
        <v>28.520237333503943</v>
      </c>
      <c r="CE91" s="664">
        <f>RevBuild!BY13*CE12</f>
        <v>39.613523125837354</v>
      </c>
      <c r="CF91" s="666">
        <f>RevBuild!BZ13*CF12</f>
        <v>37.030875773885597</v>
      </c>
      <c r="CG91" s="667">
        <f>RevBuild!CA13*CG12</f>
        <v>128.71989213020822</v>
      </c>
      <c r="CH91" s="664"/>
      <c r="CI91" s="665">
        <f>RevBuild!CC13*CI12</f>
        <v>27.506975145679878</v>
      </c>
      <c r="CJ91" s="664">
        <f>RevBuild!CD13*CJ12</f>
        <v>33.709838685062067</v>
      </c>
      <c r="CK91" s="664">
        <f>RevBuild!CE13*CK12</f>
        <v>48.2575762502956</v>
      </c>
      <c r="CL91" s="666">
        <f>RevBuild!CF13*CL12</f>
        <v>44.556826021045957</v>
      </c>
      <c r="CM91" s="667">
        <f>RevBuild!CG13*CM12</f>
        <v>154.29662822513339</v>
      </c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1"/>
      <c r="DC91" s="1953"/>
      <c r="DD91" s="1953"/>
      <c r="DE91" s="6"/>
      <c r="DF91" s="6"/>
      <c r="DG91" s="6"/>
      <c r="DH91" s="6"/>
      <c r="DI91" s="6"/>
      <c r="DJ91" s="6"/>
    </row>
    <row r="92" spans="1:132" hidden="1" outlineLevel="1">
      <c r="A92" s="309" t="s">
        <v>538</v>
      </c>
      <c r="B92" s="4"/>
      <c r="C92" s="665"/>
      <c r="D92" s="664"/>
      <c r="E92" s="664"/>
      <c r="F92" s="666"/>
      <c r="G92" s="667"/>
      <c r="H92" s="4"/>
      <c r="I92" s="665"/>
      <c r="J92" s="664"/>
      <c r="K92" s="664"/>
      <c r="L92" s="666"/>
      <c r="M92" s="667"/>
      <c r="N92" s="4"/>
      <c r="O92" s="665"/>
      <c r="P92" s="664"/>
      <c r="Q92" s="664"/>
      <c r="R92" s="666"/>
      <c r="S92" s="667"/>
      <c r="T92" s="664"/>
      <c r="U92" s="665"/>
      <c r="V92" s="664"/>
      <c r="W92" s="664"/>
      <c r="X92" s="666"/>
      <c r="Y92" s="667"/>
      <c r="Z92" s="664"/>
      <c r="AA92" s="665"/>
      <c r="AB92" s="664"/>
      <c r="AC92" s="664"/>
      <c r="AD92" s="666"/>
      <c r="AE92" s="667"/>
      <c r="AF92" s="664"/>
      <c r="AG92" s="665"/>
      <c r="AH92" s="664"/>
      <c r="AI92" s="664"/>
      <c r="AJ92" s="666"/>
      <c r="AK92" s="667"/>
      <c r="AL92" s="664"/>
      <c r="AM92" s="665">
        <f>RevBuild!AG14*AM13</f>
        <v>0</v>
      </c>
      <c r="AN92" s="664">
        <f>RevBuild!AH14*AN13</f>
        <v>0</v>
      </c>
      <c r="AO92" s="664">
        <f>RevBuild!AI14*AO13</f>
        <v>0</v>
      </c>
      <c r="AP92" s="666">
        <f>RevBuild!AJ14*AP13</f>
        <v>0</v>
      </c>
      <c r="AQ92" s="667">
        <f>RevBuild!AK14*AQ13</f>
        <v>0</v>
      </c>
      <c r="AR92" s="664"/>
      <c r="AS92" s="665">
        <f>RevBuild!AM14*AS13</f>
        <v>0</v>
      </c>
      <c r="AT92" s="664">
        <f>RevBuild!AN14*AT13</f>
        <v>0</v>
      </c>
      <c r="AU92" s="664">
        <f>RevBuild!AO14*AU13</f>
        <v>0</v>
      </c>
      <c r="AV92" s="666">
        <f>RevBuild!AP14*AV13</f>
        <v>0</v>
      </c>
      <c r="AW92" s="667">
        <f>RevBuild!AQ14*AW13</f>
        <v>0</v>
      </c>
      <c r="AX92" s="664"/>
      <c r="AY92" s="665">
        <f>RevBuild!AS14*AY13</f>
        <v>-4.71</v>
      </c>
      <c r="AZ92" s="664">
        <f>RevBuild!AT14*AZ13</f>
        <v>5.04</v>
      </c>
      <c r="BA92" s="664">
        <f>RevBuild!AU14*BA13</f>
        <v>4.8537268138801259</v>
      </c>
      <c r="BB92" s="666">
        <f>RevBuild!AV14*BB13</f>
        <v>4.0364976900296154</v>
      </c>
      <c r="BC92" s="667">
        <f>RevBuild!AW14*BC13</f>
        <v>9.3823203007936478</v>
      </c>
      <c r="BD92" s="664"/>
      <c r="BE92" s="665">
        <f>RevBuild!AY14*BE13</f>
        <v>8.4689999999999994</v>
      </c>
      <c r="BF92" s="664">
        <f>RevBuild!AZ14*BF13</f>
        <v>4.8120000000000012</v>
      </c>
      <c r="BG92" s="664">
        <f>RevBuild!BA14*BG13</f>
        <v>6.0171592833035623</v>
      </c>
      <c r="BH92" s="666">
        <f>RevBuild!BB14*BH13</f>
        <v>8.8117683293739528</v>
      </c>
      <c r="BI92" s="667">
        <f>RevBuild!BC14*BI13</f>
        <v>28.2686009518989</v>
      </c>
      <c r="BJ92" s="664"/>
      <c r="BK92" s="665">
        <f>RevBuild!BE14*BK13</f>
        <v>4.6011231604375764</v>
      </c>
      <c r="BL92" s="664">
        <f>RevBuild!BF14*BL13</f>
        <v>16.104539644970416</v>
      </c>
      <c r="BM92" s="664">
        <f>RevBuild!BG14*BM13</f>
        <v>9.005835687130201</v>
      </c>
      <c r="BN92" s="666">
        <f>RevBuild!BH14*BN13</f>
        <v>10.107076271873499</v>
      </c>
      <c r="BO92" s="667">
        <f>RevBuild!BI14*BO13</f>
        <v>42.301317589559275</v>
      </c>
      <c r="BP92" s="664"/>
      <c r="BQ92" s="665">
        <f>RevBuild!BK14*BQ13</f>
        <v>6.4868254238743628</v>
      </c>
      <c r="BR92" s="664">
        <f>RevBuild!BL14*BR13</f>
        <v>8.1373501959045278</v>
      </c>
      <c r="BS92" s="664">
        <f>RevBuild!BM14*BS13</f>
        <v>10.808055408825574</v>
      </c>
      <c r="BT92" s="666">
        <f>RevBuild!BN14*BT13</f>
        <v>11.866374549576486</v>
      </c>
      <c r="BU92" s="667">
        <f>RevBuild!BO14*BU13</f>
        <v>39.246282348172215</v>
      </c>
      <c r="BV92" s="664"/>
      <c r="BW92" s="665">
        <f>RevBuild!BQ14*BW13</f>
        <v>6.7722632344229181</v>
      </c>
      <c r="BX92" s="664">
        <f>RevBuild!BR14*BX13</f>
        <v>8.3727347618591939</v>
      </c>
      <c r="BY92" s="664">
        <f>RevBuild!BS14*BY13</f>
        <v>7.9738568444402258</v>
      </c>
      <c r="BZ92" s="666">
        <f>RevBuild!BT14*BZ13</f>
        <v>8.7419298774002616</v>
      </c>
      <c r="CA92" s="667">
        <f>RevBuild!BU14*CA13</f>
        <v>31.860784718122574</v>
      </c>
      <c r="CB92" s="664"/>
      <c r="CC92" s="665">
        <f>RevBuild!BW14*CC13</f>
        <v>7.212460344660407</v>
      </c>
      <c r="CD92" s="664">
        <f>RevBuild!BX14*CD13</f>
        <v>8.916962521380043</v>
      </c>
      <c r="CE92" s="664">
        <f>RevBuild!BY14*CE13</f>
        <v>8.49215753932884</v>
      </c>
      <c r="CF92" s="666">
        <f>RevBuild!BZ14*CF13</f>
        <v>9.3101553194312778</v>
      </c>
      <c r="CG92" s="667">
        <f>RevBuild!CA14*CG13</f>
        <v>33.931735724800539</v>
      </c>
      <c r="CH92" s="664"/>
      <c r="CI92" s="665">
        <f>RevBuild!CC14*CI13</f>
        <v>7.6812702670633337</v>
      </c>
      <c r="CJ92" s="664">
        <f>RevBuild!CD14*CJ13</f>
        <v>9.4965650852697454</v>
      </c>
      <c r="CK92" s="664">
        <f>RevBuild!CE14*CK13</f>
        <v>9.0441477793852147</v>
      </c>
      <c r="CL92" s="666">
        <f>RevBuild!CF14*CL13</f>
        <v>9.9153154151943088</v>
      </c>
      <c r="CM92" s="667">
        <f>RevBuild!CG14*CM13</f>
        <v>36.137298546912575</v>
      </c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1"/>
      <c r="DC92" s="1953"/>
      <c r="DD92" s="1953"/>
      <c r="DE92" s="6"/>
      <c r="DF92" s="6"/>
      <c r="DG92" s="6"/>
      <c r="DH92" s="6"/>
      <c r="DI92" s="6"/>
      <c r="DJ92" s="6"/>
    </row>
    <row r="93" spans="1:132" hidden="1" outlineLevel="1">
      <c r="A93" s="309" t="s">
        <v>534</v>
      </c>
      <c r="B93" s="4"/>
      <c r="C93" s="665"/>
      <c r="D93" s="664"/>
      <c r="E93" s="664"/>
      <c r="F93" s="666"/>
      <c r="G93" s="667"/>
      <c r="H93" s="4"/>
      <c r="I93" s="665"/>
      <c r="J93" s="664"/>
      <c r="K93" s="664"/>
      <c r="L93" s="666"/>
      <c r="M93" s="667"/>
      <c r="N93" s="4"/>
      <c r="O93" s="665"/>
      <c r="P93" s="664"/>
      <c r="Q93" s="664"/>
      <c r="R93" s="666"/>
      <c r="S93" s="667"/>
      <c r="T93" s="664"/>
      <c r="U93" s="665"/>
      <c r="V93" s="664"/>
      <c r="W93" s="664"/>
      <c r="X93" s="666"/>
      <c r="Y93" s="667"/>
      <c r="Z93" s="664"/>
      <c r="AA93" s="665"/>
      <c r="AB93" s="664"/>
      <c r="AC93" s="664"/>
      <c r="AD93" s="666"/>
      <c r="AE93" s="667"/>
      <c r="AF93" s="664"/>
      <c r="AG93" s="665"/>
      <c r="AH93" s="664"/>
      <c r="AI93" s="664"/>
      <c r="AJ93" s="666"/>
      <c r="AK93" s="667"/>
      <c r="AL93" s="664"/>
      <c r="AM93" s="665">
        <f>RevBuild!AG15*AM14</f>
        <v>0</v>
      </c>
      <c r="AN93" s="664">
        <f>RevBuild!AH15*AN14</f>
        <v>0</v>
      </c>
      <c r="AO93" s="664">
        <f>RevBuild!AI15*AO14</f>
        <v>0</v>
      </c>
      <c r="AP93" s="666">
        <f>RevBuild!AJ15*AP14</f>
        <v>0</v>
      </c>
      <c r="AQ93" s="667">
        <f>RevBuild!AK15*AQ14</f>
        <v>0</v>
      </c>
      <c r="AR93" s="664"/>
      <c r="AS93" s="665">
        <f>RevBuild!AM15*AS14</f>
        <v>0</v>
      </c>
      <c r="AT93" s="664">
        <f>RevBuild!AN15*AT14</f>
        <v>0</v>
      </c>
      <c r="AU93" s="664">
        <f>RevBuild!AO15*AU14</f>
        <v>0</v>
      </c>
      <c r="AV93" s="666">
        <f>RevBuild!AP15*AV14</f>
        <v>0</v>
      </c>
      <c r="AW93" s="667">
        <f>RevBuild!AQ15*AW14</f>
        <v>0</v>
      </c>
      <c r="AX93" s="664"/>
      <c r="AY93" s="665">
        <f>RevBuild!AS15*AY14</f>
        <v>4.9455</v>
      </c>
      <c r="AZ93" s="664">
        <f>RevBuild!AT15*AZ14</f>
        <v>6.3503999999999996</v>
      </c>
      <c r="BA93" s="664">
        <f>RevBuild!AU15*BA14</f>
        <v>7.6888744164037863</v>
      </c>
      <c r="BB93" s="666">
        <f>RevBuild!AV15*BB14</f>
        <v>8.4231348272458053</v>
      </c>
      <c r="BC93" s="667">
        <f>RevBuild!AW15*BC14</f>
        <v>27.451963775717541</v>
      </c>
      <c r="BD93" s="664"/>
      <c r="BE93" s="665">
        <f>RevBuild!AY15*BE14</f>
        <v>6.2256600000000004</v>
      </c>
      <c r="BF93" s="664">
        <f>RevBuild!AZ15*BF14</f>
        <v>5.4230400000000003</v>
      </c>
      <c r="BG93" s="664">
        <f>RevBuild!BA15*BG14</f>
        <v>4.2986895564687773</v>
      </c>
      <c r="BH93" s="666">
        <f>RevBuild!BB15*BH14</f>
        <v>4.2461740915953081</v>
      </c>
      <c r="BI93" s="667">
        <f>RevBuild!BC15*BI14</f>
        <v>20.256556142449387</v>
      </c>
      <c r="BJ93" s="664"/>
      <c r="BK93" s="665">
        <f>RevBuild!BE15*BK14</f>
        <v>2.1980505891891897</v>
      </c>
      <c r="BL93" s="664">
        <f>RevBuild!BF15*BL14</f>
        <v>4.7543053633136099</v>
      </c>
      <c r="BM93" s="664">
        <f>RevBuild!BG15*BM14</f>
        <v>4.325030827802828</v>
      </c>
      <c r="BN93" s="666">
        <f>RevBuild!BH15*BN14</f>
        <v>6.249182249869258</v>
      </c>
      <c r="BO93" s="667">
        <f>RevBuild!BI15*BO14</f>
        <v>19.036635233594623</v>
      </c>
      <c r="BP93" s="664"/>
      <c r="BQ93" s="665">
        <f>RevBuild!BK15*BQ14</f>
        <v>3.3871745761254721</v>
      </c>
      <c r="BR93" s="664">
        <f>RevBuild!BL15*BR14</f>
        <v>5.1105577505938182</v>
      </c>
      <c r="BS93" s="664">
        <f>RevBuild!BM15*BS14</f>
        <v>5.2993298358691412</v>
      </c>
      <c r="BT93" s="666">
        <f>RevBuild!BN15*BT14</f>
        <v>5.7814407223910598</v>
      </c>
      <c r="BU93" s="667">
        <f>RevBuild!BO15*BU14</f>
        <v>20.783697780668504</v>
      </c>
      <c r="BV93" s="664"/>
      <c r="BW93" s="665">
        <f>RevBuild!BQ15*BW14</f>
        <v>5.0935945743709281</v>
      </c>
      <c r="BX93" s="664">
        <f>RevBuild!BR15*BX14</f>
        <v>5.7139849500706488</v>
      </c>
      <c r="BY93" s="664">
        <f>RevBuild!BS15*BY14</f>
        <v>5.9089141679027994</v>
      </c>
      <c r="BZ93" s="666">
        <f>RevBuild!BT15*BZ14</f>
        <v>6.4369459776297804</v>
      </c>
      <c r="CA93" s="667">
        <f>RevBuild!BU15*CA14</f>
        <v>23.15343966997424</v>
      </c>
      <c r="CB93" s="664"/>
      <c r="CC93" s="665">
        <f>RevBuild!BW15*CC14</f>
        <v>5.5010821403206034</v>
      </c>
      <c r="CD93" s="664">
        <f>RevBuild!BX15*CD14</f>
        <v>6.1711037460763007</v>
      </c>
      <c r="CE93" s="664">
        <f>RevBuild!BY15*CE14</f>
        <v>6.3816273013350235</v>
      </c>
      <c r="CF93" s="666">
        <f>RevBuild!BZ15*CF14</f>
        <v>6.951901655840163</v>
      </c>
      <c r="CG93" s="667">
        <f>RevBuild!CA15*CG14</f>
        <v>25.005714843572047</v>
      </c>
      <c r="CH93" s="664"/>
      <c r="CI93" s="665">
        <f>RevBuild!CC15*CI14</f>
        <v>5.9411687115462524</v>
      </c>
      <c r="CJ93" s="664">
        <f>RevBuild!CD15*CJ14</f>
        <v>6.6647920457624057</v>
      </c>
      <c r="CK93" s="664">
        <f>RevBuild!CE15*CK14</f>
        <v>6.8921574854418264</v>
      </c>
      <c r="CL93" s="666">
        <f>RevBuild!CF15*CL14</f>
        <v>7.508053788307377</v>
      </c>
      <c r="CM93" s="667">
        <f>RevBuild!CG15*CM14</f>
        <v>27.006172031057883</v>
      </c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1953"/>
      <c r="DD93" s="1953"/>
      <c r="DE93" s="6"/>
      <c r="DF93" s="6"/>
      <c r="DG93" s="6"/>
      <c r="DH93" s="6"/>
      <c r="DI93" s="6"/>
      <c r="DJ93" s="6"/>
    </row>
    <row r="94" spans="1:132" hidden="1" outlineLevel="1">
      <c r="A94" s="309" t="s">
        <v>539</v>
      </c>
      <c r="B94" s="4"/>
      <c r="C94" s="665"/>
      <c r="D94" s="664"/>
      <c r="E94" s="664"/>
      <c r="F94" s="666"/>
      <c r="G94" s="667"/>
      <c r="H94" s="4"/>
      <c r="I94" s="665"/>
      <c r="J94" s="664"/>
      <c r="K94" s="664"/>
      <c r="L94" s="666"/>
      <c r="M94" s="667"/>
      <c r="N94" s="4"/>
      <c r="O94" s="665"/>
      <c r="P94" s="664"/>
      <c r="Q94" s="664"/>
      <c r="R94" s="666"/>
      <c r="S94" s="667"/>
      <c r="T94" s="664"/>
      <c r="U94" s="665"/>
      <c r="V94" s="664"/>
      <c r="W94" s="664"/>
      <c r="X94" s="666"/>
      <c r="Y94" s="667"/>
      <c r="Z94" s="664"/>
      <c r="AA94" s="665"/>
      <c r="AB94" s="664"/>
      <c r="AC94" s="664"/>
      <c r="AD94" s="666"/>
      <c r="AE94" s="667"/>
      <c r="AF94" s="664"/>
      <c r="AG94" s="665"/>
      <c r="AH94" s="664"/>
      <c r="AI94" s="664"/>
      <c r="AJ94" s="666"/>
      <c r="AK94" s="667"/>
      <c r="AL94" s="664"/>
      <c r="AM94" s="665">
        <f>RevBuild!AG16*AM15</f>
        <v>0</v>
      </c>
      <c r="AN94" s="664">
        <f>RevBuild!AH16*AN15</f>
        <v>0</v>
      </c>
      <c r="AO94" s="664">
        <f>RevBuild!AI16*AO15</f>
        <v>0</v>
      </c>
      <c r="AP94" s="666">
        <f>RevBuild!AJ16*AP15</f>
        <v>0</v>
      </c>
      <c r="AQ94" s="667">
        <f>RevBuild!AK16*AQ15</f>
        <v>0</v>
      </c>
      <c r="AR94" s="664"/>
      <c r="AS94" s="665">
        <f>RevBuild!AM16*AS15</f>
        <v>0</v>
      </c>
      <c r="AT94" s="664">
        <f>RevBuild!AN16*AT15</f>
        <v>0</v>
      </c>
      <c r="AU94" s="664">
        <f>RevBuild!AO16*AU15</f>
        <v>0</v>
      </c>
      <c r="AV94" s="666">
        <f>RevBuild!AP16*AV15</f>
        <v>0</v>
      </c>
      <c r="AW94" s="667">
        <f>RevBuild!AQ16*AW15</f>
        <v>0</v>
      </c>
      <c r="AX94" s="664"/>
      <c r="AY94" s="665">
        <f>RevBuild!AS16*AY15</f>
        <v>-2.595500000000003</v>
      </c>
      <c r="AZ94" s="664">
        <f>RevBuild!AT16*AZ15</f>
        <v>2.8895999999999864</v>
      </c>
      <c r="BA94" s="664">
        <f>RevBuild!AU16*BA15</f>
        <v>1.7576528079510354</v>
      </c>
      <c r="BB94" s="666">
        <f>RevBuild!AV16*BB15</f>
        <v>3.456647636079802</v>
      </c>
      <c r="BC94" s="667">
        <f>RevBuild!AW16*BC15</f>
        <v>14.396124382563826</v>
      </c>
      <c r="BD94" s="664"/>
      <c r="BE94" s="665">
        <f>RevBuild!AY16*BE15</f>
        <v>2.9152656756756534</v>
      </c>
      <c r="BF94" s="664">
        <f>RevBuild!AZ16*BF15</f>
        <v>-0.68853964497040743</v>
      </c>
      <c r="BG94" s="664">
        <f>RevBuild!BA16*BG15</f>
        <v>2.2353860643159593</v>
      </c>
      <c r="BH94" s="666">
        <f>RevBuild!BB16*BH15</f>
        <v>2.5420575790307249</v>
      </c>
      <c r="BI94" s="667">
        <f>RevBuild!BC16*BI15</f>
        <v>8.7418634757345881</v>
      </c>
      <c r="BJ94" s="664"/>
      <c r="BK94" s="665">
        <f>RevBuild!BE16*BK15</f>
        <v>1.203184227027025</v>
      </c>
      <c r="BL94" s="664">
        <f>RevBuild!BF16*BL15</f>
        <v>3.0431549917159888</v>
      </c>
      <c r="BM94" s="664">
        <f>RevBuild!BG16*BM15</f>
        <v>3.2891334850669645</v>
      </c>
      <c r="BN94" s="666">
        <f>RevBuild!BH16*BN15</f>
        <v>-3.2862585217427256</v>
      </c>
      <c r="BO94" s="667">
        <f>RevBuild!BI16*BO15</f>
        <v>4.7812769605199623</v>
      </c>
      <c r="BP94" s="664"/>
      <c r="BQ94" s="665">
        <f>RevBuild!BK16*BQ15</f>
        <v>0</v>
      </c>
      <c r="BR94" s="664">
        <f>RevBuild!BL16*BR15</f>
        <v>0</v>
      </c>
      <c r="BS94" s="664">
        <f>RevBuild!BM16*BS15</f>
        <v>0</v>
      </c>
      <c r="BT94" s="666">
        <f>RevBuild!BN16*BT15</f>
        <v>0</v>
      </c>
      <c r="BU94" s="667">
        <f>RevBuild!BO16*BU15</f>
        <v>0.33923793203415981</v>
      </c>
      <c r="BV94" s="664"/>
      <c r="BW94" s="665">
        <f>RevBuild!BQ16*BW15</f>
        <v>0</v>
      </c>
      <c r="BX94" s="664">
        <f>RevBuild!BR16*BX15</f>
        <v>0</v>
      </c>
      <c r="BY94" s="664">
        <f>RevBuild!BS16*BY15</f>
        <v>16.430566223549754</v>
      </c>
      <c r="BZ94" s="666">
        <f>RevBuild!BT16*BZ15</f>
        <v>13.793333167960075</v>
      </c>
      <c r="CA94" s="667">
        <f>RevBuild!BU16*CA15</f>
        <v>30.223899391509811</v>
      </c>
      <c r="CB94" s="664"/>
      <c r="CC94" s="665">
        <f>RevBuild!BW16*CC15</f>
        <v>10.627669658745157</v>
      </c>
      <c r="CD94" s="664">
        <f>RevBuild!BX16*CD15</f>
        <v>13.4321710660476</v>
      </c>
      <c r="CE94" s="664">
        <f>RevBuild!BY16*CE15</f>
        <v>24.739738285173491</v>
      </c>
      <c r="CF94" s="666">
        <f>RevBuild!BZ16*CF15</f>
        <v>20.768818798614166</v>
      </c>
      <c r="CG94" s="667">
        <f>RevBuild!CA16*CG15</f>
        <v>69.568397808580428</v>
      </c>
      <c r="CH94" s="664"/>
      <c r="CI94" s="665">
        <f>RevBuild!CC16*CI15</f>
        <v>13.884536167070287</v>
      </c>
      <c r="CJ94" s="664">
        <f>RevBuild!CD16*CJ15</f>
        <v>17.54848155402993</v>
      </c>
      <c r="CK94" s="664">
        <f>RevBuild!CE16*CK15</f>
        <v>32.321270985468594</v>
      </c>
      <c r="CL94" s="666">
        <f>RevBuild!CF16*CL15</f>
        <v>27.133456817544317</v>
      </c>
      <c r="CM94" s="667">
        <f>RevBuild!CG16*CM15</f>
        <v>90.887745524113129</v>
      </c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1"/>
      <c r="DC94" s="1953"/>
      <c r="DD94" s="1953"/>
      <c r="DE94" s="6"/>
      <c r="DF94" s="6"/>
      <c r="DG94" s="6"/>
      <c r="DH94" s="6"/>
      <c r="DI94" s="6"/>
      <c r="DJ94" s="6"/>
    </row>
    <row r="95" spans="1:132" hidden="1" outlineLevel="1">
      <c r="A95" s="490" t="s">
        <v>107</v>
      </c>
      <c r="B95" s="4"/>
      <c r="C95" s="665"/>
      <c r="D95" s="664"/>
      <c r="E95" s="664"/>
      <c r="F95" s="666"/>
      <c r="G95" s="667"/>
      <c r="H95" s="4"/>
      <c r="I95" s="665"/>
      <c r="J95" s="664"/>
      <c r="K95" s="664"/>
      <c r="L95" s="666"/>
      <c r="M95" s="667"/>
      <c r="N95" s="4"/>
      <c r="O95" s="665"/>
      <c r="P95" s="664"/>
      <c r="Q95" s="664"/>
      <c r="R95" s="666"/>
      <c r="S95" s="667"/>
      <c r="T95" s="664"/>
      <c r="U95" s="665"/>
      <c r="V95" s="664"/>
      <c r="W95" s="664"/>
      <c r="X95" s="666"/>
      <c r="Y95" s="667"/>
      <c r="Z95" s="664"/>
      <c r="AA95" s="665"/>
      <c r="AB95" s="664"/>
      <c r="AC95" s="664"/>
      <c r="AD95" s="666"/>
      <c r="AE95" s="667"/>
      <c r="AF95" s="664"/>
      <c r="AG95" s="665"/>
      <c r="AH95" s="664"/>
      <c r="AI95" s="664"/>
      <c r="AJ95" s="666"/>
      <c r="AK95" s="667"/>
      <c r="AL95" s="664"/>
      <c r="AM95" s="665">
        <f>RevBuild!AG17*AM16</f>
        <v>16.278879813302208</v>
      </c>
      <c r="AN95" s="664">
        <f>RevBuild!AH17*AN16</f>
        <v>20.79229871645277</v>
      </c>
      <c r="AO95" s="664">
        <f>RevBuild!AI17*AO16</f>
        <v>23.570615034168565</v>
      </c>
      <c r="AP95" s="666">
        <f>RevBuild!AJ17*AP16</f>
        <v>29.377497371188195</v>
      </c>
      <c r="AQ95" s="667">
        <f>RevBuild!AK17*AQ16</f>
        <v>89.90460062094273</v>
      </c>
      <c r="AR95" s="664"/>
      <c r="AS95" s="665">
        <f>RevBuild!AM17*AS16</f>
        <v>23.375782881002113</v>
      </c>
      <c r="AT95" s="664">
        <f>RevBuild!AN17*AT16</f>
        <v>19.895061728395071</v>
      </c>
      <c r="AU95" s="664">
        <f>RevBuild!AO17*AU16</f>
        <v>27.792849631966369</v>
      </c>
      <c r="AV95" s="666">
        <f>RevBuild!AP17*AV16</f>
        <v>16.825271470878576</v>
      </c>
      <c r="AW95" s="667">
        <f>RevBuild!AQ17*AW16</f>
        <v>88.029275808936802</v>
      </c>
      <c r="AX95" s="664"/>
      <c r="AY95" s="665">
        <f>RevBuild!AS17*AY16</f>
        <v>31.000000000000028</v>
      </c>
      <c r="AZ95" s="664">
        <f>RevBuild!AT17*AZ16</f>
        <v>21.999999999999986</v>
      </c>
      <c r="BA95" s="664">
        <f>RevBuild!AU17*BA16</f>
        <v>27.000000000000004</v>
      </c>
      <c r="BB95" s="666">
        <f>RevBuild!AV17*BB16</f>
        <v>35.999999999999979</v>
      </c>
      <c r="BC95" s="667">
        <f>RevBuild!AW17*BC16</f>
        <v>116.44280381387108</v>
      </c>
      <c r="BD95" s="664"/>
      <c r="BE95" s="665">
        <f>RevBuild!AY17*BE16</f>
        <v>34</v>
      </c>
      <c r="BF95" s="664">
        <f>RevBuild!AZ17*BF16</f>
        <v>30.999999999999968</v>
      </c>
      <c r="BG95" s="664">
        <f>RevBuild!BA17*BG16</f>
        <v>28.499999999999986</v>
      </c>
      <c r="BH95" s="666">
        <f>RevBuild!BB17*BH16</f>
        <v>24.965999999999998</v>
      </c>
      <c r="BI95" s="667">
        <f>RevBuild!BC17*BI16</f>
        <v>118.29075441874876</v>
      </c>
      <c r="BJ95" s="664"/>
      <c r="BK95" s="665">
        <f>RevBuild!BE17*BK16</f>
        <v>24.767999999999997</v>
      </c>
      <c r="BL95" s="664">
        <f>RevBuild!BF17*BL16</f>
        <v>34.6</v>
      </c>
      <c r="BM95" s="664">
        <f>RevBuild!BG17*BM16</f>
        <v>28.8</v>
      </c>
      <c r="BN95" s="666">
        <f>RevBuild!BH17*BN16</f>
        <v>29.6</v>
      </c>
      <c r="BO95" s="667">
        <f>RevBuild!BI17*BO16</f>
        <v>117.91843239712607</v>
      </c>
      <c r="BP95" s="664"/>
      <c r="BQ95" s="665">
        <f>RevBuild!BK17*BQ16</f>
        <v>29.358000000000008</v>
      </c>
      <c r="BR95" s="664">
        <f>RevBuild!BL17*BR16</f>
        <v>41.58</v>
      </c>
      <c r="BS95" s="664">
        <f>RevBuild!BM17*BS16</f>
        <v>46.32</v>
      </c>
      <c r="BT95" s="666">
        <f>RevBuild!BN17*BT16</f>
        <v>48.48</v>
      </c>
      <c r="BU95" s="667">
        <f>RevBuild!BO17*BU16</f>
        <v>165.98225447539218</v>
      </c>
      <c r="BV95" s="664"/>
      <c r="BW95" s="665">
        <f>RevBuild!BQ17*BW16</f>
        <v>32.64</v>
      </c>
      <c r="BX95" s="664">
        <f>RevBuild!BR17*BX16</f>
        <v>34.905120000000004</v>
      </c>
      <c r="BY95" s="664">
        <f>RevBuild!BS17*BY16</f>
        <v>35.604640000000003</v>
      </c>
      <c r="BZ95" s="666">
        <f>RevBuild!BT17*BZ16</f>
        <v>37.200320000000005</v>
      </c>
      <c r="CA95" s="667">
        <f>RevBuild!BU17*CA16</f>
        <v>140.35007999999999</v>
      </c>
      <c r="CB95" s="664"/>
      <c r="CC95" s="665">
        <f>RevBuild!BW17*CC16</f>
        <v>33.048000000000002</v>
      </c>
      <c r="CD95" s="664">
        <f>RevBuild!BX17*CD16</f>
        <v>35.341434</v>
      </c>
      <c r="CE95" s="664">
        <f>RevBuild!BY17*CE16</f>
        <v>36.049697999999999</v>
      </c>
      <c r="CF95" s="666">
        <f>RevBuild!BZ17*CF16</f>
        <v>37.665324000000005</v>
      </c>
      <c r="CG95" s="667">
        <f>RevBuild!CA17*CG16</f>
        <v>142.10445600000003</v>
      </c>
      <c r="CH95" s="664"/>
      <c r="CI95" s="665">
        <f>RevBuild!CC17*CI16</f>
        <v>35.526600000000002</v>
      </c>
      <c r="CJ95" s="664">
        <f>RevBuild!CD17*CJ16</f>
        <v>37.992041550000003</v>
      </c>
      <c r="CK95" s="664">
        <f>RevBuild!CE17*CK16</f>
        <v>38.753425350000001</v>
      </c>
      <c r="CL95" s="666">
        <f>RevBuild!CF17*CL16</f>
        <v>40.490223299999997</v>
      </c>
      <c r="CM95" s="667">
        <f>RevBuild!CG17*CM16</f>
        <v>152.76229019999997</v>
      </c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1"/>
      <c r="DC95" s="1953"/>
      <c r="DD95" s="1953"/>
      <c r="DE95" s="6"/>
      <c r="DF95" s="6"/>
      <c r="DG95" s="6"/>
      <c r="DH95" s="6"/>
      <c r="DI95" s="6"/>
      <c r="DJ95" s="6"/>
    </row>
    <row r="96" spans="1:132" collapsed="1">
      <c r="A96" s="1498" t="s">
        <v>239</v>
      </c>
      <c r="B96" s="4"/>
      <c r="C96" s="1499"/>
      <c r="D96" s="1500"/>
      <c r="E96" s="1500"/>
      <c r="F96" s="1501"/>
      <c r="G96" s="1502"/>
      <c r="H96" s="4"/>
      <c r="I96" s="1499">
        <f>RevBuild!C18*OrgRev!I17</f>
        <v>52.325000000000003</v>
      </c>
      <c r="J96" s="1500">
        <f>RevBuild!D18*OrgRev!J17</f>
        <v>57.78</v>
      </c>
      <c r="K96" s="1500">
        <f>RevBuild!E18*OrgRev!K17</f>
        <v>49.245000000000005</v>
      </c>
      <c r="L96" s="1501">
        <f>RevBuild!F18*OrgRev!L17</f>
        <v>39.300000000000004</v>
      </c>
      <c r="M96" s="1502">
        <f>RevBuild!G18*OrgRev!M17</f>
        <v>201.67</v>
      </c>
      <c r="N96" s="4"/>
      <c r="O96" s="1499">
        <f>RevBuild!I18*OrgRev!O17</f>
        <v>-8.9928394148984729</v>
      </c>
      <c r="P96" s="1500">
        <f>RevBuild!J18*OrgRev!P17</f>
        <v>-51.9944934619487</v>
      </c>
      <c r="Q96" s="1500">
        <f>RevBuild!K18*OrgRev!Q17</f>
        <v>-53.856410198109764</v>
      </c>
      <c r="R96" s="1501">
        <f>RevBuild!L18*OrgRev!R17</f>
        <v>-34.699833212368077</v>
      </c>
      <c r="S96" s="1502">
        <f>RevBuild!M18*OrgRev!S17</f>
        <v>-149.54357628732495</v>
      </c>
      <c r="T96" s="668"/>
      <c r="U96" s="1499">
        <f>RevBuild!O18*OrgRev!U17</f>
        <v>35.449999999999953</v>
      </c>
      <c r="V96" s="1500">
        <f>RevBuild!P18*OrgRev!V17</f>
        <v>54.519999999999996</v>
      </c>
      <c r="W96" s="1500">
        <f>RevBuild!Q18*OrgRev!W17</f>
        <v>79.32999999999997</v>
      </c>
      <c r="X96" s="1501">
        <f>RevBuild!R18*OrgRev!X17</f>
        <v>97.860000000000056</v>
      </c>
      <c r="Y96" s="1502">
        <f>RevBuild!S18*OrgRev!Y17</f>
        <v>267.16000000000003</v>
      </c>
      <c r="Z96" s="668"/>
      <c r="AA96" s="1499">
        <f>RevBuild!U18*OrgRev!AA17</f>
        <v>48.199999999999996</v>
      </c>
      <c r="AB96" s="1500">
        <f>RevBuild!V18*OrgRev!AB17</f>
        <v>65.89</v>
      </c>
      <c r="AC96" s="1500">
        <f>RevBuild!W18*OrgRev!AC17</f>
        <v>60.839999999999996</v>
      </c>
      <c r="AD96" s="1501">
        <f>RevBuild!X18*OrgRev!AD17</f>
        <v>32.639999999999972</v>
      </c>
      <c r="AE96" s="1502">
        <f>RevBuild!Y18*OrgRev!AE17</f>
        <v>206.6</v>
      </c>
      <c r="AF96" s="668"/>
      <c r="AG96" s="1499">
        <f>RevBuild!AA18*OrgRev!AG17</f>
        <v>97.13000000000001</v>
      </c>
      <c r="AH96" s="1500">
        <f>RevBuild!AB18*OrgRev!AH17</f>
        <v>19.730000000000025</v>
      </c>
      <c r="AI96" s="1500">
        <f>RevBuild!AC18*OrgRev!AI17</f>
        <v>29.967000000000034</v>
      </c>
      <c r="AJ96" s="1501">
        <f>RevBuild!AD18*OrgRev!AJ17</f>
        <v>13.99999999999998</v>
      </c>
      <c r="AK96" s="1502">
        <f>RevBuild!AE18*OrgRev!AK17</f>
        <v>171.77999999999972</v>
      </c>
      <c r="AL96" s="668"/>
      <c r="AM96" s="1499">
        <f>RevBuild!AG18*OrgRev!AM17</f>
        <v>16.944000000000013</v>
      </c>
      <c r="AN96" s="1500">
        <f>RevBuild!AH18*OrgRev!AN17</f>
        <v>38.216000000000022</v>
      </c>
      <c r="AO96" s="1500">
        <f>RevBuild!AI18*OrgRev!AO17</f>
        <v>33.999999999999986</v>
      </c>
      <c r="AP96" s="1501">
        <f>RevBuild!AJ18*OrgRev!AP17</f>
        <v>66.780000000000015</v>
      </c>
      <c r="AQ96" s="1502">
        <f>RevBuild!AK18*OrgRev!AQ17</f>
        <v>177.70084660597962</v>
      </c>
      <c r="AR96" s="668"/>
      <c r="AS96" s="1499">
        <f>RevBuild!AM18*OrgRev!AS17</f>
        <v>60.99999999999995</v>
      </c>
      <c r="AT96" s="1500">
        <f>RevBuild!AN18*OrgRev!AT17</f>
        <v>22.000000000000053</v>
      </c>
      <c r="AU96" s="1500">
        <f>RevBuild!AO18*OrgRev!AU17</f>
        <v>48.000000000000057</v>
      </c>
      <c r="AV96" s="1501">
        <f>RevBuild!AP18*OrgRev!AV17</f>
        <v>38.999999999999979</v>
      </c>
      <c r="AW96" s="1502">
        <f>RevBuild!AQ18*OrgRev!AW17</f>
        <v>169.99999999999989</v>
      </c>
      <c r="AX96" s="668"/>
      <c r="AY96" s="1499">
        <f>RevBuild!AS18*OrgRev!AY17</f>
        <v>68.74000000000008</v>
      </c>
      <c r="AZ96" s="1500">
        <f>RevBuild!AT18*OrgRev!AZ17</f>
        <v>63.950000000000017</v>
      </c>
      <c r="BA96" s="1500">
        <f>RevBuild!AU18*OrgRev!BA17</f>
        <v>71.140000000000043</v>
      </c>
      <c r="BB96" s="1501">
        <f>RevBuild!AV18*OrgRev!BB17</f>
        <v>64.467999999999989</v>
      </c>
      <c r="BC96" s="1502">
        <f>RevBuild!AW18*OrgRev!BC17</f>
        <v>270.64288586283243</v>
      </c>
      <c r="BD96" s="668"/>
      <c r="BE96" s="1499">
        <f>RevBuild!AY18*OrgRev!BE17</f>
        <v>65.393000000000001</v>
      </c>
      <c r="BF96" s="1500">
        <f>RevBuild!AZ18*OrgRev!BF17</f>
        <v>39.194658119658094</v>
      </c>
      <c r="BG96" s="1500">
        <f>RevBuild!BA18*OrgRev!BG17</f>
        <v>30.999999999999975</v>
      </c>
      <c r="BH96" s="1501">
        <f>RevBuild!BB18*OrgRev!BH17</f>
        <v>66.316000000000017</v>
      </c>
      <c r="BI96" s="1502">
        <f>RevBuild!BC18*OrgRev!BI17</f>
        <v>202.70764984816256</v>
      </c>
      <c r="BJ96" s="668"/>
      <c r="BK96" s="1499">
        <f>RevBuild!BE18*OrgRev!BK17</f>
        <v>54.336357976653687</v>
      </c>
      <c r="BL96" s="1500">
        <f>RevBuild!BF18*OrgRev!BL17</f>
        <v>88.201999999999998</v>
      </c>
      <c r="BM96" s="1500">
        <f>RevBuild!BG18*OrgRev!BM17</f>
        <v>78.180000000000021</v>
      </c>
      <c r="BN96" s="1501">
        <f>RevBuild!BH18*OrgRev!BN17</f>
        <v>84.69</v>
      </c>
      <c r="BO96" s="1502">
        <f>RevBuild!BI18*OrgRev!BO17</f>
        <v>306.3781435904051</v>
      </c>
      <c r="BP96" s="668"/>
      <c r="BQ96" s="1499">
        <f>RevBuild!BK18*OrgRev!BQ17</f>
        <v>71.071999999999946</v>
      </c>
      <c r="BR96" s="1500">
        <f>RevBuild!BL18*OrgRev!BR17</f>
        <v>101.89790794649835</v>
      </c>
      <c r="BS96" s="1500">
        <f>RevBuild!BM18*OrgRev!BS17</f>
        <v>88.977385244694702</v>
      </c>
      <c r="BT96" s="1501">
        <f>RevBuild!BN18*OrgRev!BT17</f>
        <v>92.00281527196762</v>
      </c>
      <c r="BU96" s="1502">
        <f>RevBuild!BO18*OrgRev!BU17</f>
        <v>354.9966040937415</v>
      </c>
      <c r="BV96" s="668"/>
      <c r="BW96" s="1499">
        <f>RevBuild!BQ18*OrgRev!BW17</f>
        <v>81.585857808793833</v>
      </c>
      <c r="BX96" s="1500">
        <f>RevBuild!BR18*OrgRev!BX17</f>
        <v>84.841179711929868</v>
      </c>
      <c r="BY96" s="1500">
        <f>RevBuild!BS18*OrgRev!BY17</f>
        <v>100.59035723589278</v>
      </c>
      <c r="BZ96" s="1501">
        <f>RevBuild!BT18*OrgRev!BZ17</f>
        <v>103.29452902299013</v>
      </c>
      <c r="CA96" s="1502">
        <f>RevBuild!BU18*OrgRev!CA17</f>
        <v>371.20016828300305</v>
      </c>
      <c r="CB96" s="668"/>
      <c r="CC96" s="1499">
        <f>RevBuild!BW18*OrgRev!CC17</f>
        <v>76.041612143726169</v>
      </c>
      <c r="CD96" s="1500">
        <f>RevBuild!BX18*OrgRev!CD17</f>
        <v>82.861821533503942</v>
      </c>
      <c r="CE96" s="1500">
        <f>RevBuild!BY18*OrgRev!CE17</f>
        <v>94.039582525837346</v>
      </c>
      <c r="CF96" s="1501">
        <f>RevBuild!BZ18*OrgRev!CF17</f>
        <v>94.370859773885599</v>
      </c>
      <c r="CG96" s="1502">
        <f>RevBuild!CA18*OrgRev!CG17</f>
        <v>347.52791973020823</v>
      </c>
      <c r="CH96" s="668"/>
      <c r="CI96" s="1499">
        <f>RevBuild!CC18*OrgRev!CI17</f>
        <v>83.275547145679894</v>
      </c>
      <c r="CJ96" s="1500">
        <f>RevBuild!CD18*OrgRev!CJ17</f>
        <v>91.272034941062074</v>
      </c>
      <c r="CK96" s="1500">
        <f>RevBuild!CE18*OrgRev!CK17</f>
        <v>105.93865384229559</v>
      </c>
      <c r="CL96" s="1501">
        <f>RevBuild!CF18*OrgRev!CL17</f>
        <v>105.31194912104597</v>
      </c>
      <c r="CM96" s="1502">
        <f>RevBuild!CG18*OrgRev!CM17</f>
        <v>386.06359717313342</v>
      </c>
      <c r="CN96" s="1516"/>
      <c r="CO96" s="1516"/>
      <c r="CP96" s="1516"/>
      <c r="CQ96" s="1516"/>
      <c r="CR96" s="1516"/>
      <c r="CS96" s="1516"/>
      <c r="CT96" s="1516"/>
      <c r="CU96" s="1516"/>
      <c r="CV96" s="1516"/>
      <c r="CW96" s="1516"/>
      <c r="CX96" s="1516"/>
      <c r="CY96" s="1516"/>
      <c r="CZ96" s="1516"/>
      <c r="DA96" s="1516"/>
      <c r="DB96" s="1516"/>
      <c r="DC96" s="1953"/>
      <c r="DD96" s="1953"/>
      <c r="DE96" s="6"/>
      <c r="DF96" s="6"/>
      <c r="DG96" s="6"/>
      <c r="DH96" s="6"/>
      <c r="DI96" s="6"/>
      <c r="DJ96" s="6"/>
      <c r="DY96" s="2452"/>
    </row>
    <row r="97" spans="1:114">
      <c r="A97" s="107"/>
      <c r="B97" s="4"/>
      <c r="C97" s="107"/>
      <c r="D97" s="107"/>
      <c r="E97" s="107"/>
      <c r="F97" s="107"/>
      <c r="G97" s="107"/>
      <c r="H97" s="4"/>
      <c r="I97" s="107"/>
      <c r="J97" s="107"/>
      <c r="K97" s="107"/>
      <c r="L97" s="107"/>
      <c r="M97" s="107"/>
      <c r="N97" s="4"/>
      <c r="O97" s="107"/>
      <c r="P97" s="107"/>
      <c r="Q97" s="107"/>
      <c r="R97" s="107"/>
      <c r="S97" s="107"/>
      <c r="T97" s="4"/>
      <c r="U97" s="107"/>
      <c r="V97" s="107"/>
      <c r="W97" s="107"/>
      <c r="X97" s="107"/>
      <c r="Y97" s="107"/>
      <c r="Z97" s="4"/>
      <c r="AA97" s="107"/>
      <c r="AB97" s="107"/>
      <c r="AC97" s="107"/>
      <c r="AD97" s="107"/>
      <c r="AE97" s="107"/>
      <c r="AF97" s="4"/>
      <c r="AG97" s="107"/>
      <c r="AH97" s="107"/>
      <c r="AI97" s="107"/>
      <c r="AJ97" s="107"/>
      <c r="AK97" s="107"/>
      <c r="AL97" s="4"/>
      <c r="AM97" s="107"/>
      <c r="AN97" s="107"/>
      <c r="AO97" s="107"/>
      <c r="AP97" s="107"/>
      <c r="AQ97" s="107"/>
      <c r="AR97" s="4"/>
      <c r="AS97" s="107"/>
      <c r="AT97" s="107"/>
      <c r="AU97" s="107"/>
      <c r="AV97" s="107"/>
      <c r="AW97" s="107"/>
      <c r="AX97" s="4"/>
      <c r="AY97" s="669"/>
      <c r="AZ97" s="669"/>
      <c r="BA97" s="669"/>
      <c r="BB97" s="669"/>
      <c r="BC97" s="669"/>
      <c r="BD97" s="4"/>
      <c r="BE97" s="669"/>
      <c r="BF97" s="669"/>
      <c r="BG97" s="669"/>
      <c r="BH97" s="669"/>
      <c r="BI97" s="669"/>
      <c r="BJ97" s="4"/>
      <c r="BK97" s="669"/>
      <c r="BL97" s="669"/>
      <c r="BM97" s="669"/>
      <c r="BN97" s="669"/>
      <c r="BO97" s="669"/>
      <c r="BP97" s="4"/>
      <c r="BQ97" s="669"/>
      <c r="BR97" s="669"/>
      <c r="BS97" s="669"/>
      <c r="BT97" s="669"/>
      <c r="BU97" s="669"/>
      <c r="BV97" s="4"/>
      <c r="BW97" s="669"/>
      <c r="BX97" s="669"/>
      <c r="BY97" s="669"/>
      <c r="BZ97" s="669"/>
      <c r="CA97" s="669"/>
      <c r="CB97" s="669"/>
      <c r="CC97" s="669"/>
      <c r="CD97" s="669"/>
      <c r="CE97" s="669"/>
      <c r="CF97" s="669"/>
      <c r="CG97" s="669"/>
      <c r="CH97" s="669"/>
      <c r="CI97" s="669"/>
      <c r="CJ97" s="669"/>
      <c r="CK97" s="669"/>
      <c r="CL97" s="669"/>
      <c r="CM97" s="669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1"/>
      <c r="DC97" s="1953"/>
      <c r="DD97" s="1953"/>
      <c r="DE97" s="6"/>
      <c r="DF97" s="6"/>
      <c r="DG97" s="6"/>
      <c r="DH97" s="6"/>
      <c r="DI97" s="6"/>
      <c r="DJ97" s="6"/>
    </row>
    <row r="98" spans="1:114">
      <c r="A98" s="382" t="s">
        <v>240</v>
      </c>
      <c r="B98" s="133"/>
      <c r="C98" s="660"/>
      <c r="D98" s="661"/>
      <c r="E98" s="661"/>
      <c r="F98" s="662"/>
      <c r="G98" s="663"/>
      <c r="H98" s="133"/>
      <c r="I98" s="660"/>
      <c r="J98" s="661"/>
      <c r="K98" s="661"/>
      <c r="L98" s="662"/>
      <c r="M98" s="663"/>
      <c r="N98" s="133"/>
      <c r="O98" s="660"/>
      <c r="P98" s="661"/>
      <c r="Q98" s="661"/>
      <c r="R98" s="662"/>
      <c r="S98" s="663"/>
      <c r="T98" s="133"/>
      <c r="U98" s="660"/>
      <c r="V98" s="661"/>
      <c r="W98" s="661"/>
      <c r="X98" s="662"/>
      <c r="Y98" s="663"/>
      <c r="Z98" s="133"/>
      <c r="AA98" s="660"/>
      <c r="AB98" s="661"/>
      <c r="AC98" s="661"/>
      <c r="AD98" s="662"/>
      <c r="AE98" s="663"/>
      <c r="AF98" s="133"/>
      <c r="AG98" s="660"/>
      <c r="AH98" s="661"/>
      <c r="AI98" s="661"/>
      <c r="AJ98" s="662"/>
      <c r="AK98" s="663"/>
      <c r="AL98" s="133"/>
      <c r="AM98" s="660"/>
      <c r="AN98" s="661"/>
      <c r="AO98" s="661"/>
      <c r="AP98" s="662"/>
      <c r="AQ98" s="663"/>
      <c r="AR98" s="133"/>
      <c r="AS98" s="660"/>
      <c r="AT98" s="661"/>
      <c r="AU98" s="661"/>
      <c r="AV98" s="662"/>
      <c r="AW98" s="663"/>
      <c r="AX98" s="133"/>
      <c r="AY98" s="660"/>
      <c r="AZ98" s="661"/>
      <c r="BA98" s="661"/>
      <c r="BB98" s="662"/>
      <c r="BC98" s="663"/>
      <c r="BD98" s="133"/>
      <c r="BE98" s="660"/>
      <c r="BF98" s="661"/>
      <c r="BG98" s="661"/>
      <c r="BH98" s="662"/>
      <c r="BI98" s="663"/>
      <c r="BJ98" s="133"/>
      <c r="BK98" s="660"/>
      <c r="BL98" s="661"/>
      <c r="BM98" s="661"/>
      <c r="BN98" s="662"/>
      <c r="BO98" s="663"/>
      <c r="BP98" s="133"/>
      <c r="BQ98" s="660"/>
      <c r="BR98" s="661"/>
      <c r="BS98" s="661"/>
      <c r="BT98" s="662"/>
      <c r="BU98" s="663"/>
      <c r="BV98" s="133"/>
      <c r="BW98" s="660"/>
      <c r="BX98" s="661"/>
      <c r="BY98" s="661"/>
      <c r="BZ98" s="662"/>
      <c r="CA98" s="663"/>
      <c r="CB98" s="2122"/>
      <c r="CC98" s="660"/>
      <c r="CD98" s="661"/>
      <c r="CE98" s="661"/>
      <c r="CF98" s="662"/>
      <c r="CG98" s="663"/>
      <c r="CH98" s="2122"/>
      <c r="CI98" s="660"/>
      <c r="CJ98" s="661"/>
      <c r="CK98" s="661"/>
      <c r="CL98" s="662"/>
      <c r="CM98" s="663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1"/>
      <c r="DC98" s="1953"/>
      <c r="DD98" s="1953"/>
      <c r="DE98" s="6"/>
      <c r="DF98" s="6"/>
      <c r="DG98" s="6"/>
      <c r="DH98" s="6"/>
      <c r="DI98" s="6"/>
      <c r="DJ98" s="6"/>
    </row>
    <row r="99" spans="1:114" hidden="1" outlineLevel="2">
      <c r="A99" s="1473" t="s">
        <v>219</v>
      </c>
      <c r="B99" s="4"/>
      <c r="C99" s="1504"/>
      <c r="D99" s="1503"/>
      <c r="E99" s="1503"/>
      <c r="F99" s="1505"/>
      <c r="G99" s="1506"/>
      <c r="H99" s="4"/>
      <c r="I99" s="1504">
        <f t="shared" ref="I99:M102" si="191">I86+C86</f>
        <v>35</v>
      </c>
      <c r="J99" s="1503">
        <f t="shared" si="191"/>
        <v>39.200000000000003</v>
      </c>
      <c r="K99" s="1503">
        <f t="shared" si="191"/>
        <v>28.38</v>
      </c>
      <c r="L99" s="1505">
        <f t="shared" si="191"/>
        <v>29.3</v>
      </c>
      <c r="M99" s="1506">
        <f t="shared" si="191"/>
        <v>133.36500000000001</v>
      </c>
      <c r="N99" s="4"/>
      <c r="O99" s="1504">
        <f t="shared" ref="O99:S102" si="192">O86+I86</f>
        <v>22.759999999999998</v>
      </c>
      <c r="P99" s="1503">
        <f t="shared" si="192"/>
        <v>18.060000000000002</v>
      </c>
      <c r="Q99" s="1503">
        <f t="shared" si="192"/>
        <v>43.78</v>
      </c>
      <c r="R99" s="1505">
        <f t="shared" si="192"/>
        <v>5.3599999999999994</v>
      </c>
      <c r="S99" s="1506">
        <f t="shared" si="192"/>
        <v>92.480000000000018</v>
      </c>
      <c r="T99" s="668"/>
      <c r="U99" s="1504">
        <f t="shared" ref="U99:Y102" si="193">U86+O86</f>
        <v>-1.9900000000000269</v>
      </c>
      <c r="V99" s="1503">
        <f t="shared" si="193"/>
        <v>-0.62000000000000099</v>
      </c>
      <c r="W99" s="1503">
        <f t="shared" si="193"/>
        <v>66.199999999999989</v>
      </c>
      <c r="X99" s="1505">
        <f t="shared" si="193"/>
        <v>13.050000000000043</v>
      </c>
      <c r="Y99" s="1506">
        <f t="shared" si="193"/>
        <v>77.675000000000011</v>
      </c>
      <c r="Z99" s="668"/>
      <c r="AA99" s="1504">
        <f t="shared" ref="AA99:AE102" si="194">AA86+U86</f>
        <v>32.489999999999974</v>
      </c>
      <c r="AB99" s="1503">
        <f t="shared" si="194"/>
        <v>55.230000000000004</v>
      </c>
      <c r="AC99" s="1503">
        <f t="shared" si="194"/>
        <v>88.47999999999999</v>
      </c>
      <c r="AD99" s="1505">
        <f t="shared" si="194"/>
        <v>59.28000000000003</v>
      </c>
      <c r="AE99" s="1506">
        <f t="shared" si="194"/>
        <v>241.16000000000003</v>
      </c>
      <c r="AF99" s="668"/>
      <c r="AG99" s="1504">
        <f t="shared" ref="AG99:AK102" si="195">AG86+AA86</f>
        <v>75.860000000000028</v>
      </c>
      <c r="AH99" s="1503">
        <f t="shared" si="195"/>
        <v>41.630000000000017</v>
      </c>
      <c r="AI99" s="1503">
        <f t="shared" si="195"/>
        <v>58.29700000000004</v>
      </c>
      <c r="AJ99" s="1505">
        <f t="shared" si="195"/>
        <v>32.289999999999964</v>
      </c>
      <c r="AK99" s="1506">
        <f t="shared" si="195"/>
        <v>219.89999999999986</v>
      </c>
      <c r="AL99" s="668"/>
      <c r="AM99" s="1504">
        <f t="shared" ref="AM99:AQ104" si="196">AM86+AG86</f>
        <v>63.620000000000061</v>
      </c>
      <c r="AN99" s="1503">
        <f t="shared" si="196"/>
        <v>24.41999999999998</v>
      </c>
      <c r="AO99" s="1503">
        <f t="shared" si="196"/>
        <v>35.61700000000004</v>
      </c>
      <c r="AP99" s="1505">
        <f t="shared" si="196"/>
        <v>9.9999999999999822</v>
      </c>
      <c r="AQ99" s="1506">
        <f t="shared" si="196"/>
        <v>164.08633060966997</v>
      </c>
      <c r="AR99" s="668"/>
      <c r="AS99" s="1504">
        <f t="shared" ref="AS99:AW104" si="197">AS86+AM86</f>
        <v>10.000000000000032</v>
      </c>
      <c r="AT99" s="1503">
        <f t="shared" si="197"/>
        <v>17.499999999999964</v>
      </c>
      <c r="AU99" s="1503">
        <f t="shared" si="197"/>
        <v>14.999999999999998</v>
      </c>
      <c r="AV99" s="1505">
        <f t="shared" si="197"/>
        <v>0</v>
      </c>
      <c r="AW99" s="1506">
        <f t="shared" si="197"/>
        <v>66.786330609670131</v>
      </c>
      <c r="AX99" s="668"/>
      <c r="AY99" s="1504">
        <f t="shared" ref="AY99:BC104" si="198">AY86+AS86</f>
        <v>0</v>
      </c>
      <c r="AZ99" s="1503">
        <f t="shared" si="198"/>
        <v>0</v>
      </c>
      <c r="BA99" s="1503">
        <f t="shared" si="198"/>
        <v>0</v>
      </c>
      <c r="BB99" s="1505">
        <f t="shared" si="198"/>
        <v>0</v>
      </c>
      <c r="BC99" s="1506">
        <f t="shared" si="198"/>
        <v>0</v>
      </c>
      <c r="BD99" s="668"/>
      <c r="BE99" s="1504"/>
      <c r="BF99" s="1503"/>
      <c r="BG99" s="1503"/>
      <c r="BH99" s="1505"/>
      <c r="BI99" s="1506"/>
      <c r="BJ99" s="668"/>
      <c r="BK99" s="1504"/>
      <c r="BL99" s="1503"/>
      <c r="BM99" s="1503"/>
      <c r="BN99" s="1505"/>
      <c r="BO99" s="1506"/>
      <c r="BP99" s="668"/>
      <c r="BQ99" s="1504"/>
      <c r="BR99" s="1503"/>
      <c r="BS99" s="1503"/>
      <c r="BT99" s="1505"/>
      <c r="BU99" s="1506"/>
      <c r="BV99" s="668"/>
      <c r="BW99" s="1504"/>
      <c r="BX99" s="1503"/>
      <c r="BY99" s="1503"/>
      <c r="BZ99" s="1505"/>
      <c r="CA99" s="1506"/>
      <c r="CB99" s="1503"/>
      <c r="CC99" s="1504"/>
      <c r="CD99" s="1503"/>
      <c r="CE99" s="1503"/>
      <c r="CF99" s="1505"/>
      <c r="CG99" s="1506"/>
      <c r="CH99" s="1503"/>
      <c r="CI99" s="1504"/>
      <c r="CJ99" s="1503"/>
      <c r="CK99" s="1503"/>
      <c r="CL99" s="1505"/>
      <c r="CM99" s="1506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6"/>
      <c r="DD99" s="6"/>
      <c r="DE99" s="6"/>
      <c r="DF99" s="6"/>
      <c r="DG99" s="6"/>
      <c r="DH99" s="6"/>
      <c r="DI99" s="6"/>
      <c r="DJ99" s="6"/>
    </row>
    <row r="100" spans="1:114" hidden="1" outlineLevel="2">
      <c r="A100" s="1473" t="s">
        <v>220</v>
      </c>
      <c r="B100" s="4"/>
      <c r="C100" s="1504"/>
      <c r="D100" s="1503"/>
      <c r="E100" s="1503"/>
      <c r="F100" s="1505"/>
      <c r="G100" s="1506"/>
      <c r="H100" s="4"/>
      <c r="I100" s="1504">
        <f t="shared" si="191"/>
        <v>0</v>
      </c>
      <c r="J100" s="1503">
        <f t="shared" si="191"/>
        <v>0</v>
      </c>
      <c r="K100" s="1503">
        <f t="shared" si="191"/>
        <v>0</v>
      </c>
      <c r="L100" s="1505">
        <f t="shared" si="191"/>
        <v>0</v>
      </c>
      <c r="M100" s="1506">
        <f t="shared" si="191"/>
        <v>0</v>
      </c>
      <c r="N100" s="4"/>
      <c r="O100" s="1504">
        <f t="shared" si="192"/>
        <v>0</v>
      </c>
      <c r="P100" s="1503">
        <f t="shared" si="192"/>
        <v>0</v>
      </c>
      <c r="Q100" s="1503">
        <f t="shared" si="192"/>
        <v>0</v>
      </c>
      <c r="R100" s="1505">
        <f t="shared" si="192"/>
        <v>0</v>
      </c>
      <c r="S100" s="1506">
        <f t="shared" si="192"/>
        <v>0</v>
      </c>
      <c r="T100" s="668"/>
      <c r="U100" s="1504">
        <f t="shared" si="193"/>
        <v>8</v>
      </c>
      <c r="V100" s="1503">
        <f t="shared" si="193"/>
        <v>6.0000000000000071</v>
      </c>
      <c r="W100" s="1503">
        <f t="shared" si="193"/>
        <v>2.000000000000004</v>
      </c>
      <c r="X100" s="1505">
        <f t="shared" si="193"/>
        <v>5.9999999999999991</v>
      </c>
      <c r="Y100" s="1506">
        <f t="shared" si="193"/>
        <v>22.000000000000025</v>
      </c>
      <c r="Z100" s="668"/>
      <c r="AA100" s="1504">
        <f t="shared" si="194"/>
        <v>11.999999999999996</v>
      </c>
      <c r="AB100" s="1503">
        <f t="shared" si="194"/>
        <v>11.000000000000007</v>
      </c>
      <c r="AC100" s="1503">
        <f t="shared" si="194"/>
        <v>12.000000000000007</v>
      </c>
      <c r="AD100" s="1505">
        <f t="shared" si="194"/>
        <v>11</v>
      </c>
      <c r="AE100" s="1506">
        <f t="shared" si="194"/>
        <v>46</v>
      </c>
      <c r="AF100" s="668"/>
      <c r="AG100" s="1504">
        <f t="shared" si="195"/>
        <v>3.9999999999999964</v>
      </c>
      <c r="AH100" s="1503">
        <f t="shared" si="195"/>
        <v>6.9999999999999929</v>
      </c>
      <c r="AI100" s="1503">
        <f t="shared" si="195"/>
        <v>8.3500000000000032</v>
      </c>
      <c r="AJ100" s="1505">
        <f t="shared" si="195"/>
        <v>7.9999999999999822</v>
      </c>
      <c r="AK100" s="1506">
        <f t="shared" si="195"/>
        <v>27.119999999999969</v>
      </c>
      <c r="AL100" s="668"/>
      <c r="AM100" s="1504">
        <f t="shared" si="196"/>
        <v>3.9439999999999955</v>
      </c>
      <c r="AN100" s="1503">
        <f t="shared" si="196"/>
        <v>1.7160000000000082</v>
      </c>
      <c r="AO100" s="1503">
        <f t="shared" si="196"/>
        <v>6.3499999999999979</v>
      </c>
      <c r="AP100" s="1505">
        <f t="shared" si="196"/>
        <v>2.9999999999999827</v>
      </c>
      <c r="AQ100" s="1506">
        <f t="shared" si="196"/>
        <v>54.978930294411342</v>
      </c>
      <c r="AR100" s="668"/>
      <c r="AS100" s="1504">
        <f t="shared" si="197"/>
        <v>3.9439999999999955</v>
      </c>
      <c r="AT100" s="1503">
        <f t="shared" si="197"/>
        <v>-0.2839999999999846</v>
      </c>
      <c r="AU100" s="1503">
        <f t="shared" si="197"/>
        <v>7.9999999999999982</v>
      </c>
      <c r="AV100" s="1505">
        <f t="shared" si="197"/>
        <v>0</v>
      </c>
      <c r="AW100" s="1506">
        <f t="shared" si="197"/>
        <v>51.858930294411351</v>
      </c>
      <c r="AX100" s="668"/>
      <c r="AY100" s="1504">
        <f t="shared" si="198"/>
        <v>0</v>
      </c>
      <c r="AZ100" s="1503">
        <f t="shared" si="198"/>
        <v>0</v>
      </c>
      <c r="BA100" s="1503">
        <f t="shared" si="198"/>
        <v>0</v>
      </c>
      <c r="BB100" s="1505">
        <f t="shared" si="198"/>
        <v>0</v>
      </c>
      <c r="BC100" s="1506">
        <f t="shared" si="198"/>
        <v>0</v>
      </c>
      <c r="BD100" s="668"/>
      <c r="BE100" s="1504"/>
      <c r="BF100" s="1503"/>
      <c r="BG100" s="1503"/>
      <c r="BH100" s="1505"/>
      <c r="BI100" s="1506"/>
      <c r="BJ100" s="668"/>
      <c r="BK100" s="1504"/>
      <c r="BL100" s="1503"/>
      <c r="BM100" s="1503"/>
      <c r="BN100" s="1505"/>
      <c r="BO100" s="1506"/>
      <c r="BP100" s="668"/>
      <c r="BQ100" s="1504"/>
      <c r="BR100" s="1503"/>
      <c r="BS100" s="1503"/>
      <c r="BT100" s="1505"/>
      <c r="BU100" s="1506"/>
      <c r="BV100" s="668"/>
      <c r="BW100" s="1504"/>
      <c r="BX100" s="1503"/>
      <c r="BY100" s="1503"/>
      <c r="BZ100" s="1505"/>
      <c r="CA100" s="1506"/>
      <c r="CB100" s="1503"/>
      <c r="CC100" s="1504"/>
      <c r="CD100" s="1503"/>
      <c r="CE100" s="1503"/>
      <c r="CF100" s="1505"/>
      <c r="CG100" s="1506"/>
      <c r="CH100" s="1503"/>
      <c r="CI100" s="1504"/>
      <c r="CJ100" s="1503"/>
      <c r="CK100" s="1503"/>
      <c r="CL100" s="1505"/>
      <c r="CM100" s="1506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6"/>
      <c r="DD100" s="6"/>
      <c r="DE100" s="6"/>
      <c r="DF100" s="6"/>
      <c r="DG100" s="6"/>
      <c r="DH100" s="6"/>
      <c r="DI100" s="6"/>
      <c r="DJ100" s="6"/>
    </row>
    <row r="101" spans="1:114" hidden="1" outlineLevel="2">
      <c r="A101" s="1341" t="s">
        <v>101</v>
      </c>
      <c r="B101" s="4"/>
      <c r="C101" s="1504"/>
      <c r="D101" s="1503"/>
      <c r="E101" s="1503"/>
      <c r="F101" s="1505"/>
      <c r="G101" s="1506"/>
      <c r="H101" s="4"/>
      <c r="I101" s="1504">
        <f t="shared" si="191"/>
        <v>18.45</v>
      </c>
      <c r="J101" s="1503">
        <f t="shared" si="191"/>
        <v>20.13</v>
      </c>
      <c r="K101" s="1503">
        <f t="shared" si="191"/>
        <v>21.1</v>
      </c>
      <c r="L101" s="1505">
        <f t="shared" si="191"/>
        <v>11.55</v>
      </c>
      <c r="M101" s="1506">
        <f t="shared" si="191"/>
        <v>72.625</v>
      </c>
      <c r="N101" s="4"/>
      <c r="O101" s="1504">
        <f t="shared" si="192"/>
        <v>22.95</v>
      </c>
      <c r="P101" s="1503">
        <f t="shared" si="192"/>
        <v>6.4499999999999993</v>
      </c>
      <c r="Q101" s="1503">
        <f t="shared" si="192"/>
        <v>11.820000000000002</v>
      </c>
      <c r="R101" s="1505">
        <f t="shared" si="192"/>
        <v>-11.129999999999999</v>
      </c>
      <c r="S101" s="1506">
        <f t="shared" si="192"/>
        <v>32.802499999999995</v>
      </c>
      <c r="T101" s="668"/>
      <c r="U101" s="1504">
        <f t="shared" si="193"/>
        <v>21.699999999999982</v>
      </c>
      <c r="V101" s="1503">
        <f t="shared" si="193"/>
        <v>14.319999999999993</v>
      </c>
      <c r="W101" s="1503">
        <f t="shared" si="193"/>
        <v>17.249999999999986</v>
      </c>
      <c r="X101" s="1505">
        <f t="shared" si="193"/>
        <v>32.190000000000005</v>
      </c>
      <c r="Y101" s="1506">
        <f t="shared" si="193"/>
        <v>86.777499999999989</v>
      </c>
      <c r="Z101" s="668"/>
      <c r="AA101" s="1504">
        <f t="shared" si="194"/>
        <v>39.159999999999982</v>
      </c>
      <c r="AB101" s="1503">
        <f t="shared" si="194"/>
        <v>54.179999999999993</v>
      </c>
      <c r="AC101" s="1503">
        <f t="shared" si="194"/>
        <v>39.689999999999984</v>
      </c>
      <c r="AD101" s="1505">
        <f t="shared" si="194"/>
        <v>60.219999999999992</v>
      </c>
      <c r="AE101" s="1506">
        <f t="shared" si="194"/>
        <v>186.6</v>
      </c>
      <c r="AF101" s="668"/>
      <c r="AG101" s="1504">
        <f t="shared" si="195"/>
        <v>65.469999999999985</v>
      </c>
      <c r="AH101" s="1503">
        <f t="shared" si="195"/>
        <v>36.990000000000016</v>
      </c>
      <c r="AI101" s="1503">
        <f t="shared" si="195"/>
        <v>24.159999999999989</v>
      </c>
      <c r="AJ101" s="1505">
        <f t="shared" si="195"/>
        <v>6.3500000000000014</v>
      </c>
      <c r="AK101" s="1506">
        <f t="shared" si="195"/>
        <v>131.3599999999999</v>
      </c>
      <c r="AL101" s="668"/>
      <c r="AM101" s="1504">
        <f t="shared" si="196"/>
        <v>46.50999999999997</v>
      </c>
      <c r="AN101" s="1503">
        <f t="shared" si="196"/>
        <v>31.810000000000056</v>
      </c>
      <c r="AO101" s="1503">
        <f t="shared" si="196"/>
        <v>21.999999999999979</v>
      </c>
      <c r="AP101" s="1505">
        <f t="shared" si="196"/>
        <v>25.000000000000025</v>
      </c>
      <c r="AQ101" s="1506">
        <f t="shared" si="196"/>
        <v>130.41558570189807</v>
      </c>
      <c r="AR101" s="668"/>
      <c r="AS101" s="1504">
        <f t="shared" si="197"/>
        <v>30.999999999999943</v>
      </c>
      <c r="AT101" s="1503">
        <f t="shared" si="197"/>
        <v>34.000000000000043</v>
      </c>
      <c r="AU101" s="1503">
        <f t="shared" si="197"/>
        <v>37.999999999999957</v>
      </c>
      <c r="AV101" s="1505">
        <f t="shared" si="197"/>
        <v>47.000000000000043</v>
      </c>
      <c r="AW101" s="1506">
        <f t="shared" si="197"/>
        <v>150.46559870623787</v>
      </c>
      <c r="AX101" s="668"/>
      <c r="AY101" s="1504">
        <f t="shared" si="198"/>
        <v>27.999999999999957</v>
      </c>
      <c r="AZ101" s="1503">
        <f t="shared" si="198"/>
        <v>13</v>
      </c>
      <c r="BA101" s="1503">
        <f t="shared" si="198"/>
        <v>26.999999999999968</v>
      </c>
      <c r="BB101" s="1505">
        <f t="shared" si="198"/>
        <v>23.000000000000036</v>
      </c>
      <c r="BC101" s="1506">
        <f t="shared" si="198"/>
        <v>91.410013004339703</v>
      </c>
      <c r="BD101" s="668"/>
      <c r="BE101" s="1504"/>
      <c r="BF101" s="1503"/>
      <c r="BG101" s="1503"/>
      <c r="BH101" s="1505"/>
      <c r="BI101" s="1506"/>
      <c r="BJ101" s="668"/>
      <c r="BK101" s="1504"/>
      <c r="BL101" s="1503"/>
      <c r="BM101" s="1503"/>
      <c r="BN101" s="1505"/>
      <c r="BO101" s="1506"/>
      <c r="BP101" s="668"/>
      <c r="BQ101" s="1504"/>
      <c r="BR101" s="1503"/>
      <c r="BS101" s="1503"/>
      <c r="BT101" s="1505"/>
      <c r="BU101" s="1506"/>
      <c r="BV101" s="668"/>
      <c r="BW101" s="1504"/>
      <c r="BX101" s="1503"/>
      <c r="BY101" s="1503"/>
      <c r="BZ101" s="1505"/>
      <c r="CA101" s="1506"/>
      <c r="CB101" s="1503"/>
      <c r="CC101" s="1504"/>
      <c r="CD101" s="1503"/>
      <c r="CE101" s="1503"/>
      <c r="CF101" s="1505"/>
      <c r="CG101" s="1506"/>
      <c r="CH101" s="1503"/>
      <c r="CI101" s="1504"/>
      <c r="CJ101" s="1503"/>
      <c r="CK101" s="1503"/>
      <c r="CL101" s="1505"/>
      <c r="CM101" s="1506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1"/>
      <c r="DC101" s="6"/>
      <c r="DD101" s="6"/>
      <c r="DE101" s="6"/>
      <c r="DF101" s="6"/>
      <c r="DG101" s="6"/>
      <c r="DH101" s="6"/>
      <c r="DI101" s="6"/>
      <c r="DJ101" s="6"/>
    </row>
    <row r="102" spans="1:114" hidden="1" outlineLevel="2">
      <c r="A102" s="1341" t="s">
        <v>103</v>
      </c>
      <c r="B102" s="4"/>
      <c r="C102" s="1504"/>
      <c r="D102" s="1503"/>
      <c r="E102" s="1503"/>
      <c r="F102" s="1505"/>
      <c r="G102" s="1506"/>
      <c r="H102" s="4"/>
      <c r="I102" s="1504">
        <f t="shared" si="191"/>
        <v>0</v>
      </c>
      <c r="J102" s="1503">
        <f t="shared" si="191"/>
        <v>0</v>
      </c>
      <c r="K102" s="1503">
        <f t="shared" si="191"/>
        <v>0</v>
      </c>
      <c r="L102" s="1505">
        <f t="shared" si="191"/>
        <v>0</v>
      </c>
      <c r="M102" s="1506">
        <f t="shared" si="191"/>
        <v>0</v>
      </c>
      <c r="N102" s="4"/>
      <c r="O102" s="1504">
        <f t="shared" si="192"/>
        <v>0</v>
      </c>
      <c r="P102" s="1503">
        <f t="shared" si="192"/>
        <v>0</v>
      </c>
      <c r="Q102" s="1503">
        <f t="shared" si="192"/>
        <v>0</v>
      </c>
      <c r="R102" s="1505">
        <f t="shared" si="192"/>
        <v>0</v>
      </c>
      <c r="S102" s="1506">
        <f t="shared" si="192"/>
        <v>0</v>
      </c>
      <c r="T102" s="668"/>
      <c r="U102" s="1504">
        <f t="shared" si="193"/>
        <v>18.249999999999975</v>
      </c>
      <c r="V102" s="1503">
        <f t="shared" si="193"/>
        <v>26.52000000000001</v>
      </c>
      <c r="W102" s="1503">
        <f t="shared" si="193"/>
        <v>52.79999999999999</v>
      </c>
      <c r="X102" s="1505">
        <f t="shared" si="193"/>
        <v>42.990000000000052</v>
      </c>
      <c r="Y102" s="1506">
        <f t="shared" si="193"/>
        <v>140.56000000000003</v>
      </c>
      <c r="Z102" s="668"/>
      <c r="AA102" s="1504">
        <f t="shared" si="194"/>
        <v>44.489999999999966</v>
      </c>
      <c r="AB102" s="1503">
        <f t="shared" si="194"/>
        <v>66.230000000000018</v>
      </c>
      <c r="AC102" s="1503">
        <f t="shared" si="194"/>
        <v>100.47999999999999</v>
      </c>
      <c r="AD102" s="1505">
        <f t="shared" si="194"/>
        <v>70.28000000000003</v>
      </c>
      <c r="AE102" s="1506">
        <f t="shared" si="194"/>
        <v>287.15999999999997</v>
      </c>
      <c r="AF102" s="668"/>
      <c r="AG102" s="1504">
        <f t="shared" si="195"/>
        <v>79.19999999999996</v>
      </c>
      <c r="AH102" s="1503">
        <f t="shared" si="195"/>
        <v>49.350000000000009</v>
      </c>
      <c r="AI102" s="1503">
        <f t="shared" si="195"/>
        <v>66.680000000000035</v>
      </c>
      <c r="AJ102" s="1505">
        <f t="shared" si="195"/>
        <v>40.289999999999971</v>
      </c>
      <c r="AK102" s="1506">
        <f t="shared" si="195"/>
        <v>241.20000000000007</v>
      </c>
      <c r="AL102" s="668"/>
      <c r="AM102" s="1504">
        <f t="shared" si="196"/>
        <v>67.95999999999998</v>
      </c>
      <c r="AN102" s="1503">
        <f t="shared" si="196"/>
        <v>28.039999999999964</v>
      </c>
      <c r="AO102" s="1503">
        <f t="shared" si="196"/>
        <v>42.000000000000071</v>
      </c>
      <c r="AP102" s="1505">
        <f t="shared" si="196"/>
        <v>61.999999999999979</v>
      </c>
      <c r="AQ102" s="1506">
        <f t="shared" si="196"/>
        <v>213.24526090408159</v>
      </c>
      <c r="AR102" s="668"/>
      <c r="AS102" s="1504">
        <f t="shared" si="197"/>
        <v>48.000000000000007</v>
      </c>
      <c r="AT102" s="1503">
        <f t="shared" si="197"/>
        <v>27.400000000000013</v>
      </c>
      <c r="AU102" s="1503">
        <f t="shared" si="197"/>
        <v>44.000000000000028</v>
      </c>
      <c r="AV102" s="1505">
        <f t="shared" si="197"/>
        <v>64.999999999999986</v>
      </c>
      <c r="AW102" s="1506">
        <f t="shared" si="197"/>
        <v>198.16568257640549</v>
      </c>
      <c r="AX102" s="668"/>
      <c r="AY102" s="1504">
        <f t="shared" si="198"/>
        <v>32.999999999999993</v>
      </c>
      <c r="AZ102" s="1503">
        <f t="shared" si="198"/>
        <v>9.0000000000000551</v>
      </c>
      <c r="BA102" s="1503">
        <f t="shared" si="198"/>
        <v>20.999999999999975</v>
      </c>
      <c r="BB102" s="1505">
        <f t="shared" si="198"/>
        <v>15.999999999999989</v>
      </c>
      <c r="BC102" s="1506">
        <f t="shared" si="198"/>
        <v>79.520421672324019</v>
      </c>
      <c r="BD102" s="668"/>
      <c r="BE102" s="1504"/>
      <c r="BF102" s="1503"/>
      <c r="BG102" s="1503"/>
      <c r="BH102" s="1505"/>
      <c r="BI102" s="1506"/>
      <c r="BJ102" s="668"/>
      <c r="BK102" s="1504"/>
      <c r="BL102" s="1503"/>
      <c r="BM102" s="1503"/>
      <c r="BN102" s="1505"/>
      <c r="BO102" s="1506"/>
      <c r="BP102" s="668"/>
      <c r="BQ102" s="1504"/>
      <c r="BR102" s="1503"/>
      <c r="BS102" s="1503"/>
      <c r="BT102" s="1505"/>
      <c r="BU102" s="1506"/>
      <c r="BV102" s="668"/>
      <c r="BW102" s="1504"/>
      <c r="BX102" s="1503"/>
      <c r="BY102" s="1503"/>
      <c r="BZ102" s="1505"/>
      <c r="CA102" s="1506"/>
      <c r="CB102" s="1503"/>
      <c r="CC102" s="1504"/>
      <c r="CD102" s="1503"/>
      <c r="CE102" s="1503"/>
      <c r="CF102" s="1505"/>
      <c r="CG102" s="1506"/>
      <c r="CH102" s="1503"/>
      <c r="CI102" s="1504"/>
      <c r="CJ102" s="1503"/>
      <c r="CK102" s="1503"/>
      <c r="CL102" s="1505"/>
      <c r="CM102" s="1506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6"/>
      <c r="DD102" s="6"/>
      <c r="DE102" s="6"/>
      <c r="DF102" s="6"/>
      <c r="DG102" s="6"/>
      <c r="DH102" s="6"/>
      <c r="DI102" s="6"/>
      <c r="DJ102" s="6"/>
    </row>
    <row r="103" spans="1:114" hidden="1" outlineLevel="1" collapsed="1">
      <c r="A103" s="490" t="s">
        <v>105</v>
      </c>
      <c r="B103" s="4"/>
      <c r="C103" s="670"/>
      <c r="D103" s="668"/>
      <c r="E103" s="668"/>
      <c r="F103" s="671"/>
      <c r="G103" s="672"/>
      <c r="H103" s="4"/>
      <c r="I103" s="670"/>
      <c r="J103" s="668"/>
      <c r="K103" s="668"/>
      <c r="L103" s="671"/>
      <c r="M103" s="672"/>
      <c r="N103" s="4"/>
      <c r="O103" s="670"/>
      <c r="P103" s="668"/>
      <c r="Q103" s="668"/>
      <c r="R103" s="671"/>
      <c r="S103" s="672"/>
      <c r="T103" s="668"/>
      <c r="U103" s="670"/>
      <c r="V103" s="668"/>
      <c r="W103" s="668"/>
      <c r="X103" s="671"/>
      <c r="Y103" s="672"/>
      <c r="Z103" s="668"/>
      <c r="AA103" s="670"/>
      <c r="AB103" s="668"/>
      <c r="AC103" s="668"/>
      <c r="AD103" s="671"/>
      <c r="AE103" s="672"/>
      <c r="AF103" s="668"/>
      <c r="AG103" s="670"/>
      <c r="AH103" s="668"/>
      <c r="AI103" s="668"/>
      <c r="AJ103" s="671"/>
      <c r="AK103" s="672"/>
      <c r="AL103" s="668"/>
      <c r="AM103" s="670">
        <f t="shared" si="196"/>
        <v>3.2672112018650612E-2</v>
      </c>
      <c r="AN103" s="668">
        <f t="shared" si="196"/>
        <v>19.878646441073528</v>
      </c>
      <c r="AO103" s="668">
        <f t="shared" si="196"/>
        <v>-0.78587699316630855</v>
      </c>
      <c r="AP103" s="671">
        <f t="shared" si="196"/>
        <v>26.852786540483692</v>
      </c>
      <c r="AQ103" s="672">
        <f t="shared" si="196"/>
        <v>45.895286480384044</v>
      </c>
      <c r="AR103" s="668"/>
      <c r="AS103" s="670">
        <f t="shared" si="197"/>
        <v>31.900104262331858</v>
      </c>
      <c r="AT103" s="668">
        <f t="shared" si="197"/>
        <v>10.014448910209353</v>
      </c>
      <c r="AU103" s="668">
        <f t="shared" si="197"/>
        <v>12.07216717087155</v>
      </c>
      <c r="AV103" s="671">
        <f t="shared" si="197"/>
        <v>54.074918820839045</v>
      </c>
      <c r="AW103" s="672">
        <f t="shared" si="197"/>
        <v>97.256868401287974</v>
      </c>
      <c r="AX103" s="668"/>
      <c r="AY103" s="670">
        <f t="shared" si="198"/>
        <v>70.607432150313258</v>
      </c>
      <c r="AZ103" s="668">
        <f t="shared" si="198"/>
        <v>15.085802469135849</v>
      </c>
      <c r="BA103" s="668">
        <f t="shared" si="198"/>
        <v>39.998044164037886</v>
      </c>
      <c r="BB103" s="671">
        <f t="shared" si="198"/>
        <v>37.69013228035535</v>
      </c>
      <c r="BC103" s="672">
        <f t="shared" si="198"/>
        <v>153.59445011626423</v>
      </c>
      <c r="BD103" s="668"/>
      <c r="BE103" s="670">
        <f t="shared" ref="BE103:BI104" si="199">BE90+AY90</f>
        <v>51.133000000000038</v>
      </c>
      <c r="BF103" s="668">
        <f t="shared" si="199"/>
        <v>24.444658119658147</v>
      </c>
      <c r="BG103" s="668">
        <f t="shared" si="199"/>
        <v>17.139999999999997</v>
      </c>
      <c r="BH103" s="671">
        <f t="shared" si="199"/>
        <v>36.218000000000004</v>
      </c>
      <c r="BI103" s="672">
        <f t="shared" si="199"/>
        <v>130.78148462068327</v>
      </c>
      <c r="BJ103" s="668"/>
      <c r="BK103" s="670">
        <f t="shared" ref="BK103:BO104" si="200">BK90+BE90</f>
        <v>33.959000000000003</v>
      </c>
      <c r="BL103" s="668">
        <f t="shared" si="200"/>
        <v>29.194658119658122</v>
      </c>
      <c r="BM103" s="668">
        <f t="shared" si="200"/>
        <v>22.75999999999997</v>
      </c>
      <c r="BN103" s="671">
        <f t="shared" si="200"/>
        <v>67.769999999999982</v>
      </c>
      <c r="BO103" s="672">
        <f t="shared" si="200"/>
        <v>154.82607419960084</v>
      </c>
      <c r="BP103" s="668"/>
      <c r="BQ103" s="670">
        <f t="shared" ref="BQ103:BU104" si="201">BQ90+BK90</f>
        <v>53.405999999999963</v>
      </c>
      <c r="BR103" s="668">
        <f t="shared" si="201"/>
        <v>76.77</v>
      </c>
      <c r="BS103" s="668">
        <f t="shared" si="201"/>
        <v>59.31</v>
      </c>
      <c r="BT103" s="671">
        <f t="shared" si="201"/>
        <v>67.894999999999982</v>
      </c>
      <c r="BU103" s="672">
        <f t="shared" si="201"/>
        <v>258.41784224200711</v>
      </c>
      <c r="BV103" s="668"/>
      <c r="BW103" s="670">
        <f t="shared" ref="BW103:CA104" si="202">BW90+BQ90</f>
        <v>68.919999999999959</v>
      </c>
      <c r="BX103" s="668">
        <f t="shared" si="202"/>
        <v>82.919339999999991</v>
      </c>
      <c r="BY103" s="668">
        <f t="shared" si="202"/>
        <v>61.222380000000001</v>
      </c>
      <c r="BZ103" s="671">
        <f t="shared" si="202"/>
        <v>62.997</v>
      </c>
      <c r="CA103" s="672">
        <f t="shared" si="202"/>
        <v>276.86410446772925</v>
      </c>
      <c r="CB103" s="668"/>
      <c r="CC103" s="670">
        <f t="shared" ref="CC103:CG104" si="203">CC90+BW90</f>
        <v>56.732399999999998</v>
      </c>
      <c r="CD103" s="668">
        <f t="shared" si="203"/>
        <v>54.849490199999991</v>
      </c>
      <c r="CE103" s="668">
        <f t="shared" si="203"/>
        <v>53.048741399999997</v>
      </c>
      <c r="CF103" s="671">
        <f t="shared" si="203"/>
        <v>56.796660000000003</v>
      </c>
      <c r="CG103" s="672">
        <f t="shared" si="203"/>
        <v>221.42729159999999</v>
      </c>
      <c r="CH103" s="668"/>
      <c r="CI103" s="670">
        <f t="shared" ref="CI103:CM104" si="204">CI90+CC90</f>
        <v>39.894372000000004</v>
      </c>
      <c r="CJ103" s="668">
        <f t="shared" si="204"/>
        <v>38.57030490599999</v>
      </c>
      <c r="CK103" s="668">
        <f t="shared" si="204"/>
        <v>37.304013641999994</v>
      </c>
      <c r="CL103" s="671">
        <f t="shared" si="204"/>
        <v>39.939559800000005</v>
      </c>
      <c r="CM103" s="672">
        <f t="shared" si="204"/>
        <v>155.70825034799998</v>
      </c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6"/>
      <c r="DD103" s="6"/>
      <c r="DE103" s="6"/>
      <c r="DF103" s="6"/>
      <c r="DG103" s="6"/>
      <c r="DH103" s="6"/>
      <c r="DI103" s="6"/>
      <c r="DJ103" s="6"/>
    </row>
    <row r="104" spans="1:114" hidden="1" outlineLevel="1">
      <c r="A104" s="490" t="s">
        <v>99</v>
      </c>
      <c r="B104" s="4"/>
      <c r="C104" s="670"/>
      <c r="D104" s="668"/>
      <c r="E104" s="668"/>
      <c r="F104" s="671"/>
      <c r="G104" s="672"/>
      <c r="H104" s="4"/>
      <c r="I104" s="670"/>
      <c r="J104" s="668"/>
      <c r="K104" s="668"/>
      <c r="L104" s="671"/>
      <c r="M104" s="672"/>
      <c r="N104" s="4"/>
      <c r="O104" s="670"/>
      <c r="P104" s="668"/>
      <c r="Q104" s="668"/>
      <c r="R104" s="671"/>
      <c r="S104" s="672"/>
      <c r="T104" s="668"/>
      <c r="U104" s="670"/>
      <c r="V104" s="668"/>
      <c r="W104" s="668"/>
      <c r="X104" s="671"/>
      <c r="Y104" s="672"/>
      <c r="Z104" s="668"/>
      <c r="AA104" s="670"/>
      <c r="AB104" s="668"/>
      <c r="AC104" s="668"/>
      <c r="AD104" s="671"/>
      <c r="AE104" s="672"/>
      <c r="AF104" s="668"/>
      <c r="AG104" s="670"/>
      <c r="AH104" s="668"/>
      <c r="AI104" s="668"/>
      <c r="AJ104" s="671"/>
      <c r="AK104" s="672"/>
      <c r="AL104" s="668"/>
      <c r="AM104" s="670">
        <f t="shared" si="196"/>
        <v>1.6884480746791237</v>
      </c>
      <c r="AN104" s="668">
        <f t="shared" si="196"/>
        <v>-2.1709451575262566</v>
      </c>
      <c r="AO104" s="668">
        <f t="shared" si="196"/>
        <v>10.215261958997722</v>
      </c>
      <c r="AP104" s="671">
        <f t="shared" si="196"/>
        <v>16.769716088328089</v>
      </c>
      <c r="AQ104" s="672">
        <f t="shared" si="196"/>
        <v>26.700112898673424</v>
      </c>
      <c r="AR104" s="668"/>
      <c r="AS104" s="670">
        <f t="shared" si="197"/>
        <v>7.4452330433638689</v>
      </c>
      <c r="AT104" s="668">
        <f t="shared" si="197"/>
        <v>9.7981906449428759</v>
      </c>
      <c r="AU104" s="668">
        <f t="shared" si="197"/>
        <v>17.564368162993514</v>
      </c>
      <c r="AV104" s="671">
        <f t="shared" si="197"/>
        <v>22.262312337094116</v>
      </c>
      <c r="AW104" s="672">
        <f t="shared" si="197"/>
        <v>57.309255168832678</v>
      </c>
      <c r="AX104" s="668"/>
      <c r="AY104" s="670">
        <f t="shared" si="198"/>
        <v>4.7567849686847481</v>
      </c>
      <c r="AZ104" s="668">
        <f t="shared" si="198"/>
        <v>28.969135802469129</v>
      </c>
      <c r="BA104" s="668">
        <f t="shared" si="198"/>
        <v>24.349106203995806</v>
      </c>
      <c r="BB104" s="671">
        <f t="shared" si="198"/>
        <v>23.492596248766038</v>
      </c>
      <c r="BC104" s="672">
        <f t="shared" si="198"/>
        <v>82.576356123760306</v>
      </c>
      <c r="BD104" s="668"/>
      <c r="BE104" s="670">
        <f t="shared" si="199"/>
        <v>18</v>
      </c>
      <c r="BF104" s="668">
        <f t="shared" si="199"/>
        <v>25.700000000000003</v>
      </c>
      <c r="BG104" s="668">
        <f t="shared" si="199"/>
        <v>29.500000000000025</v>
      </c>
      <c r="BH104" s="671">
        <f t="shared" si="199"/>
        <v>33.60000000000003</v>
      </c>
      <c r="BI104" s="672">
        <f t="shared" si="199"/>
        <v>107.83549285769188</v>
      </c>
      <c r="BJ104" s="668"/>
      <c r="BK104" s="670">
        <f t="shared" si="200"/>
        <v>27.002357976653691</v>
      </c>
      <c r="BL104" s="668">
        <f t="shared" si="200"/>
        <v>32.602000000000004</v>
      </c>
      <c r="BM104" s="668">
        <f t="shared" si="200"/>
        <v>29.120000000000029</v>
      </c>
      <c r="BN104" s="671">
        <f t="shared" si="200"/>
        <v>28.670000000000037</v>
      </c>
      <c r="BO104" s="672">
        <f t="shared" si="200"/>
        <v>118.05053242309197</v>
      </c>
      <c r="BP104" s="668"/>
      <c r="BQ104" s="670">
        <f t="shared" si="201"/>
        <v>17.876357976653672</v>
      </c>
      <c r="BR104" s="668">
        <f t="shared" si="201"/>
        <v>37.149907946498345</v>
      </c>
      <c r="BS104" s="668">
        <f t="shared" si="201"/>
        <v>32.72738524469473</v>
      </c>
      <c r="BT104" s="671">
        <f t="shared" si="201"/>
        <v>30.717815271967631</v>
      </c>
      <c r="BU104" s="672">
        <f t="shared" si="201"/>
        <v>119.05621856962128</v>
      </c>
      <c r="BV104" s="668"/>
      <c r="BW104" s="670">
        <f t="shared" si="202"/>
        <v>21.739857808793811</v>
      </c>
      <c r="BX104" s="668">
        <f t="shared" si="202"/>
        <v>27.334627658428207</v>
      </c>
      <c r="BY104" s="668">
        <f t="shared" si="202"/>
        <v>46.420722480587493</v>
      </c>
      <c r="BZ104" s="671">
        <f t="shared" si="202"/>
        <v>46.620024294957737</v>
      </c>
      <c r="CA104" s="672">
        <f t="shared" si="202"/>
        <v>143.00033343362324</v>
      </c>
      <c r="CB104" s="668"/>
      <c r="CC104" s="670">
        <f t="shared" si="203"/>
        <v>35.207069952520001</v>
      </c>
      <c r="CD104" s="668">
        <f t="shared" si="203"/>
        <v>42.606957045433802</v>
      </c>
      <c r="CE104" s="668">
        <f t="shared" si="203"/>
        <v>69.926860361730135</v>
      </c>
      <c r="CF104" s="671">
        <f t="shared" si="203"/>
        <v>66.003084796875726</v>
      </c>
      <c r="CG104" s="672">
        <f t="shared" si="203"/>
        <v>214.84626041321133</v>
      </c>
      <c r="CH104" s="668"/>
      <c r="CI104" s="670">
        <f t="shared" si="204"/>
        <v>50.848187289406049</v>
      </c>
      <c r="CJ104" s="668">
        <f t="shared" si="204"/>
        <v>62.23007601856601</v>
      </c>
      <c r="CK104" s="668">
        <f t="shared" si="204"/>
        <v>87.871099376132946</v>
      </c>
      <c r="CL104" s="671">
        <f t="shared" si="204"/>
        <v>81.587701794931547</v>
      </c>
      <c r="CM104" s="672">
        <f t="shared" si="204"/>
        <v>283.01652035534164</v>
      </c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1"/>
      <c r="CY104" s="21"/>
      <c r="CZ104" s="21"/>
      <c r="DA104" s="21"/>
      <c r="DB104" s="21"/>
      <c r="DC104" s="6"/>
      <c r="DD104" s="6"/>
      <c r="DE104" s="6"/>
      <c r="DF104" s="6"/>
      <c r="DG104" s="6"/>
      <c r="DH104" s="6"/>
      <c r="DI104" s="6"/>
      <c r="DJ104" s="6"/>
    </row>
    <row r="105" spans="1:114" hidden="1" outlineLevel="1">
      <c r="A105" s="309" t="s">
        <v>538</v>
      </c>
      <c r="B105" s="4"/>
      <c r="C105" s="670"/>
      <c r="D105" s="668"/>
      <c r="E105" s="668"/>
      <c r="F105" s="671"/>
      <c r="G105" s="672"/>
      <c r="H105" s="4"/>
      <c r="I105" s="670"/>
      <c r="J105" s="668"/>
      <c r="K105" s="668"/>
      <c r="L105" s="671"/>
      <c r="M105" s="672"/>
      <c r="N105" s="4"/>
      <c r="O105" s="670"/>
      <c r="P105" s="668"/>
      <c r="Q105" s="668"/>
      <c r="R105" s="671"/>
      <c r="S105" s="672"/>
      <c r="T105" s="668"/>
      <c r="U105" s="670"/>
      <c r="V105" s="668"/>
      <c r="W105" s="668"/>
      <c r="X105" s="671"/>
      <c r="Y105" s="672"/>
      <c r="Z105" s="668"/>
      <c r="AA105" s="670"/>
      <c r="AB105" s="668"/>
      <c r="AC105" s="668"/>
      <c r="AD105" s="671"/>
      <c r="AE105" s="672"/>
      <c r="AF105" s="668"/>
      <c r="AG105" s="670"/>
      <c r="AH105" s="668"/>
      <c r="AI105" s="668"/>
      <c r="AJ105" s="671"/>
      <c r="AK105" s="672"/>
      <c r="AL105" s="668"/>
      <c r="AM105" s="670">
        <f t="shared" ref="AM105:AQ105" si="205">AM92+AG92</f>
        <v>0</v>
      </c>
      <c r="AN105" s="668">
        <f t="shared" si="205"/>
        <v>0</v>
      </c>
      <c r="AO105" s="668">
        <f t="shared" si="205"/>
        <v>0</v>
      </c>
      <c r="AP105" s="671">
        <f t="shared" si="205"/>
        <v>0</v>
      </c>
      <c r="AQ105" s="672">
        <f t="shared" si="205"/>
        <v>0</v>
      </c>
      <c r="AR105" s="668"/>
      <c r="AS105" s="670">
        <f t="shared" ref="AS105:AS109" si="206">AS92+AM92</f>
        <v>0</v>
      </c>
      <c r="AT105" s="668">
        <f t="shared" ref="AT105:AT109" si="207">AT92+AN92</f>
        <v>0</v>
      </c>
      <c r="AU105" s="668">
        <f t="shared" ref="AU105:AU109" si="208">AU92+AO92</f>
        <v>0</v>
      </c>
      <c r="AV105" s="671">
        <f t="shared" ref="AV105:AV109" si="209">AV92+AP92</f>
        <v>0</v>
      </c>
      <c r="AW105" s="672">
        <f t="shared" ref="AW105:AW109" si="210">AW92+AQ92</f>
        <v>0</v>
      </c>
      <c r="AX105" s="668"/>
      <c r="AY105" s="670">
        <f t="shared" ref="AY105:AY109" si="211">AY92+AS92</f>
        <v>-4.71</v>
      </c>
      <c r="AZ105" s="668">
        <f t="shared" ref="AZ105:AZ109" si="212">AZ92+AT92</f>
        <v>5.04</v>
      </c>
      <c r="BA105" s="668">
        <f t="shared" ref="BA105:BA109" si="213">BA92+AU92</f>
        <v>4.8537268138801259</v>
      </c>
      <c r="BB105" s="671">
        <f t="shared" ref="BB105:BB109" si="214">BB92+AV92</f>
        <v>4.0364976900296154</v>
      </c>
      <c r="BC105" s="672">
        <f t="shared" ref="BC105:BC109" si="215">BC92+AW92</f>
        <v>9.3823203007936478</v>
      </c>
      <c r="BD105" s="668"/>
      <c r="BE105" s="670">
        <f t="shared" ref="BE105:BE109" si="216">BE92+AY92</f>
        <v>3.7589999999999995</v>
      </c>
      <c r="BF105" s="668">
        <f t="shared" ref="BF105:BF109" si="217">BF92+AZ92</f>
        <v>9.8520000000000003</v>
      </c>
      <c r="BG105" s="668">
        <f t="shared" ref="BG105:BG109" si="218">BG92+BA92</f>
        <v>10.870886097183689</v>
      </c>
      <c r="BH105" s="671">
        <f t="shared" ref="BH105:BH109" si="219">BH92+BB92</f>
        <v>12.848266019403567</v>
      </c>
      <c r="BI105" s="672">
        <f t="shared" ref="BI105:BI109" si="220">BI92+BC92</f>
        <v>37.650921252692548</v>
      </c>
      <c r="BJ105" s="668"/>
      <c r="BK105" s="670">
        <f t="shared" ref="BK105:BK109" si="221">BK92+BE92</f>
        <v>13.070123160437575</v>
      </c>
      <c r="BL105" s="668">
        <f t="shared" ref="BL105:BL109" si="222">BL92+BF92</f>
        <v>20.916539644970417</v>
      </c>
      <c r="BM105" s="668">
        <f t="shared" ref="BM105:BM109" si="223">BM92+BG92</f>
        <v>15.022994970433764</v>
      </c>
      <c r="BN105" s="671">
        <f t="shared" ref="BN105:BN109" si="224">BN92+BH92</f>
        <v>18.91884460124745</v>
      </c>
      <c r="BO105" s="672">
        <f t="shared" ref="BO105:BO109" si="225">BO92+BI92</f>
        <v>70.569918541458179</v>
      </c>
      <c r="BP105" s="668"/>
      <c r="BQ105" s="670">
        <f t="shared" ref="BQ105:BQ109" si="226">BQ92+BK92</f>
        <v>11.087948584311938</v>
      </c>
      <c r="BR105" s="668">
        <f t="shared" ref="BR105:BR109" si="227">BR92+BL92</f>
        <v>24.241889840874943</v>
      </c>
      <c r="BS105" s="668">
        <f t="shared" ref="BS105:BS109" si="228">BS92+BM92</f>
        <v>19.813891095955775</v>
      </c>
      <c r="BT105" s="671">
        <f t="shared" ref="BT105:BT109" si="229">BT92+BN92</f>
        <v>21.973450821449987</v>
      </c>
      <c r="BU105" s="672">
        <f t="shared" ref="BU105:BU109" si="230">BU92+BO92</f>
        <v>81.547599937731491</v>
      </c>
      <c r="BV105" s="668"/>
      <c r="BW105" s="670">
        <f t="shared" ref="BW105:BW109" si="231">BW92+BQ92</f>
        <v>13.25908865829728</v>
      </c>
      <c r="BX105" s="668">
        <f t="shared" ref="BX105:BX109" si="232">BX92+BR92</f>
        <v>16.510084957763723</v>
      </c>
      <c r="BY105" s="668">
        <f t="shared" ref="BY105:BY109" si="233">BY92+BS92</f>
        <v>18.781912253265801</v>
      </c>
      <c r="BZ105" s="671">
        <f t="shared" ref="BZ105:BZ109" si="234">BZ92+BT92</f>
        <v>20.608304426976748</v>
      </c>
      <c r="CA105" s="672">
        <f t="shared" ref="CA105:CA109" si="235">CA92+BU92</f>
        <v>71.107067066294789</v>
      </c>
      <c r="CB105" s="668"/>
      <c r="CC105" s="670">
        <f t="shared" ref="CC105:CC109" si="236">CC92+BW92</f>
        <v>13.984723579083326</v>
      </c>
      <c r="CD105" s="668">
        <f t="shared" ref="CD105:CD109" si="237">CD92+BX92</f>
        <v>17.289697283239235</v>
      </c>
      <c r="CE105" s="668">
        <f t="shared" ref="CE105:CE109" si="238">CE92+BY92</f>
        <v>16.466014383769064</v>
      </c>
      <c r="CF105" s="671">
        <f t="shared" ref="CF105:CF109" si="239">CF92+BZ92</f>
        <v>18.052085196831541</v>
      </c>
      <c r="CG105" s="672">
        <f t="shared" ref="CG105:CG109" si="240">CG92+CA92</f>
        <v>65.79252044292312</v>
      </c>
      <c r="CH105" s="668"/>
      <c r="CI105" s="670">
        <f t="shared" ref="CI105:CI109" si="241">CI92+CC92</f>
        <v>14.89373061172374</v>
      </c>
      <c r="CJ105" s="668">
        <f t="shared" ref="CJ105:CJ109" si="242">CJ92+CD92</f>
        <v>18.413527606649787</v>
      </c>
      <c r="CK105" s="668">
        <f t="shared" ref="CK105:CK109" si="243">CK92+CE92</f>
        <v>17.536305318714057</v>
      </c>
      <c r="CL105" s="671">
        <f t="shared" ref="CL105:CL109" si="244">CL92+CF92</f>
        <v>19.225470734625588</v>
      </c>
      <c r="CM105" s="672">
        <f t="shared" ref="CM105:CM109" si="245">CM92+CG92</f>
        <v>70.069034271713122</v>
      </c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1"/>
      <c r="CY105" s="21"/>
      <c r="CZ105" s="21"/>
      <c r="DA105" s="21"/>
      <c r="DB105" s="21"/>
      <c r="DC105" s="6"/>
      <c r="DD105" s="6"/>
      <c r="DE105" s="6"/>
      <c r="DF105" s="6"/>
      <c r="DG105" s="6"/>
      <c r="DH105" s="6"/>
      <c r="DI105" s="6"/>
      <c r="DJ105" s="6"/>
    </row>
    <row r="106" spans="1:114" hidden="1" outlineLevel="1">
      <c r="A106" s="309" t="s">
        <v>534</v>
      </c>
      <c r="B106" s="4"/>
      <c r="C106" s="670"/>
      <c r="D106" s="668"/>
      <c r="E106" s="668"/>
      <c r="F106" s="671"/>
      <c r="G106" s="672"/>
      <c r="H106" s="4"/>
      <c r="I106" s="670"/>
      <c r="J106" s="668"/>
      <c r="K106" s="668"/>
      <c r="L106" s="671"/>
      <c r="M106" s="672"/>
      <c r="N106" s="4"/>
      <c r="O106" s="670"/>
      <c r="P106" s="668"/>
      <c r="Q106" s="668"/>
      <c r="R106" s="671"/>
      <c r="S106" s="672"/>
      <c r="T106" s="668"/>
      <c r="U106" s="670"/>
      <c r="V106" s="668"/>
      <c r="W106" s="668"/>
      <c r="X106" s="671"/>
      <c r="Y106" s="672"/>
      <c r="Z106" s="668"/>
      <c r="AA106" s="670"/>
      <c r="AB106" s="668"/>
      <c r="AC106" s="668"/>
      <c r="AD106" s="671"/>
      <c r="AE106" s="672"/>
      <c r="AF106" s="668"/>
      <c r="AG106" s="670"/>
      <c r="AH106" s="668"/>
      <c r="AI106" s="668"/>
      <c r="AJ106" s="671"/>
      <c r="AK106" s="672"/>
      <c r="AL106" s="668"/>
      <c r="AM106" s="670">
        <f t="shared" ref="AM106:AQ106" si="246">AM93+AG93</f>
        <v>0</v>
      </c>
      <c r="AN106" s="668">
        <f t="shared" si="246"/>
        <v>0</v>
      </c>
      <c r="AO106" s="668">
        <f t="shared" si="246"/>
        <v>0</v>
      </c>
      <c r="AP106" s="671">
        <f t="shared" si="246"/>
        <v>0</v>
      </c>
      <c r="AQ106" s="672">
        <f t="shared" si="246"/>
        <v>0</v>
      </c>
      <c r="AR106" s="668"/>
      <c r="AS106" s="670">
        <f t="shared" si="206"/>
        <v>0</v>
      </c>
      <c r="AT106" s="668">
        <f t="shared" si="207"/>
        <v>0</v>
      </c>
      <c r="AU106" s="668">
        <f t="shared" si="208"/>
        <v>0</v>
      </c>
      <c r="AV106" s="671">
        <f t="shared" si="209"/>
        <v>0</v>
      </c>
      <c r="AW106" s="672">
        <f t="shared" si="210"/>
        <v>0</v>
      </c>
      <c r="AX106" s="668"/>
      <c r="AY106" s="670">
        <f t="shared" si="211"/>
        <v>4.9455</v>
      </c>
      <c r="AZ106" s="668">
        <f t="shared" si="212"/>
        <v>6.3503999999999996</v>
      </c>
      <c r="BA106" s="668">
        <f t="shared" si="213"/>
        <v>7.6888744164037863</v>
      </c>
      <c r="BB106" s="671">
        <f t="shared" si="214"/>
        <v>8.4231348272458053</v>
      </c>
      <c r="BC106" s="672">
        <f t="shared" si="215"/>
        <v>27.451963775717541</v>
      </c>
      <c r="BD106" s="668"/>
      <c r="BE106" s="670">
        <f t="shared" si="216"/>
        <v>11.17116</v>
      </c>
      <c r="BF106" s="668">
        <f t="shared" si="217"/>
        <v>11.773440000000001</v>
      </c>
      <c r="BG106" s="668">
        <f t="shared" si="218"/>
        <v>11.987563972872564</v>
      </c>
      <c r="BH106" s="671">
        <f t="shared" si="219"/>
        <v>12.669308918841114</v>
      </c>
      <c r="BI106" s="672">
        <f t="shared" si="220"/>
        <v>47.708519918166928</v>
      </c>
      <c r="BJ106" s="668"/>
      <c r="BK106" s="670">
        <f t="shared" si="221"/>
        <v>8.4237105891891897</v>
      </c>
      <c r="BL106" s="668">
        <f t="shared" si="222"/>
        <v>10.177345363313609</v>
      </c>
      <c r="BM106" s="668">
        <f t="shared" si="223"/>
        <v>8.6237203842716053</v>
      </c>
      <c r="BN106" s="671">
        <f t="shared" si="224"/>
        <v>10.495356341464566</v>
      </c>
      <c r="BO106" s="672">
        <f t="shared" si="225"/>
        <v>39.293191376044007</v>
      </c>
      <c r="BP106" s="668"/>
      <c r="BQ106" s="670">
        <f t="shared" si="226"/>
        <v>5.5852251653146618</v>
      </c>
      <c r="BR106" s="668">
        <f t="shared" si="227"/>
        <v>9.864863113907429</v>
      </c>
      <c r="BS106" s="668">
        <f t="shared" si="228"/>
        <v>9.6243606636719683</v>
      </c>
      <c r="BT106" s="671">
        <f t="shared" si="229"/>
        <v>12.030622972260318</v>
      </c>
      <c r="BU106" s="672">
        <f t="shared" si="230"/>
        <v>39.820333014263127</v>
      </c>
      <c r="BV106" s="668"/>
      <c r="BW106" s="670">
        <f t="shared" si="231"/>
        <v>8.4807691504963998</v>
      </c>
      <c r="BX106" s="668">
        <f t="shared" si="232"/>
        <v>10.824542700664466</v>
      </c>
      <c r="BY106" s="668">
        <f t="shared" si="233"/>
        <v>11.208244003771942</v>
      </c>
      <c r="BZ106" s="671">
        <f t="shared" si="234"/>
        <v>12.21838670002084</v>
      </c>
      <c r="CA106" s="672">
        <f t="shared" si="235"/>
        <v>43.937137450642744</v>
      </c>
      <c r="CB106" s="668"/>
      <c r="CC106" s="670">
        <f t="shared" si="236"/>
        <v>10.594676714691531</v>
      </c>
      <c r="CD106" s="668">
        <f t="shared" si="237"/>
        <v>11.88508869614695</v>
      </c>
      <c r="CE106" s="668">
        <f t="shared" si="238"/>
        <v>12.290541469237823</v>
      </c>
      <c r="CF106" s="671">
        <f t="shared" si="239"/>
        <v>13.388847633469943</v>
      </c>
      <c r="CG106" s="672">
        <f t="shared" si="240"/>
        <v>48.159154513546284</v>
      </c>
      <c r="CH106" s="668"/>
      <c r="CI106" s="670">
        <f t="shared" si="241"/>
        <v>11.442250851866856</v>
      </c>
      <c r="CJ106" s="668">
        <f t="shared" si="242"/>
        <v>12.835895791838706</v>
      </c>
      <c r="CK106" s="668">
        <f t="shared" si="243"/>
        <v>13.273784786776851</v>
      </c>
      <c r="CL106" s="671">
        <f t="shared" si="244"/>
        <v>14.459955444147539</v>
      </c>
      <c r="CM106" s="672">
        <f t="shared" si="245"/>
        <v>52.01188687462993</v>
      </c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1"/>
      <c r="CY106" s="21"/>
      <c r="CZ106" s="21"/>
      <c r="DA106" s="21"/>
      <c r="DB106" s="21"/>
      <c r="DC106" s="6"/>
      <c r="DD106" s="6"/>
      <c r="DE106" s="6"/>
      <c r="DF106" s="6"/>
      <c r="DG106" s="6"/>
      <c r="DH106" s="6"/>
      <c r="DI106" s="6"/>
      <c r="DJ106" s="6"/>
    </row>
    <row r="107" spans="1:114" hidden="1" outlineLevel="1">
      <c r="A107" s="309" t="s">
        <v>539</v>
      </c>
      <c r="B107" s="4"/>
      <c r="C107" s="670"/>
      <c r="D107" s="668"/>
      <c r="E107" s="668"/>
      <c r="F107" s="671"/>
      <c r="G107" s="672"/>
      <c r="H107" s="4"/>
      <c r="I107" s="670"/>
      <c r="J107" s="668"/>
      <c r="K107" s="668"/>
      <c r="L107" s="671"/>
      <c r="M107" s="672"/>
      <c r="N107" s="4"/>
      <c r="O107" s="670"/>
      <c r="P107" s="668"/>
      <c r="Q107" s="668"/>
      <c r="R107" s="671"/>
      <c r="S107" s="672"/>
      <c r="T107" s="668"/>
      <c r="U107" s="670"/>
      <c r="V107" s="668"/>
      <c r="W107" s="668"/>
      <c r="X107" s="671"/>
      <c r="Y107" s="672"/>
      <c r="Z107" s="668"/>
      <c r="AA107" s="670"/>
      <c r="AB107" s="668"/>
      <c r="AC107" s="668"/>
      <c r="AD107" s="671"/>
      <c r="AE107" s="672"/>
      <c r="AF107" s="668"/>
      <c r="AG107" s="670"/>
      <c r="AH107" s="668"/>
      <c r="AI107" s="668"/>
      <c r="AJ107" s="671"/>
      <c r="AK107" s="672"/>
      <c r="AL107" s="668"/>
      <c r="AM107" s="670">
        <f t="shared" ref="AM107:AQ107" si="247">AM94+AG94</f>
        <v>0</v>
      </c>
      <c r="AN107" s="668">
        <f t="shared" si="247"/>
        <v>0</v>
      </c>
      <c r="AO107" s="668">
        <f t="shared" si="247"/>
        <v>0</v>
      </c>
      <c r="AP107" s="671">
        <f t="shared" si="247"/>
        <v>0</v>
      </c>
      <c r="AQ107" s="672">
        <f t="shared" si="247"/>
        <v>0</v>
      </c>
      <c r="AR107" s="668"/>
      <c r="AS107" s="670">
        <f t="shared" si="206"/>
        <v>0</v>
      </c>
      <c r="AT107" s="668">
        <f t="shared" si="207"/>
        <v>0</v>
      </c>
      <c r="AU107" s="668">
        <f t="shared" si="208"/>
        <v>0</v>
      </c>
      <c r="AV107" s="671">
        <f t="shared" si="209"/>
        <v>0</v>
      </c>
      <c r="AW107" s="672">
        <f t="shared" si="210"/>
        <v>0</v>
      </c>
      <c r="AX107" s="668"/>
      <c r="AY107" s="670">
        <f t="shared" si="211"/>
        <v>-2.595500000000003</v>
      </c>
      <c r="AZ107" s="668">
        <f t="shared" si="212"/>
        <v>2.8895999999999864</v>
      </c>
      <c r="BA107" s="668">
        <f t="shared" si="213"/>
        <v>1.7576528079510354</v>
      </c>
      <c r="BB107" s="671">
        <f t="shared" si="214"/>
        <v>3.456647636079802</v>
      </c>
      <c r="BC107" s="672">
        <f t="shared" si="215"/>
        <v>14.396124382563826</v>
      </c>
      <c r="BD107" s="668"/>
      <c r="BE107" s="670">
        <f t="shared" si="216"/>
        <v>0.3197656756756504</v>
      </c>
      <c r="BF107" s="668">
        <f t="shared" si="217"/>
        <v>2.2010603550295791</v>
      </c>
      <c r="BG107" s="668">
        <f t="shared" si="218"/>
        <v>3.9930388722669949</v>
      </c>
      <c r="BH107" s="671">
        <f t="shared" si="219"/>
        <v>5.9987052151105269</v>
      </c>
      <c r="BI107" s="672">
        <f t="shared" si="220"/>
        <v>23.137987858298416</v>
      </c>
      <c r="BJ107" s="668"/>
      <c r="BK107" s="670">
        <f t="shared" si="221"/>
        <v>4.1184499027026789</v>
      </c>
      <c r="BL107" s="668">
        <f t="shared" si="222"/>
        <v>2.3546153467455815</v>
      </c>
      <c r="BM107" s="668">
        <f t="shared" si="223"/>
        <v>5.5245195493829238</v>
      </c>
      <c r="BN107" s="671">
        <f t="shared" si="224"/>
        <v>-0.74420094271200066</v>
      </c>
      <c r="BO107" s="672">
        <f t="shared" si="225"/>
        <v>13.52314043625455</v>
      </c>
      <c r="BP107" s="668"/>
      <c r="BQ107" s="670">
        <f t="shared" si="226"/>
        <v>1.203184227027025</v>
      </c>
      <c r="BR107" s="668">
        <f t="shared" si="227"/>
        <v>3.0431549917159888</v>
      </c>
      <c r="BS107" s="668">
        <f t="shared" si="228"/>
        <v>3.2891334850669645</v>
      </c>
      <c r="BT107" s="671">
        <f t="shared" si="229"/>
        <v>-3.2862585217427256</v>
      </c>
      <c r="BU107" s="672">
        <f t="shared" si="230"/>
        <v>5.1205148925541222</v>
      </c>
      <c r="BV107" s="668"/>
      <c r="BW107" s="670">
        <f t="shared" si="231"/>
        <v>0</v>
      </c>
      <c r="BX107" s="668">
        <f t="shared" si="232"/>
        <v>0</v>
      </c>
      <c r="BY107" s="668">
        <f t="shared" si="233"/>
        <v>16.430566223549754</v>
      </c>
      <c r="BZ107" s="671">
        <f t="shared" si="234"/>
        <v>13.793333167960075</v>
      </c>
      <c r="CA107" s="672">
        <f t="shared" si="235"/>
        <v>30.56313732354397</v>
      </c>
      <c r="CB107" s="668"/>
      <c r="CC107" s="670">
        <f t="shared" si="236"/>
        <v>10.627669658745157</v>
      </c>
      <c r="CD107" s="668">
        <f t="shared" si="237"/>
        <v>13.4321710660476</v>
      </c>
      <c r="CE107" s="668">
        <f t="shared" si="238"/>
        <v>41.170304508723248</v>
      </c>
      <c r="CF107" s="671">
        <f t="shared" si="239"/>
        <v>34.562151966574241</v>
      </c>
      <c r="CG107" s="672">
        <f t="shared" si="240"/>
        <v>99.792297200090246</v>
      </c>
      <c r="CH107" s="668"/>
      <c r="CI107" s="670">
        <f t="shared" si="241"/>
        <v>24.512205825815442</v>
      </c>
      <c r="CJ107" s="668">
        <f t="shared" si="242"/>
        <v>30.980652620077528</v>
      </c>
      <c r="CK107" s="668">
        <f t="shared" si="243"/>
        <v>57.061009270642089</v>
      </c>
      <c r="CL107" s="671">
        <f t="shared" si="244"/>
        <v>47.902275616158484</v>
      </c>
      <c r="CM107" s="672">
        <f t="shared" si="245"/>
        <v>160.45614333269356</v>
      </c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1"/>
      <c r="CY107" s="21"/>
      <c r="CZ107" s="21"/>
      <c r="DA107" s="21"/>
      <c r="DB107" s="21"/>
      <c r="DC107" s="6"/>
      <c r="DD107" s="6"/>
      <c r="DE107" s="6"/>
      <c r="DF107" s="6"/>
      <c r="DG107" s="6"/>
      <c r="DH107" s="6"/>
      <c r="DI107" s="6"/>
      <c r="DJ107" s="6"/>
    </row>
    <row r="108" spans="1:114" hidden="1" outlineLevel="1">
      <c r="A108" s="490" t="s">
        <v>107</v>
      </c>
      <c r="B108" s="4"/>
      <c r="C108" s="670"/>
      <c r="D108" s="668"/>
      <c r="E108" s="668"/>
      <c r="F108" s="671"/>
      <c r="G108" s="672"/>
      <c r="H108" s="4"/>
      <c r="I108" s="670"/>
      <c r="J108" s="668"/>
      <c r="K108" s="668"/>
      <c r="L108" s="671"/>
      <c r="M108" s="672"/>
      <c r="N108" s="4"/>
      <c r="O108" s="670"/>
      <c r="P108" s="668"/>
      <c r="Q108" s="668"/>
      <c r="R108" s="671"/>
      <c r="S108" s="672"/>
      <c r="T108" s="668"/>
      <c r="U108" s="670"/>
      <c r="V108" s="668"/>
      <c r="W108" s="668"/>
      <c r="X108" s="671"/>
      <c r="Y108" s="672"/>
      <c r="Z108" s="668"/>
      <c r="AA108" s="670"/>
      <c r="AB108" s="668"/>
      <c r="AC108" s="668"/>
      <c r="AD108" s="671"/>
      <c r="AE108" s="672"/>
      <c r="AF108" s="668"/>
      <c r="AG108" s="670"/>
      <c r="AH108" s="668"/>
      <c r="AI108" s="668"/>
      <c r="AJ108" s="671"/>
      <c r="AK108" s="672"/>
      <c r="AL108" s="668"/>
      <c r="AM108" s="670">
        <f t="shared" ref="AM108:AQ108" si="248">AM95+AG95</f>
        <v>16.278879813302208</v>
      </c>
      <c r="AN108" s="668">
        <f t="shared" si="248"/>
        <v>20.79229871645277</v>
      </c>
      <c r="AO108" s="668">
        <f t="shared" si="248"/>
        <v>23.570615034168565</v>
      </c>
      <c r="AP108" s="671">
        <f t="shared" si="248"/>
        <v>29.377497371188195</v>
      </c>
      <c r="AQ108" s="672">
        <f t="shared" si="248"/>
        <v>89.90460062094273</v>
      </c>
      <c r="AR108" s="668"/>
      <c r="AS108" s="670">
        <f t="shared" si="206"/>
        <v>39.654662694304321</v>
      </c>
      <c r="AT108" s="668">
        <f t="shared" si="207"/>
        <v>40.68736044484784</v>
      </c>
      <c r="AU108" s="668">
        <f t="shared" si="208"/>
        <v>51.363464666134931</v>
      </c>
      <c r="AV108" s="671">
        <f t="shared" si="209"/>
        <v>46.202768842066774</v>
      </c>
      <c r="AW108" s="672">
        <f t="shared" si="210"/>
        <v>177.93387642987955</v>
      </c>
      <c r="AX108" s="668"/>
      <c r="AY108" s="670">
        <f t="shared" si="211"/>
        <v>54.375782881002138</v>
      </c>
      <c r="AZ108" s="668">
        <f t="shared" si="212"/>
        <v>41.895061728395056</v>
      </c>
      <c r="BA108" s="668">
        <f t="shared" si="213"/>
        <v>54.792849631966376</v>
      </c>
      <c r="BB108" s="671">
        <f t="shared" si="214"/>
        <v>52.825271470878555</v>
      </c>
      <c r="BC108" s="672">
        <f t="shared" si="215"/>
        <v>204.47207962280788</v>
      </c>
      <c r="BD108" s="668"/>
      <c r="BE108" s="670">
        <f t="shared" si="216"/>
        <v>65.000000000000028</v>
      </c>
      <c r="BF108" s="668">
        <f t="shared" si="217"/>
        <v>52.999999999999957</v>
      </c>
      <c r="BG108" s="668">
        <f t="shared" si="218"/>
        <v>55.499999999999986</v>
      </c>
      <c r="BH108" s="671">
        <f t="shared" si="219"/>
        <v>60.96599999999998</v>
      </c>
      <c r="BI108" s="672">
        <f t="shared" si="220"/>
        <v>234.73355823261983</v>
      </c>
      <c r="BJ108" s="668"/>
      <c r="BK108" s="670">
        <f t="shared" si="221"/>
        <v>58.768000000000001</v>
      </c>
      <c r="BL108" s="668">
        <f t="shared" si="222"/>
        <v>65.599999999999966</v>
      </c>
      <c r="BM108" s="668">
        <f t="shared" si="223"/>
        <v>57.299999999999983</v>
      </c>
      <c r="BN108" s="671">
        <f t="shared" si="224"/>
        <v>54.566000000000003</v>
      </c>
      <c r="BO108" s="672">
        <f t="shared" si="225"/>
        <v>236.20918681587483</v>
      </c>
      <c r="BP108" s="668"/>
      <c r="BQ108" s="670">
        <f t="shared" si="226"/>
        <v>54.126000000000005</v>
      </c>
      <c r="BR108" s="668">
        <f t="shared" si="227"/>
        <v>76.180000000000007</v>
      </c>
      <c r="BS108" s="668">
        <f t="shared" si="228"/>
        <v>75.12</v>
      </c>
      <c r="BT108" s="671">
        <f t="shared" si="229"/>
        <v>78.08</v>
      </c>
      <c r="BU108" s="672">
        <f t="shared" si="230"/>
        <v>283.90068687251824</v>
      </c>
      <c r="BV108" s="668"/>
      <c r="BW108" s="670">
        <f t="shared" si="231"/>
        <v>61.998000000000005</v>
      </c>
      <c r="BX108" s="668">
        <f t="shared" si="232"/>
        <v>76.485119999999995</v>
      </c>
      <c r="BY108" s="668">
        <f t="shared" si="233"/>
        <v>81.924640000000011</v>
      </c>
      <c r="BZ108" s="671">
        <f t="shared" si="234"/>
        <v>85.680319999999995</v>
      </c>
      <c r="CA108" s="672">
        <f t="shared" si="235"/>
        <v>306.33233447539214</v>
      </c>
      <c r="CB108" s="668"/>
      <c r="CC108" s="670">
        <f t="shared" si="236"/>
        <v>65.688000000000002</v>
      </c>
      <c r="CD108" s="668">
        <f t="shared" si="237"/>
        <v>70.246554000000003</v>
      </c>
      <c r="CE108" s="668">
        <f t="shared" si="238"/>
        <v>71.654337999999996</v>
      </c>
      <c r="CF108" s="671">
        <f t="shared" si="239"/>
        <v>74.865644000000003</v>
      </c>
      <c r="CG108" s="672">
        <f t="shared" si="240"/>
        <v>282.45453600000002</v>
      </c>
      <c r="CH108" s="668"/>
      <c r="CI108" s="670">
        <f t="shared" si="241"/>
        <v>68.574600000000004</v>
      </c>
      <c r="CJ108" s="668">
        <f t="shared" si="242"/>
        <v>73.333475550000003</v>
      </c>
      <c r="CK108" s="668">
        <f t="shared" si="243"/>
        <v>74.803123349999993</v>
      </c>
      <c r="CL108" s="671">
        <f t="shared" si="244"/>
        <v>78.155547299999995</v>
      </c>
      <c r="CM108" s="672">
        <f t="shared" si="245"/>
        <v>294.86674619999997</v>
      </c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1"/>
      <c r="CY108" s="21"/>
      <c r="CZ108" s="21"/>
      <c r="DA108" s="21"/>
      <c r="DB108" s="21"/>
      <c r="DC108" s="6"/>
      <c r="DD108" s="6"/>
      <c r="DE108" s="6"/>
      <c r="DF108" s="6"/>
      <c r="DG108" s="6"/>
      <c r="DH108" s="6"/>
      <c r="DI108" s="6"/>
      <c r="DJ108" s="6"/>
    </row>
    <row r="109" spans="1:114" collapsed="1">
      <c r="A109" s="1507" t="s">
        <v>239</v>
      </c>
      <c r="B109" s="4"/>
      <c r="C109" s="1499"/>
      <c r="D109" s="1500"/>
      <c r="E109" s="1500"/>
      <c r="F109" s="1501"/>
      <c r="G109" s="1502"/>
      <c r="H109" s="4"/>
      <c r="I109" s="1499">
        <f>I96+C96</f>
        <v>52.325000000000003</v>
      </c>
      <c r="J109" s="1500">
        <f>J96+D96</f>
        <v>57.78</v>
      </c>
      <c r="K109" s="1500">
        <f>K96+E96</f>
        <v>49.245000000000005</v>
      </c>
      <c r="L109" s="1501">
        <f>L96+F96</f>
        <v>39.300000000000004</v>
      </c>
      <c r="M109" s="1502">
        <f>M96+G96</f>
        <v>201.67</v>
      </c>
      <c r="N109" s="4"/>
      <c r="O109" s="1499">
        <f>O96+I96</f>
        <v>43.332160585101533</v>
      </c>
      <c r="P109" s="1500">
        <f>P96+J96</f>
        <v>5.7855065380513011</v>
      </c>
      <c r="Q109" s="1500">
        <f>Q96+K96</f>
        <v>-4.6114101981097591</v>
      </c>
      <c r="R109" s="1501">
        <f>R96+L96</f>
        <v>4.6001667876319274</v>
      </c>
      <c r="S109" s="1502">
        <f>S96+M96</f>
        <v>52.126423712675034</v>
      </c>
      <c r="T109" s="668"/>
      <c r="U109" s="1499">
        <f t="shared" ref="U109:AK109" si="249">U96+O96</f>
        <v>26.45716058510148</v>
      </c>
      <c r="V109" s="1500">
        <f t="shared" si="249"/>
        <v>2.525506538051296</v>
      </c>
      <c r="W109" s="1500">
        <f t="shared" si="249"/>
        <v>25.473589801890206</v>
      </c>
      <c r="X109" s="1501">
        <f t="shared" si="249"/>
        <v>63.160166787631979</v>
      </c>
      <c r="Y109" s="1502">
        <f t="shared" si="249"/>
        <v>117.61642371267507</v>
      </c>
      <c r="Z109" s="668"/>
      <c r="AA109" s="1499">
        <f t="shared" si="249"/>
        <v>83.649999999999949</v>
      </c>
      <c r="AB109" s="1500">
        <f t="shared" si="249"/>
        <v>120.41</v>
      </c>
      <c r="AC109" s="1500">
        <f t="shared" si="249"/>
        <v>140.16999999999996</v>
      </c>
      <c r="AD109" s="1501">
        <f t="shared" si="249"/>
        <v>130.50000000000003</v>
      </c>
      <c r="AE109" s="1502">
        <f t="shared" si="249"/>
        <v>473.76</v>
      </c>
      <c r="AF109" s="668"/>
      <c r="AG109" s="1499">
        <f t="shared" si="249"/>
        <v>145.33000000000001</v>
      </c>
      <c r="AH109" s="1500">
        <f t="shared" si="249"/>
        <v>85.620000000000033</v>
      </c>
      <c r="AI109" s="1500">
        <f t="shared" si="249"/>
        <v>90.807000000000031</v>
      </c>
      <c r="AJ109" s="1501">
        <f t="shared" si="249"/>
        <v>46.639999999999951</v>
      </c>
      <c r="AK109" s="1502">
        <f t="shared" si="249"/>
        <v>378.37999999999971</v>
      </c>
      <c r="AL109" s="668"/>
      <c r="AM109" s="1499">
        <f t="shared" ref="AM109:AQ109" si="250">AM96+AG96</f>
        <v>114.07400000000003</v>
      </c>
      <c r="AN109" s="1500">
        <f t="shared" si="250"/>
        <v>57.946000000000048</v>
      </c>
      <c r="AO109" s="1500">
        <f t="shared" si="250"/>
        <v>63.96700000000002</v>
      </c>
      <c r="AP109" s="1501">
        <f t="shared" si="250"/>
        <v>80.78</v>
      </c>
      <c r="AQ109" s="1502">
        <f t="shared" si="250"/>
        <v>349.48084660597931</v>
      </c>
      <c r="AR109" s="668"/>
      <c r="AS109" s="1499">
        <f t="shared" si="206"/>
        <v>77.94399999999996</v>
      </c>
      <c r="AT109" s="1500">
        <f t="shared" si="207"/>
        <v>60.216000000000079</v>
      </c>
      <c r="AU109" s="1500">
        <f t="shared" si="208"/>
        <v>82.000000000000043</v>
      </c>
      <c r="AV109" s="1501">
        <f t="shared" si="209"/>
        <v>105.78</v>
      </c>
      <c r="AW109" s="1502">
        <f t="shared" si="210"/>
        <v>347.70084660597951</v>
      </c>
      <c r="AX109" s="668"/>
      <c r="AY109" s="1499">
        <f t="shared" si="211"/>
        <v>129.74000000000004</v>
      </c>
      <c r="AZ109" s="1500">
        <f t="shared" si="212"/>
        <v>85.950000000000074</v>
      </c>
      <c r="BA109" s="1500">
        <f t="shared" si="213"/>
        <v>119.1400000000001</v>
      </c>
      <c r="BB109" s="1501">
        <f t="shared" si="214"/>
        <v>103.46799999999996</v>
      </c>
      <c r="BC109" s="1502">
        <f t="shared" si="215"/>
        <v>440.64288586283232</v>
      </c>
      <c r="BD109" s="668"/>
      <c r="BE109" s="1499">
        <f t="shared" si="216"/>
        <v>134.1330000000001</v>
      </c>
      <c r="BF109" s="1500">
        <f t="shared" si="217"/>
        <v>103.14465811965812</v>
      </c>
      <c r="BG109" s="1500">
        <f t="shared" si="218"/>
        <v>102.14000000000001</v>
      </c>
      <c r="BH109" s="1501">
        <f t="shared" si="219"/>
        <v>130.78399999999999</v>
      </c>
      <c r="BI109" s="1502">
        <f t="shared" si="220"/>
        <v>473.35053571099502</v>
      </c>
      <c r="BJ109" s="668"/>
      <c r="BK109" s="1499">
        <f t="shared" si="221"/>
        <v>119.72935797665369</v>
      </c>
      <c r="BL109" s="1500">
        <f t="shared" si="222"/>
        <v>127.3966581196581</v>
      </c>
      <c r="BM109" s="1500">
        <f t="shared" si="223"/>
        <v>109.17999999999999</v>
      </c>
      <c r="BN109" s="1501">
        <f t="shared" si="224"/>
        <v>151.00600000000003</v>
      </c>
      <c r="BO109" s="1502">
        <f t="shared" si="225"/>
        <v>509.08579343856763</v>
      </c>
      <c r="BP109" s="668"/>
      <c r="BQ109" s="1499">
        <f t="shared" si="226"/>
        <v>125.40835797665363</v>
      </c>
      <c r="BR109" s="1500">
        <f t="shared" si="227"/>
        <v>190.09990794649835</v>
      </c>
      <c r="BS109" s="1500">
        <f t="shared" si="228"/>
        <v>167.15738524469472</v>
      </c>
      <c r="BT109" s="1501">
        <f t="shared" si="229"/>
        <v>176.69281527196762</v>
      </c>
      <c r="BU109" s="1502">
        <f t="shared" si="230"/>
        <v>661.37474768414654</v>
      </c>
      <c r="BV109" s="668"/>
      <c r="BW109" s="1499">
        <f t="shared" si="231"/>
        <v>152.65785780879378</v>
      </c>
      <c r="BX109" s="1500">
        <f t="shared" si="232"/>
        <v>186.73908765842822</v>
      </c>
      <c r="BY109" s="1500">
        <f t="shared" si="233"/>
        <v>189.56774248058747</v>
      </c>
      <c r="BZ109" s="1501">
        <f t="shared" si="234"/>
        <v>195.29734429495775</v>
      </c>
      <c r="CA109" s="1502">
        <f t="shared" si="235"/>
        <v>726.19677237674455</v>
      </c>
      <c r="CB109" s="668"/>
      <c r="CC109" s="1499">
        <f t="shared" si="236"/>
        <v>157.62746995252002</v>
      </c>
      <c r="CD109" s="1500">
        <f t="shared" si="237"/>
        <v>167.70300124543382</v>
      </c>
      <c r="CE109" s="1500">
        <f t="shared" si="238"/>
        <v>194.62993976173013</v>
      </c>
      <c r="CF109" s="1501">
        <f t="shared" si="239"/>
        <v>197.66538879687573</v>
      </c>
      <c r="CG109" s="1502">
        <f t="shared" si="240"/>
        <v>718.72808801321128</v>
      </c>
      <c r="CH109" s="668"/>
      <c r="CI109" s="1499">
        <f t="shared" si="241"/>
        <v>159.31715928940605</v>
      </c>
      <c r="CJ109" s="1500">
        <f t="shared" si="242"/>
        <v>174.13385647456602</v>
      </c>
      <c r="CK109" s="1500">
        <f t="shared" si="243"/>
        <v>199.97823636813294</v>
      </c>
      <c r="CL109" s="1501">
        <f t="shared" si="244"/>
        <v>199.68280889493155</v>
      </c>
      <c r="CM109" s="1502">
        <f t="shared" si="245"/>
        <v>733.5915169033417</v>
      </c>
      <c r="CN109" s="1516"/>
      <c r="CO109" s="1516"/>
      <c r="CP109" s="1516"/>
      <c r="CQ109" s="1516"/>
      <c r="CR109" s="1516"/>
      <c r="CS109" s="1516"/>
      <c r="CT109" s="1516"/>
      <c r="CU109" s="1516"/>
      <c r="CV109" s="1516"/>
      <c r="CW109" s="1516"/>
      <c r="CX109" s="1516"/>
      <c r="CY109" s="1516"/>
      <c r="CZ109" s="1516"/>
      <c r="DA109" s="1516"/>
      <c r="DB109" s="1516"/>
      <c r="DC109" s="6"/>
      <c r="DD109" s="6"/>
      <c r="DE109" s="6"/>
      <c r="DF109" s="6"/>
      <c r="DG109" s="6"/>
      <c r="DH109" s="6"/>
      <c r="DI109" s="6"/>
      <c r="DJ109" s="6"/>
    </row>
    <row r="110" spans="1:114">
      <c r="A110" s="107"/>
      <c r="B110" s="4"/>
      <c r="C110" s="107"/>
      <c r="D110" s="107"/>
      <c r="E110" s="107"/>
      <c r="F110" s="107"/>
      <c r="G110" s="107"/>
      <c r="H110" s="4"/>
      <c r="I110" s="107"/>
      <c r="J110" s="107"/>
      <c r="K110" s="107"/>
      <c r="L110" s="107"/>
      <c r="M110" s="107"/>
      <c r="N110" s="4"/>
      <c r="O110" s="107"/>
      <c r="P110" s="107"/>
      <c r="Q110" s="107"/>
      <c r="R110" s="107"/>
      <c r="S110" s="107"/>
      <c r="T110" s="4"/>
      <c r="U110" s="107"/>
      <c r="V110" s="107"/>
      <c r="W110" s="107"/>
      <c r="X110" s="107"/>
      <c r="Y110" s="107"/>
      <c r="Z110" s="4"/>
      <c r="AA110" s="107"/>
      <c r="AB110" s="107"/>
      <c r="AC110" s="107"/>
      <c r="AD110" s="107"/>
      <c r="AE110" s="107"/>
      <c r="AF110" s="4"/>
      <c r="AG110" s="107"/>
      <c r="AH110" s="107"/>
      <c r="AI110" s="107"/>
      <c r="AJ110" s="107"/>
      <c r="AK110" s="107"/>
      <c r="AL110" s="4"/>
      <c r="AM110" s="107"/>
      <c r="AN110" s="107"/>
      <c r="AO110" s="107"/>
      <c r="AP110" s="107"/>
      <c r="AQ110" s="107"/>
      <c r="AR110" s="4"/>
      <c r="AS110" s="107"/>
      <c r="AT110" s="107"/>
      <c r="AU110" s="107"/>
      <c r="AV110" s="107"/>
      <c r="AW110" s="107"/>
      <c r="AX110" s="4"/>
      <c r="AY110" s="107"/>
      <c r="AZ110" s="107"/>
      <c r="BA110" s="107"/>
      <c r="BB110" s="107"/>
      <c r="BC110" s="107"/>
      <c r="BD110" s="4"/>
      <c r="BE110" s="107"/>
      <c r="BF110" s="107"/>
      <c r="BG110" s="107"/>
      <c r="BH110" s="107"/>
      <c r="BI110" s="107"/>
      <c r="BJ110" s="4"/>
      <c r="BK110" s="107"/>
      <c r="BL110" s="107"/>
      <c r="BM110" s="107"/>
      <c r="BN110" s="107"/>
      <c r="BO110" s="107"/>
      <c r="BP110" s="4"/>
      <c r="BQ110" s="107"/>
      <c r="BR110" s="107"/>
      <c r="BS110" s="107"/>
      <c r="BT110" s="107"/>
      <c r="BU110" s="107"/>
      <c r="BV110" s="4"/>
      <c r="BW110" s="107"/>
      <c r="BX110" s="107"/>
      <c r="BY110" s="107"/>
      <c r="BZ110" s="107"/>
      <c r="CA110" s="107"/>
      <c r="CB110" s="107"/>
      <c r="CC110" s="107"/>
      <c r="CD110" s="107"/>
      <c r="CE110" s="107"/>
      <c r="CF110" s="107"/>
      <c r="CG110" s="107"/>
      <c r="CH110" s="107"/>
      <c r="CI110" s="107"/>
      <c r="CJ110" s="107"/>
      <c r="CK110" s="107"/>
      <c r="CL110" s="107"/>
      <c r="CM110" s="107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1"/>
      <c r="CY110" s="21"/>
      <c r="CZ110" s="21"/>
      <c r="DA110" s="21"/>
      <c r="DB110" s="21"/>
      <c r="DC110" s="6"/>
      <c r="DD110" s="6"/>
      <c r="DE110" s="6"/>
      <c r="DF110" s="6"/>
      <c r="DG110" s="6"/>
      <c r="DH110" s="6"/>
      <c r="DI110" s="6"/>
      <c r="DJ110" s="6"/>
    </row>
    <row r="111" spans="1:114">
      <c r="A111" s="382" t="s">
        <v>241</v>
      </c>
      <c r="B111" s="133"/>
      <c r="C111" s="660"/>
      <c r="D111" s="661"/>
      <c r="E111" s="661"/>
      <c r="F111" s="661"/>
      <c r="G111" s="663"/>
      <c r="H111" s="133"/>
      <c r="I111" s="660"/>
      <c r="J111" s="661"/>
      <c r="K111" s="661"/>
      <c r="L111" s="661"/>
      <c r="M111" s="663"/>
      <c r="N111" s="133"/>
      <c r="O111" s="660"/>
      <c r="P111" s="661"/>
      <c r="Q111" s="661"/>
      <c r="R111" s="661"/>
      <c r="S111" s="663"/>
      <c r="T111" s="133"/>
      <c r="U111" s="660"/>
      <c r="V111" s="661"/>
      <c r="W111" s="661"/>
      <c r="X111" s="661"/>
      <c r="Y111" s="663"/>
      <c r="Z111" s="133"/>
      <c r="AA111" s="660"/>
      <c r="AB111" s="661"/>
      <c r="AC111" s="661"/>
      <c r="AD111" s="661"/>
      <c r="AE111" s="663"/>
      <c r="AF111" s="133"/>
      <c r="AG111" s="660"/>
      <c r="AH111" s="661"/>
      <c r="AI111" s="661"/>
      <c r="AJ111" s="661"/>
      <c r="AK111" s="663"/>
      <c r="AL111" s="133"/>
      <c r="AM111" s="660"/>
      <c r="AN111" s="661"/>
      <c r="AO111" s="661"/>
      <c r="AP111" s="661"/>
      <c r="AQ111" s="663"/>
      <c r="AR111" s="133"/>
      <c r="AS111" s="660"/>
      <c r="AT111" s="661"/>
      <c r="AU111" s="661"/>
      <c r="AV111" s="661"/>
      <c r="AW111" s="663"/>
      <c r="AX111" s="133"/>
      <c r="AY111" s="660"/>
      <c r="AZ111" s="661"/>
      <c r="BA111" s="661"/>
      <c r="BB111" s="661"/>
      <c r="BC111" s="663"/>
      <c r="BD111" s="133"/>
      <c r="BE111" s="660"/>
      <c r="BF111" s="661"/>
      <c r="BG111" s="661"/>
      <c r="BH111" s="661"/>
      <c r="BI111" s="663"/>
      <c r="BJ111" s="133"/>
      <c r="BK111" s="660"/>
      <c r="BL111" s="661"/>
      <c r="BM111" s="661"/>
      <c r="BN111" s="661"/>
      <c r="BO111" s="663"/>
      <c r="BP111" s="133"/>
      <c r="BQ111" s="660"/>
      <c r="BR111" s="661"/>
      <c r="BS111" s="661"/>
      <c r="BT111" s="661"/>
      <c r="BU111" s="663"/>
      <c r="BV111" s="133"/>
      <c r="BW111" s="660"/>
      <c r="BX111" s="661"/>
      <c r="BY111" s="661"/>
      <c r="BZ111" s="661"/>
      <c r="CA111" s="663"/>
      <c r="CB111" s="2122"/>
      <c r="CC111" s="660"/>
      <c r="CD111" s="661"/>
      <c r="CE111" s="661"/>
      <c r="CF111" s="661"/>
      <c r="CG111" s="663"/>
      <c r="CH111" s="2122"/>
      <c r="CI111" s="660"/>
      <c r="CJ111" s="661"/>
      <c r="CK111" s="661"/>
      <c r="CL111" s="661"/>
      <c r="CM111" s="663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1"/>
      <c r="CY111" s="21"/>
      <c r="CZ111" s="21"/>
      <c r="DA111" s="21"/>
      <c r="DB111" s="21"/>
      <c r="DC111" s="6"/>
      <c r="DD111" s="6"/>
      <c r="DE111" s="6"/>
      <c r="DF111" s="6"/>
      <c r="DG111" s="6"/>
      <c r="DH111" s="6"/>
      <c r="DI111" s="6"/>
      <c r="DJ111" s="6"/>
    </row>
    <row r="112" spans="1:114" hidden="1" outlineLevel="1">
      <c r="A112" s="1508" t="s">
        <v>242</v>
      </c>
      <c r="B112" s="232"/>
      <c r="C112" s="1510"/>
      <c r="D112" s="1509"/>
      <c r="E112" s="1509"/>
      <c r="F112" s="1509"/>
      <c r="G112" s="1511"/>
      <c r="H112" s="232"/>
      <c r="I112" s="1510"/>
      <c r="J112" s="1509"/>
      <c r="K112" s="1509"/>
      <c r="L112" s="1509"/>
      <c r="M112" s="1511"/>
      <c r="N112" s="232"/>
      <c r="O112" s="1510"/>
      <c r="P112" s="1509"/>
      <c r="Q112" s="1509"/>
      <c r="R112" s="1509"/>
      <c r="S112" s="1511"/>
      <c r="T112" s="232"/>
      <c r="U112" s="1510"/>
      <c r="V112" s="1509"/>
      <c r="W112" s="1509"/>
      <c r="X112" s="1509"/>
      <c r="Y112" s="1511"/>
      <c r="Z112" s="232"/>
      <c r="AA112" s="1510"/>
      <c r="AB112" s="1509"/>
      <c r="AC112" s="1509"/>
      <c r="AD112" s="1509"/>
      <c r="AE112" s="1511"/>
      <c r="AF112" s="232"/>
      <c r="AG112" s="1512"/>
      <c r="AH112" s="1513"/>
      <c r="AI112" s="1513"/>
      <c r="AJ112" s="1513"/>
      <c r="AK112" s="1514"/>
      <c r="AL112" s="232"/>
      <c r="AM112" s="1512"/>
      <c r="AN112" s="1513"/>
      <c r="AO112" s="1513"/>
      <c r="AP112" s="1513"/>
      <c r="AQ112" s="1514"/>
      <c r="AR112" s="232"/>
      <c r="AS112" s="1512"/>
      <c r="AT112" s="1513"/>
      <c r="AU112" s="1513"/>
      <c r="AV112" s="1513"/>
      <c r="AW112" s="1514"/>
      <c r="AX112" s="232"/>
      <c r="AY112" s="1512"/>
      <c r="AZ112" s="1513"/>
      <c r="BA112" s="1513"/>
      <c r="BB112" s="1513"/>
      <c r="BC112" s="1514"/>
      <c r="BD112" s="232"/>
      <c r="BE112" s="1512"/>
      <c r="BF112" s="1513"/>
      <c r="BG112" s="1513"/>
      <c r="BH112" s="1513"/>
      <c r="BI112" s="1514"/>
      <c r="BJ112" s="232"/>
      <c r="BK112" s="1512"/>
      <c r="BL112" s="1513"/>
      <c r="BM112" s="1513"/>
      <c r="BN112" s="1513"/>
      <c r="BO112" s="1514"/>
      <c r="BP112" s="232"/>
      <c r="BQ112" s="1512"/>
      <c r="BR112" s="1513"/>
      <c r="BS112" s="1513"/>
      <c r="BT112" s="1513"/>
      <c r="BU112" s="1514"/>
      <c r="BV112" s="232"/>
      <c r="BW112" s="1512"/>
      <c r="BX112" s="1513"/>
      <c r="BY112" s="1513"/>
      <c r="BZ112" s="1513"/>
      <c r="CA112" s="1514"/>
      <c r="CB112" s="1513"/>
      <c r="CC112" s="1512"/>
      <c r="CD112" s="1513"/>
      <c r="CE112" s="1513"/>
      <c r="CF112" s="1513"/>
      <c r="CG112" s="1514"/>
      <c r="CH112" s="1513"/>
      <c r="CI112" s="1512"/>
      <c r="CJ112" s="1513"/>
      <c r="CK112" s="1513"/>
      <c r="CL112" s="1513"/>
      <c r="CM112" s="1514"/>
      <c r="CN112" s="1517"/>
      <c r="CO112" s="1517"/>
      <c r="CP112" s="1517"/>
      <c r="CQ112" s="1517"/>
      <c r="CR112" s="1517"/>
      <c r="CS112" s="1517"/>
      <c r="CT112" s="1517"/>
      <c r="CU112" s="1517"/>
      <c r="CV112" s="1517"/>
      <c r="CW112" s="1517"/>
      <c r="CX112" s="1517"/>
      <c r="CY112" s="1517"/>
      <c r="CZ112" s="1517"/>
      <c r="DA112" s="1517"/>
      <c r="DB112" s="1517"/>
      <c r="DC112" s="6"/>
      <c r="DD112" s="6"/>
      <c r="DE112" s="6"/>
      <c r="DF112" s="6"/>
      <c r="DG112" s="6"/>
      <c r="DH112" s="6"/>
      <c r="DI112" s="6"/>
      <c r="DJ112" s="6"/>
    </row>
    <row r="113" spans="1:114" hidden="1" outlineLevel="1">
      <c r="A113" s="673" t="s">
        <v>243</v>
      </c>
      <c r="B113" s="4"/>
      <c r="C113" s="674"/>
      <c r="D113" s="675"/>
      <c r="E113" s="675"/>
      <c r="F113" s="675"/>
      <c r="G113" s="676"/>
      <c r="H113" s="4"/>
      <c r="I113" s="674">
        <f>IS!I14-IS!C14</f>
        <v>19.520213943355188</v>
      </c>
      <c r="J113" s="675">
        <f>IS!J14-IS!D14</f>
        <v>13.42150632911391</v>
      </c>
      <c r="K113" s="675">
        <f>IS!K14-IS!E14</f>
        <v>6.856450476889222</v>
      </c>
      <c r="L113" s="675">
        <f>IS!L14-IS!F14</f>
        <v>0.77591954022989285</v>
      </c>
      <c r="M113" s="676">
        <f>IS!M14-IS!G14</f>
        <v>40.574090289588185</v>
      </c>
      <c r="N113" s="4"/>
      <c r="O113" s="674">
        <f>IS!O14-IS!I14</f>
        <v>0.89686666666659676</v>
      </c>
      <c r="P113" s="675">
        <f>IS!P14-IS!J14</f>
        <v>-1.7642616033755587</v>
      </c>
      <c r="Q113" s="675">
        <f>IS!Q14-IS!K14</f>
        <v>-5.5077057750760332</v>
      </c>
      <c r="R113" s="675">
        <f>IS!R14-IS!L14</f>
        <v>6.7522758620690411</v>
      </c>
      <c r="S113" s="676">
        <f>IS!S14-IS!M14</f>
        <v>0.37717515028407433</v>
      </c>
      <c r="T113" s="664"/>
      <c r="U113" s="674">
        <f>IS!U14-IS!O14</f>
        <v>11</v>
      </c>
      <c r="V113" s="675">
        <f>IS!V14-IS!P14</f>
        <v>27</v>
      </c>
      <c r="W113" s="675">
        <f>IS!W14-IS!Q14</f>
        <v>61</v>
      </c>
      <c r="X113" s="675">
        <f>IS!X14-IS!R14</f>
        <v>73</v>
      </c>
      <c r="Y113" s="676">
        <f>IS!Y14-IS!S14</f>
        <v>172</v>
      </c>
      <c r="Z113" s="664"/>
      <c r="AA113" s="674">
        <f>IS!AA14-IS!U14</f>
        <v>64</v>
      </c>
      <c r="AB113" s="675">
        <f>IS!AB14-IS!V14</f>
        <v>70</v>
      </c>
      <c r="AC113" s="675">
        <f>IS!AC14-IS!W14</f>
        <v>30</v>
      </c>
      <c r="AD113" s="675">
        <f>IS!AD14-IS!X14</f>
        <v>8</v>
      </c>
      <c r="AE113" s="676">
        <f>IS!AE14-IS!Y14</f>
        <v>172</v>
      </c>
      <c r="AF113" s="664"/>
      <c r="AG113" s="674">
        <f>IS!AG14-IS!AA14</f>
        <v>13.551999999999964</v>
      </c>
      <c r="AH113" s="675">
        <f>IS!AH14-IS!AB14</f>
        <v>4.5540000000000305</v>
      </c>
      <c r="AI113" s="675">
        <f>IS!AI14-IS!AC14</f>
        <v>5.9800000000000182</v>
      </c>
      <c r="AJ113" s="675">
        <f>IS!AJ14-IS!AD14</f>
        <v>22.300399999999968</v>
      </c>
      <c r="AK113" s="676">
        <f>IS!AK14-IS!AE14</f>
        <v>46.386399999999981</v>
      </c>
      <c r="AL113" s="664"/>
      <c r="AM113" s="674">
        <f>IS!AM14-IS!AG14</f>
        <v>30.404000000000053</v>
      </c>
      <c r="AN113" s="675">
        <f>IS!AN14-IS!AH14</f>
        <v>18.74049999999994</v>
      </c>
      <c r="AO113" s="675">
        <f>IS!AO14-IS!AI14</f>
        <v>14.308999999999969</v>
      </c>
      <c r="AP113" s="675">
        <f>IS!AP14-IS!AJ14</f>
        <v>-0.1753999999999678</v>
      </c>
      <c r="AQ113" s="676">
        <f>IS!AQ14-IS!AK14</f>
        <v>63.278099999999995</v>
      </c>
      <c r="AR113" s="664"/>
      <c r="AS113" s="674">
        <f>IS!AS14-IS!AM14</f>
        <v>7.632000000000005</v>
      </c>
      <c r="AT113" s="675">
        <f>IS!AT14-IS!AN14</f>
        <v>14.764499999999998</v>
      </c>
      <c r="AU113" s="675">
        <f>IS!AU14-IS!AO14</f>
        <v>18.075000000000045</v>
      </c>
      <c r="AV113" s="675">
        <f>IS!AV14-IS!AP14</f>
        <v>15.509999999999877</v>
      </c>
      <c r="AW113" s="676">
        <f>IS!AW14-IS!AQ14</f>
        <v>55.981499999999755</v>
      </c>
      <c r="AX113" s="664"/>
      <c r="AY113" s="674">
        <f>IS!AY14-IS!AS14</f>
        <v>19.419999999999959</v>
      </c>
      <c r="AZ113" s="675">
        <f>IS!AZ14-IS!AT14</f>
        <v>-1.41599999999994</v>
      </c>
      <c r="BA113" s="675">
        <f>IS!BA14-IS!AU14</f>
        <v>5.2829999999999586</v>
      </c>
      <c r="BB113" s="675">
        <f>IS!BB14-IS!AV14</f>
        <v>3.147000000000105</v>
      </c>
      <c r="BC113" s="676">
        <f>IS!BC14-IS!AW14</f>
        <v>26.434000000000196</v>
      </c>
      <c r="BD113" s="664"/>
      <c r="BE113" s="674">
        <f>IS!BE14-IS!AY14</f>
        <v>-7.1639999999999873</v>
      </c>
      <c r="BF113" s="675">
        <f>IS!BF14-IS!AZ14</f>
        <v>12.65199999999993</v>
      </c>
      <c r="BG113" s="675">
        <f>IS!BG14-IS!BA14</f>
        <v>9.6009999999999991</v>
      </c>
      <c r="BH113" s="675">
        <f>IS!BH14-IS!BB14</f>
        <v>19.653000000000077</v>
      </c>
      <c r="BI113" s="676">
        <f>IS!BI14-IS!BC14</f>
        <v>34.742000000000189</v>
      </c>
      <c r="BJ113" s="664"/>
      <c r="BK113" s="674">
        <f>IS!BK14-IS!BE14</f>
        <v>4.2049999999999272</v>
      </c>
      <c r="BL113" s="675">
        <f>IS!BL14-IS!BF14</f>
        <v>11.788400000000024</v>
      </c>
      <c r="BM113" s="675">
        <f>IS!BM14-IS!BG14</f>
        <v>16.382900000000006</v>
      </c>
      <c r="BN113" s="675">
        <f>IS!BN14-IS!BH14</f>
        <v>20.972999999999956</v>
      </c>
      <c r="BO113" s="676">
        <f>IS!BO14-IS!BI14</f>
        <v>53.349299999999857</v>
      </c>
      <c r="BP113" s="664"/>
      <c r="BQ113" s="674">
        <f>IS!BQ14-IS!BK14</f>
        <v>44.799400000000105</v>
      </c>
      <c r="BR113" s="675">
        <f>IS!BR14-IS!BL14</f>
        <v>33.820159977419223</v>
      </c>
      <c r="BS113" s="675">
        <f>IS!BS14-IS!BM14</f>
        <v>25.268053949668683</v>
      </c>
      <c r="BT113" s="675">
        <f>IS!BT14-IS!BN14</f>
        <v>24.157811231799428</v>
      </c>
      <c r="BU113" s="676">
        <f>IS!BU14-IS!BO14</f>
        <v>128.04542515888738</v>
      </c>
      <c r="BV113" s="664"/>
      <c r="BW113" s="674">
        <f>IS!BW14-IS!BQ14</f>
        <v>19.111752860583806</v>
      </c>
      <c r="BX113" s="675">
        <f>IS!BX14-IS!BR14</f>
        <v>18.884712418636866</v>
      </c>
      <c r="BY113" s="675">
        <f>IS!BY14-IS!BS14</f>
        <v>22.671065318291312</v>
      </c>
      <c r="BZ113" s="675">
        <f>IS!BZ14-IS!BT14</f>
        <v>22.601434333479517</v>
      </c>
      <c r="CA113" s="676">
        <f>IS!CA14-IS!BU14</f>
        <v>83.268964930991388</v>
      </c>
      <c r="CB113" s="675"/>
      <c r="CC113" s="674">
        <f>IS!CC14-IS!BW14</f>
        <v>16.642098321111575</v>
      </c>
      <c r="CD113" s="675">
        <f>IS!CD14-IS!BX14</f>
        <v>15.630756887902578</v>
      </c>
      <c r="CE113" s="675">
        <f>IS!CE14-IS!BY14</f>
        <v>18.517796260718683</v>
      </c>
      <c r="CF113" s="675">
        <f>IS!CF14-IS!BZ14</f>
        <v>17.766292024413872</v>
      </c>
      <c r="CG113" s="676">
        <f>IS!CG14-IS!CA14</f>
        <v>68.556943494146708</v>
      </c>
      <c r="CH113" s="675"/>
      <c r="CI113" s="674">
        <f>IS!CI14-IS!CC14</f>
        <v>17.602854359630101</v>
      </c>
      <c r="CJ113" s="675">
        <f>IS!CJ14-IS!CD14</f>
        <v>16.565349904162247</v>
      </c>
      <c r="CK113" s="675">
        <f>IS!CK14-IS!CE14</f>
        <v>20.4968636212094</v>
      </c>
      <c r="CL113" s="675">
        <f>IS!CL14-IS!CF14</f>
        <v>19.346878408129044</v>
      </c>
      <c r="CM113" s="676">
        <f>IS!CM14-IS!CG14</f>
        <v>74.011946293130904</v>
      </c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6"/>
      <c r="DD113" s="6"/>
      <c r="DE113" s="6"/>
      <c r="DF113" s="6"/>
      <c r="DG113" s="6"/>
      <c r="DH113" s="6"/>
      <c r="DI113" s="6"/>
      <c r="DJ113" s="6"/>
    </row>
    <row r="114" spans="1:114" hidden="1" outlineLevel="1">
      <c r="A114" s="673" t="s">
        <v>244</v>
      </c>
      <c r="B114" s="4"/>
      <c r="C114" s="674"/>
      <c r="D114" s="675"/>
      <c r="E114" s="675"/>
      <c r="F114" s="675"/>
      <c r="G114" s="676"/>
      <c r="H114" s="4"/>
      <c r="I114" s="674">
        <f>IS!I13-IS!C13</f>
        <v>8.5607860566448721</v>
      </c>
      <c r="J114" s="675">
        <f>IS!J13-IS!D13</f>
        <v>10.892493670886076</v>
      </c>
      <c r="K114" s="675">
        <f>IS!K13-IS!E13</f>
        <v>7.6475495231107757</v>
      </c>
      <c r="L114" s="675">
        <f>IS!L13-IS!F13</f>
        <v>7.5040804597701296</v>
      </c>
      <c r="M114" s="676">
        <f>IS!M13-IS!G13</f>
        <v>34.604909710411818</v>
      </c>
      <c r="N114" s="4"/>
      <c r="O114" s="674">
        <f>IS!O13-IS!I13</f>
        <v>-7.7428666666666359</v>
      </c>
      <c r="P114" s="675">
        <f>IS!P13-IS!J13</f>
        <v>-11.03373839662445</v>
      </c>
      <c r="Q114" s="675">
        <f>IS!Q13-IS!K13</f>
        <v>-10.176294224923986</v>
      </c>
      <c r="R114" s="675">
        <f>IS!R13-IS!L13</f>
        <v>-11.998275862069036</v>
      </c>
      <c r="S114" s="676">
        <f>IS!S13-IS!M13</f>
        <v>-40.951175150284087</v>
      </c>
      <c r="T114" s="664"/>
      <c r="U114" s="674">
        <f>IS!U13-IS!O13</f>
        <v>0</v>
      </c>
      <c r="V114" s="675">
        <f>IS!V13-IS!P13</f>
        <v>1</v>
      </c>
      <c r="W114" s="675">
        <f>IS!W13-IS!Q13</f>
        <v>14</v>
      </c>
      <c r="X114" s="675">
        <f>IS!X13-IS!R13</f>
        <v>14</v>
      </c>
      <c r="Y114" s="676">
        <f>IS!Y13-IS!S13</f>
        <v>29</v>
      </c>
      <c r="Z114" s="664"/>
      <c r="AA114" s="674">
        <f>IS!AA13-IS!U13</f>
        <v>19</v>
      </c>
      <c r="AB114" s="675">
        <f>IS!AB13-IS!V13</f>
        <v>21</v>
      </c>
      <c r="AC114" s="675">
        <f>IS!AC13-IS!W13</f>
        <v>10</v>
      </c>
      <c r="AD114" s="675">
        <f>IS!AD13-IS!X13</f>
        <v>6</v>
      </c>
      <c r="AE114" s="676">
        <f>IS!AE13-IS!Y13</f>
        <v>56</v>
      </c>
      <c r="AF114" s="664"/>
      <c r="AG114" s="674">
        <f>IS!AG13-IS!AA13</f>
        <v>0</v>
      </c>
      <c r="AH114" s="675">
        <f>IS!AH13-IS!AB13</f>
        <v>2</v>
      </c>
      <c r="AI114" s="675">
        <f>IS!AI13-IS!AC13</f>
        <v>4.7980000000000018</v>
      </c>
      <c r="AJ114" s="675">
        <f>IS!AJ13-IS!AD13</f>
        <v>12.497600000000006</v>
      </c>
      <c r="AK114" s="676">
        <f>IS!AK13-IS!AE13</f>
        <v>19.295600000000036</v>
      </c>
      <c r="AL114" s="664"/>
      <c r="AM114" s="674">
        <f>IS!AM13-IS!AG13</f>
        <v>21.149999999999991</v>
      </c>
      <c r="AN114" s="675">
        <f>IS!AN13-IS!AH13</f>
        <v>12.561499999999995</v>
      </c>
      <c r="AO114" s="675">
        <f>IS!AO13-IS!AI13</f>
        <v>11.659999999999997</v>
      </c>
      <c r="AP114" s="675">
        <f>IS!AP13-IS!AJ13</f>
        <v>7.8683999999999941</v>
      </c>
      <c r="AQ114" s="676">
        <f>IS!AQ13-IS!AK13</f>
        <v>53.239899999999977</v>
      </c>
      <c r="AR114" s="664"/>
      <c r="AS114" s="674">
        <f>IS!AS13-IS!AM13</f>
        <v>-0.46999999999998465</v>
      </c>
      <c r="AT114" s="675">
        <f>IS!AT13-IS!AN13</f>
        <v>2.4385000000000048</v>
      </c>
      <c r="AU114" s="675">
        <f>IS!AU13-IS!AO13</f>
        <v>3.4799999999999898</v>
      </c>
      <c r="AV114" s="675">
        <f>IS!AV13-IS!AP13</f>
        <v>0.66799999999999216</v>
      </c>
      <c r="AW114" s="676">
        <f>IS!AW13-IS!AQ13</f>
        <v>6.1164999999999736</v>
      </c>
      <c r="AX114" s="664"/>
      <c r="AY114" s="674">
        <f>IS!AY13-IS!AS13</f>
        <v>-3.6000000000000085</v>
      </c>
      <c r="AZ114" s="675">
        <f>IS!AZ13-IS!AT13</f>
        <v>-5.561000000000007</v>
      </c>
      <c r="BA114" s="675">
        <f>IS!BA13-IS!AU13</f>
        <v>-9.867999999999995</v>
      </c>
      <c r="BB114" s="675">
        <f>IS!BB13-IS!AV13</f>
        <v>-10.092999999999989</v>
      </c>
      <c r="BC114" s="676">
        <f>IS!BC13-IS!AW13</f>
        <v>-29.122000000000014</v>
      </c>
      <c r="BD114" s="664"/>
      <c r="BE114" s="674">
        <f>IS!BE13-IS!AY13</f>
        <v>-2.0580000000000069</v>
      </c>
      <c r="BF114" s="675">
        <f>IS!BF13-IS!AZ13</f>
        <v>0.57699999999999818</v>
      </c>
      <c r="BG114" s="675">
        <f>IS!BG13-IS!BA13</f>
        <v>2.9300000000000068</v>
      </c>
      <c r="BH114" s="675">
        <f>IS!BH13-IS!BB13</f>
        <v>6.7426999999999992</v>
      </c>
      <c r="BI114" s="676">
        <f>IS!BI13-IS!BC13</f>
        <v>8.1917000000000257</v>
      </c>
      <c r="BJ114" s="664"/>
      <c r="BK114" s="674">
        <f>IS!BK13-IS!BE13</f>
        <v>1.4650000000000034</v>
      </c>
      <c r="BL114" s="675">
        <f>IS!BL13-IS!BF13</f>
        <v>2.6535999999999973</v>
      </c>
      <c r="BM114" s="675">
        <f>IS!BM13-IS!BG13</f>
        <v>5.5930000000000035</v>
      </c>
      <c r="BN114" s="675">
        <f>IS!BN13-IS!BH13</f>
        <v>4.3412999999999897</v>
      </c>
      <c r="BO114" s="676">
        <f>IS!BO13-IS!BI13</f>
        <v>14.052899999999966</v>
      </c>
      <c r="BP114" s="664"/>
      <c r="BQ114" s="674">
        <f>IS!BQ13-IS!BK13</f>
        <v>10.944000000000003</v>
      </c>
      <c r="BR114" s="675">
        <f>IS!BR13-IS!BL13</f>
        <v>3.9639882892997207</v>
      </c>
      <c r="BS114" s="675">
        <f>IS!BS13-IS!BM13</f>
        <v>2.4281261228626931</v>
      </c>
      <c r="BT114" s="675">
        <f>IS!BT13-IS!BN13</f>
        <v>1.7045652537657787</v>
      </c>
      <c r="BU114" s="676">
        <f>IS!BU13-IS!BO13</f>
        <v>19.040679665928224</v>
      </c>
      <c r="BV114" s="664"/>
      <c r="BW114" s="674">
        <f>IS!BW13-IS!BQ13</f>
        <v>5.5705381223727386</v>
      </c>
      <c r="BX114" s="675">
        <f>IS!BX13-IS!BR13</f>
        <v>5.1818202291704694</v>
      </c>
      <c r="BY114" s="675">
        <f>IS!BY13-IS!BS13</f>
        <v>6.4773702069798702</v>
      </c>
      <c r="BZ114" s="675">
        <f>IS!BZ13-IS!BT13</f>
        <v>6.34225033043883</v>
      </c>
      <c r="CA114" s="676">
        <f>IS!CA13-IS!BU13</f>
        <v>23.571978888961894</v>
      </c>
      <c r="CB114" s="675"/>
      <c r="CC114" s="674">
        <f>IS!CC13-IS!BW13</f>
        <v>5.41372112899505</v>
      </c>
      <c r="CD114" s="675">
        <f>IS!CD13-IS!BX13</f>
        <v>5.4225235733256909</v>
      </c>
      <c r="CE114" s="675">
        <f>IS!CE13-IS!BY13</f>
        <v>6.3394821966232229</v>
      </c>
      <c r="CF114" s="675">
        <f>IS!CF13-IS!BZ13</f>
        <v>6.0873062445111685</v>
      </c>
      <c r="CG114" s="676">
        <f>IS!CG13-IS!CA13</f>
        <v>23.263033143455118</v>
      </c>
      <c r="CH114" s="675"/>
      <c r="CI114" s="674">
        <f>IS!CI13-IS!CC13</f>
        <v>5.4908585112405177</v>
      </c>
      <c r="CJ114" s="675">
        <f>IS!CJ13-IS!CD13</f>
        <v>5.5002210767567448</v>
      </c>
      <c r="CK114" s="675">
        <f>IS!CK13-IS!CE13</f>
        <v>6.6486668958696384</v>
      </c>
      <c r="CL114" s="675">
        <f>IS!CL13-IS!CF13</f>
        <v>6.2714697310372003</v>
      </c>
      <c r="CM114" s="676">
        <f>IS!CM13-IS!CG13</f>
        <v>23.91121621490413</v>
      </c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6"/>
      <c r="DD114" s="6"/>
      <c r="DE114" s="6"/>
      <c r="DF114" s="6"/>
      <c r="DG114" s="6"/>
      <c r="DH114" s="6"/>
      <c r="DI114" s="6"/>
      <c r="DJ114" s="6"/>
    </row>
    <row r="115" spans="1:114" hidden="1" outlineLevel="1">
      <c r="A115" s="677" t="s">
        <v>245</v>
      </c>
      <c r="B115" s="4"/>
      <c r="C115" s="665"/>
      <c r="D115" s="664"/>
      <c r="E115" s="664"/>
      <c r="F115" s="664"/>
      <c r="G115" s="667"/>
      <c r="H115" s="4"/>
      <c r="I115" s="665">
        <v>11.287384253541909</v>
      </c>
      <c r="J115" s="664">
        <v>2.5041441681288603</v>
      </c>
      <c r="K115" s="664">
        <v>12.059376558102159</v>
      </c>
      <c r="L115" s="664">
        <v>12.081718330808435</v>
      </c>
      <c r="M115" s="667">
        <v>43.184918830946202</v>
      </c>
      <c r="N115" s="4"/>
      <c r="O115" s="665">
        <v>3.5230724507695559</v>
      </c>
      <c r="P115" s="664">
        <v>-32.217211352437829</v>
      </c>
      <c r="Q115" s="664">
        <v>-38.248386981259571</v>
      </c>
      <c r="R115" s="664">
        <v>-16.988369869326011</v>
      </c>
      <c r="S115" s="667">
        <v>-84.027163902802187</v>
      </c>
      <c r="T115" s="4"/>
      <c r="U115" s="665">
        <v>5.2712865120328267</v>
      </c>
      <c r="V115" s="664">
        <v>21.697638855300063</v>
      </c>
      <c r="W115" s="664">
        <v>-8.0241559277077243</v>
      </c>
      <c r="X115" s="664">
        <v>-36.740916120353191</v>
      </c>
      <c r="Y115" s="667">
        <v>-29.596469186505828</v>
      </c>
      <c r="Z115" s="4"/>
      <c r="AA115" s="665">
        <v>-39.489259016712317</v>
      </c>
      <c r="AB115" s="664">
        <v>-91.233612914682183</v>
      </c>
      <c r="AC115" s="664">
        <v>-35.65032588826832</v>
      </c>
      <c r="AD115" s="664">
        <v>1.5519067260898289</v>
      </c>
      <c r="AE115" s="667">
        <v>-163.92811671048165</v>
      </c>
      <c r="AF115" s="4"/>
      <c r="AG115" s="665">
        <v>47.605456541419734</v>
      </c>
      <c r="AH115" s="664">
        <v>12.984935271439703</v>
      </c>
      <c r="AI115" s="664">
        <v>16.121584603692192</v>
      </c>
      <c r="AJ115" s="664">
        <v>4.9714571987872169</v>
      </c>
      <c r="AK115" s="667">
        <v>94.565593109529061</v>
      </c>
      <c r="AL115" s="4"/>
      <c r="AM115" s="665">
        <v>-23.150140938285514</v>
      </c>
      <c r="AN115" s="664">
        <v>0.78648970634115045</v>
      </c>
      <c r="AO115" s="664">
        <v>6.8148062468658246</v>
      </c>
      <c r="AP115" s="664">
        <v>33.664390428625602</v>
      </c>
      <c r="AQ115" s="667">
        <v>39.473090906808324</v>
      </c>
      <c r="AR115" s="4"/>
      <c r="AS115" s="665">
        <v>47.6302330497073</v>
      </c>
      <c r="AT115" s="664">
        <v>11.849109828624842</v>
      </c>
      <c r="AU115" s="664">
        <v>27.395516382747406</v>
      </c>
      <c r="AV115" s="664">
        <v>21.154342478020926</v>
      </c>
      <c r="AW115" s="667">
        <v>109.06799999999987</v>
      </c>
      <c r="AX115" s="4"/>
      <c r="AY115" s="665">
        <v>51.853131142254441</v>
      </c>
      <c r="AZ115" s="664">
        <v>80.976218051937082</v>
      </c>
      <c r="BA115" s="664">
        <v>70.519648749035966</v>
      </c>
      <c r="BB115" s="664">
        <v>74.805911166701037</v>
      </c>
      <c r="BC115" s="667">
        <v>281.60704926363775</v>
      </c>
      <c r="BD115" s="4"/>
      <c r="BE115" s="665">
        <v>81.312609055535859</v>
      </c>
      <c r="BF115" s="664">
        <v>22.155611558917382</v>
      </c>
      <c r="BG115" s="664">
        <v>25.770245813089453</v>
      </c>
      <c r="BH115" s="664">
        <v>40.554895507468473</v>
      </c>
      <c r="BI115" s="667">
        <v>173.49554770670787</v>
      </c>
      <c r="BJ115" s="4"/>
      <c r="BK115" s="665">
        <v>38.192303853068935</v>
      </c>
      <c r="BL115" s="664">
        <v>65.442021127784216</v>
      </c>
      <c r="BM115" s="664">
        <v>54.342360243623361</v>
      </c>
      <c r="BN115" s="664">
        <v>58.529999999999916</v>
      </c>
      <c r="BO115" s="667">
        <v>217.24876392579313</v>
      </c>
      <c r="BP115" s="4"/>
      <c r="BQ115" s="665">
        <v>28.316999999999894</v>
      </c>
      <c r="BR115" s="664">
        <v>40.985039516915577</v>
      </c>
      <c r="BS115" s="664">
        <v>36.721354950177627</v>
      </c>
      <c r="BT115" s="664">
        <v>40.688915106485865</v>
      </c>
      <c r="BU115" s="667">
        <v>147.75880520416007</v>
      </c>
      <c r="BV115" s="4"/>
      <c r="BW115" s="665">
        <v>52.349235937027913</v>
      </c>
      <c r="BX115" s="664">
        <v>54.132291430923289</v>
      </c>
      <c r="BY115" s="664">
        <v>61.733064721897961</v>
      </c>
      <c r="BZ115" s="664">
        <v>64.787593107280514</v>
      </c>
      <c r="CA115" s="667">
        <v>233.89042970052634</v>
      </c>
      <c r="CB115" s="664"/>
      <c r="CC115" s="665">
        <v>47.419808546715657</v>
      </c>
      <c r="CD115" s="664">
        <v>51.966368092001133</v>
      </c>
      <c r="CE115" s="664">
        <v>56.598586266400304</v>
      </c>
      <c r="CF115" s="664">
        <v>58.207734793199251</v>
      </c>
      <c r="CG115" s="667">
        <v>214.406541451571</v>
      </c>
      <c r="CH115" s="664"/>
      <c r="CI115" s="665">
        <v>50.554981750855546</v>
      </c>
      <c r="CJ115" s="664">
        <v>55.919263806513513</v>
      </c>
      <c r="CK115" s="664">
        <v>62.26068226306802</v>
      </c>
      <c r="CL115" s="664">
        <v>63.459472792281119</v>
      </c>
      <c r="CM115" s="667">
        <v>232.45981273576797</v>
      </c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6"/>
      <c r="DD115" s="6"/>
      <c r="DE115" s="6"/>
      <c r="DF115" s="6"/>
      <c r="DG115" s="6"/>
      <c r="DH115" s="6"/>
      <c r="DI115" s="6"/>
      <c r="DJ115" s="6"/>
    </row>
    <row r="116" spans="1:114" hidden="1" outlineLevel="1">
      <c r="A116" s="1508" t="s">
        <v>246</v>
      </c>
      <c r="B116" s="232"/>
      <c r="C116" s="1510"/>
      <c r="D116" s="1509"/>
      <c r="E116" s="1509"/>
      <c r="F116" s="1509"/>
      <c r="G116" s="1511"/>
      <c r="H116" s="232"/>
      <c r="I116" s="1510"/>
      <c r="J116" s="1509"/>
      <c r="K116" s="1509"/>
      <c r="L116" s="1509"/>
      <c r="M116" s="1511"/>
      <c r="N116" s="232"/>
      <c r="O116" s="1510"/>
      <c r="P116" s="1509"/>
      <c r="Q116" s="1509"/>
      <c r="R116" s="1509"/>
      <c r="S116" s="1511"/>
      <c r="T116" s="232"/>
      <c r="U116" s="1510"/>
      <c r="V116" s="1509"/>
      <c r="W116" s="1509"/>
      <c r="X116" s="1509"/>
      <c r="Y116" s="1511"/>
      <c r="Z116" s="232"/>
      <c r="AA116" s="1510"/>
      <c r="AB116" s="1509"/>
      <c r="AC116" s="1509"/>
      <c r="AD116" s="1509"/>
      <c r="AE116" s="1511"/>
      <c r="AF116" s="232"/>
      <c r="AG116" s="1512"/>
      <c r="AH116" s="1513"/>
      <c r="AI116" s="1513"/>
      <c r="AJ116" s="1513"/>
      <c r="AK116" s="1514"/>
      <c r="AL116" s="232"/>
      <c r="AM116" s="1512"/>
      <c r="AN116" s="1513"/>
      <c r="AO116" s="1513"/>
      <c r="AP116" s="1513"/>
      <c r="AQ116" s="1514"/>
      <c r="AR116" s="232"/>
      <c r="AS116" s="1512"/>
      <c r="AT116" s="1513"/>
      <c r="AU116" s="1513"/>
      <c r="AV116" s="1513"/>
      <c r="AW116" s="1514"/>
      <c r="AX116" s="232"/>
      <c r="AY116" s="1512"/>
      <c r="AZ116" s="1513"/>
      <c r="BA116" s="1513"/>
      <c r="BB116" s="1513"/>
      <c r="BC116" s="1514"/>
      <c r="BD116" s="232"/>
      <c r="BE116" s="1512"/>
      <c r="BF116" s="1513"/>
      <c r="BG116" s="1513"/>
      <c r="BH116" s="1513"/>
      <c r="BI116" s="1514"/>
      <c r="BJ116" s="232"/>
      <c r="BK116" s="1512"/>
      <c r="BL116" s="1513"/>
      <c r="BM116" s="1513"/>
      <c r="BN116" s="1513"/>
      <c r="BO116" s="1514"/>
      <c r="BP116" s="232"/>
      <c r="BQ116" s="1512"/>
      <c r="BR116" s="1513"/>
      <c r="BS116" s="1513"/>
      <c r="BT116" s="1513"/>
      <c r="BU116" s="1514"/>
      <c r="BV116" s="232"/>
      <c r="BW116" s="1512"/>
      <c r="BX116" s="1513"/>
      <c r="BY116" s="1513"/>
      <c r="BZ116" s="1513"/>
      <c r="CA116" s="1514"/>
      <c r="CB116" s="1513"/>
      <c r="CC116" s="1512"/>
      <c r="CD116" s="1513"/>
      <c r="CE116" s="1513"/>
      <c r="CF116" s="1513"/>
      <c r="CG116" s="1514"/>
      <c r="CH116" s="1513"/>
      <c r="CI116" s="1512"/>
      <c r="CJ116" s="1513"/>
      <c r="CK116" s="1513"/>
      <c r="CL116" s="1513"/>
      <c r="CM116" s="1514"/>
      <c r="CN116" s="1517"/>
      <c r="CO116" s="1517"/>
      <c r="CP116" s="1517"/>
      <c r="CQ116" s="1517"/>
      <c r="CR116" s="1517"/>
      <c r="CS116" s="1517"/>
      <c r="CT116" s="1517"/>
      <c r="CU116" s="1517"/>
      <c r="CV116" s="1517"/>
      <c r="CW116" s="1517"/>
      <c r="CX116" s="1517"/>
      <c r="CY116" s="1517"/>
      <c r="CZ116" s="1517"/>
      <c r="DA116" s="1517"/>
      <c r="DB116" s="1517"/>
      <c r="DC116" s="6"/>
      <c r="DD116" s="6"/>
      <c r="DE116" s="6"/>
      <c r="DF116" s="6"/>
      <c r="DG116" s="6"/>
      <c r="DH116" s="6"/>
      <c r="DI116" s="6"/>
      <c r="DJ116" s="6"/>
    </row>
    <row r="117" spans="1:114" hidden="1" outlineLevel="1">
      <c r="A117" s="673" t="s">
        <v>243</v>
      </c>
      <c r="B117" s="4"/>
      <c r="C117" s="678"/>
      <c r="D117" s="679"/>
      <c r="E117" s="679"/>
      <c r="F117" s="679"/>
      <c r="G117" s="531"/>
      <c r="H117" s="4"/>
      <c r="I117" s="674">
        <f t="shared" ref="I117:M119" si="251">I113+C113</f>
        <v>19.520213943355188</v>
      </c>
      <c r="J117" s="675">
        <f t="shared" si="251"/>
        <v>13.42150632911391</v>
      </c>
      <c r="K117" s="675">
        <f t="shared" si="251"/>
        <v>6.856450476889222</v>
      </c>
      <c r="L117" s="675">
        <f t="shared" si="251"/>
        <v>0.77591954022989285</v>
      </c>
      <c r="M117" s="676">
        <f t="shared" si="251"/>
        <v>40.574090289588185</v>
      </c>
      <c r="N117" s="664"/>
      <c r="O117" s="674">
        <f t="shared" ref="O117:S119" si="252">O113+I113</f>
        <v>20.417080610021785</v>
      </c>
      <c r="P117" s="675">
        <f t="shared" si="252"/>
        <v>11.657244725738352</v>
      </c>
      <c r="Q117" s="675">
        <f t="shared" si="252"/>
        <v>1.3487447018131888</v>
      </c>
      <c r="R117" s="675">
        <f t="shared" si="252"/>
        <v>7.5281954022989339</v>
      </c>
      <c r="S117" s="676">
        <f t="shared" si="252"/>
        <v>40.951265439872259</v>
      </c>
      <c r="T117" s="664"/>
      <c r="U117" s="674">
        <f t="shared" ref="U117:Y119" si="253">U113+O113</f>
        <v>11.896866666666597</v>
      </c>
      <c r="V117" s="675">
        <f t="shared" si="253"/>
        <v>25.235738396624441</v>
      </c>
      <c r="W117" s="675">
        <f t="shared" si="253"/>
        <v>55.492294224923967</v>
      </c>
      <c r="X117" s="675">
        <f t="shared" si="253"/>
        <v>79.752275862069041</v>
      </c>
      <c r="Y117" s="676">
        <f t="shared" si="253"/>
        <v>172.37717515028407</v>
      </c>
      <c r="Z117" s="664"/>
      <c r="AA117" s="674">
        <f t="shared" ref="AA117:AE119" si="254">AA113+U113</f>
        <v>75</v>
      </c>
      <c r="AB117" s="675">
        <f t="shared" si="254"/>
        <v>97</v>
      </c>
      <c r="AC117" s="675">
        <f t="shared" si="254"/>
        <v>91</v>
      </c>
      <c r="AD117" s="675">
        <f t="shared" si="254"/>
        <v>81</v>
      </c>
      <c r="AE117" s="676">
        <f t="shared" si="254"/>
        <v>344</v>
      </c>
      <c r="AF117" s="664"/>
      <c r="AG117" s="674">
        <f t="shared" ref="AG117:AK119" si="255">AG113+AA113</f>
        <v>77.551999999999964</v>
      </c>
      <c r="AH117" s="675">
        <f t="shared" si="255"/>
        <v>74.55400000000003</v>
      </c>
      <c r="AI117" s="675">
        <f t="shared" si="255"/>
        <v>35.980000000000018</v>
      </c>
      <c r="AJ117" s="675">
        <f t="shared" si="255"/>
        <v>30.300399999999968</v>
      </c>
      <c r="AK117" s="676">
        <f t="shared" si="255"/>
        <v>218.38639999999998</v>
      </c>
      <c r="AL117" s="664"/>
      <c r="AM117" s="674">
        <f t="shared" ref="AM117:AQ119" si="256">AM113+AG113</f>
        <v>43.956000000000017</v>
      </c>
      <c r="AN117" s="675">
        <f t="shared" si="256"/>
        <v>23.294499999999971</v>
      </c>
      <c r="AO117" s="675">
        <f t="shared" si="256"/>
        <v>20.288999999999987</v>
      </c>
      <c r="AP117" s="675">
        <f t="shared" si="256"/>
        <v>22.125</v>
      </c>
      <c r="AQ117" s="676">
        <f t="shared" si="256"/>
        <v>109.66449999999998</v>
      </c>
      <c r="AR117" s="664"/>
      <c r="AS117" s="674">
        <f t="shared" ref="AS117:AW119" si="257">AS113+AM113</f>
        <v>38.036000000000058</v>
      </c>
      <c r="AT117" s="675">
        <f t="shared" si="257"/>
        <v>33.504999999999939</v>
      </c>
      <c r="AU117" s="675">
        <f t="shared" si="257"/>
        <v>32.384000000000015</v>
      </c>
      <c r="AV117" s="675">
        <f t="shared" si="257"/>
        <v>15.334599999999909</v>
      </c>
      <c r="AW117" s="676">
        <f t="shared" si="257"/>
        <v>119.25959999999975</v>
      </c>
      <c r="AX117" s="664"/>
      <c r="AY117" s="674">
        <f t="shared" ref="AY117:BC119" si="258">AY113+AS113</f>
        <v>27.051999999999964</v>
      </c>
      <c r="AZ117" s="675">
        <f t="shared" si="258"/>
        <v>13.348500000000058</v>
      </c>
      <c r="BA117" s="675">
        <f t="shared" si="258"/>
        <v>23.358000000000004</v>
      </c>
      <c r="BB117" s="675">
        <f t="shared" si="258"/>
        <v>18.656999999999982</v>
      </c>
      <c r="BC117" s="676">
        <f t="shared" si="258"/>
        <v>82.415499999999952</v>
      </c>
      <c r="BD117" s="664"/>
      <c r="BE117" s="674">
        <f t="shared" ref="BE117:BI119" si="259">BE113+AY113</f>
        <v>12.255999999999972</v>
      </c>
      <c r="BF117" s="675">
        <f t="shared" si="259"/>
        <v>11.23599999999999</v>
      </c>
      <c r="BG117" s="675">
        <f t="shared" si="259"/>
        <v>14.883999999999958</v>
      </c>
      <c r="BH117" s="675">
        <f t="shared" si="259"/>
        <v>22.800000000000182</v>
      </c>
      <c r="BI117" s="676">
        <f t="shared" si="259"/>
        <v>61.176000000000386</v>
      </c>
      <c r="BJ117" s="664"/>
      <c r="BK117" s="674">
        <f t="shared" ref="BK117:BO119" si="260">BK113+BE113</f>
        <v>-2.95900000000006</v>
      </c>
      <c r="BL117" s="675">
        <f t="shared" si="260"/>
        <v>24.440399999999954</v>
      </c>
      <c r="BM117" s="675">
        <f t="shared" si="260"/>
        <v>25.983900000000006</v>
      </c>
      <c r="BN117" s="675">
        <f t="shared" si="260"/>
        <v>40.626000000000033</v>
      </c>
      <c r="BO117" s="676">
        <f t="shared" si="260"/>
        <v>88.091300000000047</v>
      </c>
      <c r="BP117" s="664"/>
      <c r="BQ117" s="674">
        <f t="shared" ref="BQ117:BU119" si="261">BQ113+BK113</f>
        <v>49.004400000000032</v>
      </c>
      <c r="BR117" s="675">
        <f t="shared" si="261"/>
        <v>45.608559977419247</v>
      </c>
      <c r="BS117" s="675">
        <f t="shared" si="261"/>
        <v>41.65095394966869</v>
      </c>
      <c r="BT117" s="675">
        <f t="shared" si="261"/>
        <v>45.130811231799385</v>
      </c>
      <c r="BU117" s="676">
        <f t="shared" si="261"/>
        <v>181.39472515888724</v>
      </c>
      <c r="BV117" s="664"/>
      <c r="BW117" s="674">
        <f t="shared" ref="BW117:CA119" si="262">BW113+BQ113</f>
        <v>63.911152860583911</v>
      </c>
      <c r="BX117" s="675">
        <f t="shared" si="262"/>
        <v>52.704872396056089</v>
      </c>
      <c r="BY117" s="675">
        <f t="shared" si="262"/>
        <v>47.939119267959995</v>
      </c>
      <c r="BZ117" s="675">
        <f t="shared" si="262"/>
        <v>46.759245565278945</v>
      </c>
      <c r="CA117" s="676">
        <f t="shared" si="262"/>
        <v>211.31439008987877</v>
      </c>
      <c r="CB117" s="675"/>
      <c r="CC117" s="674">
        <f t="shared" ref="CC117:CG119" si="263">CC113+BW113</f>
        <v>35.753851181695381</v>
      </c>
      <c r="CD117" s="675">
        <f t="shared" si="263"/>
        <v>34.515469306539444</v>
      </c>
      <c r="CE117" s="675">
        <f t="shared" si="263"/>
        <v>41.188861579009995</v>
      </c>
      <c r="CF117" s="675">
        <f t="shared" si="263"/>
        <v>40.367726357893389</v>
      </c>
      <c r="CG117" s="676">
        <f t="shared" si="263"/>
        <v>151.8259084251381</v>
      </c>
      <c r="CH117" s="675"/>
      <c r="CI117" s="674">
        <f t="shared" ref="CI117:CI119" si="264">CI113+CC113</f>
        <v>34.244952680741676</v>
      </c>
      <c r="CJ117" s="675">
        <f t="shared" ref="CJ117:CJ119" si="265">CJ113+CD113</f>
        <v>32.196106792064825</v>
      </c>
      <c r="CK117" s="675">
        <f t="shared" ref="CK117:CK119" si="266">CK113+CE113</f>
        <v>39.014659881928083</v>
      </c>
      <c r="CL117" s="675">
        <f t="shared" ref="CL117:CL119" si="267">CL113+CF113</f>
        <v>37.113170432542915</v>
      </c>
      <c r="CM117" s="676">
        <f t="shared" ref="CM117:CM119" si="268">CM113+CG113</f>
        <v>142.56888978727761</v>
      </c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6"/>
      <c r="DD117" s="6"/>
      <c r="DE117" s="6"/>
      <c r="DF117" s="6"/>
      <c r="DG117" s="6"/>
      <c r="DH117" s="6"/>
      <c r="DI117" s="6"/>
      <c r="DJ117" s="6"/>
    </row>
    <row r="118" spans="1:114" hidden="1" outlineLevel="1">
      <c r="A118" s="680" t="s">
        <v>244</v>
      </c>
      <c r="B118" s="664"/>
      <c r="C118" s="674"/>
      <c r="D118" s="675"/>
      <c r="E118" s="675"/>
      <c r="F118" s="675"/>
      <c r="G118" s="676"/>
      <c r="H118" s="664"/>
      <c r="I118" s="674">
        <f t="shared" si="251"/>
        <v>8.5607860566448721</v>
      </c>
      <c r="J118" s="675">
        <f t="shared" si="251"/>
        <v>10.892493670886076</v>
      </c>
      <c r="K118" s="675">
        <f t="shared" si="251"/>
        <v>7.6475495231107757</v>
      </c>
      <c r="L118" s="675">
        <f t="shared" si="251"/>
        <v>7.5040804597701296</v>
      </c>
      <c r="M118" s="676">
        <f t="shared" si="251"/>
        <v>34.604909710411818</v>
      </c>
      <c r="N118" s="664"/>
      <c r="O118" s="674">
        <f t="shared" si="252"/>
        <v>0.81791938997823621</v>
      </c>
      <c r="P118" s="675">
        <f t="shared" si="252"/>
        <v>-0.14124472573837465</v>
      </c>
      <c r="Q118" s="675">
        <f t="shared" si="252"/>
        <v>-2.5287447018132099</v>
      </c>
      <c r="R118" s="675">
        <f t="shared" si="252"/>
        <v>-4.4941954022989066</v>
      </c>
      <c r="S118" s="676">
        <f t="shared" si="252"/>
        <v>-6.3462654398722691</v>
      </c>
      <c r="T118" s="664"/>
      <c r="U118" s="674">
        <f t="shared" si="253"/>
        <v>-7.7428666666666359</v>
      </c>
      <c r="V118" s="675">
        <f t="shared" si="253"/>
        <v>-10.03373839662445</v>
      </c>
      <c r="W118" s="675">
        <f t="shared" si="253"/>
        <v>3.8237057750760144</v>
      </c>
      <c r="X118" s="675">
        <f t="shared" si="253"/>
        <v>2.0017241379309638</v>
      </c>
      <c r="Y118" s="676">
        <f t="shared" si="253"/>
        <v>-11.951175150284087</v>
      </c>
      <c r="Z118" s="664"/>
      <c r="AA118" s="674">
        <f t="shared" si="254"/>
        <v>19</v>
      </c>
      <c r="AB118" s="675">
        <f t="shared" si="254"/>
        <v>22</v>
      </c>
      <c r="AC118" s="675">
        <f t="shared" si="254"/>
        <v>24</v>
      </c>
      <c r="AD118" s="675">
        <f t="shared" si="254"/>
        <v>20</v>
      </c>
      <c r="AE118" s="676">
        <f t="shared" si="254"/>
        <v>85</v>
      </c>
      <c r="AF118" s="664"/>
      <c r="AG118" s="674">
        <f t="shared" si="255"/>
        <v>19</v>
      </c>
      <c r="AH118" s="675">
        <f t="shared" si="255"/>
        <v>23</v>
      </c>
      <c r="AI118" s="675">
        <f t="shared" si="255"/>
        <v>14.798000000000002</v>
      </c>
      <c r="AJ118" s="675">
        <f t="shared" si="255"/>
        <v>18.497600000000006</v>
      </c>
      <c r="AK118" s="676">
        <f t="shared" si="255"/>
        <v>75.295600000000036</v>
      </c>
      <c r="AL118" s="664"/>
      <c r="AM118" s="674">
        <f t="shared" si="256"/>
        <v>21.149999999999991</v>
      </c>
      <c r="AN118" s="675">
        <f t="shared" si="256"/>
        <v>14.561499999999995</v>
      </c>
      <c r="AO118" s="675">
        <f t="shared" si="256"/>
        <v>16.457999999999998</v>
      </c>
      <c r="AP118" s="675">
        <f t="shared" si="256"/>
        <v>20.366</v>
      </c>
      <c r="AQ118" s="676">
        <f t="shared" si="256"/>
        <v>72.535500000000013</v>
      </c>
      <c r="AR118" s="664"/>
      <c r="AS118" s="674">
        <f t="shared" si="257"/>
        <v>20.680000000000007</v>
      </c>
      <c r="AT118" s="675">
        <f t="shared" si="257"/>
        <v>15</v>
      </c>
      <c r="AU118" s="675">
        <f t="shared" si="257"/>
        <v>15.139999999999986</v>
      </c>
      <c r="AV118" s="675">
        <f t="shared" si="257"/>
        <v>8.5363999999999862</v>
      </c>
      <c r="AW118" s="676">
        <f t="shared" si="257"/>
        <v>59.356399999999951</v>
      </c>
      <c r="AX118" s="664"/>
      <c r="AY118" s="674">
        <f t="shared" si="258"/>
        <v>-4.0699999999999932</v>
      </c>
      <c r="AZ118" s="675">
        <f t="shared" si="258"/>
        <v>-3.1225000000000023</v>
      </c>
      <c r="BA118" s="675">
        <f t="shared" si="258"/>
        <v>-6.3880000000000052</v>
      </c>
      <c r="BB118" s="675">
        <f t="shared" si="258"/>
        <v>-9.4249999999999972</v>
      </c>
      <c r="BC118" s="676">
        <f t="shared" si="258"/>
        <v>-23.00550000000004</v>
      </c>
      <c r="BD118" s="664"/>
      <c r="BE118" s="674">
        <f t="shared" si="259"/>
        <v>-5.6580000000000155</v>
      </c>
      <c r="BF118" s="675">
        <f t="shared" si="259"/>
        <v>-4.9840000000000089</v>
      </c>
      <c r="BG118" s="675">
        <f t="shared" si="259"/>
        <v>-6.9379999999999882</v>
      </c>
      <c r="BH118" s="675">
        <f t="shared" si="259"/>
        <v>-3.3502999999999901</v>
      </c>
      <c r="BI118" s="676">
        <f t="shared" si="259"/>
        <v>-20.930299999999988</v>
      </c>
      <c r="BJ118" s="664"/>
      <c r="BK118" s="674">
        <f t="shared" si="260"/>
        <v>-0.59300000000000352</v>
      </c>
      <c r="BL118" s="675">
        <f t="shared" si="260"/>
        <v>3.2305999999999955</v>
      </c>
      <c r="BM118" s="675">
        <f t="shared" si="260"/>
        <v>8.5230000000000103</v>
      </c>
      <c r="BN118" s="675">
        <f t="shared" si="260"/>
        <v>11.083999999999989</v>
      </c>
      <c r="BO118" s="676">
        <f t="shared" si="260"/>
        <v>22.244599999999991</v>
      </c>
      <c r="BP118" s="664"/>
      <c r="BQ118" s="674">
        <f t="shared" si="261"/>
        <v>12.409000000000006</v>
      </c>
      <c r="BR118" s="675">
        <f t="shared" si="261"/>
        <v>6.617588289299718</v>
      </c>
      <c r="BS118" s="675">
        <f t="shared" si="261"/>
        <v>8.0211261228626967</v>
      </c>
      <c r="BT118" s="675">
        <f t="shared" si="261"/>
        <v>6.0458652537657684</v>
      </c>
      <c r="BU118" s="676">
        <f t="shared" si="261"/>
        <v>33.093579665928189</v>
      </c>
      <c r="BV118" s="664"/>
      <c r="BW118" s="674">
        <f t="shared" si="262"/>
        <v>16.514538122372741</v>
      </c>
      <c r="BX118" s="675">
        <f t="shared" si="262"/>
        <v>9.1458085184701901</v>
      </c>
      <c r="BY118" s="675">
        <f t="shared" si="262"/>
        <v>8.9054963298425633</v>
      </c>
      <c r="BZ118" s="675">
        <f t="shared" si="262"/>
        <v>8.0468155842046087</v>
      </c>
      <c r="CA118" s="676">
        <f t="shared" si="262"/>
        <v>42.612658554890118</v>
      </c>
      <c r="CB118" s="675"/>
      <c r="CC118" s="674">
        <f t="shared" si="263"/>
        <v>10.984259251367789</v>
      </c>
      <c r="CD118" s="675">
        <f t="shared" si="263"/>
        <v>10.60434380249616</v>
      </c>
      <c r="CE118" s="675">
        <f t="shared" si="263"/>
        <v>12.816852403603093</v>
      </c>
      <c r="CF118" s="675">
        <f t="shared" si="263"/>
        <v>12.429556574949999</v>
      </c>
      <c r="CG118" s="676">
        <f t="shared" si="263"/>
        <v>46.835012032417012</v>
      </c>
      <c r="CH118" s="675"/>
      <c r="CI118" s="674">
        <f t="shared" si="264"/>
        <v>10.904579640235568</v>
      </c>
      <c r="CJ118" s="675">
        <f t="shared" si="265"/>
        <v>10.922744650082436</v>
      </c>
      <c r="CK118" s="675">
        <f t="shared" si="266"/>
        <v>12.988149092492861</v>
      </c>
      <c r="CL118" s="675">
        <f t="shared" si="267"/>
        <v>12.358775975548369</v>
      </c>
      <c r="CM118" s="676">
        <f t="shared" si="268"/>
        <v>47.174249358359248</v>
      </c>
      <c r="CN118" s="1518"/>
      <c r="CO118" s="1518"/>
      <c r="CP118" s="1518"/>
      <c r="CQ118" s="1518"/>
      <c r="CR118" s="1518"/>
      <c r="CS118" s="1518"/>
      <c r="CT118" s="1518"/>
      <c r="CU118" s="1518"/>
      <c r="CV118" s="1518"/>
      <c r="CW118" s="1518"/>
      <c r="CX118" s="1518"/>
      <c r="CY118" s="1518"/>
      <c r="CZ118" s="1518"/>
      <c r="DA118" s="1518"/>
      <c r="DB118" s="1518"/>
      <c r="DC118" s="6"/>
      <c r="DD118" s="6"/>
      <c r="DE118" s="6"/>
      <c r="DF118" s="6"/>
      <c r="DG118" s="6"/>
      <c r="DH118" s="6"/>
      <c r="DI118" s="6"/>
      <c r="DJ118" s="6"/>
    </row>
    <row r="119" spans="1:114" hidden="1" outlineLevel="1">
      <c r="A119" s="681" t="s">
        <v>245</v>
      </c>
      <c r="B119" s="4"/>
      <c r="C119" s="682"/>
      <c r="D119" s="683"/>
      <c r="E119" s="683"/>
      <c r="F119" s="683"/>
      <c r="G119" s="684"/>
      <c r="H119" s="4"/>
      <c r="I119" s="682">
        <f t="shared" si="251"/>
        <v>11.287384253541909</v>
      </c>
      <c r="J119" s="683">
        <f t="shared" si="251"/>
        <v>2.5041441681288603</v>
      </c>
      <c r="K119" s="683">
        <f t="shared" si="251"/>
        <v>12.059376558102159</v>
      </c>
      <c r="L119" s="683">
        <f t="shared" si="251"/>
        <v>12.081718330808435</v>
      </c>
      <c r="M119" s="684">
        <f t="shared" si="251"/>
        <v>43.184918830946202</v>
      </c>
      <c r="N119" s="4"/>
      <c r="O119" s="682">
        <f t="shared" si="252"/>
        <v>14.810456704311465</v>
      </c>
      <c r="P119" s="683">
        <f t="shared" si="252"/>
        <v>-29.713067184308969</v>
      </c>
      <c r="Q119" s="683">
        <f t="shared" si="252"/>
        <v>-26.189010423157413</v>
      </c>
      <c r="R119" s="683">
        <f t="shared" si="252"/>
        <v>-4.9066515385175755</v>
      </c>
      <c r="S119" s="684">
        <f t="shared" si="252"/>
        <v>-40.842245071855984</v>
      </c>
      <c r="T119" s="664"/>
      <c r="U119" s="682">
        <f t="shared" si="253"/>
        <v>8.7943589628023826</v>
      </c>
      <c r="V119" s="683">
        <f t="shared" si="253"/>
        <v>-10.519572497137766</v>
      </c>
      <c r="W119" s="683">
        <f t="shared" si="253"/>
        <v>-46.272542908967296</v>
      </c>
      <c r="X119" s="683">
        <f t="shared" si="253"/>
        <v>-53.729285989679198</v>
      </c>
      <c r="Y119" s="684">
        <f t="shared" si="253"/>
        <v>-113.62363308930802</v>
      </c>
      <c r="Z119" s="664"/>
      <c r="AA119" s="682">
        <f t="shared" si="254"/>
        <v>-34.217972504679494</v>
      </c>
      <c r="AB119" s="683">
        <f t="shared" si="254"/>
        <v>-69.535974059382113</v>
      </c>
      <c r="AC119" s="683">
        <f t="shared" si="254"/>
        <v>-43.674481815976044</v>
      </c>
      <c r="AD119" s="683">
        <f t="shared" si="254"/>
        <v>-35.189009394263365</v>
      </c>
      <c r="AE119" s="684">
        <f t="shared" si="254"/>
        <v>-193.52458589698747</v>
      </c>
      <c r="AF119" s="664"/>
      <c r="AG119" s="682">
        <f t="shared" si="255"/>
        <v>8.1161975247074167</v>
      </c>
      <c r="AH119" s="683">
        <f t="shared" si="255"/>
        <v>-78.248677643242473</v>
      </c>
      <c r="AI119" s="683">
        <f t="shared" si="255"/>
        <v>-19.528741284576128</v>
      </c>
      <c r="AJ119" s="683">
        <f t="shared" si="255"/>
        <v>6.5233639248770459</v>
      </c>
      <c r="AK119" s="684">
        <f t="shared" si="255"/>
        <v>-69.362523600952585</v>
      </c>
      <c r="AL119" s="664"/>
      <c r="AM119" s="682">
        <f t="shared" si="256"/>
        <v>24.45531560313422</v>
      </c>
      <c r="AN119" s="683">
        <f t="shared" si="256"/>
        <v>13.771424977780853</v>
      </c>
      <c r="AO119" s="683">
        <f t="shared" si="256"/>
        <v>22.936390850558016</v>
      </c>
      <c r="AP119" s="683">
        <f t="shared" si="256"/>
        <v>38.635847627412815</v>
      </c>
      <c r="AQ119" s="684">
        <f t="shared" si="256"/>
        <v>134.03868401633738</v>
      </c>
      <c r="AR119" s="664"/>
      <c r="AS119" s="682">
        <f t="shared" si="257"/>
        <v>24.480092111421786</v>
      </c>
      <c r="AT119" s="683">
        <f t="shared" si="257"/>
        <v>12.635599534965992</v>
      </c>
      <c r="AU119" s="683">
        <f t="shared" si="257"/>
        <v>34.210322629613231</v>
      </c>
      <c r="AV119" s="683">
        <f t="shared" si="257"/>
        <v>54.818732906646531</v>
      </c>
      <c r="AW119" s="684">
        <f t="shared" si="257"/>
        <v>148.54109090680819</v>
      </c>
      <c r="AX119" s="664"/>
      <c r="AY119" s="682">
        <f t="shared" si="258"/>
        <v>99.483364191961741</v>
      </c>
      <c r="AZ119" s="683">
        <f>AZ115+AT115</f>
        <v>92.825327880561929</v>
      </c>
      <c r="BA119" s="683">
        <f t="shared" si="258"/>
        <v>97.915165131783368</v>
      </c>
      <c r="BB119" s="683">
        <f t="shared" si="258"/>
        <v>95.960253644721959</v>
      </c>
      <c r="BC119" s="684">
        <f t="shared" si="258"/>
        <v>390.67504926363762</v>
      </c>
      <c r="BD119" s="664"/>
      <c r="BE119" s="682">
        <f t="shared" si="259"/>
        <v>133.16574019779029</v>
      </c>
      <c r="BF119" s="683">
        <f t="shared" si="259"/>
        <v>103.13182961085447</v>
      </c>
      <c r="BG119" s="683">
        <f t="shared" si="259"/>
        <v>96.289894562125426</v>
      </c>
      <c r="BH119" s="683">
        <f t="shared" si="259"/>
        <v>115.36080667416951</v>
      </c>
      <c r="BI119" s="684">
        <f t="shared" si="259"/>
        <v>455.10259697034564</v>
      </c>
      <c r="BJ119" s="664"/>
      <c r="BK119" s="682">
        <f t="shared" si="260"/>
        <v>119.50491290860479</v>
      </c>
      <c r="BL119" s="683">
        <f t="shared" si="260"/>
        <v>87.597632686701601</v>
      </c>
      <c r="BM119" s="683">
        <f t="shared" si="260"/>
        <v>80.112606056712821</v>
      </c>
      <c r="BN119" s="683">
        <f t="shared" si="260"/>
        <v>99.084895507468389</v>
      </c>
      <c r="BO119" s="684">
        <f t="shared" si="260"/>
        <v>390.74431163250097</v>
      </c>
      <c r="BP119" s="664"/>
      <c r="BQ119" s="682">
        <f t="shared" si="261"/>
        <v>66.509303853068829</v>
      </c>
      <c r="BR119" s="683">
        <f t="shared" si="261"/>
        <v>106.42706064469979</v>
      </c>
      <c r="BS119" s="683">
        <f t="shared" si="261"/>
        <v>91.063715193800988</v>
      </c>
      <c r="BT119" s="683">
        <f t="shared" si="261"/>
        <v>99.218915106485781</v>
      </c>
      <c r="BU119" s="684">
        <f t="shared" si="261"/>
        <v>365.0075691299532</v>
      </c>
      <c r="BV119" s="664"/>
      <c r="BW119" s="682">
        <f t="shared" si="262"/>
        <v>80.666235937027807</v>
      </c>
      <c r="BX119" s="683">
        <f t="shared" si="262"/>
        <v>95.117330947838866</v>
      </c>
      <c r="BY119" s="683">
        <f t="shared" si="262"/>
        <v>98.454419672075588</v>
      </c>
      <c r="BZ119" s="683">
        <f t="shared" si="262"/>
        <v>105.47650821376638</v>
      </c>
      <c r="CA119" s="684">
        <f t="shared" si="262"/>
        <v>381.64923490468641</v>
      </c>
      <c r="CB119" s="675"/>
      <c r="CC119" s="682">
        <f t="shared" si="263"/>
        <v>99.769044483743571</v>
      </c>
      <c r="CD119" s="683">
        <f t="shared" si="263"/>
        <v>106.09865952292442</v>
      </c>
      <c r="CE119" s="683">
        <f t="shared" si="263"/>
        <v>118.33165098829826</v>
      </c>
      <c r="CF119" s="683">
        <f t="shared" si="263"/>
        <v>122.99532790047977</v>
      </c>
      <c r="CG119" s="684">
        <f t="shared" si="263"/>
        <v>448.29697115209734</v>
      </c>
      <c r="CH119" s="675"/>
      <c r="CI119" s="682">
        <f t="shared" si="264"/>
        <v>97.974790297571204</v>
      </c>
      <c r="CJ119" s="683">
        <f t="shared" si="265"/>
        <v>107.88563189851465</v>
      </c>
      <c r="CK119" s="683">
        <f t="shared" si="266"/>
        <v>118.85926852946832</v>
      </c>
      <c r="CL119" s="683">
        <f t="shared" si="267"/>
        <v>121.66720758548037</v>
      </c>
      <c r="CM119" s="684">
        <f t="shared" si="268"/>
        <v>446.86635418733897</v>
      </c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6"/>
      <c r="DD119" s="6"/>
      <c r="DE119" s="6"/>
      <c r="DF119" s="6"/>
      <c r="DG119" s="6"/>
      <c r="DH119" s="6"/>
      <c r="DI119" s="6"/>
      <c r="DJ119" s="6"/>
    </row>
    <row r="120" spans="1:114" collapsed="1">
      <c r="CO120" s="6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</row>
    <row r="121" spans="1:114">
      <c r="CO121" s="6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</row>
    <row r="122" spans="1:114">
      <c r="CO122" s="6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</row>
    <row r="123" spans="1:114"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</row>
    <row r="124" spans="1:114">
      <c r="CO124" s="6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</row>
    <row r="125" spans="1:114">
      <c r="CO125" s="6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</row>
    <row r="126" spans="1:114">
      <c r="CO126" s="6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</row>
    <row r="127" spans="1:114">
      <c r="CO127" s="6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</row>
    <row r="128" spans="1:114">
      <c r="CO128" s="6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</row>
    <row r="129" spans="93:114">
      <c r="CO129" s="6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</row>
    <row r="130" spans="93:114">
      <c r="CO130" s="6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</row>
    <row r="131" spans="93:114">
      <c r="CO131" s="6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</row>
    <row r="132" spans="93:114">
      <c r="CO132" s="6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</row>
    <row r="133" spans="93:114">
      <c r="CO133" s="6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</row>
    <row r="134" spans="93:114">
      <c r="CO134" s="6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</row>
    <row r="135" spans="93:114">
      <c r="CO135" s="6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</row>
    <row r="136" spans="93:114">
      <c r="CO136" s="6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</row>
    <row r="137" spans="93:114">
      <c r="CO137" s="6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</row>
    <row r="138" spans="93:114">
      <c r="CO138" s="6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</row>
    <row r="139" spans="93:114">
      <c r="CO139" s="6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</row>
    <row r="140" spans="93:114">
      <c r="CO140" s="6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</row>
    <row r="141" spans="93:114">
      <c r="CO141" s="6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</row>
    <row r="142" spans="93:114">
      <c r="CO142" s="6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</row>
    <row r="143" spans="93:114">
      <c r="CO143" s="6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6"/>
    </row>
    <row r="144" spans="93:114">
      <c r="CO144" s="6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</row>
    <row r="145" spans="93:114">
      <c r="CO145" s="6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</row>
    <row r="146" spans="93:114">
      <c r="CO146" s="6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6"/>
    </row>
    <row r="147" spans="93:114">
      <c r="CO147" s="6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</row>
    <row r="148" spans="93:114">
      <c r="CO148" s="6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</row>
    <row r="149" spans="93:114">
      <c r="CO149" s="6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</row>
    <row r="150" spans="93:114">
      <c r="CO150" s="6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</row>
    <row r="151" spans="93:114">
      <c r="CO151" s="6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</row>
    <row r="152" spans="93:114">
      <c r="CO152" s="6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</row>
    <row r="153" spans="93:114">
      <c r="CO153" s="6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</row>
    <row r="154" spans="93:114">
      <c r="CO154" s="6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</row>
    <row r="155" spans="93:114"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</row>
    <row r="156" spans="93:114">
      <c r="CO156" s="6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</row>
    <row r="157" spans="93:114">
      <c r="CO157" s="6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</row>
    <row r="158" spans="93:114">
      <c r="CO158" s="6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</row>
    <row r="159" spans="93:114">
      <c r="CO159" s="6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</row>
    <row r="160" spans="93:114">
      <c r="CO160" s="6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</row>
    <row r="161" spans="93:114"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</row>
    <row r="162" spans="93:114">
      <c r="CO162" s="6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</row>
    <row r="163" spans="93:114">
      <c r="CO163" s="6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</row>
    <row r="164" spans="93:114">
      <c r="CO164" s="6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  <c r="DJ164" s="6"/>
    </row>
    <row r="165" spans="93:114">
      <c r="CO165" s="6"/>
      <c r="CP165" s="6"/>
      <c r="CQ165" s="6"/>
      <c r="CR165" s="6"/>
      <c r="CS165" s="6"/>
      <c r="CT165" s="6"/>
      <c r="CU165" s="6"/>
      <c r="CV165" s="6"/>
      <c r="CW165" s="6"/>
      <c r="CX165" s="6"/>
      <c r="CY165" s="6"/>
      <c r="CZ165" s="6"/>
      <c r="DA165" s="6"/>
      <c r="DB165" s="6"/>
      <c r="DC165" s="6"/>
      <c r="DD165" s="6"/>
      <c r="DE165" s="6"/>
      <c r="DF165" s="6"/>
      <c r="DG165" s="6"/>
      <c r="DH165" s="6"/>
      <c r="DI165" s="6"/>
      <c r="DJ165" s="6"/>
    </row>
    <row r="166" spans="93:114">
      <c r="CO166" s="6"/>
      <c r="CP166" s="6"/>
      <c r="CQ166" s="6"/>
      <c r="CR166" s="6"/>
      <c r="CS166" s="6"/>
      <c r="CT166" s="6"/>
      <c r="CU166" s="6"/>
      <c r="CV166" s="6"/>
      <c r="CW166" s="6"/>
      <c r="CX166" s="6"/>
      <c r="CY166" s="6"/>
      <c r="CZ166" s="6"/>
      <c r="DA166" s="6"/>
      <c r="DB166" s="6"/>
      <c r="DC166" s="6"/>
      <c r="DD166" s="6"/>
      <c r="DE166" s="6"/>
      <c r="DF166" s="6"/>
      <c r="DG166" s="6"/>
      <c r="DH166" s="6"/>
      <c r="DI166" s="6"/>
      <c r="DJ166" s="6"/>
    </row>
    <row r="167" spans="93:114">
      <c r="CO167" s="6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6"/>
      <c r="DH167" s="6"/>
      <c r="DI167" s="6"/>
      <c r="DJ167" s="6"/>
    </row>
    <row r="168" spans="93:114">
      <c r="CO168" s="6"/>
      <c r="CP168" s="6"/>
      <c r="CQ168" s="6"/>
      <c r="CR168" s="6"/>
      <c r="CS168" s="6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</row>
    <row r="169" spans="93:114">
      <c r="CO169" s="6"/>
      <c r="CP169" s="6"/>
      <c r="CQ169" s="6"/>
      <c r="CR169" s="6"/>
      <c r="CS169" s="6"/>
      <c r="CT169" s="6"/>
      <c r="CU169" s="6"/>
      <c r="CV169" s="6"/>
      <c r="CW169" s="6"/>
      <c r="CX169" s="6"/>
      <c r="CY169" s="6"/>
      <c r="CZ169" s="6"/>
      <c r="DA169" s="6"/>
      <c r="DB169" s="6"/>
      <c r="DC169" s="6"/>
      <c r="DD169" s="6"/>
      <c r="DE169" s="6"/>
      <c r="DF169" s="6"/>
      <c r="DG169" s="6"/>
      <c r="DH169" s="6"/>
      <c r="DI169" s="6"/>
      <c r="DJ169" s="6"/>
    </row>
    <row r="170" spans="93:114">
      <c r="CO170" s="6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6"/>
      <c r="DH170" s="6"/>
      <c r="DI170" s="6"/>
      <c r="DJ170" s="6"/>
    </row>
    <row r="171" spans="93:114">
      <c r="CO171" s="6"/>
      <c r="CP171" s="6"/>
      <c r="CQ171" s="6"/>
      <c r="CR171" s="6"/>
      <c r="CS171" s="6"/>
      <c r="CT171" s="6"/>
      <c r="CU171" s="6"/>
      <c r="CV171" s="6"/>
      <c r="CW171" s="6"/>
      <c r="CX171" s="6"/>
      <c r="CY171" s="6"/>
      <c r="CZ171" s="6"/>
      <c r="DA171" s="6"/>
      <c r="DB171" s="6"/>
      <c r="DC171" s="6"/>
      <c r="DD171" s="6"/>
      <c r="DE171" s="6"/>
      <c r="DF171" s="6"/>
      <c r="DG171" s="6"/>
      <c r="DH171" s="6"/>
      <c r="DI171" s="6"/>
      <c r="DJ171" s="6"/>
    </row>
    <row r="172" spans="93:114">
      <c r="CO172" s="6"/>
      <c r="CP172" s="6"/>
      <c r="CQ172" s="6"/>
      <c r="CR172" s="6"/>
      <c r="CS172" s="6"/>
      <c r="CT172" s="6"/>
      <c r="CU172" s="6"/>
      <c r="CV172" s="6"/>
      <c r="CW172" s="6"/>
      <c r="CX172" s="6"/>
      <c r="CY172" s="6"/>
      <c r="CZ172" s="6"/>
      <c r="DA172" s="6"/>
      <c r="DB172" s="6"/>
      <c r="DC172" s="6"/>
      <c r="DD172" s="6"/>
      <c r="DE172" s="6"/>
      <c r="DF172" s="6"/>
      <c r="DG172" s="6"/>
      <c r="DH172" s="6"/>
      <c r="DI172" s="6"/>
      <c r="DJ172" s="6"/>
    </row>
    <row r="173" spans="93:114">
      <c r="CO173" s="6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6"/>
    </row>
    <row r="174" spans="93:114">
      <c r="CO174" s="6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6"/>
    </row>
    <row r="175" spans="93:114">
      <c r="CO175" s="6"/>
      <c r="CP175" s="6"/>
      <c r="CQ175" s="6"/>
      <c r="CR175" s="6"/>
      <c r="CS175" s="6"/>
      <c r="CT175" s="6"/>
      <c r="CU175" s="6"/>
      <c r="CV175" s="6"/>
      <c r="CW175" s="6"/>
      <c r="CX175" s="6"/>
      <c r="CY175" s="6"/>
      <c r="CZ175" s="6"/>
      <c r="DA175" s="6"/>
      <c r="DB175" s="6"/>
      <c r="DC175" s="6"/>
      <c r="DD175" s="6"/>
      <c r="DE175" s="6"/>
      <c r="DF175" s="6"/>
      <c r="DG175" s="6"/>
      <c r="DH175" s="6"/>
      <c r="DI175" s="6"/>
      <c r="DJ175" s="6"/>
    </row>
    <row r="176" spans="93:114">
      <c r="CO176" s="6"/>
      <c r="CP176" s="6"/>
      <c r="CQ176" s="6"/>
      <c r="CR176" s="6"/>
      <c r="CS176" s="6"/>
      <c r="CT176" s="6"/>
      <c r="CU176" s="6"/>
      <c r="CV176" s="6"/>
      <c r="CW176" s="6"/>
      <c r="CX176" s="6"/>
      <c r="CY176" s="6"/>
      <c r="CZ176" s="6"/>
      <c r="DA176" s="6"/>
      <c r="DB176" s="6"/>
      <c r="DC176" s="6"/>
      <c r="DD176" s="6"/>
      <c r="DE176" s="6"/>
      <c r="DF176" s="6"/>
      <c r="DG176" s="6"/>
      <c r="DH176" s="6"/>
      <c r="DI176" s="6"/>
      <c r="DJ176" s="6"/>
    </row>
    <row r="177" spans="93:114">
      <c r="CO177" s="6"/>
      <c r="CP177" s="6"/>
      <c r="CQ177" s="6"/>
      <c r="CR177" s="6"/>
      <c r="CS177" s="6"/>
      <c r="CT177" s="6"/>
      <c r="CU177" s="6"/>
      <c r="CV177" s="6"/>
      <c r="CW177" s="6"/>
      <c r="CX177" s="6"/>
      <c r="CY177" s="6"/>
      <c r="CZ177" s="6"/>
      <c r="DA177" s="6"/>
      <c r="DB177" s="6"/>
      <c r="DC177" s="6"/>
      <c r="DD177" s="6"/>
      <c r="DE177" s="6"/>
      <c r="DF177" s="6"/>
      <c r="DG177" s="6"/>
      <c r="DH177" s="6"/>
      <c r="DI177" s="6"/>
      <c r="DJ177" s="6"/>
    </row>
    <row r="178" spans="93:114">
      <c r="CO178" s="6"/>
      <c r="CP178" s="6"/>
      <c r="CQ178" s="6"/>
      <c r="CR178" s="6"/>
      <c r="CS178" s="6"/>
      <c r="CT178" s="6"/>
      <c r="CU178" s="6"/>
      <c r="CV178" s="6"/>
      <c r="CW178" s="6"/>
      <c r="CX178" s="6"/>
      <c r="CY178" s="6"/>
      <c r="CZ178" s="6"/>
      <c r="DA178" s="6"/>
      <c r="DB178" s="6"/>
      <c r="DC178" s="6"/>
      <c r="DD178" s="6"/>
      <c r="DE178" s="6"/>
      <c r="DF178" s="6"/>
      <c r="DG178" s="6"/>
      <c r="DH178" s="6"/>
      <c r="DI178" s="6"/>
      <c r="DJ178" s="6"/>
    </row>
    <row r="179" spans="93:114">
      <c r="CO179" s="6"/>
      <c r="CP179" s="6"/>
      <c r="CQ179" s="6"/>
      <c r="CR179" s="6"/>
      <c r="CS179" s="6"/>
      <c r="CT179" s="6"/>
      <c r="CU179" s="6"/>
      <c r="CV179" s="6"/>
      <c r="CW179" s="6"/>
      <c r="CX179" s="6"/>
      <c r="CY179" s="6"/>
      <c r="CZ179" s="6"/>
      <c r="DA179" s="6"/>
      <c r="DB179" s="6"/>
      <c r="DC179" s="6"/>
      <c r="DD179" s="6"/>
      <c r="DE179" s="6"/>
      <c r="DF179" s="6"/>
      <c r="DG179" s="6"/>
      <c r="DH179" s="6"/>
      <c r="DI179" s="6"/>
      <c r="DJ179" s="6"/>
    </row>
    <row r="180" spans="93:114">
      <c r="CO180" s="6"/>
      <c r="CP180" s="6"/>
      <c r="CQ180" s="6"/>
      <c r="CR180" s="6"/>
      <c r="CS180" s="6"/>
      <c r="CT180" s="6"/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6"/>
      <c r="DH180" s="6"/>
      <c r="DI180" s="6"/>
      <c r="DJ180" s="6"/>
    </row>
    <row r="181" spans="93:114">
      <c r="CO181" s="6"/>
      <c r="CP181" s="6"/>
      <c r="CQ181" s="6"/>
      <c r="CR181" s="6"/>
      <c r="CS181" s="6"/>
      <c r="CT181" s="6"/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6"/>
      <c r="DH181" s="6"/>
      <c r="DI181" s="6"/>
      <c r="DJ181" s="6"/>
    </row>
    <row r="182" spans="93:114">
      <c r="CO182" s="6"/>
      <c r="CP182" s="6"/>
      <c r="CQ182" s="6"/>
      <c r="CR182" s="6"/>
      <c r="CS182" s="6"/>
      <c r="CT182" s="6"/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6"/>
      <c r="DH182" s="6"/>
      <c r="DI182" s="6"/>
      <c r="DJ182" s="6"/>
    </row>
    <row r="183" spans="93:114">
      <c r="CO183" s="6"/>
      <c r="CP183" s="6"/>
      <c r="CQ183" s="6"/>
      <c r="CR183" s="6"/>
      <c r="CS183" s="6"/>
      <c r="CT183" s="6"/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6"/>
      <c r="DH183" s="6"/>
      <c r="DI183" s="6"/>
      <c r="DJ183" s="6"/>
    </row>
    <row r="184" spans="93:114">
      <c r="CO184" s="6"/>
      <c r="CP184" s="6"/>
      <c r="CQ184" s="6"/>
      <c r="CR184" s="6"/>
      <c r="CS184" s="6"/>
      <c r="CT184" s="6"/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6"/>
      <c r="DH184" s="6"/>
      <c r="DI184" s="6"/>
      <c r="DJ184" s="6"/>
    </row>
    <row r="185" spans="93:114">
      <c r="CO185" s="6"/>
      <c r="CP185" s="6"/>
      <c r="CQ185" s="6"/>
      <c r="CR185" s="6"/>
      <c r="CS185" s="6"/>
      <c r="CT185" s="6"/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6"/>
      <c r="DH185" s="6"/>
      <c r="DI185" s="6"/>
      <c r="DJ185" s="6"/>
    </row>
    <row r="186" spans="93:114">
      <c r="CO186" s="6"/>
      <c r="CP186" s="6"/>
      <c r="CQ186" s="6"/>
      <c r="CR186" s="6"/>
      <c r="CS186" s="6"/>
      <c r="CT186" s="6"/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6"/>
      <c r="DH186" s="6"/>
      <c r="DI186" s="6"/>
      <c r="DJ186" s="6"/>
    </row>
    <row r="187" spans="93:114">
      <c r="CO187" s="6"/>
      <c r="CP187" s="6"/>
      <c r="CQ187" s="6"/>
      <c r="CR187" s="6"/>
      <c r="CS187" s="6"/>
      <c r="CT187" s="6"/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6"/>
      <c r="DH187" s="6"/>
      <c r="DI187" s="6"/>
      <c r="DJ187" s="6"/>
    </row>
    <row r="188" spans="93:114">
      <c r="CO188" s="6"/>
      <c r="CP188" s="6"/>
      <c r="CQ188" s="6"/>
      <c r="CR188" s="6"/>
      <c r="CS188" s="6"/>
      <c r="CT188" s="6"/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6"/>
      <c r="DH188" s="6"/>
      <c r="DI188" s="6"/>
      <c r="DJ188" s="6"/>
    </row>
    <row r="189" spans="93:114">
      <c r="CO189" s="6"/>
      <c r="CP189" s="6"/>
      <c r="CQ189" s="6"/>
      <c r="CR189" s="6"/>
      <c r="CS189" s="6"/>
      <c r="CT189" s="6"/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6"/>
      <c r="DH189" s="6"/>
      <c r="DI189" s="6"/>
      <c r="DJ189" s="6"/>
    </row>
    <row r="190" spans="93:114">
      <c r="CO190" s="6"/>
      <c r="CP190" s="6"/>
      <c r="CQ190" s="6"/>
      <c r="CR190" s="6"/>
      <c r="CS190" s="6"/>
      <c r="CT190" s="6"/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6"/>
      <c r="DH190" s="6"/>
      <c r="DI190" s="6"/>
      <c r="DJ190" s="6"/>
    </row>
    <row r="191" spans="93:114">
      <c r="CO191" s="6"/>
      <c r="CP191" s="6"/>
      <c r="CQ191" s="6"/>
      <c r="CR191" s="6"/>
      <c r="CS191" s="6"/>
      <c r="CT191" s="6"/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6"/>
      <c r="DH191" s="6"/>
      <c r="DI191" s="6"/>
      <c r="DJ191" s="6"/>
    </row>
    <row r="192" spans="93:114">
      <c r="CO192" s="6"/>
      <c r="CP192" s="6"/>
      <c r="CQ192" s="6"/>
      <c r="CR192" s="6"/>
      <c r="CS192" s="6"/>
      <c r="CT192" s="6"/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6"/>
      <c r="DH192" s="6"/>
      <c r="DI192" s="6"/>
      <c r="DJ192" s="6"/>
    </row>
    <row r="193" spans="93:114">
      <c r="CO193" s="6"/>
      <c r="CP193" s="6"/>
      <c r="CQ193" s="6"/>
      <c r="CR193" s="6"/>
      <c r="CS193" s="6"/>
      <c r="CT193" s="6"/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6"/>
      <c r="DH193" s="6"/>
      <c r="DI193" s="6"/>
      <c r="DJ193" s="6"/>
    </row>
    <row r="194" spans="93:114">
      <c r="CO194" s="6"/>
      <c r="CP194" s="6"/>
      <c r="CQ194" s="6"/>
      <c r="CR194" s="6"/>
      <c r="CS194" s="6"/>
      <c r="CT194" s="6"/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6"/>
      <c r="DH194" s="6"/>
      <c r="DI194" s="6"/>
      <c r="DJ194" s="6"/>
    </row>
    <row r="195" spans="93:114">
      <c r="CO195" s="6"/>
      <c r="CP195" s="6"/>
      <c r="CQ195" s="6"/>
      <c r="CR195" s="6"/>
      <c r="CS195" s="6"/>
      <c r="CT195" s="6"/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6"/>
      <c r="DH195" s="6"/>
      <c r="DI195" s="6"/>
      <c r="DJ195" s="6"/>
    </row>
    <row r="196" spans="93:114">
      <c r="CO196" s="6"/>
      <c r="CP196" s="6"/>
      <c r="CQ196" s="6"/>
      <c r="CR196" s="6"/>
      <c r="CS196" s="6"/>
      <c r="CT196" s="6"/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6"/>
      <c r="DH196" s="6"/>
      <c r="DI196" s="6"/>
      <c r="DJ196" s="6"/>
    </row>
    <row r="197" spans="93:114">
      <c r="CO197" s="6"/>
      <c r="CP197" s="6"/>
      <c r="CQ197" s="6"/>
      <c r="CR197" s="6"/>
      <c r="CS197" s="6"/>
      <c r="CT197" s="6"/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6"/>
      <c r="DH197" s="6"/>
      <c r="DI197" s="6"/>
      <c r="DJ197" s="6"/>
    </row>
    <row r="198" spans="93:114">
      <c r="CO198" s="6"/>
      <c r="CP198" s="6"/>
      <c r="CQ198" s="6"/>
      <c r="CR198" s="6"/>
      <c r="CS198" s="6"/>
      <c r="CT198" s="6"/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6"/>
      <c r="DH198" s="6"/>
      <c r="DI198" s="6"/>
      <c r="DJ198" s="6"/>
    </row>
    <row r="199" spans="93:114">
      <c r="CO199" s="6"/>
      <c r="CP199" s="6"/>
      <c r="CQ199" s="6"/>
      <c r="CR199" s="6"/>
      <c r="CS199" s="6"/>
      <c r="CT199" s="6"/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6"/>
      <c r="DH199" s="6"/>
      <c r="DI199" s="6"/>
      <c r="DJ199" s="6"/>
    </row>
    <row r="200" spans="93:114">
      <c r="CO200" s="6"/>
      <c r="CP200" s="6"/>
      <c r="CQ200" s="6"/>
      <c r="CR200" s="6"/>
      <c r="CS200" s="6"/>
      <c r="CT200" s="6"/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6"/>
      <c r="DH200" s="6"/>
      <c r="DI200" s="6"/>
      <c r="DJ200" s="6"/>
    </row>
    <row r="201" spans="93:114">
      <c r="CO201" s="6"/>
      <c r="CP201" s="6"/>
      <c r="CQ201" s="6"/>
      <c r="CR201" s="6"/>
      <c r="CS201" s="6"/>
      <c r="CT201" s="6"/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6"/>
      <c r="DH201" s="6"/>
      <c r="DI201" s="6"/>
      <c r="DJ201" s="6"/>
    </row>
    <row r="202" spans="93:114">
      <c r="CO202" s="6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</row>
    <row r="203" spans="93:114">
      <c r="CO203" s="6"/>
      <c r="CP203" s="6"/>
      <c r="CQ203" s="6"/>
      <c r="CR203" s="6"/>
      <c r="CS203" s="6"/>
      <c r="CT203" s="6"/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6"/>
      <c r="DH203" s="6"/>
      <c r="DI203" s="6"/>
      <c r="DJ203" s="6"/>
    </row>
    <row r="204" spans="93:114">
      <c r="CO204" s="6"/>
      <c r="CP204" s="6"/>
      <c r="CQ204" s="6"/>
      <c r="CR204" s="6"/>
      <c r="CS204" s="6"/>
      <c r="CT204" s="6"/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6"/>
      <c r="DH204" s="6"/>
      <c r="DI204" s="6"/>
      <c r="DJ204" s="6"/>
    </row>
    <row r="205" spans="93:114">
      <c r="CO205" s="6"/>
      <c r="CP205" s="6"/>
      <c r="CQ205" s="6"/>
      <c r="CR205" s="6"/>
      <c r="CS205" s="6"/>
      <c r="CT205" s="6"/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6"/>
      <c r="DH205" s="6"/>
      <c r="DI205" s="6"/>
      <c r="DJ205" s="6"/>
    </row>
    <row r="206" spans="93:114">
      <c r="CO206" s="6"/>
      <c r="CP206" s="6"/>
      <c r="CQ206" s="6"/>
      <c r="CR206" s="6"/>
      <c r="CS206" s="6"/>
      <c r="CT206" s="6"/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6"/>
      <c r="DH206" s="6"/>
      <c r="DI206" s="6"/>
      <c r="DJ206" s="6"/>
    </row>
    <row r="207" spans="93:114"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6"/>
      <c r="DH207" s="6"/>
      <c r="DI207" s="6"/>
      <c r="DJ207" s="6"/>
    </row>
    <row r="208" spans="93:114">
      <c r="CO208" s="6"/>
      <c r="CP208" s="6"/>
      <c r="CQ208" s="6"/>
      <c r="CR208" s="6"/>
      <c r="CS208" s="6"/>
      <c r="CT208" s="6"/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6"/>
      <c r="DH208" s="6"/>
      <c r="DI208" s="6"/>
      <c r="DJ208" s="6"/>
    </row>
    <row r="209" spans="93:114"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6"/>
      <c r="DH209" s="6"/>
      <c r="DI209" s="6"/>
      <c r="DJ209" s="6"/>
    </row>
    <row r="210" spans="93:114"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6"/>
      <c r="DH210" s="6"/>
      <c r="DI210" s="6"/>
      <c r="DJ210" s="6"/>
    </row>
    <row r="211" spans="93:114"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6"/>
      <c r="DH211" s="6"/>
      <c r="DI211" s="6"/>
      <c r="DJ211" s="6"/>
    </row>
    <row r="212" spans="93:114"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6"/>
      <c r="DH212" s="6"/>
      <c r="DI212" s="6"/>
      <c r="DJ212" s="6"/>
    </row>
    <row r="213" spans="93:114"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</row>
    <row r="214" spans="93:114"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</row>
    <row r="215" spans="93:114"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</row>
    <row r="216" spans="93:114"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6"/>
      <c r="DH216" s="6"/>
      <c r="DI216" s="6"/>
      <c r="DJ216" s="6"/>
    </row>
    <row r="217" spans="93:114"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</row>
    <row r="218" spans="93:114"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6"/>
      <c r="DH218" s="6"/>
      <c r="DI218" s="6"/>
      <c r="DJ218" s="6"/>
    </row>
    <row r="219" spans="93:114">
      <c r="CO219" s="6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6"/>
      <c r="DH219" s="6"/>
      <c r="DI219" s="6"/>
      <c r="DJ219" s="6"/>
    </row>
    <row r="220" spans="93:114">
      <c r="CO220" s="6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6"/>
      <c r="DH220" s="6"/>
      <c r="DI220" s="6"/>
      <c r="DJ220" s="6"/>
    </row>
    <row r="221" spans="93:114">
      <c r="CO221" s="6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</row>
    <row r="222" spans="93:114">
      <c r="CO222" s="6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6"/>
      <c r="DH222" s="6"/>
      <c r="DI222" s="6"/>
      <c r="DJ222" s="6"/>
    </row>
    <row r="223" spans="93:114">
      <c r="CO223" s="6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6"/>
      <c r="DH223" s="6"/>
      <c r="DI223" s="6"/>
      <c r="DJ223" s="6"/>
    </row>
    <row r="224" spans="93:114">
      <c r="CO224" s="6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6"/>
      <c r="DH224" s="6"/>
      <c r="DI224" s="6"/>
      <c r="DJ224" s="6"/>
    </row>
    <row r="225" spans="93:114">
      <c r="CO225" s="6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6"/>
      <c r="DH225" s="6"/>
      <c r="DI225" s="6"/>
      <c r="DJ225" s="6"/>
    </row>
  </sheetData>
  <pageMargins left="0" right="0" top="0" bottom="0" header="0" footer="0"/>
  <pageSetup paperSize="5" scale="4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CW229"/>
  <sheetViews>
    <sheetView zoomScaleNormal="100" workbookViewId="0">
      <pane xSplit="2" ySplit="7" topLeftCell="AK8" activePane="bottomRight" state="frozen"/>
      <selection activeCell="BW86" sqref="BW86"/>
      <selection pane="topRight" activeCell="BW86" sqref="BW86"/>
      <selection pane="bottomLeft" activeCell="BW86" sqref="BW86"/>
      <selection pane="bottomRight"/>
    </sheetView>
  </sheetViews>
  <sheetFormatPr defaultColWidth="8.85546875" defaultRowHeight="15" outlineLevelRow="2" outlineLevelCol="1"/>
  <cols>
    <col min="1" max="1" width="28.5703125" style="2" customWidth="1"/>
    <col min="2" max="2" width="0.85546875" style="6" customWidth="1"/>
    <col min="3" max="7" width="8.140625" style="2" hidden="1" customWidth="1" outlineLevel="1"/>
    <col min="8" max="8" width="0.85546875" style="6" hidden="1" customWidth="1" outlineLevel="1"/>
    <col min="9" max="13" width="8.140625" style="2" hidden="1" customWidth="1" outlineLevel="1"/>
    <col min="14" max="14" width="0.85546875" style="6" hidden="1" customWidth="1" outlineLevel="1"/>
    <col min="15" max="19" width="8.140625" style="2" hidden="1" customWidth="1" outlineLevel="1"/>
    <col min="20" max="20" width="0.85546875" style="6" hidden="1" customWidth="1" outlineLevel="1"/>
    <col min="21" max="25" width="8.140625" style="2" hidden="1" customWidth="1" outlineLevel="1"/>
    <col min="26" max="26" width="0.85546875" style="6" hidden="1" customWidth="1" outlineLevel="1"/>
    <col min="27" max="31" width="8.140625" style="2" hidden="1" customWidth="1" outlineLevel="1"/>
    <col min="32" max="32" width="0.85546875" style="6" hidden="1" customWidth="1" outlineLevel="1"/>
    <col min="33" max="36" width="8.140625" style="2" hidden="1" customWidth="1" outlineLevel="1"/>
    <col min="37" max="37" width="8.140625" style="2" customWidth="1" collapsed="1"/>
    <col min="38" max="38" width="0.85546875" style="6" customWidth="1"/>
    <col min="39" max="42" width="8.140625" style="2" hidden="1" customWidth="1" outlineLevel="1"/>
    <col min="43" max="43" width="8.140625" style="2" customWidth="1" collapsed="1"/>
    <col min="44" max="44" width="0.85546875" style="6" customWidth="1"/>
    <col min="45" max="48" width="8.140625" style="2" hidden="1" customWidth="1" outlineLevel="1"/>
    <col min="49" max="49" width="8.140625" style="2" customWidth="1" collapsed="1"/>
    <col min="50" max="50" width="0.85546875" style="6" customWidth="1"/>
    <col min="51" max="54" width="8.140625" style="2" hidden="1" customWidth="1" outlineLevel="1"/>
    <col min="55" max="55" width="8.140625" style="2" customWidth="1" collapsed="1"/>
    <col min="56" max="56" width="0.85546875" style="6" customWidth="1"/>
    <col min="57" max="60" width="8.140625" style="2" hidden="1" customWidth="1" outlineLevel="1"/>
    <col min="61" max="61" width="8.140625" style="2" customWidth="1" collapsed="1"/>
    <col min="62" max="62" width="0.85546875" style="6" customWidth="1"/>
    <col min="63" max="66" width="8.140625" style="2" hidden="1" customWidth="1" outlineLevel="1"/>
    <col min="67" max="67" width="8.140625" style="2" customWidth="1" collapsed="1"/>
    <col min="68" max="68" width="0.85546875" style="6" customWidth="1"/>
    <col min="69" max="72" width="8.140625" style="2" customWidth="1" outlineLevel="1"/>
    <col min="73" max="73" width="8.140625" style="2" customWidth="1"/>
    <col min="74" max="74" width="0.85546875" style="6" customWidth="1"/>
    <col min="75" max="78" width="8.140625" style="2" customWidth="1" outlineLevel="1"/>
    <col min="79" max="79" width="8.140625" style="2" customWidth="1"/>
    <col min="80" max="80" width="0.85546875" style="2" customWidth="1"/>
    <col min="81" max="84" width="8.140625" style="2" hidden="1" customWidth="1" outlineLevel="1"/>
    <col min="85" max="85" width="8.140625" style="2" customWidth="1" collapsed="1"/>
    <col min="86" max="86" width="0.85546875" style="2" customWidth="1"/>
    <col min="87" max="90" width="8.140625" style="2" hidden="1" customWidth="1" outlineLevel="1"/>
    <col min="91" max="91" width="8.140625" style="2" customWidth="1" collapsed="1"/>
    <col min="92" max="93" width="8.28515625" style="2" customWidth="1"/>
    <col min="94" max="94" width="8.85546875" style="2" customWidth="1"/>
    <col min="95" max="95" width="53.28515625" hidden="1" customWidth="1" outlineLevel="1"/>
    <col min="96" max="100" width="8.85546875" hidden="1" customWidth="1" outlineLevel="1"/>
    <col min="101" max="101" width="8.85546875" style="2" collapsed="1"/>
    <col min="102" max="16384" width="8.85546875" style="2"/>
  </cols>
  <sheetData>
    <row r="1" spans="1:94">
      <c r="A1" s="3" t="s">
        <v>0</v>
      </c>
      <c r="B1" s="685"/>
      <c r="C1" s="685"/>
      <c r="D1" s="685"/>
      <c r="E1" s="685"/>
      <c r="F1" s="685"/>
      <c r="G1" s="685"/>
      <c r="H1" s="685"/>
      <c r="I1" s="685"/>
      <c r="J1" s="685"/>
      <c r="K1" s="685"/>
      <c r="L1" s="685"/>
      <c r="M1" s="685"/>
      <c r="N1" s="685"/>
      <c r="O1" s="685"/>
      <c r="P1" s="685"/>
      <c r="Q1" s="685"/>
      <c r="R1" s="685"/>
      <c r="S1" s="685"/>
      <c r="T1" s="685"/>
      <c r="U1" s="685"/>
      <c r="V1" s="685"/>
      <c r="W1" s="685"/>
      <c r="X1" s="685"/>
      <c r="Y1" s="685"/>
      <c r="Z1" s="685"/>
      <c r="AA1" s="685"/>
      <c r="AB1" s="685"/>
      <c r="AC1" s="685"/>
      <c r="AD1" s="685"/>
      <c r="AE1" s="685"/>
      <c r="AF1" s="685"/>
      <c r="AG1" s="685"/>
      <c r="AH1" s="685"/>
      <c r="AI1" s="685"/>
      <c r="AJ1" s="685"/>
      <c r="AK1" s="685"/>
      <c r="AL1" s="685"/>
      <c r="AM1" s="685"/>
      <c r="AN1" s="685"/>
      <c r="AO1" s="685"/>
      <c r="AP1" s="685"/>
      <c r="AQ1" s="685"/>
      <c r="AR1" s="685"/>
      <c r="AS1" s="685"/>
      <c r="AT1" s="685"/>
      <c r="AU1" s="685"/>
      <c r="AV1" s="685"/>
      <c r="AW1" s="685"/>
      <c r="AX1" s="685"/>
      <c r="AY1" s="685"/>
      <c r="AZ1" s="685"/>
      <c r="BA1" s="685"/>
      <c r="BB1" s="685"/>
      <c r="BC1" s="685"/>
      <c r="BD1" s="685"/>
      <c r="BE1" s="685"/>
      <c r="BF1" s="685"/>
      <c r="BG1" s="685"/>
      <c r="BH1" s="685"/>
      <c r="BI1" s="685"/>
      <c r="BJ1" s="685"/>
      <c r="BK1" s="685"/>
      <c r="BL1" s="685"/>
      <c r="BM1" s="685"/>
      <c r="BN1" s="685"/>
      <c r="BO1" s="685"/>
      <c r="BP1" s="685"/>
      <c r="BQ1" s="685"/>
      <c r="BR1" s="685"/>
      <c r="BS1" s="685"/>
      <c r="BT1" s="685"/>
      <c r="BU1" s="685"/>
      <c r="BV1" s="685"/>
      <c r="BW1" s="685"/>
      <c r="BX1" s="685"/>
      <c r="BY1" s="685"/>
      <c r="BZ1" s="685"/>
      <c r="CA1" s="685"/>
      <c r="CB1" s="685"/>
      <c r="CC1" s="685"/>
      <c r="CD1" s="685"/>
      <c r="CE1" s="685"/>
      <c r="CF1" s="685"/>
      <c r="CG1" s="685"/>
      <c r="CH1" s="685"/>
      <c r="CI1" s="685"/>
      <c r="CJ1" s="685"/>
      <c r="CK1" s="685"/>
      <c r="CL1" s="685"/>
      <c r="CM1" s="685"/>
      <c r="CN1" s="685"/>
      <c r="CO1" s="685"/>
      <c r="CP1" s="6"/>
    </row>
    <row r="2" spans="1:94" ht="13.5" customHeight="1">
      <c r="A2" s="686" t="s">
        <v>252</v>
      </c>
      <c r="B2" s="685"/>
      <c r="C2" s="685"/>
      <c r="D2" s="685"/>
      <c r="E2" s="685"/>
      <c r="F2" s="685"/>
      <c r="G2" s="685"/>
      <c r="H2" s="685"/>
      <c r="I2" s="685"/>
      <c r="J2" s="685"/>
      <c r="K2" s="685"/>
      <c r="L2" s="685"/>
      <c r="M2" s="685"/>
      <c r="N2" s="685"/>
      <c r="O2" s="685"/>
      <c r="P2" s="685"/>
      <c r="Q2" s="685"/>
      <c r="R2" s="685"/>
      <c r="S2" s="685"/>
      <c r="T2" s="685"/>
      <c r="U2" s="685"/>
      <c r="V2" s="685"/>
      <c r="W2" s="685"/>
      <c r="X2" s="685"/>
      <c r="Y2" s="685"/>
      <c r="Z2" s="685"/>
      <c r="AA2" s="685"/>
      <c r="AB2" s="685"/>
      <c r="AC2" s="685"/>
      <c r="AD2" s="685"/>
      <c r="AE2" s="685"/>
      <c r="AF2" s="685"/>
      <c r="AG2" s="685"/>
      <c r="AH2" s="685"/>
      <c r="AI2" s="685"/>
      <c r="AJ2" s="685"/>
      <c r="AK2" s="685"/>
      <c r="AL2" s="685"/>
      <c r="AM2" s="685"/>
      <c r="AN2" s="685"/>
      <c r="AO2" s="685"/>
      <c r="AP2" s="685"/>
      <c r="AQ2" s="685"/>
      <c r="AR2" s="685"/>
      <c r="AS2" s="685"/>
      <c r="AT2" s="685"/>
      <c r="AU2" s="685"/>
      <c r="AV2" s="685"/>
      <c r="AW2" s="685"/>
      <c r="AX2" s="685"/>
      <c r="AY2" s="685"/>
      <c r="AZ2" s="685"/>
      <c r="BA2" s="685"/>
      <c r="BB2" s="685"/>
      <c r="BC2" s="685"/>
      <c r="BD2" s="685"/>
      <c r="BE2" s="685"/>
      <c r="BF2" s="685"/>
      <c r="BG2" s="685"/>
      <c r="BH2" s="685"/>
      <c r="BI2" s="685"/>
      <c r="BJ2" s="685"/>
      <c r="BK2" s="685"/>
      <c r="BL2" s="685"/>
      <c r="BM2" s="685"/>
      <c r="BN2" s="685"/>
      <c r="BO2" s="685"/>
      <c r="BP2" s="685"/>
      <c r="BQ2" s="685"/>
      <c r="BR2" s="685"/>
      <c r="BS2" s="685"/>
      <c r="BT2" s="685"/>
      <c r="BU2" s="685"/>
      <c r="BV2" s="685"/>
      <c r="BW2" s="685"/>
      <c r="BX2" s="685"/>
      <c r="BY2" s="685"/>
      <c r="BZ2" s="685"/>
      <c r="CA2" s="685"/>
      <c r="CB2" s="685"/>
      <c r="CC2" s="685"/>
      <c r="CD2" s="685"/>
      <c r="CE2" s="685"/>
      <c r="CF2" s="685"/>
      <c r="CG2" s="685"/>
      <c r="CH2" s="685"/>
      <c r="CI2" s="685"/>
      <c r="CJ2" s="685"/>
      <c r="CK2" s="685"/>
      <c r="CL2" s="685"/>
      <c r="CM2" s="685"/>
      <c r="CN2" s="685"/>
      <c r="CO2" s="685"/>
      <c r="CP2" s="6"/>
    </row>
    <row r="3" spans="1:94" ht="13.5" customHeight="1">
      <c r="A3" s="687" t="s">
        <v>2</v>
      </c>
      <c r="B3" s="685"/>
      <c r="C3" s="688"/>
      <c r="D3" s="688"/>
      <c r="E3" s="688"/>
      <c r="F3" s="688"/>
      <c r="G3" s="688"/>
      <c r="H3" s="685"/>
      <c r="I3" s="688"/>
      <c r="J3" s="688"/>
      <c r="K3" s="688"/>
      <c r="L3" s="688"/>
      <c r="M3" s="688"/>
      <c r="N3" s="685"/>
      <c r="O3" s="688"/>
      <c r="P3" s="688"/>
      <c r="Q3" s="688"/>
      <c r="R3" s="688"/>
      <c r="S3" s="688"/>
      <c r="T3" s="685"/>
      <c r="U3" s="688"/>
      <c r="V3" s="688"/>
      <c r="W3" s="688"/>
      <c r="X3" s="688"/>
      <c r="Y3" s="688"/>
      <c r="Z3" s="685"/>
      <c r="AA3" s="688"/>
      <c r="AB3" s="688"/>
      <c r="AC3" s="688"/>
      <c r="AD3" s="688"/>
      <c r="AE3" s="688"/>
      <c r="AF3" s="685"/>
      <c r="AG3" s="688"/>
      <c r="AH3" s="688"/>
      <c r="AI3" s="688"/>
      <c r="AJ3" s="688"/>
      <c r="AK3" s="688"/>
      <c r="AL3" s="685"/>
      <c r="AM3" s="688"/>
      <c r="AN3" s="688"/>
      <c r="AO3" s="688"/>
      <c r="AP3" s="688"/>
      <c r="AQ3" s="688"/>
      <c r="AR3" s="685"/>
      <c r="AS3" s="688"/>
      <c r="AT3" s="688"/>
      <c r="AU3" s="688"/>
      <c r="AV3" s="688"/>
      <c r="AW3" s="688"/>
      <c r="AX3" s="685"/>
      <c r="AY3" s="688"/>
      <c r="AZ3" s="688"/>
      <c r="BA3" s="688"/>
      <c r="BB3" s="688"/>
      <c r="BC3" s="688"/>
      <c r="BD3" s="685"/>
      <c r="BE3" s="688"/>
      <c r="BF3" s="688"/>
      <c r="BG3" s="688"/>
      <c r="BH3" s="688"/>
      <c r="BI3" s="688"/>
      <c r="BJ3" s="685"/>
      <c r="BK3" s="688"/>
      <c r="BL3" s="688"/>
      <c r="BM3" s="688"/>
      <c r="BN3" s="688"/>
      <c r="BO3" s="688"/>
      <c r="BP3" s="685"/>
      <c r="BQ3" s="688"/>
      <c r="BR3" s="688"/>
      <c r="BS3" s="688"/>
      <c r="BT3" s="688"/>
      <c r="BU3" s="688"/>
      <c r="BV3" s="685"/>
      <c r="BW3" s="688"/>
      <c r="BX3" s="688"/>
      <c r="BY3" s="688"/>
      <c r="BZ3" s="688"/>
      <c r="CA3" s="688"/>
      <c r="CB3" s="685"/>
      <c r="CC3" s="688"/>
      <c r="CD3" s="688"/>
      <c r="CE3" s="688"/>
      <c r="CF3" s="688"/>
      <c r="CG3" s="688"/>
      <c r="CH3" s="685"/>
      <c r="CI3" s="688"/>
      <c r="CJ3" s="688"/>
      <c r="CK3" s="688"/>
      <c r="CL3" s="688"/>
      <c r="CM3" s="688"/>
      <c r="CN3" s="685"/>
      <c r="CO3" s="685"/>
      <c r="CP3" s="6"/>
    </row>
    <row r="4" spans="1:94">
      <c r="A4" s="689" t="s">
        <v>253</v>
      </c>
      <c r="B4" s="689"/>
      <c r="C4" s="689"/>
      <c r="D4" s="689"/>
      <c r="E4" s="689"/>
      <c r="F4" s="689"/>
      <c r="G4" s="689"/>
      <c r="H4" s="689"/>
      <c r="I4" s="689"/>
      <c r="J4" s="689"/>
      <c r="K4" s="689"/>
      <c r="L4" s="689"/>
      <c r="M4" s="689"/>
      <c r="N4" s="689"/>
      <c r="O4" s="689"/>
      <c r="P4" s="689"/>
      <c r="Q4" s="689"/>
      <c r="R4" s="689"/>
      <c r="S4" s="689"/>
      <c r="T4" s="689"/>
      <c r="U4" s="689"/>
      <c r="V4" s="689"/>
      <c r="W4" s="689"/>
      <c r="X4" s="689"/>
      <c r="Y4" s="689"/>
      <c r="Z4" s="689"/>
      <c r="AA4" s="689"/>
      <c r="AB4" s="689"/>
      <c r="AC4" s="689"/>
      <c r="AD4" s="689"/>
      <c r="AE4" s="689"/>
      <c r="AF4" s="689"/>
      <c r="AG4" s="689"/>
      <c r="AH4" s="689"/>
      <c r="AI4" s="689"/>
      <c r="AJ4" s="689"/>
      <c r="AK4" s="689"/>
      <c r="AL4" s="689"/>
      <c r="AM4" s="689"/>
      <c r="AN4" s="689"/>
      <c r="AO4" s="689"/>
      <c r="AP4" s="689"/>
      <c r="AQ4" s="689"/>
      <c r="AR4" s="689"/>
      <c r="AS4" s="689"/>
      <c r="AT4" s="689"/>
      <c r="AU4" s="689"/>
      <c r="AV4" s="689"/>
      <c r="AW4" s="689"/>
      <c r="AX4" s="689"/>
      <c r="AY4" s="689"/>
      <c r="AZ4" s="689"/>
      <c r="BA4" s="689"/>
      <c r="BB4" s="689"/>
      <c r="BC4" s="689"/>
      <c r="BD4" s="689"/>
      <c r="BE4" s="689"/>
      <c r="BF4" s="689"/>
      <c r="BG4" s="689"/>
      <c r="BH4" s="689"/>
      <c r="BI4" s="689"/>
      <c r="BJ4" s="689"/>
      <c r="BK4" s="689"/>
      <c r="BL4" s="689"/>
      <c r="BM4" s="689"/>
      <c r="BN4" s="689"/>
      <c r="BO4" s="689"/>
      <c r="BP4" s="689"/>
      <c r="BQ4" s="689"/>
      <c r="BR4" s="689"/>
      <c r="BS4" s="689"/>
      <c r="BT4" s="689"/>
      <c r="BU4" s="689"/>
      <c r="BV4" s="689"/>
      <c r="BW4" s="689"/>
      <c r="BX4" s="689"/>
      <c r="BY4" s="689"/>
      <c r="BZ4" s="689"/>
      <c r="CA4" s="689"/>
      <c r="CB4" s="689"/>
      <c r="CC4" s="689"/>
      <c r="CD4" s="689"/>
      <c r="CE4" s="689"/>
      <c r="CF4" s="689"/>
      <c r="CG4" s="689"/>
      <c r="CH4" s="689"/>
      <c r="CI4" s="689"/>
      <c r="CJ4" s="689"/>
      <c r="CK4" s="689"/>
      <c r="CL4" s="689"/>
      <c r="CM4" s="689"/>
      <c r="CN4" s="689"/>
      <c r="CO4" s="689"/>
      <c r="CP4" s="6"/>
    </row>
    <row r="5" spans="1:94" hidden="1" outlineLevel="1">
      <c r="A5" s="689"/>
      <c r="B5" s="689"/>
      <c r="C5" s="1831"/>
      <c r="D5" s="1831"/>
      <c r="E5" s="1831"/>
      <c r="F5" s="1831"/>
      <c r="G5" s="19"/>
      <c r="H5" s="689"/>
      <c r="I5" s="1831"/>
      <c r="J5" s="1831"/>
      <c r="K5" s="1831"/>
      <c r="L5" s="1831"/>
      <c r="M5" s="19"/>
      <c r="N5" s="689"/>
      <c r="O5" s="1831"/>
      <c r="P5" s="1831"/>
      <c r="Q5" s="1831"/>
      <c r="R5" s="1831"/>
      <c r="S5" s="19"/>
      <c r="T5" s="19"/>
      <c r="U5" s="1831"/>
      <c r="V5" s="1831"/>
      <c r="W5" s="1831"/>
      <c r="X5" s="1831"/>
      <c r="Y5" s="19"/>
      <c r="Z5" s="19"/>
      <c r="AA5" s="1831"/>
      <c r="AB5" s="1831"/>
      <c r="AC5" s="1831"/>
      <c r="AD5" s="1831"/>
      <c r="AE5" s="19"/>
      <c r="AF5" s="19"/>
      <c r="AG5" s="1831"/>
      <c r="AH5" s="1831"/>
      <c r="AI5" s="1831"/>
      <c r="AJ5" s="1831"/>
      <c r="AK5" s="19"/>
      <c r="AL5" s="19"/>
      <c r="AM5" s="1831"/>
      <c r="AN5" s="1831"/>
      <c r="AO5" s="1831"/>
      <c r="AP5" s="1831"/>
      <c r="AQ5" s="19"/>
      <c r="AR5" s="19"/>
      <c r="AS5" s="1831"/>
      <c r="AT5" s="1831"/>
      <c r="AU5" s="1831"/>
      <c r="AV5" s="1831"/>
      <c r="AW5" s="19"/>
      <c r="AX5" s="19"/>
      <c r="AY5" s="1831"/>
      <c r="AZ5" s="1831"/>
      <c r="BA5" s="1831"/>
      <c r="BB5" s="1831"/>
      <c r="BC5" s="19"/>
      <c r="BD5" s="19"/>
      <c r="BE5" s="1831"/>
      <c r="BF5" s="1831"/>
      <c r="BG5" s="1831"/>
      <c r="BH5" s="1831"/>
      <c r="BI5" s="19"/>
      <c r="BJ5" s="19"/>
      <c r="BK5" s="1831"/>
      <c r="BL5" s="1831"/>
      <c r="BM5" s="1831"/>
      <c r="BN5" s="1831"/>
      <c r="BO5" s="19"/>
      <c r="BP5" s="19"/>
      <c r="BQ5" s="1831"/>
      <c r="BR5" s="1831"/>
      <c r="BS5" s="1831"/>
      <c r="BT5" s="1831"/>
      <c r="BU5" s="1831"/>
      <c r="BV5" s="19"/>
      <c r="BW5" s="1831"/>
      <c r="BX5" s="1831"/>
      <c r="BY5" s="1831"/>
      <c r="BZ5" s="1831"/>
      <c r="CA5" s="1831"/>
      <c r="CB5" s="1831"/>
      <c r="CC5" s="1831"/>
      <c r="CD5" s="1831"/>
      <c r="CE5" s="1831"/>
      <c r="CF5" s="1831"/>
      <c r="CG5" s="1831"/>
      <c r="CH5" s="689"/>
      <c r="CI5" s="1831"/>
      <c r="CJ5" s="1831"/>
      <c r="CK5" s="1831"/>
      <c r="CL5" s="1831"/>
      <c r="CM5" s="1831"/>
      <c r="CN5" s="689"/>
      <c r="CO5" s="689"/>
      <c r="CP5" s="6"/>
    </row>
    <row r="6" spans="1:94" collapsed="1">
      <c r="A6" s="689"/>
      <c r="B6" s="689"/>
      <c r="C6" s="23" t="s">
        <v>59</v>
      </c>
      <c r="D6" s="24"/>
      <c r="E6" s="24"/>
      <c r="F6" s="24"/>
      <c r="G6" s="26" t="str">
        <f>C6</f>
        <v>2007A</v>
      </c>
      <c r="H6" s="689"/>
      <c r="I6" s="23" t="s">
        <v>60</v>
      </c>
      <c r="J6" s="24"/>
      <c r="K6" s="24"/>
      <c r="L6" s="24"/>
      <c r="M6" s="26" t="str">
        <f>I6</f>
        <v>2008A</v>
      </c>
      <c r="N6" s="689"/>
      <c r="O6" s="23" t="s">
        <v>61</v>
      </c>
      <c r="P6" s="24"/>
      <c r="Q6" s="24"/>
      <c r="R6" s="24"/>
      <c r="S6" s="26" t="str">
        <f>O6</f>
        <v>2009A</v>
      </c>
      <c r="T6" s="18"/>
      <c r="U6" s="23" t="s">
        <v>62</v>
      </c>
      <c r="V6" s="24"/>
      <c r="W6" s="24"/>
      <c r="X6" s="24"/>
      <c r="Y6" s="26" t="str">
        <f>U6</f>
        <v>2010A</v>
      </c>
      <c r="Z6" s="18"/>
      <c r="AA6" s="23" t="s">
        <v>63</v>
      </c>
      <c r="AB6" s="24"/>
      <c r="AC6" s="24"/>
      <c r="AD6" s="24"/>
      <c r="AE6" s="26" t="str">
        <f>AA6</f>
        <v>2011A</v>
      </c>
      <c r="AF6" s="18"/>
      <c r="AG6" s="23" t="s">
        <v>64</v>
      </c>
      <c r="AH6" s="24"/>
      <c r="AI6" s="24"/>
      <c r="AJ6" s="24"/>
      <c r="AK6" s="26" t="str">
        <f>AG6</f>
        <v>2012A</v>
      </c>
      <c r="AL6" s="18"/>
      <c r="AM6" s="23" t="s">
        <v>65</v>
      </c>
      <c r="AN6" s="24"/>
      <c r="AO6" s="24"/>
      <c r="AP6" s="24"/>
      <c r="AQ6" s="26" t="str">
        <f>AM6</f>
        <v>2013A</v>
      </c>
      <c r="AR6" s="18"/>
      <c r="AS6" s="23" t="s">
        <v>66</v>
      </c>
      <c r="AT6" s="24"/>
      <c r="AU6" s="24"/>
      <c r="AV6" s="24"/>
      <c r="AW6" s="26" t="str">
        <f>AS6</f>
        <v>2014A</v>
      </c>
      <c r="AX6" s="18"/>
      <c r="AY6" s="23" t="s">
        <v>536</v>
      </c>
      <c r="AZ6" s="24"/>
      <c r="BA6" s="24"/>
      <c r="BB6" s="24"/>
      <c r="BC6" s="26" t="str">
        <f>AY6</f>
        <v>2015A</v>
      </c>
      <c r="BD6" s="18"/>
      <c r="BE6" s="23" t="s">
        <v>562</v>
      </c>
      <c r="BF6" s="24"/>
      <c r="BG6" s="24"/>
      <c r="BH6" s="24"/>
      <c r="BI6" s="26" t="str">
        <f>BE6</f>
        <v>2016A</v>
      </c>
      <c r="BJ6" s="18"/>
      <c r="BK6" s="23" t="s">
        <v>544</v>
      </c>
      <c r="BL6" s="24"/>
      <c r="BM6" s="24"/>
      <c r="BN6" s="24"/>
      <c r="BO6" s="26" t="str">
        <f>BK6</f>
        <v>2017A</v>
      </c>
      <c r="BP6" s="18"/>
      <c r="BQ6" s="23" t="str">
        <f>+OrgRev!BQ5</f>
        <v>2018E</v>
      </c>
      <c r="BR6" s="24"/>
      <c r="BS6" s="24"/>
      <c r="BT6" s="24"/>
      <c r="BU6" s="26" t="str">
        <f>BQ6</f>
        <v>2018E</v>
      </c>
      <c r="BV6" s="18"/>
      <c r="BW6" s="23" t="str">
        <f>+OrgRev!BW5</f>
        <v>2019E</v>
      </c>
      <c r="BX6" s="24"/>
      <c r="BY6" s="24"/>
      <c r="BZ6" s="24"/>
      <c r="CA6" s="26" t="str">
        <f>BW6</f>
        <v>2019E</v>
      </c>
      <c r="CB6" s="18"/>
      <c r="CC6" s="23" t="str">
        <f>+OrgRev!CC5</f>
        <v>2020E</v>
      </c>
      <c r="CD6" s="24"/>
      <c r="CE6" s="24"/>
      <c r="CF6" s="24"/>
      <c r="CG6" s="26" t="str">
        <f>CC6</f>
        <v>2020E</v>
      </c>
      <c r="CH6" s="689"/>
      <c r="CI6" s="23" t="str">
        <f>+OrgRev!CI5</f>
        <v>2021E</v>
      </c>
      <c r="CJ6" s="24"/>
      <c r="CK6" s="24"/>
      <c r="CL6" s="24"/>
      <c r="CM6" s="26" t="str">
        <f>CI6</f>
        <v>2021E</v>
      </c>
      <c r="CN6" s="689"/>
      <c r="CO6" s="689"/>
      <c r="CP6" s="6"/>
    </row>
    <row r="7" spans="1:94" ht="15.75" thickBot="1">
      <c r="A7" s="232"/>
      <c r="B7" s="690"/>
      <c r="C7" s="691">
        <f>IS!C8</f>
        <v>39113</v>
      </c>
      <c r="D7" s="692">
        <f>IS!D8</f>
        <v>39202</v>
      </c>
      <c r="E7" s="692">
        <f>IS!E8</f>
        <v>39293</v>
      </c>
      <c r="F7" s="692">
        <f>IS!F8</f>
        <v>39384</v>
      </c>
      <c r="G7" s="693"/>
      <c r="H7" s="690"/>
      <c r="I7" s="691">
        <f>IS!I8</f>
        <v>39478</v>
      </c>
      <c r="J7" s="692">
        <f>IS!J8</f>
        <v>39567</v>
      </c>
      <c r="K7" s="692">
        <f>IS!K8</f>
        <v>39658</v>
      </c>
      <c r="L7" s="692">
        <f>IS!L8</f>
        <v>39749</v>
      </c>
      <c r="M7" s="693"/>
      <c r="N7" s="690"/>
      <c r="O7" s="691">
        <f>IS!O8</f>
        <v>39843</v>
      </c>
      <c r="P7" s="692">
        <f>IS!P8</f>
        <v>39932</v>
      </c>
      <c r="Q7" s="692">
        <f>IS!Q8</f>
        <v>40023</v>
      </c>
      <c r="R7" s="692">
        <f>IS!R8</f>
        <v>40114</v>
      </c>
      <c r="S7" s="693"/>
      <c r="T7" s="18"/>
      <c r="U7" s="385">
        <f>IS!U8</f>
        <v>40208</v>
      </c>
      <c r="V7" s="383">
        <f>IS!V8</f>
        <v>40297</v>
      </c>
      <c r="W7" s="383">
        <f>IS!W8</f>
        <v>40388</v>
      </c>
      <c r="X7" s="383">
        <f>IS!X8</f>
        <v>40479</v>
      </c>
      <c r="Y7" s="693"/>
      <c r="Z7" s="18"/>
      <c r="AA7" s="691">
        <f>IS!AA8</f>
        <v>40573</v>
      </c>
      <c r="AB7" s="692">
        <f>IS!AB8</f>
        <v>40662</v>
      </c>
      <c r="AC7" s="692">
        <f>IS!AC8</f>
        <v>40753</v>
      </c>
      <c r="AD7" s="692">
        <f>IS!AD8</f>
        <v>40844</v>
      </c>
      <c r="AE7" s="693"/>
      <c r="AF7" s="18"/>
      <c r="AG7" s="691">
        <f>IS!AG8</f>
        <v>40938</v>
      </c>
      <c r="AH7" s="692">
        <f>IS!AH8</f>
        <v>41027</v>
      </c>
      <c r="AI7" s="692">
        <f>IS!AI8</f>
        <v>41118</v>
      </c>
      <c r="AJ7" s="692">
        <f>IS!AJ8</f>
        <v>41209</v>
      </c>
      <c r="AK7" s="693"/>
      <c r="AL7" s="18"/>
      <c r="AM7" s="691">
        <f>IS!AM8</f>
        <v>41303</v>
      </c>
      <c r="AN7" s="692">
        <f>IS!AN8</f>
        <v>41392</v>
      </c>
      <c r="AO7" s="692">
        <f>IS!AO8</f>
        <v>41483</v>
      </c>
      <c r="AP7" s="692">
        <f>IS!AP8</f>
        <v>41574</v>
      </c>
      <c r="AQ7" s="693"/>
      <c r="AR7" s="18"/>
      <c r="AS7" s="692">
        <f>IS!AS8</f>
        <v>41668</v>
      </c>
      <c r="AT7" s="692">
        <f>IS!AT8</f>
        <v>41757</v>
      </c>
      <c r="AU7" s="692">
        <f>IS!AU8</f>
        <v>41846</v>
      </c>
      <c r="AV7" s="692">
        <f>IS!AV8</f>
        <v>41937</v>
      </c>
      <c r="AW7" s="693"/>
      <c r="AX7" s="18"/>
      <c r="AY7" s="692">
        <f>IS!AY8</f>
        <v>42033</v>
      </c>
      <c r="AZ7" s="692">
        <f>IS!AZ8</f>
        <v>42122</v>
      </c>
      <c r="BA7" s="692">
        <f>IS!BA8</f>
        <v>42213</v>
      </c>
      <c r="BB7" s="692">
        <f>IS!BB8</f>
        <v>42304</v>
      </c>
      <c r="BC7" s="693"/>
      <c r="BD7" s="18"/>
      <c r="BE7" s="692">
        <f>IS!BE8</f>
        <v>42398</v>
      </c>
      <c r="BF7" s="692">
        <f>IS!BF8</f>
        <v>42487</v>
      </c>
      <c r="BG7" s="692">
        <f>IS!BG8</f>
        <v>42578</v>
      </c>
      <c r="BH7" s="692">
        <f>IS!BH8</f>
        <v>42669</v>
      </c>
      <c r="BI7" s="693"/>
      <c r="BJ7" s="18"/>
      <c r="BK7" s="692">
        <f>IS!BK8</f>
        <v>42763</v>
      </c>
      <c r="BL7" s="692">
        <f>IS!BL8</f>
        <v>42852</v>
      </c>
      <c r="BM7" s="692">
        <f>IS!BM8</f>
        <v>42943</v>
      </c>
      <c r="BN7" s="692">
        <f>IS!BN8</f>
        <v>43034</v>
      </c>
      <c r="BO7" s="693"/>
      <c r="BP7" s="18"/>
      <c r="BQ7" s="692">
        <f>IS!BQ8</f>
        <v>43128</v>
      </c>
      <c r="BR7" s="695">
        <f>IS!BR8</f>
        <v>43217</v>
      </c>
      <c r="BS7" s="695">
        <f>IS!BS8</f>
        <v>43308</v>
      </c>
      <c r="BT7" s="695">
        <f>IS!BT8</f>
        <v>43399</v>
      </c>
      <c r="BU7" s="693"/>
      <c r="BV7" s="18"/>
      <c r="BW7" s="694">
        <f>IS!BW8</f>
        <v>43493</v>
      </c>
      <c r="BX7" s="695">
        <f>IS!BX8</f>
        <v>43582</v>
      </c>
      <c r="BY7" s="695">
        <f>IS!BY8</f>
        <v>43673</v>
      </c>
      <c r="BZ7" s="695">
        <f>IS!BZ8</f>
        <v>43764</v>
      </c>
      <c r="CA7" s="693"/>
      <c r="CB7" s="2123"/>
      <c r="CC7" s="694">
        <f>IS!CC8</f>
        <v>43858</v>
      </c>
      <c r="CD7" s="695">
        <f>IS!CD8</f>
        <v>43947</v>
      </c>
      <c r="CE7" s="695">
        <f>IS!CE8</f>
        <v>44038</v>
      </c>
      <c r="CF7" s="695">
        <f>IS!CF8</f>
        <v>44129</v>
      </c>
      <c r="CG7" s="693"/>
      <c r="CH7" s="690"/>
      <c r="CI7" s="694">
        <f>IS!CI8</f>
        <v>44223</v>
      </c>
      <c r="CJ7" s="695">
        <f>IS!CJ8</f>
        <v>44312</v>
      </c>
      <c r="CK7" s="695">
        <f>IS!CK8</f>
        <v>44403</v>
      </c>
      <c r="CL7" s="695">
        <f>IS!CL8</f>
        <v>44494</v>
      </c>
      <c r="CM7" s="693"/>
      <c r="CN7" s="690"/>
      <c r="CO7" s="690"/>
      <c r="CP7" s="79"/>
    </row>
    <row r="8" spans="1:94">
      <c r="A8" s="1839" t="s">
        <v>254</v>
      </c>
      <c r="B8" s="696"/>
      <c r="C8" s="1832"/>
      <c r="D8" s="696"/>
      <c r="E8" s="696"/>
      <c r="F8" s="696"/>
      <c r="G8" s="698"/>
      <c r="H8" s="696"/>
      <c r="I8" s="697"/>
      <c r="J8" s="696"/>
      <c r="K8" s="696"/>
      <c r="L8" s="696"/>
      <c r="M8" s="698"/>
      <c r="N8" s="696"/>
      <c r="O8" s="697"/>
      <c r="P8" s="696"/>
      <c r="Q8" s="696"/>
      <c r="R8" s="696"/>
      <c r="S8" s="698" t="s">
        <v>113</v>
      </c>
      <c r="T8" s="696"/>
      <c r="U8" s="697"/>
      <c r="V8" s="696"/>
      <c r="W8" s="696"/>
      <c r="X8" s="696"/>
      <c r="Y8" s="698"/>
      <c r="Z8" s="696"/>
      <c r="AA8" s="697"/>
      <c r="AB8" s="696"/>
      <c r="AC8" s="696"/>
      <c r="AD8" s="696"/>
      <c r="AE8" s="698"/>
      <c r="AF8" s="696"/>
      <c r="AG8" s="697"/>
      <c r="AH8" s="696"/>
      <c r="AI8" s="696"/>
      <c r="AJ8" s="696"/>
      <c r="AK8" s="698"/>
      <c r="AL8" s="696"/>
      <c r="AM8" s="697"/>
      <c r="AN8" s="696"/>
      <c r="AO8" s="696"/>
      <c r="AP8" s="696"/>
      <c r="AQ8" s="698"/>
      <c r="AR8" s="696"/>
      <c r="AS8" s="1832"/>
      <c r="AT8" s="696"/>
      <c r="AU8" s="696"/>
      <c r="AV8" s="696"/>
      <c r="AW8" s="698"/>
      <c r="AX8" s="696"/>
      <c r="AY8" s="697"/>
      <c r="AZ8" s="696"/>
      <c r="BA8" s="696"/>
      <c r="BB8" s="696"/>
      <c r="BC8" s="698"/>
      <c r="BD8" s="696"/>
      <c r="BE8" s="697"/>
      <c r="BF8" s="696"/>
      <c r="BG8" s="696"/>
      <c r="BH8" s="696"/>
      <c r="BI8" s="698"/>
      <c r="BJ8" s="696"/>
      <c r="BK8" s="697"/>
      <c r="BL8" s="696"/>
      <c r="BM8" s="696"/>
      <c r="BN8" s="696"/>
      <c r="BO8" s="698"/>
      <c r="BP8" s="696"/>
      <c r="BQ8" s="697"/>
      <c r="BR8" s="696"/>
      <c r="BS8" s="696"/>
      <c r="BT8" s="696"/>
      <c r="BU8" s="698"/>
      <c r="BV8" s="696"/>
      <c r="BW8" s="697"/>
      <c r="BX8" s="696"/>
      <c r="BY8" s="696"/>
      <c r="BZ8" s="696"/>
      <c r="CA8" s="698"/>
      <c r="CB8" s="696"/>
      <c r="CC8" s="697"/>
      <c r="CD8" s="696"/>
      <c r="CE8" s="696"/>
      <c r="CF8" s="696"/>
      <c r="CG8" s="698"/>
      <c r="CH8" s="699"/>
      <c r="CI8" s="697"/>
      <c r="CJ8" s="696"/>
      <c r="CK8" s="696"/>
      <c r="CL8" s="696"/>
      <c r="CM8" s="698"/>
      <c r="CN8" s="699"/>
      <c r="CO8" s="699"/>
      <c r="CP8" s="6"/>
    </row>
    <row r="9" spans="1:94">
      <c r="A9" s="1840" t="s">
        <v>255</v>
      </c>
      <c r="B9" s="204"/>
      <c r="C9" s="1704">
        <v>2090</v>
      </c>
      <c r="D9" s="1703">
        <v>2050</v>
      </c>
      <c r="E9" s="1703">
        <v>1486</v>
      </c>
      <c r="F9" s="1703">
        <v>1826</v>
      </c>
      <c r="G9" s="700">
        <f>F9</f>
        <v>1826</v>
      </c>
      <c r="H9" s="204"/>
      <c r="I9" s="1704">
        <v>1385</v>
      </c>
      <c r="J9" s="1703">
        <v>1710</v>
      </c>
      <c r="K9" s="1703">
        <v>1640</v>
      </c>
      <c r="L9" s="1703">
        <v>1405</v>
      </c>
      <c r="M9" s="700">
        <f>L9</f>
        <v>1405</v>
      </c>
      <c r="N9" s="204"/>
      <c r="O9" s="1704">
        <v>1362</v>
      </c>
      <c r="P9" s="1703">
        <v>1400</v>
      </c>
      <c r="Q9" s="1703">
        <v>1479</v>
      </c>
      <c r="R9" s="1703">
        <v>2479</v>
      </c>
      <c r="S9" s="700">
        <f>R9</f>
        <v>2479</v>
      </c>
      <c r="T9" s="204"/>
      <c r="U9" s="1704">
        <v>2481</v>
      </c>
      <c r="V9" s="1703">
        <v>2646</v>
      </c>
      <c r="W9" s="1703">
        <v>2317</v>
      </c>
      <c r="X9" s="1703">
        <v>2649</v>
      </c>
      <c r="Y9" s="700">
        <f>X9</f>
        <v>2649</v>
      </c>
      <c r="Z9" s="204"/>
      <c r="AA9" s="1704">
        <v>2638</v>
      </c>
      <c r="AB9" s="1703">
        <v>2975</v>
      </c>
      <c r="AC9" s="1703">
        <v>3101</v>
      </c>
      <c r="AD9" s="1703">
        <v>3527</v>
      </c>
      <c r="AE9" s="700">
        <f>AD9</f>
        <v>3527</v>
      </c>
      <c r="AF9" s="204"/>
      <c r="AG9" s="1704">
        <v>3662</v>
      </c>
      <c r="AH9" s="1703">
        <v>3896</v>
      </c>
      <c r="AI9" s="1703">
        <v>1923</v>
      </c>
      <c r="AJ9" s="1703">
        <v>2351</v>
      </c>
      <c r="AK9" s="700">
        <f>AJ9</f>
        <v>2351</v>
      </c>
      <c r="AL9" s="204"/>
      <c r="AM9" s="1704">
        <v>2450</v>
      </c>
      <c r="AN9" s="1703">
        <v>2519</v>
      </c>
      <c r="AO9" s="1703">
        <v>2330</v>
      </c>
      <c r="AP9" s="1703">
        <v>2675</v>
      </c>
      <c r="AQ9" s="700">
        <f>AP9</f>
        <v>2675</v>
      </c>
      <c r="AR9" s="204"/>
      <c r="AS9" s="1704">
        <v>2742</v>
      </c>
      <c r="AT9" s="204">
        <v>2950</v>
      </c>
      <c r="AU9" s="204">
        <v>2391</v>
      </c>
      <c r="AV9" s="1703">
        <v>2218</v>
      </c>
      <c r="AW9" s="700">
        <f>AV9</f>
        <v>2218</v>
      </c>
      <c r="AX9" s="204"/>
      <c r="AY9" s="1704">
        <v>2118</v>
      </c>
      <c r="AZ9" s="1703">
        <v>2197</v>
      </c>
      <c r="BA9" s="1703">
        <v>2075</v>
      </c>
      <c r="BB9" s="1703">
        <v>2003</v>
      </c>
      <c r="BC9" s="700">
        <f>BB9</f>
        <v>2003</v>
      </c>
      <c r="BD9" s="204"/>
      <c r="BE9" s="1704">
        <v>1931</v>
      </c>
      <c r="BF9" s="1703">
        <v>2139</v>
      </c>
      <c r="BG9" s="1703">
        <v>2199</v>
      </c>
      <c r="BH9" s="1703">
        <v>2289</v>
      </c>
      <c r="BI9" s="700">
        <f>BH9</f>
        <v>2289</v>
      </c>
      <c r="BJ9" s="204"/>
      <c r="BK9" s="1704">
        <v>2241</v>
      </c>
      <c r="BL9" s="1703">
        <v>2389</v>
      </c>
      <c r="BM9" s="1703">
        <v>2563</v>
      </c>
      <c r="BN9" s="1703">
        <v>2678</v>
      </c>
      <c r="BO9" s="700">
        <f>BN9</f>
        <v>2678</v>
      </c>
      <c r="BP9" s="204"/>
      <c r="BQ9" s="1704">
        <v>2887</v>
      </c>
      <c r="BR9" s="204">
        <f>CF!BR75</f>
        <v>2932.338783510741</v>
      </c>
      <c r="BS9" s="204">
        <f>CF!BS75</f>
        <v>3002.0140035582676</v>
      </c>
      <c r="BT9" s="204">
        <f>CF!BT75</f>
        <v>3138.8838002958869</v>
      </c>
      <c r="BU9" s="700">
        <f>BT9</f>
        <v>3138.8838002958869</v>
      </c>
      <c r="BV9" s="204"/>
      <c r="BW9" s="701">
        <f>CF!BW75</f>
        <v>3156.7233860767842</v>
      </c>
      <c r="BX9" s="204">
        <f>CF!BX75</f>
        <v>3245.4556896019385</v>
      </c>
      <c r="BY9" s="204">
        <f>CF!BY75</f>
        <v>3358.5384785890251</v>
      </c>
      <c r="BZ9" s="204">
        <f>CF!BZ75</f>
        <v>3550.7907818206868</v>
      </c>
      <c r="CA9" s="700">
        <f>BZ9</f>
        <v>3550.7907818206868</v>
      </c>
      <c r="CB9" s="746"/>
      <c r="CC9" s="701">
        <f>CF!CC75</f>
        <v>3092.8201646124071</v>
      </c>
      <c r="CD9" s="204">
        <f>CF!CD75</f>
        <v>3267.2801607217566</v>
      </c>
      <c r="CE9" s="204">
        <f>CF!CE75</f>
        <v>3473.2408100149532</v>
      </c>
      <c r="CF9" s="204">
        <f>CF!CF75</f>
        <v>3772.5015225231014</v>
      </c>
      <c r="CG9" s="700">
        <f>CF9</f>
        <v>3772.5015225231014</v>
      </c>
      <c r="CH9" s="204"/>
      <c r="CI9" s="701">
        <f>CF!CI75</f>
        <v>3535.4444376782776</v>
      </c>
      <c r="CJ9" s="204">
        <f>CF!CJ75</f>
        <v>3666.3970480529265</v>
      </c>
      <c r="CK9" s="204">
        <f>CF!CK75</f>
        <v>3827.2388963143726</v>
      </c>
      <c r="CL9" s="204">
        <f>CF!CL75</f>
        <v>4090.4101075632775</v>
      </c>
      <c r="CM9" s="700">
        <f>CL9</f>
        <v>4090.4101075632775</v>
      </c>
      <c r="CN9" s="333"/>
      <c r="CO9" s="333"/>
      <c r="CP9" s="89"/>
    </row>
    <row r="10" spans="1:94" ht="12" hidden="1" customHeight="1" outlineLevel="1">
      <c r="A10" s="1841" t="s">
        <v>256</v>
      </c>
      <c r="B10" s="498"/>
      <c r="C10" s="1555">
        <v>0</v>
      </c>
      <c r="D10" s="1554">
        <v>0</v>
      </c>
      <c r="E10" s="1554">
        <v>0</v>
      </c>
      <c r="F10" s="1554">
        <v>0</v>
      </c>
      <c r="G10" s="703">
        <f>F10</f>
        <v>0</v>
      </c>
      <c r="H10" s="702"/>
      <c r="I10" s="1555">
        <f>1591+172</f>
        <v>1763</v>
      </c>
      <c r="J10" s="1554">
        <f>1572+30</f>
        <v>1602</v>
      </c>
      <c r="K10" s="1554">
        <f>1570+29</f>
        <v>1599</v>
      </c>
      <c r="L10" s="1554">
        <v>24</v>
      </c>
      <c r="M10" s="703">
        <f>L10</f>
        <v>24</v>
      </c>
      <c r="N10" s="498"/>
      <c r="O10" s="1555">
        <v>18</v>
      </c>
      <c r="P10" s="1554">
        <v>12</v>
      </c>
      <c r="Q10" s="1554">
        <v>20</v>
      </c>
      <c r="R10" s="1554">
        <v>14</v>
      </c>
      <c r="S10" s="703">
        <f>R10</f>
        <v>14</v>
      </c>
      <c r="T10" s="702"/>
      <c r="U10" s="1555">
        <f>1553+12</f>
        <v>1565</v>
      </c>
      <c r="V10" s="1554">
        <f>1552+11</f>
        <v>1563</v>
      </c>
      <c r="W10" s="1554">
        <v>1551</v>
      </c>
      <c r="X10" s="1554">
        <v>1550</v>
      </c>
      <c r="Y10" s="703">
        <f>X10</f>
        <v>1550</v>
      </c>
      <c r="Z10" s="702"/>
      <c r="AA10" s="1555">
        <v>17</v>
      </c>
      <c r="AB10" s="1554">
        <v>0</v>
      </c>
      <c r="AC10" s="1554">
        <v>0</v>
      </c>
      <c r="AD10" s="1554">
        <v>0</v>
      </c>
      <c r="AE10" s="703">
        <f>AD10</f>
        <v>0</v>
      </c>
      <c r="AF10" s="702"/>
      <c r="AG10" s="1555">
        <v>0</v>
      </c>
      <c r="AH10" s="1554">
        <v>0</v>
      </c>
      <c r="AI10" s="1554">
        <v>0</v>
      </c>
      <c r="AJ10" s="1554">
        <v>0</v>
      </c>
      <c r="AK10" s="703">
        <f>AJ10</f>
        <v>0</v>
      </c>
      <c r="AL10" s="702"/>
      <c r="AM10" s="1555">
        <v>0</v>
      </c>
      <c r="AN10" s="1554">
        <v>0</v>
      </c>
      <c r="AO10" s="1554">
        <v>0</v>
      </c>
      <c r="AP10" s="1554">
        <v>0</v>
      </c>
      <c r="AQ10" s="703">
        <f>AP10</f>
        <v>0</v>
      </c>
      <c r="AR10" s="702"/>
      <c r="AS10" s="1555">
        <v>0</v>
      </c>
      <c r="AT10" s="705">
        <v>0</v>
      </c>
      <c r="AU10" s="705">
        <v>0</v>
      </c>
      <c r="AV10" s="1809">
        <v>0</v>
      </c>
      <c r="AW10" s="703">
        <f>AV10</f>
        <v>0</v>
      </c>
      <c r="AX10" s="702"/>
      <c r="AY10" s="1555">
        <v>0</v>
      </c>
      <c r="AZ10" s="1554">
        <v>0</v>
      </c>
      <c r="BA10" s="1554">
        <v>0</v>
      </c>
      <c r="BB10" s="1809">
        <v>242</v>
      </c>
      <c r="BC10" s="703">
        <f>BB10</f>
        <v>242</v>
      </c>
      <c r="BD10" s="702"/>
      <c r="BE10" s="1555">
        <v>0</v>
      </c>
      <c r="BF10" s="1554">
        <v>0</v>
      </c>
      <c r="BG10" s="1554">
        <v>0</v>
      </c>
      <c r="BH10" s="1554">
        <v>0</v>
      </c>
      <c r="BI10" s="703">
        <f>BH10</f>
        <v>0</v>
      </c>
      <c r="BJ10" s="702"/>
      <c r="BK10" s="1555">
        <v>0</v>
      </c>
      <c r="BL10" s="1554">
        <v>0</v>
      </c>
      <c r="BM10" s="1554">
        <v>0</v>
      </c>
      <c r="BN10" s="1554">
        <v>0</v>
      </c>
      <c r="BO10" s="703">
        <f>BN10</f>
        <v>0</v>
      </c>
      <c r="BP10" s="702"/>
      <c r="BQ10" s="1555">
        <v>0</v>
      </c>
      <c r="BR10" s="705">
        <f>BQ10-CF!BR39</f>
        <v>0</v>
      </c>
      <c r="BS10" s="705">
        <f>BR10-CF!BS39</f>
        <v>0</v>
      </c>
      <c r="BT10" s="705">
        <f>BS10-CF!BT39</f>
        <v>0</v>
      </c>
      <c r="BU10" s="703">
        <f>BT10</f>
        <v>0</v>
      </c>
      <c r="BV10" s="702"/>
      <c r="BW10" s="706">
        <f>BT10-CF!BW39</f>
        <v>0</v>
      </c>
      <c r="BX10" s="705">
        <f>BW10-CF!BX39</f>
        <v>0</v>
      </c>
      <c r="BY10" s="705">
        <f>BX10-CF!BY39</f>
        <v>0</v>
      </c>
      <c r="BZ10" s="705">
        <f>BY10-CF!BZ39</f>
        <v>0</v>
      </c>
      <c r="CA10" s="703">
        <f>BZ10</f>
        <v>0</v>
      </c>
      <c r="CB10" s="750"/>
      <c r="CC10" s="706">
        <f>BZ10-CF!CC39</f>
        <v>0</v>
      </c>
      <c r="CD10" s="705">
        <f>CC10-CF!CD39</f>
        <v>0</v>
      </c>
      <c r="CE10" s="705">
        <f>CD10-CF!CE39</f>
        <v>0</v>
      </c>
      <c r="CF10" s="705">
        <f>CE10-CF!CF39</f>
        <v>0</v>
      </c>
      <c r="CG10" s="703">
        <f>CF10</f>
        <v>0</v>
      </c>
      <c r="CH10" s="498"/>
      <c r="CI10" s="706">
        <f>CF10-CF!CI39</f>
        <v>0</v>
      </c>
      <c r="CJ10" s="705">
        <f>CI10-CF!CJ39</f>
        <v>0</v>
      </c>
      <c r="CK10" s="705">
        <f>CJ10-CF!CK39</f>
        <v>0</v>
      </c>
      <c r="CL10" s="705">
        <f>CK10-CF!CL39</f>
        <v>0</v>
      </c>
      <c r="CM10" s="703">
        <f>CL10</f>
        <v>0</v>
      </c>
      <c r="CN10" s="333"/>
      <c r="CO10" s="333"/>
      <c r="CP10" s="64"/>
    </row>
    <row r="11" spans="1:94" collapsed="1">
      <c r="A11" s="1841" t="s">
        <v>257</v>
      </c>
      <c r="B11" s="707"/>
      <c r="C11" s="708">
        <v>254.05362776025234</v>
      </c>
      <c r="D11" s="709">
        <v>238.97791798107255</v>
      </c>
      <c r="E11" s="709">
        <v>261.87066246056781</v>
      </c>
      <c r="F11" s="709">
        <v>292.58044164037852</v>
      </c>
      <c r="G11" s="710">
        <f>F11</f>
        <v>292.58044164037852</v>
      </c>
      <c r="H11" s="707"/>
      <c r="I11" s="708">
        <v>296.48895899053628</v>
      </c>
      <c r="J11" s="709">
        <v>295.93059936908514</v>
      </c>
      <c r="K11" s="709">
        <v>301.51419558359618</v>
      </c>
      <c r="L11" s="709">
        <v>331.66561514195581</v>
      </c>
      <c r="M11" s="710">
        <f>L11</f>
        <v>331.66561514195581</v>
      </c>
      <c r="N11" s="707"/>
      <c r="O11" s="708">
        <v>293.13880126182966</v>
      </c>
      <c r="P11" s="709">
        <v>278.06309148264984</v>
      </c>
      <c r="Q11" s="709">
        <v>276.94637223974763</v>
      </c>
      <c r="R11" s="709">
        <v>303.74763406940059</v>
      </c>
      <c r="S11" s="710">
        <f>R11</f>
        <v>303.74763406940059</v>
      </c>
      <c r="T11" s="709"/>
      <c r="U11" s="708">
        <v>326.08201892744478</v>
      </c>
      <c r="V11" s="709">
        <v>319.38170347003154</v>
      </c>
      <c r="W11" s="709">
        <v>392.52681388012616</v>
      </c>
      <c r="X11" s="709">
        <v>457.85488958990533</v>
      </c>
      <c r="Y11" s="710">
        <f>X11</f>
        <v>457.85488958990533</v>
      </c>
      <c r="Z11" s="709"/>
      <c r="AA11" s="706">
        <v>420.44479495268138</v>
      </c>
      <c r="AB11" s="705">
        <v>471.81388012618294</v>
      </c>
      <c r="AC11" s="705">
        <v>466.78864353312298</v>
      </c>
      <c r="AD11" s="709">
        <v>489.12302839116717</v>
      </c>
      <c r="AE11" s="710">
        <f>AD11</f>
        <v>489.12302839116717</v>
      </c>
      <c r="AF11" s="709"/>
      <c r="AG11" s="706">
        <v>478.51419558359618</v>
      </c>
      <c r="AH11" s="705">
        <v>478.51419558359618</v>
      </c>
      <c r="AI11" s="705">
        <v>490.23974763406937</v>
      </c>
      <c r="AJ11" s="1705">
        <v>531</v>
      </c>
      <c r="AK11" s="703">
        <f>AJ11</f>
        <v>531</v>
      </c>
      <c r="AL11" s="711"/>
      <c r="AM11" s="706">
        <v>528.64955577492594</v>
      </c>
      <c r="AN11" s="705">
        <v>536.37512339585385</v>
      </c>
      <c r="AO11" s="705">
        <v>524.78677196446199</v>
      </c>
      <c r="AP11" s="1705">
        <v>559</v>
      </c>
      <c r="AQ11" s="703">
        <f>AP11</f>
        <v>559</v>
      </c>
      <c r="AR11" s="711"/>
      <c r="AS11" s="1706">
        <v>560</v>
      </c>
      <c r="AT11" s="705">
        <v>568</v>
      </c>
      <c r="AU11" s="705">
        <v>572</v>
      </c>
      <c r="AV11" s="1809">
        <v>626</v>
      </c>
      <c r="AW11" s="703">
        <f>AV11</f>
        <v>626</v>
      </c>
      <c r="AX11" s="711"/>
      <c r="AY11" s="1555">
        <v>615</v>
      </c>
      <c r="AZ11" s="1554">
        <v>576</v>
      </c>
      <c r="BA11" s="1554">
        <v>584</v>
      </c>
      <c r="BB11" s="1809">
        <v>606</v>
      </c>
      <c r="BC11" s="703">
        <f>BB11</f>
        <v>606</v>
      </c>
      <c r="BD11" s="711"/>
      <c r="BE11" s="1555">
        <v>617</v>
      </c>
      <c r="BF11" s="1554">
        <v>602</v>
      </c>
      <c r="BG11" s="1554">
        <v>590</v>
      </c>
      <c r="BH11" s="1554">
        <v>631</v>
      </c>
      <c r="BI11" s="703">
        <f>BH11</f>
        <v>631</v>
      </c>
      <c r="BJ11" s="711"/>
      <c r="BK11" s="1555">
        <v>653</v>
      </c>
      <c r="BL11" s="1554">
        <v>677</v>
      </c>
      <c r="BM11" s="1554">
        <v>678</v>
      </c>
      <c r="BN11" s="1554">
        <v>724</v>
      </c>
      <c r="BO11" s="703">
        <f>BN11</f>
        <v>724</v>
      </c>
      <c r="BP11" s="711"/>
      <c r="BQ11" s="1555">
        <v>751</v>
      </c>
      <c r="BR11" s="705">
        <f>(IS!BR10*BR73)/(365/4)</f>
        <v>761.10523097095768</v>
      </c>
      <c r="BS11" s="705">
        <f>(IS!BS10*BS73)/(365/4)</f>
        <v>746.2588382996405</v>
      </c>
      <c r="BT11" s="705">
        <f>(IS!BT10*BT73)/(365/4)</f>
        <v>791.93450628177254</v>
      </c>
      <c r="BU11" s="703">
        <f>BT11</f>
        <v>791.93450628177254</v>
      </c>
      <c r="BV11" s="711"/>
      <c r="BW11" s="706">
        <f>(IS!BW10*BW73)/(365/4)</f>
        <v>829.92600749682504</v>
      </c>
      <c r="BX11" s="705">
        <f>(IS!BX10*BX73)/(365/4)</f>
        <v>841.9108403620661</v>
      </c>
      <c r="BY11" s="705">
        <f>(IS!BY10*BY73)/(365/4)</f>
        <v>836.10035669877232</v>
      </c>
      <c r="BZ11" s="705">
        <f>(IS!BZ10*BZ73)/(365/4)</f>
        <v>885.14269504756862</v>
      </c>
      <c r="CA11" s="703">
        <f>BZ11</f>
        <v>885.14269504756862</v>
      </c>
      <c r="CB11" s="750"/>
      <c r="CC11" s="706">
        <f>(IS!CC10*CC73)/(365/4)</f>
        <v>908.74708954183711</v>
      </c>
      <c r="CD11" s="705">
        <f>(IS!CD10*CD73)/(365/4)</f>
        <v>925.14902338700745</v>
      </c>
      <c r="CE11" s="705">
        <f>(IS!CE10*CE73)/(365/4)</f>
        <v>926.13108340690837</v>
      </c>
      <c r="CF11" s="705">
        <f>(IS!CF10*CF73)/(365/4)</f>
        <v>977.12727730341976</v>
      </c>
      <c r="CG11" s="703">
        <f>CF11</f>
        <v>977.12727730341976</v>
      </c>
      <c r="CH11" s="713"/>
      <c r="CI11" s="706">
        <f>(IS!CI10*CI73)/(365/4)</f>
        <v>995.86327346541464</v>
      </c>
      <c r="CJ11" s="705">
        <f>(IS!CJ10*CJ73)/(365/4)</f>
        <v>1017.6700907816654</v>
      </c>
      <c r="CK11" s="705">
        <f>(IS!CK10*CK73)/(365/4)</f>
        <v>1028.2106814462995</v>
      </c>
      <c r="CL11" s="705">
        <f>(IS!CL10*CL73)/(365/4)</f>
        <v>1080.5403457215309</v>
      </c>
      <c r="CM11" s="703">
        <f>CL11</f>
        <v>1080.5403457215309</v>
      </c>
      <c r="CN11" s="333"/>
      <c r="CO11" s="333"/>
      <c r="CP11" s="64"/>
    </row>
    <row r="12" spans="1:94">
      <c r="A12" s="1841" t="s">
        <v>258</v>
      </c>
      <c r="B12" s="707"/>
      <c r="C12" s="708">
        <v>269.91399854697573</v>
      </c>
      <c r="D12" s="709">
        <v>256.4719089684915</v>
      </c>
      <c r="E12" s="709">
        <v>271.90165709552474</v>
      </c>
      <c r="F12" s="709">
        <v>297.25088731657877</v>
      </c>
      <c r="G12" s="710">
        <f>F12</f>
        <v>297.25088731657877</v>
      </c>
      <c r="H12" s="707"/>
      <c r="I12" s="708">
        <v>314.95797798251743</v>
      </c>
      <c r="J12" s="709">
        <v>315.0181720584356</v>
      </c>
      <c r="K12" s="709">
        <v>311.39900324385354</v>
      </c>
      <c r="L12" s="709">
        <v>330.75892291104623</v>
      </c>
      <c r="M12" s="710">
        <f>L12</f>
        <v>330.75892291104623</v>
      </c>
      <c r="N12" s="707"/>
      <c r="O12" s="708">
        <v>297.69356458322727</v>
      </c>
      <c r="P12" s="709">
        <v>286.45482899199908</v>
      </c>
      <c r="Q12" s="709">
        <v>289.69276865909916</v>
      </c>
      <c r="R12" s="709">
        <v>309.14423348341739</v>
      </c>
      <c r="S12" s="710">
        <f>R12</f>
        <v>309.14423348341739</v>
      </c>
      <c r="T12" s="709"/>
      <c r="U12" s="708">
        <v>331.49880842754078</v>
      </c>
      <c r="V12" s="709">
        <v>325.92458618886536</v>
      </c>
      <c r="W12" s="709">
        <v>410.32044275593353</v>
      </c>
      <c r="X12" s="709">
        <v>492.6421117903202</v>
      </c>
      <c r="Y12" s="710">
        <f>X12</f>
        <v>492.6421117903202</v>
      </c>
      <c r="Z12" s="709"/>
      <c r="AA12" s="708">
        <v>450.40342710121655</v>
      </c>
      <c r="AB12" s="709">
        <v>515.7792097213802</v>
      </c>
      <c r="AC12" s="709">
        <v>513.7125464481885</v>
      </c>
      <c r="AD12" s="709">
        <v>529.70410595045826</v>
      </c>
      <c r="AE12" s="710">
        <f>AD12</f>
        <v>529.70410595045826</v>
      </c>
      <c r="AF12" s="709"/>
      <c r="AG12" s="708">
        <v>513.46549992827431</v>
      </c>
      <c r="AH12" s="709">
        <v>524.74938107644107</v>
      </c>
      <c r="AI12" s="709">
        <v>533.24677812689436</v>
      </c>
      <c r="AJ12" s="1705">
        <v>542</v>
      </c>
      <c r="AK12" s="703">
        <f>AJ12</f>
        <v>542</v>
      </c>
      <c r="AL12" s="711"/>
      <c r="AM12" s="708">
        <v>547.43320194429862</v>
      </c>
      <c r="AN12" s="705">
        <v>555.03823226733459</v>
      </c>
      <c r="AO12" s="705">
        <v>549.08683973773964</v>
      </c>
      <c r="AP12" s="1705">
        <v>564</v>
      </c>
      <c r="AQ12" s="703">
        <f>AP12</f>
        <v>564</v>
      </c>
      <c r="AR12" s="711"/>
      <c r="AS12" s="1706">
        <v>574</v>
      </c>
      <c r="AT12" s="705">
        <v>582</v>
      </c>
      <c r="AU12" s="705">
        <v>583</v>
      </c>
      <c r="AV12" s="1809">
        <v>574</v>
      </c>
      <c r="AW12" s="703">
        <f>AV12</f>
        <v>574</v>
      </c>
      <c r="AX12" s="711"/>
      <c r="AY12" s="1555">
        <v>560</v>
      </c>
      <c r="AZ12" s="1554">
        <v>556</v>
      </c>
      <c r="BA12" s="1554">
        <v>545</v>
      </c>
      <c r="BB12" s="1809">
        <v>541</v>
      </c>
      <c r="BC12" s="703">
        <f>BB12</f>
        <v>541</v>
      </c>
      <c r="BD12" s="711"/>
      <c r="BE12" s="1555">
        <v>554</v>
      </c>
      <c r="BF12" s="1554">
        <v>555</v>
      </c>
      <c r="BG12" s="1554">
        <v>543</v>
      </c>
      <c r="BH12" s="1554">
        <v>533</v>
      </c>
      <c r="BI12" s="703">
        <f>BH12</f>
        <v>533</v>
      </c>
      <c r="BJ12" s="711"/>
      <c r="BK12" s="1555">
        <v>551</v>
      </c>
      <c r="BL12" s="1554">
        <v>548</v>
      </c>
      <c r="BM12" s="1554">
        <v>566</v>
      </c>
      <c r="BN12" s="1554">
        <v>575</v>
      </c>
      <c r="BO12" s="703">
        <f>BN12</f>
        <v>575</v>
      </c>
      <c r="BP12" s="711"/>
      <c r="BQ12" s="1555">
        <v>608</v>
      </c>
      <c r="BR12" s="705">
        <f>(IS!BR11*BR74)/(365/4)</f>
        <v>612.32614820301353</v>
      </c>
      <c r="BS12" s="705">
        <f>(IS!BS11*BS74)/(365/4)</f>
        <v>620.54395472780959</v>
      </c>
      <c r="BT12" s="705">
        <f>(IS!BT11*BT74)/(365/4)</f>
        <v>626.81805487606562</v>
      </c>
      <c r="BU12" s="703">
        <f>BT12</f>
        <v>626.81805487606562</v>
      </c>
      <c r="BV12" s="711"/>
      <c r="BW12" s="706">
        <f>(IS!BW11*BW74)/(365/4)</f>
        <v>654.13580173183573</v>
      </c>
      <c r="BX12" s="705">
        <f>(IS!BX11*BX74)/(365/4)</f>
        <v>659.40589075967478</v>
      </c>
      <c r="BY12" s="705">
        <f>(IS!BY11*BY74)/(365/4)</f>
        <v>677.13000754954794</v>
      </c>
      <c r="BZ12" s="705">
        <f>(IS!BZ11*BZ74)/(365/4)</f>
        <v>682.33118005156678</v>
      </c>
      <c r="CA12" s="703">
        <f>BZ12</f>
        <v>682.33118005156678</v>
      </c>
      <c r="CB12" s="750"/>
      <c r="CC12" s="706">
        <f>(IS!CC11*CC74)/(365/4)</f>
        <v>700.81013123081493</v>
      </c>
      <c r="CD12" s="705">
        <f>(IS!CD11*CD74)/(365/4)</f>
        <v>708.04918534885394</v>
      </c>
      <c r="CE12" s="705">
        <f>(IS!CE11*CE74)/(365/4)</f>
        <v>733.76749658153858</v>
      </c>
      <c r="CF12" s="705">
        <f>(IS!CF11*CF74)/(365/4)</f>
        <v>736.86675111772081</v>
      </c>
      <c r="CG12" s="703">
        <f>CF12</f>
        <v>736.86675111772081</v>
      </c>
      <c r="CH12" s="713"/>
      <c r="CI12" s="706">
        <f>(IS!CI11*CI74)/(365/4)</f>
        <v>753.78276923962289</v>
      </c>
      <c r="CJ12" s="705">
        <f>(IS!CJ11*CJ74)/(365/4)</f>
        <v>763.33871810070241</v>
      </c>
      <c r="CK12" s="705">
        <f>(IS!CK11*CK74)/(365/4)</f>
        <v>799.45743186225161</v>
      </c>
      <c r="CL12" s="705">
        <f>(IS!CL11*CL74)/(365/4)</f>
        <v>799.58254177636991</v>
      </c>
      <c r="CM12" s="703">
        <f>CL12</f>
        <v>799.58254177636991</v>
      </c>
      <c r="CN12" s="333"/>
      <c r="CO12" s="333"/>
      <c r="CP12" s="64"/>
    </row>
    <row r="13" spans="1:94">
      <c r="A13" s="1841" t="s">
        <v>259</v>
      </c>
      <c r="B13" s="707"/>
      <c r="C13" s="708">
        <v>101.43007360672976</v>
      </c>
      <c r="D13" s="709">
        <v>95.411146161934809</v>
      </c>
      <c r="E13" s="709">
        <v>104.5509989484753</v>
      </c>
      <c r="F13" s="709">
        <v>116.8117770767613</v>
      </c>
      <c r="G13" s="703">
        <f>F13</f>
        <v>116.8117770767613</v>
      </c>
      <c r="H13" s="707"/>
      <c r="I13" s="708">
        <v>118.37223974763407</v>
      </c>
      <c r="J13" s="709">
        <v>118.14931650893796</v>
      </c>
      <c r="K13" s="709">
        <v>120.37854889589906</v>
      </c>
      <c r="L13" s="709">
        <v>132.41640378548897</v>
      </c>
      <c r="M13" s="703">
        <f>L13</f>
        <v>132.41640378548897</v>
      </c>
      <c r="N13" s="707"/>
      <c r="O13" s="708">
        <v>117.03470031545741</v>
      </c>
      <c r="P13" s="709">
        <v>111.01577287066246</v>
      </c>
      <c r="Q13" s="709">
        <v>110.56992639327024</v>
      </c>
      <c r="R13" s="709">
        <v>121.27024185068349</v>
      </c>
      <c r="S13" s="703">
        <f>R13</f>
        <v>121.27024185068349</v>
      </c>
      <c r="T13" s="711"/>
      <c r="U13" s="708">
        <v>130.18717139852788</v>
      </c>
      <c r="V13" s="709">
        <v>127.51209253417456</v>
      </c>
      <c r="W13" s="709">
        <v>156.71503680336488</v>
      </c>
      <c r="X13" s="709">
        <v>182.79705573080969</v>
      </c>
      <c r="Y13" s="703">
        <f>X13</f>
        <v>182.79705573080969</v>
      </c>
      <c r="Z13" s="711"/>
      <c r="AA13" s="708">
        <v>167.86119873817034</v>
      </c>
      <c r="AB13" s="709">
        <v>188.37013669821241</v>
      </c>
      <c r="AC13" s="709">
        <v>186.36382754994742</v>
      </c>
      <c r="AD13" s="709">
        <v>195.28075709779179</v>
      </c>
      <c r="AE13" s="703">
        <f>AD13</f>
        <v>195.28075709779179</v>
      </c>
      <c r="AF13" s="711"/>
      <c r="AG13" s="708">
        <v>191.04521556256572</v>
      </c>
      <c r="AH13" s="709">
        <v>191.04521556256572</v>
      </c>
      <c r="AI13" s="709">
        <v>195.72660357518401</v>
      </c>
      <c r="AJ13" s="1705">
        <v>212</v>
      </c>
      <c r="AK13" s="703">
        <f>AJ13</f>
        <v>212</v>
      </c>
      <c r="AL13" s="711"/>
      <c r="AM13" s="708">
        <v>188.19545903257651</v>
      </c>
      <c r="AN13" s="705">
        <v>190.94570582428429</v>
      </c>
      <c r="AO13" s="705">
        <v>186.8203356367226</v>
      </c>
      <c r="AP13" s="1705">
        <v>199</v>
      </c>
      <c r="AQ13" s="703">
        <f>AP13</f>
        <v>199</v>
      </c>
      <c r="AR13" s="711"/>
      <c r="AS13" s="1706">
        <v>272</v>
      </c>
      <c r="AT13" s="705">
        <v>280</v>
      </c>
      <c r="AU13" s="705">
        <v>299</v>
      </c>
      <c r="AV13" s="1809">
        <f>261+1821</f>
        <v>2082</v>
      </c>
      <c r="AW13" s="703">
        <f>AV13</f>
        <v>2082</v>
      </c>
      <c r="AX13" s="711"/>
      <c r="AY13" s="1555">
        <v>361</v>
      </c>
      <c r="AZ13" s="1554">
        <v>291</v>
      </c>
      <c r="BA13" s="1554">
        <v>274</v>
      </c>
      <c r="BB13" s="1809">
        <v>294</v>
      </c>
      <c r="BC13" s="703">
        <f>BB13</f>
        <v>294</v>
      </c>
      <c r="BD13" s="711"/>
      <c r="BE13" s="1555">
        <v>297</v>
      </c>
      <c r="BF13" s="1554">
        <v>192</v>
      </c>
      <c r="BG13" s="1554">
        <v>198</v>
      </c>
      <c r="BH13" s="1554">
        <v>182</v>
      </c>
      <c r="BI13" s="703">
        <f>BH13</f>
        <v>182</v>
      </c>
      <c r="BJ13" s="711"/>
      <c r="BK13" s="1555">
        <v>190</v>
      </c>
      <c r="BL13" s="1554">
        <v>186</v>
      </c>
      <c r="BM13" s="1554">
        <v>189</v>
      </c>
      <c r="BN13" s="1554">
        <v>192</v>
      </c>
      <c r="BO13" s="703">
        <f>BN13</f>
        <v>192</v>
      </c>
      <c r="BP13" s="711"/>
      <c r="BQ13" s="1555">
        <v>151</v>
      </c>
      <c r="BR13" s="705">
        <f>(IS!BR10)*BR86*4</f>
        <v>211.94276486211314</v>
      </c>
      <c r="BS13" s="705">
        <f>(IS!BS10)*BS86*4</f>
        <v>210.87571257742127</v>
      </c>
      <c r="BT13" s="705">
        <f>(IS!BT10)*BT86*4</f>
        <v>212.88937639379128</v>
      </c>
      <c r="BU13" s="703">
        <f>BT13</f>
        <v>212.88937639379128</v>
      </c>
      <c r="BV13" s="711"/>
      <c r="BW13" s="706">
        <f>(IS!BW10)*BW86*4</f>
        <v>161.17296823214525</v>
      </c>
      <c r="BX13" s="705">
        <f>(IS!BX10)*BX86*4</f>
        <v>226.26260100223922</v>
      </c>
      <c r="BY13" s="705">
        <f>(IS!BY10)*BY86*4</f>
        <v>227.94176061834023</v>
      </c>
      <c r="BZ13" s="705">
        <f>(IS!BZ10)*BZ86*4</f>
        <v>229.56940126545996</v>
      </c>
      <c r="CA13" s="703">
        <f>BZ13</f>
        <v>229.56940126545996</v>
      </c>
      <c r="CB13" s="750"/>
      <c r="CC13" s="706">
        <f>(IS!CC10)*CC86*4</f>
        <v>170.65462259523579</v>
      </c>
      <c r="CD13" s="705">
        <f>(IS!CD10)*CD86*4</f>
        <v>240.24835309410105</v>
      </c>
      <c r="CE13" s="705">
        <f>(IS!CE10)*CE86*4</f>
        <v>243.89641151365737</v>
      </c>
      <c r="CF13" s="705">
        <f>(IS!CF10)*CF86*4</f>
        <v>244.80842992533047</v>
      </c>
      <c r="CG13" s="703">
        <f>CF13</f>
        <v>244.80842992533047</v>
      </c>
      <c r="CH13" s="713"/>
      <c r="CI13" s="706">
        <f>(IS!CI10)*CI86*4</f>
        <v>181.03827876286394</v>
      </c>
      <c r="CJ13" s="705">
        <f>(IS!CJ10)*CJ86*4</f>
        <v>255.65361488996092</v>
      </c>
      <c r="CK13" s="705">
        <f>(IS!CK10)*CK86*4</f>
        <v>261.86984560359804</v>
      </c>
      <c r="CL13" s="705">
        <f>(IS!CL10)*CL86*4</f>
        <v>261.81422826951962</v>
      </c>
      <c r="CM13" s="703">
        <f>CL13</f>
        <v>261.81422826951962</v>
      </c>
      <c r="CN13" s="333"/>
      <c r="CO13" s="333"/>
      <c r="CP13" s="64"/>
    </row>
    <row r="14" spans="1:94" ht="4.5" customHeight="1">
      <c r="A14" s="1841"/>
      <c r="B14" s="707"/>
      <c r="C14" s="712"/>
      <c r="D14" s="711"/>
      <c r="E14" s="711"/>
      <c r="F14" s="711"/>
      <c r="G14" s="703"/>
      <c r="H14" s="707"/>
      <c r="I14" s="712"/>
      <c r="J14" s="711"/>
      <c r="K14" s="711"/>
      <c r="L14" s="711"/>
      <c r="M14" s="703"/>
      <c r="N14" s="707"/>
      <c r="O14" s="712"/>
      <c r="P14" s="711"/>
      <c r="Q14" s="711"/>
      <c r="R14" s="711"/>
      <c r="S14" s="703"/>
      <c r="T14" s="711"/>
      <c r="U14" s="712"/>
      <c r="V14" s="711"/>
      <c r="W14" s="711"/>
      <c r="X14" s="711"/>
      <c r="Y14" s="703"/>
      <c r="Z14" s="711"/>
      <c r="AA14" s="712"/>
      <c r="AB14" s="711"/>
      <c r="AC14" s="711"/>
      <c r="AD14" s="711"/>
      <c r="AE14" s="703"/>
      <c r="AF14" s="711"/>
      <c r="AG14" s="712"/>
      <c r="AH14" s="711"/>
      <c r="AI14" s="711"/>
      <c r="AJ14" s="711"/>
      <c r="AK14" s="703"/>
      <c r="AL14" s="711"/>
      <c r="AM14" s="712"/>
      <c r="AN14" s="702"/>
      <c r="AO14" s="702"/>
      <c r="AP14" s="711"/>
      <c r="AQ14" s="703"/>
      <c r="AR14" s="711"/>
      <c r="AS14" s="712"/>
      <c r="AT14" s="705"/>
      <c r="AU14" s="705"/>
      <c r="AV14" s="705"/>
      <c r="AW14" s="703"/>
      <c r="AX14" s="711"/>
      <c r="AY14" s="706"/>
      <c r="AZ14" s="705"/>
      <c r="BA14" s="705"/>
      <c r="BB14" s="705"/>
      <c r="BC14" s="703"/>
      <c r="BD14" s="711"/>
      <c r="BE14" s="706"/>
      <c r="BF14" s="705"/>
      <c r="BG14" s="705"/>
      <c r="BH14" s="705"/>
      <c r="BI14" s="703"/>
      <c r="BJ14" s="711"/>
      <c r="BK14" s="706"/>
      <c r="BL14" s="705"/>
      <c r="BM14" s="705"/>
      <c r="BN14" s="705"/>
      <c r="BO14" s="703"/>
      <c r="BP14" s="711"/>
      <c r="BQ14" s="706"/>
      <c r="BR14" s="705"/>
      <c r="BS14" s="705"/>
      <c r="BT14" s="705"/>
      <c r="BU14" s="703"/>
      <c r="BV14" s="711"/>
      <c r="BW14" s="706"/>
      <c r="BX14" s="705"/>
      <c r="BY14" s="705"/>
      <c r="BZ14" s="705"/>
      <c r="CA14" s="703"/>
      <c r="CB14" s="750"/>
      <c r="CC14" s="706"/>
      <c r="CD14" s="705"/>
      <c r="CE14" s="705"/>
      <c r="CF14" s="705"/>
      <c r="CG14" s="703"/>
      <c r="CH14" s="713"/>
      <c r="CI14" s="706"/>
      <c r="CJ14" s="705"/>
      <c r="CK14" s="705"/>
      <c r="CL14" s="705"/>
      <c r="CM14" s="703"/>
      <c r="CN14" s="204"/>
      <c r="CO14" s="204"/>
      <c r="CP14" s="64"/>
    </row>
    <row r="15" spans="1:94">
      <c r="A15" s="1842" t="s">
        <v>260</v>
      </c>
      <c r="B15" s="714"/>
      <c r="C15" s="715">
        <f>SUM(C9:C13)</f>
        <v>2715.3976999139577</v>
      </c>
      <c r="D15" s="716">
        <f>SUM(D9:D13)</f>
        <v>2640.8609731114989</v>
      </c>
      <c r="E15" s="716">
        <f>SUM(E9:E13)</f>
        <v>2124.3233185045679</v>
      </c>
      <c r="F15" s="716">
        <f>SUM(F9:F13)</f>
        <v>2532.6431060337186</v>
      </c>
      <c r="G15" s="717">
        <f>SUM(G9:G13)</f>
        <v>2532.6431060337186</v>
      </c>
      <c r="H15" s="714"/>
      <c r="I15" s="715">
        <f>SUM(I9:I13)</f>
        <v>3877.8191767206877</v>
      </c>
      <c r="J15" s="716">
        <f>SUM(J9:J13)</f>
        <v>4041.0980879364583</v>
      </c>
      <c r="K15" s="716">
        <f>SUM(K9:K13)</f>
        <v>3972.2917477233491</v>
      </c>
      <c r="L15" s="716">
        <f>SUM(L9:L13)</f>
        <v>2223.8409418384908</v>
      </c>
      <c r="M15" s="717">
        <f>SUM(M9:M13)</f>
        <v>2223.8409418384908</v>
      </c>
      <c r="N15" s="714"/>
      <c r="O15" s="715">
        <f>SUM(O9:O13)</f>
        <v>2087.8670661605142</v>
      </c>
      <c r="P15" s="716">
        <f>SUM(P9:P13)</f>
        <v>2087.5336933453113</v>
      </c>
      <c r="Q15" s="716">
        <f>SUM(Q9:Q13)</f>
        <v>2176.2090672921172</v>
      </c>
      <c r="R15" s="716">
        <f>SUM(R9:R13)</f>
        <v>3227.1621094035013</v>
      </c>
      <c r="S15" s="717">
        <f>SUM(S9:S13)</f>
        <v>3227.1621094035013</v>
      </c>
      <c r="T15" s="718"/>
      <c r="U15" s="715">
        <f>SUM(U9:U13)</f>
        <v>4833.7679987535139</v>
      </c>
      <c r="V15" s="716">
        <f>SUM(V9:V13)</f>
        <v>4981.8183821930716</v>
      </c>
      <c r="W15" s="716">
        <f>SUM(W9:W13)</f>
        <v>4827.5622934394241</v>
      </c>
      <c r="X15" s="716">
        <f>SUM(X9:X13)</f>
        <v>5332.2940571110357</v>
      </c>
      <c r="Y15" s="717">
        <f>SUM(Y9:Y13)</f>
        <v>5332.2940571110357</v>
      </c>
      <c r="Z15" s="718"/>
      <c r="AA15" s="715">
        <f>SUM(AA9:AA13)</f>
        <v>3693.7094207920682</v>
      </c>
      <c r="AB15" s="716">
        <f>SUM(AB9:AB13)</f>
        <v>4150.9632265457758</v>
      </c>
      <c r="AC15" s="716">
        <f>SUM(AC9:AC13)</f>
        <v>4267.8650175312587</v>
      </c>
      <c r="AD15" s="716">
        <f>SUM(AD9:AD13)</f>
        <v>4741.1078914394175</v>
      </c>
      <c r="AE15" s="717">
        <f>SUM(AE9:AE13)</f>
        <v>4741.1078914394175</v>
      </c>
      <c r="AF15" s="718"/>
      <c r="AG15" s="715">
        <f>SUM(AG9:AG13)</f>
        <v>4845.0249110744362</v>
      </c>
      <c r="AH15" s="716">
        <f>SUM(AH9:AH13)</f>
        <v>5090.3087922226023</v>
      </c>
      <c r="AI15" s="716">
        <f>SUM(AI9:AI13)</f>
        <v>3142.2131293361476</v>
      </c>
      <c r="AJ15" s="716">
        <f>SUM(AJ9:AJ13)</f>
        <v>3636</v>
      </c>
      <c r="AK15" s="717">
        <f>SUM(AK9:AK13)</f>
        <v>3636</v>
      </c>
      <c r="AL15" s="718"/>
      <c r="AM15" s="715">
        <f>SUM(AM9:AM13)</f>
        <v>3714.2782167518008</v>
      </c>
      <c r="AN15" s="719">
        <f>SUM(AN9:AN13)</f>
        <v>3801.3590614874724</v>
      </c>
      <c r="AO15" s="719">
        <f>SUM(AO9:AO13)</f>
        <v>3590.6939473389243</v>
      </c>
      <c r="AP15" s="716">
        <f>SUM(AP9:AP13)</f>
        <v>3997</v>
      </c>
      <c r="AQ15" s="717">
        <f>SUM(AQ9:AQ13)</f>
        <v>3997</v>
      </c>
      <c r="AR15" s="718"/>
      <c r="AS15" s="715">
        <f>SUM(AS9:AS13)</f>
        <v>4148</v>
      </c>
      <c r="AT15" s="719">
        <f>SUM(AT9:AT13)</f>
        <v>4380</v>
      </c>
      <c r="AU15" s="719">
        <f>SUM(AU9:AU13)</f>
        <v>3845</v>
      </c>
      <c r="AV15" s="719">
        <f>SUM(AV9:AV13)</f>
        <v>5500</v>
      </c>
      <c r="AW15" s="717">
        <f>SUM(AW9:AW13)</f>
        <v>5500</v>
      </c>
      <c r="AX15" s="718"/>
      <c r="AY15" s="720">
        <f>SUM(AY9:AY13)</f>
        <v>3654</v>
      </c>
      <c r="AZ15" s="719">
        <f>SUM(AZ9:AZ13)</f>
        <v>3620</v>
      </c>
      <c r="BA15" s="719">
        <f>SUM(BA9:BA13)</f>
        <v>3478</v>
      </c>
      <c r="BB15" s="719">
        <f>SUM(BB9:BB13)</f>
        <v>3686</v>
      </c>
      <c r="BC15" s="717">
        <f>SUM(BC9:BC13)</f>
        <v>3686</v>
      </c>
      <c r="BD15" s="718"/>
      <c r="BE15" s="720">
        <f>SUM(BE9:BE13)</f>
        <v>3399</v>
      </c>
      <c r="BF15" s="719">
        <f>SUM(BF9:BF13)</f>
        <v>3488</v>
      </c>
      <c r="BG15" s="719">
        <f>SUM(BG9:BG13)</f>
        <v>3530</v>
      </c>
      <c r="BH15" s="719">
        <f>SUM(BH9:BH13)</f>
        <v>3635</v>
      </c>
      <c r="BI15" s="717">
        <f>SUM(BI9:BI13)</f>
        <v>3635</v>
      </c>
      <c r="BJ15" s="718"/>
      <c r="BK15" s="720">
        <f>SUM(BK9:BK13)</f>
        <v>3635</v>
      </c>
      <c r="BL15" s="719">
        <f>SUM(BL9:BL13)</f>
        <v>3800</v>
      </c>
      <c r="BM15" s="719">
        <f>SUM(BM9:BM13)</f>
        <v>3996</v>
      </c>
      <c r="BN15" s="719">
        <f>SUM(BN9:BN13)</f>
        <v>4169</v>
      </c>
      <c r="BO15" s="717">
        <f>SUM(BO9:BO13)</f>
        <v>4169</v>
      </c>
      <c r="BP15" s="718"/>
      <c r="BQ15" s="720">
        <f>SUM(BQ9:BQ13)</f>
        <v>4397</v>
      </c>
      <c r="BR15" s="719">
        <f>SUM(BR9:BR13)</f>
        <v>4517.7129275468251</v>
      </c>
      <c r="BS15" s="719">
        <f>SUM(BS9:BS13)</f>
        <v>4579.6925091631383</v>
      </c>
      <c r="BT15" s="719">
        <f>SUM(BT9:BT13)</f>
        <v>4770.5257378475162</v>
      </c>
      <c r="BU15" s="717">
        <f>SUM(BU9:BU13)</f>
        <v>4770.5257378475162</v>
      </c>
      <c r="BV15" s="718"/>
      <c r="BW15" s="720">
        <f>SUM(BW9:BW13)</f>
        <v>4801.9581635375907</v>
      </c>
      <c r="BX15" s="719">
        <f>SUM(BX9:BX13)</f>
        <v>4973.0350217259193</v>
      </c>
      <c r="BY15" s="719">
        <f>SUM(BY9:BY13)</f>
        <v>5099.7106034556864</v>
      </c>
      <c r="BZ15" s="719">
        <f>SUM(BZ9:BZ13)</f>
        <v>5347.8340581852826</v>
      </c>
      <c r="CA15" s="717">
        <f>SUM(CA9:CA13)</f>
        <v>5347.8340581852826</v>
      </c>
      <c r="CB15" s="732"/>
      <c r="CC15" s="720">
        <f>SUM(CC9:CC13)</f>
        <v>4873.0320079802959</v>
      </c>
      <c r="CD15" s="719">
        <f>SUM(CD9:CD13)</f>
        <v>5140.7267225517189</v>
      </c>
      <c r="CE15" s="719">
        <f>SUM(CE9:CE13)</f>
        <v>5377.0358015170577</v>
      </c>
      <c r="CF15" s="719">
        <f>SUM(CF9:CF13)</f>
        <v>5731.303980869573</v>
      </c>
      <c r="CG15" s="717">
        <f>SUM(CG9:CG13)</f>
        <v>5731.303980869573</v>
      </c>
      <c r="CH15" s="721"/>
      <c r="CI15" s="720">
        <f>SUM(CI9:CI13)</f>
        <v>5466.1287591461796</v>
      </c>
      <c r="CJ15" s="719">
        <f>SUM(CJ9:CJ13)</f>
        <v>5703.059471825256</v>
      </c>
      <c r="CK15" s="719">
        <f>SUM(CK9:CK13)</f>
        <v>5916.7768552265215</v>
      </c>
      <c r="CL15" s="719">
        <f>SUM(CL9:CL13)</f>
        <v>6232.3472233306984</v>
      </c>
      <c r="CM15" s="717">
        <f>SUM(CM9:CM13)</f>
        <v>6232.3472233306984</v>
      </c>
      <c r="CN15" s="204"/>
      <c r="CO15" s="204"/>
      <c r="CP15" s="89"/>
    </row>
    <row r="16" spans="1:94">
      <c r="A16" s="1841" t="s">
        <v>261</v>
      </c>
      <c r="B16" s="707"/>
      <c r="C16" s="722">
        <v>446.75687285223364</v>
      </c>
      <c r="D16" s="705">
        <v>447.90979381443293</v>
      </c>
      <c r="E16" s="705">
        <v>453.67439862542949</v>
      </c>
      <c r="F16" s="709">
        <v>461.74484536082468</v>
      </c>
      <c r="G16" s="703">
        <f t="shared" ref="G16:G21" si="0">F16</f>
        <v>461.74484536082468</v>
      </c>
      <c r="H16" s="707"/>
      <c r="I16" s="722">
        <v>461.74484536082468</v>
      </c>
      <c r="J16" s="705">
        <v>466.35652920962195</v>
      </c>
      <c r="K16" s="705">
        <v>470.39175257731955</v>
      </c>
      <c r="L16" s="709">
        <v>475.00343642611682</v>
      </c>
      <c r="M16" s="703">
        <f t="shared" ref="M16:M21" si="1">L16</f>
        <v>475.00343642611682</v>
      </c>
      <c r="N16" s="707"/>
      <c r="O16" s="722">
        <v>479.03865979381442</v>
      </c>
      <c r="P16" s="705">
        <v>473.2740549828178</v>
      </c>
      <c r="Q16" s="705">
        <v>483.65034364261163</v>
      </c>
      <c r="R16" s="709">
        <v>487.10910652920955</v>
      </c>
      <c r="S16" s="703">
        <f t="shared" ref="S16:S21" si="2">R16</f>
        <v>487.10910652920955</v>
      </c>
      <c r="T16" s="711"/>
      <c r="U16" s="722">
        <v>482.49742268041234</v>
      </c>
      <c r="V16" s="705">
        <v>479.03865979381442</v>
      </c>
      <c r="W16" s="705">
        <v>551.67268041237105</v>
      </c>
      <c r="X16" s="709">
        <v>564.93127147766313</v>
      </c>
      <c r="Y16" s="703">
        <f t="shared" ref="Y16:Y21" si="3">X16</f>
        <v>564.93127147766313</v>
      </c>
      <c r="Z16" s="711"/>
      <c r="AA16" s="722">
        <v>566.08419243986248</v>
      </c>
      <c r="AB16" s="705">
        <v>578.76632302405494</v>
      </c>
      <c r="AC16" s="705">
        <v>576.46048109965636</v>
      </c>
      <c r="AD16" s="709">
        <v>579.91924398625429</v>
      </c>
      <c r="AE16" s="703">
        <f t="shared" ref="AE16:AE21" si="4">AD16</f>
        <v>579.91924398625429</v>
      </c>
      <c r="AF16" s="711"/>
      <c r="AG16" s="722">
        <v>580.4957044673539</v>
      </c>
      <c r="AH16" s="705">
        <v>574.15463917525767</v>
      </c>
      <c r="AI16" s="705">
        <v>656.58848797250857</v>
      </c>
      <c r="AJ16" s="1705">
        <v>671</v>
      </c>
      <c r="AK16" s="703">
        <f t="shared" ref="AK16:AK21" si="5">AJ16</f>
        <v>671</v>
      </c>
      <c r="AL16" s="711"/>
      <c r="AM16" s="722">
        <v>682.00617283950612</v>
      </c>
      <c r="AN16" s="705">
        <v>672.62345679012344</v>
      </c>
      <c r="AO16" s="705">
        <v>667.93209876543199</v>
      </c>
      <c r="AP16" s="1705">
        <v>665</v>
      </c>
      <c r="AQ16" s="703">
        <f t="shared" ref="AQ16:AQ21" si="6">AP16</f>
        <v>665</v>
      </c>
      <c r="AR16" s="711"/>
      <c r="AS16" s="1706">
        <v>671</v>
      </c>
      <c r="AT16" s="709">
        <v>677</v>
      </c>
      <c r="AU16" s="709">
        <v>680</v>
      </c>
      <c r="AV16" s="1809">
        <v>631</v>
      </c>
      <c r="AW16" s="703">
        <f t="shared" ref="AW16:AW21" si="7">AV16</f>
        <v>631</v>
      </c>
      <c r="AX16" s="711"/>
      <c r="AY16" s="1555">
        <v>610</v>
      </c>
      <c r="AZ16" s="1554">
        <v>593</v>
      </c>
      <c r="BA16" s="1554">
        <v>587</v>
      </c>
      <c r="BB16" s="1809">
        <v>604</v>
      </c>
      <c r="BC16" s="703">
        <f t="shared" ref="BC16:BC21" si="8">BB16</f>
        <v>604</v>
      </c>
      <c r="BD16" s="711"/>
      <c r="BE16" s="1555">
        <v>594</v>
      </c>
      <c r="BF16" s="1554">
        <v>610</v>
      </c>
      <c r="BG16" s="1554">
        <v>623</v>
      </c>
      <c r="BH16" s="1554">
        <v>639</v>
      </c>
      <c r="BI16" s="703">
        <f t="shared" ref="BI16:BI21" si="9">BH16</f>
        <v>639</v>
      </c>
      <c r="BJ16" s="711"/>
      <c r="BK16" s="1555">
        <v>653</v>
      </c>
      <c r="BL16" s="1554">
        <v>675</v>
      </c>
      <c r="BM16" s="1554">
        <v>716</v>
      </c>
      <c r="BN16" s="1554">
        <v>757</v>
      </c>
      <c r="BO16" s="703">
        <f t="shared" ref="BO16:BO21" si="10">BN16</f>
        <v>757</v>
      </c>
      <c r="BP16" s="711"/>
      <c r="BQ16" s="1555">
        <v>792</v>
      </c>
      <c r="BR16" s="709">
        <f>BR107</f>
        <v>813.03304045810376</v>
      </c>
      <c r="BS16" s="709">
        <f>BS107</f>
        <v>833.85227516095244</v>
      </c>
      <c r="BT16" s="709">
        <f>BT107</f>
        <v>855.9348355667579</v>
      </c>
      <c r="BU16" s="703">
        <f t="shared" ref="BU16:BU21" si="11">BT16</f>
        <v>855.9348355667579</v>
      </c>
      <c r="BV16" s="711"/>
      <c r="BW16" s="708">
        <f>BW107</f>
        <v>856.25798203121019</v>
      </c>
      <c r="BX16" s="709">
        <f>BX107</f>
        <v>856.59311830312481</v>
      </c>
      <c r="BY16" s="709">
        <f>BY107</f>
        <v>856.929000738745</v>
      </c>
      <c r="BZ16" s="709">
        <f>BZ107</f>
        <v>857.28441482481878</v>
      </c>
      <c r="CA16" s="703">
        <f t="shared" ref="CA16:CA21" si="12">BZ16</f>
        <v>857.28441482481878</v>
      </c>
      <c r="CB16" s="750"/>
      <c r="CC16" s="708">
        <f>CC107</f>
        <v>856.25794422235435</v>
      </c>
      <c r="CD16" s="709">
        <f>CD107</f>
        <v>855.19038904046045</v>
      </c>
      <c r="CE16" s="709">
        <f>CE107</f>
        <v>854.11221204670562</v>
      </c>
      <c r="CF16" s="709">
        <f>CF107</f>
        <v>852.97519164365394</v>
      </c>
      <c r="CG16" s="703">
        <f t="shared" ref="CG16:CG21" si="13">CF16</f>
        <v>852.97519164365394</v>
      </c>
      <c r="CH16" s="713"/>
      <c r="CI16" s="708">
        <f>CI107</f>
        <v>848.98245834663385</v>
      </c>
      <c r="CJ16" s="709">
        <f>CJ107</f>
        <v>844.81709125026816</v>
      </c>
      <c r="CK16" s="709">
        <f>CK107</f>
        <v>840.57244430843423</v>
      </c>
      <c r="CL16" s="709">
        <f>CL107</f>
        <v>836.11376163716204</v>
      </c>
      <c r="CM16" s="703">
        <f t="shared" ref="CM16:CM21" si="14">CL16</f>
        <v>836.11376163716204</v>
      </c>
      <c r="CN16" s="204"/>
      <c r="CO16" s="204"/>
      <c r="CP16" s="64"/>
    </row>
    <row r="17" spans="1:94">
      <c r="A17" s="1841" t="s">
        <v>262</v>
      </c>
      <c r="B17" s="707"/>
      <c r="C17" s="1706">
        <v>115</v>
      </c>
      <c r="D17" s="1705">
        <v>116</v>
      </c>
      <c r="E17" s="1705">
        <v>238</v>
      </c>
      <c r="F17" s="1705">
        <v>241</v>
      </c>
      <c r="G17" s="703">
        <f t="shared" si="0"/>
        <v>241</v>
      </c>
      <c r="H17" s="711"/>
      <c r="I17" s="1706">
        <v>272</v>
      </c>
      <c r="J17" s="1705">
        <v>285</v>
      </c>
      <c r="K17" s="1705">
        <v>301</v>
      </c>
      <c r="L17" s="1705">
        <f>122+156</f>
        <v>278</v>
      </c>
      <c r="M17" s="703">
        <f t="shared" si="1"/>
        <v>278</v>
      </c>
      <c r="N17" s="707"/>
      <c r="O17" s="1706">
        <v>278</v>
      </c>
      <c r="P17" s="1705">
        <v>278</v>
      </c>
      <c r="Q17" s="1705">
        <v>272</v>
      </c>
      <c r="R17" s="1705">
        <f>123+151</f>
        <v>274</v>
      </c>
      <c r="S17" s="703">
        <f t="shared" si="2"/>
        <v>274</v>
      </c>
      <c r="T17" s="711"/>
      <c r="U17" s="1706">
        <f>123+151</f>
        <v>274</v>
      </c>
      <c r="V17" s="1705">
        <f>122+151</f>
        <v>273</v>
      </c>
      <c r="W17" s="1705">
        <f>299+724</f>
        <v>1023</v>
      </c>
      <c r="X17" s="1705">
        <f>270+747+41</f>
        <v>1058</v>
      </c>
      <c r="Y17" s="703">
        <f t="shared" si="3"/>
        <v>1058</v>
      </c>
      <c r="Z17" s="711"/>
      <c r="AA17" s="1706">
        <f>310+743</f>
        <v>1053</v>
      </c>
      <c r="AB17" s="1705">
        <f>372+783</f>
        <v>1155</v>
      </c>
      <c r="AC17" s="1705">
        <f>369+773</f>
        <v>1142</v>
      </c>
      <c r="AD17" s="1705">
        <f>319+765+48</f>
        <v>1132</v>
      </c>
      <c r="AE17" s="703">
        <f t="shared" si="4"/>
        <v>1132</v>
      </c>
      <c r="AF17" s="711"/>
      <c r="AG17" s="1706">
        <f>399+758</f>
        <v>1157</v>
      </c>
      <c r="AH17" s="1705">
        <f>398+757</f>
        <v>1155</v>
      </c>
      <c r="AI17" s="1705">
        <f>346+756+1395</f>
        <v>2497</v>
      </c>
      <c r="AJ17" s="1705">
        <f>1807+751</f>
        <v>2558</v>
      </c>
      <c r="AK17" s="703">
        <f t="shared" si="5"/>
        <v>2558</v>
      </c>
      <c r="AL17" s="711"/>
      <c r="AM17" s="1706">
        <f>348+757+1540</f>
        <v>2645</v>
      </c>
      <c r="AN17" s="1705">
        <f>347+756+1494</f>
        <v>2597</v>
      </c>
      <c r="AO17" s="1705">
        <f>342+739+1506</f>
        <v>2587</v>
      </c>
      <c r="AP17" s="1705">
        <f>1883+745</f>
        <v>2628</v>
      </c>
      <c r="AQ17" s="703">
        <f t="shared" si="6"/>
        <v>2628</v>
      </c>
      <c r="AR17" s="711"/>
      <c r="AS17" s="1706">
        <f>1870+737</f>
        <v>2607</v>
      </c>
      <c r="AT17" s="709">
        <v>2656</v>
      </c>
      <c r="AU17" s="709">
        <v>2607</v>
      </c>
      <c r="AV17" s="1809">
        <v>2507</v>
      </c>
      <c r="AW17" s="703">
        <f t="shared" si="7"/>
        <v>2507</v>
      </c>
      <c r="AX17" s="711"/>
      <c r="AY17" s="1555">
        <v>2352</v>
      </c>
      <c r="AZ17" s="1554">
        <v>2341</v>
      </c>
      <c r="BA17" s="1554">
        <v>2366</v>
      </c>
      <c r="BB17" s="1809">
        <v>2366</v>
      </c>
      <c r="BC17" s="703">
        <f t="shared" si="8"/>
        <v>2366</v>
      </c>
      <c r="BD17" s="711"/>
      <c r="BE17" s="1555">
        <v>2478</v>
      </c>
      <c r="BF17" s="1554">
        <v>2556</v>
      </c>
      <c r="BG17" s="1554">
        <v>2525</v>
      </c>
      <c r="BH17" s="1554">
        <v>2517</v>
      </c>
      <c r="BI17" s="703">
        <f t="shared" si="9"/>
        <v>2517</v>
      </c>
      <c r="BJ17" s="711"/>
      <c r="BK17" s="1555">
        <v>2563</v>
      </c>
      <c r="BL17" s="1554">
        <v>2568</v>
      </c>
      <c r="BM17" s="1554">
        <v>2612</v>
      </c>
      <c r="BN17" s="1554">
        <v>2607</v>
      </c>
      <c r="BO17" s="703">
        <f t="shared" si="10"/>
        <v>2607</v>
      </c>
      <c r="BP17" s="711"/>
      <c r="BQ17" s="1555">
        <v>2633</v>
      </c>
      <c r="BR17" s="709">
        <f>BR125</f>
        <v>2633</v>
      </c>
      <c r="BS17" s="709">
        <f>BS125</f>
        <v>2633</v>
      </c>
      <c r="BT17" s="709">
        <f>BT125</f>
        <v>2633</v>
      </c>
      <c r="BU17" s="703">
        <f t="shared" si="11"/>
        <v>2633</v>
      </c>
      <c r="BV17" s="711"/>
      <c r="BW17" s="708">
        <f>BW125</f>
        <v>2633</v>
      </c>
      <c r="BX17" s="709">
        <f>BX125</f>
        <v>2633</v>
      </c>
      <c r="BY17" s="709">
        <f>BY125</f>
        <v>2633</v>
      </c>
      <c r="BZ17" s="709">
        <f>BZ125</f>
        <v>2633</v>
      </c>
      <c r="CA17" s="703">
        <f t="shared" si="12"/>
        <v>2633</v>
      </c>
      <c r="CB17" s="750"/>
      <c r="CC17" s="708">
        <f>CC125</f>
        <v>2633</v>
      </c>
      <c r="CD17" s="709">
        <f>CD125</f>
        <v>2633</v>
      </c>
      <c r="CE17" s="709">
        <f>CE125</f>
        <v>2633</v>
      </c>
      <c r="CF17" s="709">
        <f>CF125</f>
        <v>2633</v>
      </c>
      <c r="CG17" s="703">
        <f t="shared" si="13"/>
        <v>2633</v>
      </c>
      <c r="CH17" s="713"/>
      <c r="CI17" s="708">
        <f>CI125</f>
        <v>2633</v>
      </c>
      <c r="CJ17" s="709">
        <f>CJ125</f>
        <v>2633</v>
      </c>
      <c r="CK17" s="709">
        <f>CK125</f>
        <v>2633</v>
      </c>
      <c r="CL17" s="709">
        <f>CL125</f>
        <v>2633</v>
      </c>
      <c r="CM17" s="703">
        <f t="shared" si="14"/>
        <v>2633</v>
      </c>
      <c r="CN17" s="204"/>
      <c r="CO17" s="204"/>
      <c r="CP17" s="64"/>
    </row>
    <row r="18" spans="1:94">
      <c r="A18" s="1841" t="s">
        <v>263</v>
      </c>
      <c r="B18" s="707"/>
      <c r="C18" s="706">
        <v>0</v>
      </c>
      <c r="D18" s="705">
        <v>0</v>
      </c>
      <c r="E18" s="705">
        <v>0</v>
      </c>
      <c r="F18" s="709">
        <v>173.41068139963167</v>
      </c>
      <c r="G18" s="703">
        <f t="shared" si="0"/>
        <v>173.41068139963167</v>
      </c>
      <c r="H18" s="707"/>
      <c r="I18" s="706">
        <v>229.91528545119704</v>
      </c>
      <c r="J18" s="705">
        <v>230.88950276243094</v>
      </c>
      <c r="K18" s="705">
        <v>234.78637200736648</v>
      </c>
      <c r="L18" s="709">
        <v>222.12154696132595</v>
      </c>
      <c r="M18" s="703">
        <f t="shared" si="1"/>
        <v>222.12154696132595</v>
      </c>
      <c r="N18" s="707"/>
      <c r="O18" s="706">
        <v>200.68876611418048</v>
      </c>
      <c r="P18" s="705">
        <v>184.1270718232044</v>
      </c>
      <c r="Q18" s="705">
        <v>173.41068139963167</v>
      </c>
      <c r="R18" s="709">
        <v>162.69429097605894</v>
      </c>
      <c r="S18" s="703">
        <f t="shared" si="2"/>
        <v>162.69429097605894</v>
      </c>
      <c r="T18" s="711"/>
      <c r="U18" s="706">
        <v>144.18416206261509</v>
      </c>
      <c r="V18" s="705">
        <v>122.75138121546961</v>
      </c>
      <c r="W18" s="705">
        <v>499.77348066298339</v>
      </c>
      <c r="X18" s="709">
        <v>481.26335174953959</v>
      </c>
      <c r="Y18" s="703">
        <f t="shared" si="3"/>
        <v>481.26335174953959</v>
      </c>
      <c r="Z18" s="711"/>
      <c r="AA18" s="706">
        <v>454.95948434622466</v>
      </c>
      <c r="AB18" s="705">
        <v>480.28913443830567</v>
      </c>
      <c r="AC18" s="705">
        <v>450.08839779005524</v>
      </c>
      <c r="AD18" s="709">
        <v>417.93922651933701</v>
      </c>
      <c r="AE18" s="703">
        <f t="shared" si="4"/>
        <v>417.93922651933701</v>
      </c>
      <c r="AF18" s="711"/>
      <c r="AG18" s="706">
        <v>403.32596685082871</v>
      </c>
      <c r="AH18" s="705">
        <v>383.84162062615098</v>
      </c>
      <c r="AI18" s="705">
        <v>1057.025782688766</v>
      </c>
      <c r="AJ18" s="1705">
        <v>1058</v>
      </c>
      <c r="AK18" s="703">
        <f t="shared" si="5"/>
        <v>1058</v>
      </c>
      <c r="AL18" s="711"/>
      <c r="AM18" s="706">
        <v>1045.6593886462881</v>
      </c>
      <c r="AN18" s="705">
        <v>973.27510917030565</v>
      </c>
      <c r="AO18" s="705">
        <v>924.36681222707421</v>
      </c>
      <c r="AP18" s="1705">
        <v>896</v>
      </c>
      <c r="AQ18" s="703">
        <f t="shared" si="6"/>
        <v>896</v>
      </c>
      <c r="AR18" s="711"/>
      <c r="AS18" s="1706">
        <v>841</v>
      </c>
      <c r="AT18" s="709">
        <v>809</v>
      </c>
      <c r="AU18" s="709">
        <v>744</v>
      </c>
      <c r="AV18" s="1809">
        <v>649</v>
      </c>
      <c r="AW18" s="703">
        <f t="shared" si="7"/>
        <v>649</v>
      </c>
      <c r="AX18" s="711"/>
      <c r="AY18" s="1555">
        <v>559</v>
      </c>
      <c r="AZ18" s="1554">
        <v>516</v>
      </c>
      <c r="BA18" s="1554">
        <v>484</v>
      </c>
      <c r="BB18" s="1809">
        <v>445</v>
      </c>
      <c r="BC18" s="703">
        <f t="shared" si="8"/>
        <v>445</v>
      </c>
      <c r="BD18" s="711"/>
      <c r="BE18" s="1555">
        <v>513</v>
      </c>
      <c r="BF18" s="1554">
        <v>490</v>
      </c>
      <c r="BG18" s="1554">
        <v>442</v>
      </c>
      <c r="BH18" s="1554">
        <v>408</v>
      </c>
      <c r="BI18" s="703">
        <f t="shared" si="9"/>
        <v>408</v>
      </c>
      <c r="BJ18" s="711"/>
      <c r="BK18" s="1555">
        <v>411</v>
      </c>
      <c r="BL18" s="1554">
        <v>373</v>
      </c>
      <c r="BM18" s="1554">
        <v>375</v>
      </c>
      <c r="BN18" s="1554">
        <v>361</v>
      </c>
      <c r="BO18" s="703">
        <f t="shared" si="10"/>
        <v>361</v>
      </c>
      <c r="BP18" s="711"/>
      <c r="BQ18" s="1555">
        <v>341</v>
      </c>
      <c r="BR18" s="709">
        <f>BR119</f>
        <v>319.02518161093627</v>
      </c>
      <c r="BS18" s="709">
        <f>BS119</f>
        <v>297.27374236915409</v>
      </c>
      <c r="BT18" s="709">
        <f>BT119</f>
        <v>274.20241060189466</v>
      </c>
      <c r="BU18" s="703">
        <f t="shared" si="11"/>
        <v>274.20241060189466</v>
      </c>
      <c r="BV18" s="711"/>
      <c r="BW18" s="708">
        <f>BW119</f>
        <v>259.01452677264137</v>
      </c>
      <c r="BX18" s="709">
        <f>BX119</f>
        <v>243.26312199265485</v>
      </c>
      <c r="BY18" s="709">
        <f>BY119</f>
        <v>227.47664751850795</v>
      </c>
      <c r="BZ18" s="709">
        <f>BZ119</f>
        <v>210.77218547304219</v>
      </c>
      <c r="CA18" s="703">
        <f t="shared" si="12"/>
        <v>210.77218547304219</v>
      </c>
      <c r="CB18" s="750"/>
      <c r="CC18" s="708">
        <f>CC119</f>
        <v>198.45453824346953</v>
      </c>
      <c r="CD18" s="709">
        <f>CD119</f>
        <v>185.64387606074214</v>
      </c>
      <c r="CE18" s="709">
        <f>CE119</f>
        <v>172.70575213568432</v>
      </c>
      <c r="CF18" s="709">
        <f>CF119</f>
        <v>159.06150729906474</v>
      </c>
      <c r="CG18" s="703">
        <f t="shared" si="13"/>
        <v>159.06150729906474</v>
      </c>
      <c r="CH18" s="713"/>
      <c r="CI18" s="708">
        <f>CI119</f>
        <v>145.99438014518091</v>
      </c>
      <c r="CJ18" s="709">
        <f>CJ119</f>
        <v>132.36226964798396</v>
      </c>
      <c r="CK18" s="709">
        <f>CK119</f>
        <v>118.47069783834549</v>
      </c>
      <c r="CL18" s="709">
        <f>CL119</f>
        <v>103.87864545963649</v>
      </c>
      <c r="CM18" s="703">
        <f t="shared" si="14"/>
        <v>103.87864545963649</v>
      </c>
      <c r="CN18" s="204"/>
      <c r="CO18" s="204"/>
      <c r="CP18" s="64"/>
    </row>
    <row r="19" spans="1:94" hidden="1" outlineLevel="1">
      <c r="A19" s="1841" t="s">
        <v>264</v>
      </c>
      <c r="B19" s="707" t="s">
        <v>113</v>
      </c>
      <c r="C19" s="1706">
        <v>1604</v>
      </c>
      <c r="D19" s="1705">
        <v>1604</v>
      </c>
      <c r="E19" s="1705">
        <v>1617</v>
      </c>
      <c r="F19" s="1705">
        <v>1615</v>
      </c>
      <c r="G19" s="703">
        <f t="shared" si="0"/>
        <v>1615</v>
      </c>
      <c r="H19" s="711"/>
      <c r="I19" s="1706">
        <v>11</v>
      </c>
      <c r="J19" s="1705">
        <v>12</v>
      </c>
      <c r="K19" s="1705">
        <v>12</v>
      </c>
      <c r="L19" s="1705">
        <v>1582</v>
      </c>
      <c r="M19" s="703">
        <f t="shared" si="1"/>
        <v>1582</v>
      </c>
      <c r="N19" s="707"/>
      <c r="O19" s="1706">
        <v>1578</v>
      </c>
      <c r="P19" s="1705">
        <v>1572</v>
      </c>
      <c r="Q19" s="1705">
        <v>1568</v>
      </c>
      <c r="R19" s="1705">
        <v>1566</v>
      </c>
      <c r="S19" s="703">
        <f t="shared" si="2"/>
        <v>1566</v>
      </c>
      <c r="T19" s="711"/>
      <c r="U19" s="1706">
        <v>11</v>
      </c>
      <c r="V19" s="1705">
        <v>11</v>
      </c>
      <c r="W19" s="1705">
        <v>11</v>
      </c>
      <c r="X19" s="1705">
        <v>6</v>
      </c>
      <c r="Y19" s="703">
        <f t="shared" si="3"/>
        <v>6</v>
      </c>
      <c r="Z19" s="711"/>
      <c r="AA19" s="1706">
        <v>0</v>
      </c>
      <c r="AB19" s="1705">
        <v>0</v>
      </c>
      <c r="AC19" s="1705">
        <v>0</v>
      </c>
      <c r="AD19" s="1705">
        <v>0</v>
      </c>
      <c r="AE19" s="703">
        <f t="shared" si="4"/>
        <v>0</v>
      </c>
      <c r="AF19" s="711"/>
      <c r="AG19" s="1706">
        <v>0</v>
      </c>
      <c r="AH19" s="1705">
        <v>0</v>
      </c>
      <c r="AI19" s="1705">
        <v>0</v>
      </c>
      <c r="AJ19" s="1705">
        <v>0</v>
      </c>
      <c r="AK19" s="703">
        <f t="shared" si="5"/>
        <v>0</v>
      </c>
      <c r="AL19" s="711"/>
      <c r="AM19" s="1706">
        <v>0</v>
      </c>
      <c r="AN19" s="1705">
        <v>0</v>
      </c>
      <c r="AO19" s="1705">
        <v>0</v>
      </c>
      <c r="AP19" s="1705">
        <v>0</v>
      </c>
      <c r="AQ19" s="703">
        <f t="shared" si="6"/>
        <v>0</v>
      </c>
      <c r="AR19" s="711"/>
      <c r="AS19" s="1706">
        <v>0</v>
      </c>
      <c r="AT19" s="709">
        <v>0</v>
      </c>
      <c r="AU19" s="709">
        <v>0</v>
      </c>
      <c r="AV19" s="1809">
        <v>0</v>
      </c>
      <c r="AW19" s="703">
        <f t="shared" si="7"/>
        <v>0</v>
      </c>
      <c r="AX19" s="711"/>
      <c r="AY19" s="1555">
        <v>0</v>
      </c>
      <c r="AZ19" s="1554">
        <v>0</v>
      </c>
      <c r="BA19" s="1554">
        <v>0</v>
      </c>
      <c r="BB19" s="1809">
        <v>0</v>
      </c>
      <c r="BC19" s="703">
        <f t="shared" si="8"/>
        <v>0</v>
      </c>
      <c r="BD19" s="711"/>
      <c r="BE19" s="1555">
        <v>0</v>
      </c>
      <c r="BF19" s="1554">
        <v>0</v>
      </c>
      <c r="BG19" s="1554">
        <v>0</v>
      </c>
      <c r="BH19" s="1554">
        <v>0</v>
      </c>
      <c r="BI19" s="703">
        <f t="shared" si="9"/>
        <v>0</v>
      </c>
      <c r="BJ19" s="711"/>
      <c r="BK19" s="1555">
        <v>0</v>
      </c>
      <c r="BL19" s="1554">
        <v>0</v>
      </c>
      <c r="BM19" s="1554">
        <v>0</v>
      </c>
      <c r="BN19" s="1554">
        <v>0</v>
      </c>
      <c r="BO19" s="703">
        <f t="shared" si="10"/>
        <v>0</v>
      </c>
      <c r="BP19" s="711"/>
      <c r="BQ19" s="1555">
        <v>0</v>
      </c>
      <c r="BR19" s="709">
        <f>BQ19-CF!BR43</f>
        <v>0</v>
      </c>
      <c r="BS19" s="709">
        <f>BR19-CF!BS43</f>
        <v>0</v>
      </c>
      <c r="BT19" s="709">
        <f>BS19-CF!BT43</f>
        <v>0</v>
      </c>
      <c r="BU19" s="703">
        <f t="shared" si="11"/>
        <v>0</v>
      </c>
      <c r="BV19" s="711"/>
      <c r="BW19" s="708">
        <f>BT19-CF!BW43</f>
        <v>0</v>
      </c>
      <c r="BX19" s="709">
        <f>BW19-CF!BX43</f>
        <v>0</v>
      </c>
      <c r="BY19" s="709">
        <f>BX19-CF!BY43</f>
        <v>0</v>
      </c>
      <c r="BZ19" s="709">
        <f>BY19-CF!BZ43</f>
        <v>0</v>
      </c>
      <c r="CA19" s="703">
        <f t="shared" si="12"/>
        <v>0</v>
      </c>
      <c r="CB19" s="750"/>
      <c r="CC19" s="708">
        <f>BZ19-CF!CC43</f>
        <v>0</v>
      </c>
      <c r="CD19" s="709">
        <f>CC19-CF!CD43</f>
        <v>0</v>
      </c>
      <c r="CE19" s="709">
        <f>CD19-CF!CE43</f>
        <v>0</v>
      </c>
      <c r="CF19" s="709">
        <f>CE19-CF!CF43</f>
        <v>0</v>
      </c>
      <c r="CG19" s="703">
        <f t="shared" si="13"/>
        <v>0</v>
      </c>
      <c r="CH19" s="713"/>
      <c r="CI19" s="708">
        <f>CF19-CF!CI43</f>
        <v>0</v>
      </c>
      <c r="CJ19" s="709">
        <f>CI19-CF!CJ43</f>
        <v>0</v>
      </c>
      <c r="CK19" s="709">
        <f>CJ19-CF!CK43</f>
        <v>0</v>
      </c>
      <c r="CL19" s="709">
        <f>CK19-CF!CL43</f>
        <v>0</v>
      </c>
      <c r="CM19" s="703">
        <f t="shared" si="14"/>
        <v>0</v>
      </c>
      <c r="CN19" s="204"/>
      <c r="CO19" s="204"/>
      <c r="CP19" s="64"/>
    </row>
    <row r="20" spans="1:94" collapsed="1">
      <c r="A20" s="1841" t="s">
        <v>265</v>
      </c>
      <c r="B20" s="707"/>
      <c r="C20" s="706">
        <v>0</v>
      </c>
      <c r="D20" s="705">
        <v>0</v>
      </c>
      <c r="E20" s="705">
        <v>0</v>
      </c>
      <c r="F20" s="709">
        <v>147.72477064220183</v>
      </c>
      <c r="G20" s="703">
        <f t="shared" si="0"/>
        <v>147.72477064220183</v>
      </c>
      <c r="H20" s="707"/>
      <c r="I20" s="706">
        <v>0</v>
      </c>
      <c r="J20" s="705">
        <v>208.64220183486239</v>
      </c>
      <c r="K20" s="705">
        <v>191.12844036697248</v>
      </c>
      <c r="L20" s="709">
        <v>156.8623853211009</v>
      </c>
      <c r="M20" s="703">
        <f t="shared" si="1"/>
        <v>156.8623853211009</v>
      </c>
      <c r="N20" s="707"/>
      <c r="O20" s="706">
        <v>128.6880733944954</v>
      </c>
      <c r="P20" s="705">
        <v>127.1651376146789</v>
      </c>
      <c r="Q20" s="705">
        <v>116.50458715596331</v>
      </c>
      <c r="R20" s="709">
        <v>124.11926605504587</v>
      </c>
      <c r="S20" s="703">
        <f t="shared" si="2"/>
        <v>124.11926605504587</v>
      </c>
      <c r="T20" s="711"/>
      <c r="U20" s="706">
        <v>117.26605504587155</v>
      </c>
      <c r="V20" s="705">
        <v>120.31192660550458</v>
      </c>
      <c r="W20" s="705">
        <v>103.55963302752293</v>
      </c>
      <c r="X20" s="709">
        <v>108.12844036697247</v>
      </c>
      <c r="Y20" s="703">
        <f t="shared" si="3"/>
        <v>108.12844036697247</v>
      </c>
      <c r="Z20" s="711"/>
      <c r="AA20" s="706">
        <v>102.03669724770641</v>
      </c>
      <c r="AB20" s="705">
        <v>93.660550458715591</v>
      </c>
      <c r="AC20" s="705">
        <v>92.899082568807344</v>
      </c>
      <c r="AD20" s="709">
        <v>89.091743119266056</v>
      </c>
      <c r="AE20" s="703">
        <f t="shared" si="4"/>
        <v>89.091743119266056</v>
      </c>
      <c r="AF20" s="711"/>
      <c r="AG20" s="706">
        <v>83.761467889908261</v>
      </c>
      <c r="AH20" s="705">
        <v>84.522935779816507</v>
      </c>
      <c r="AI20" s="705">
        <v>79.192660550458712</v>
      </c>
      <c r="AJ20" s="1705">
        <v>83</v>
      </c>
      <c r="AK20" s="703">
        <f t="shared" si="5"/>
        <v>83</v>
      </c>
      <c r="AL20" s="711"/>
      <c r="AM20" s="706">
        <v>87.482014388489205</v>
      </c>
      <c r="AN20" s="705">
        <v>82.014388489208628</v>
      </c>
      <c r="AO20" s="705">
        <v>84.748201438848923</v>
      </c>
      <c r="AP20" s="1705">
        <v>95</v>
      </c>
      <c r="AQ20" s="703">
        <f t="shared" si="6"/>
        <v>95</v>
      </c>
      <c r="AR20" s="711"/>
      <c r="AS20" s="1706">
        <v>89</v>
      </c>
      <c r="AT20" s="709">
        <v>83</v>
      </c>
      <c r="AU20" s="709">
        <v>104</v>
      </c>
      <c r="AV20" s="1809">
        <v>96</v>
      </c>
      <c r="AW20" s="703">
        <f t="shared" si="7"/>
        <v>96</v>
      </c>
      <c r="AX20" s="711"/>
      <c r="AY20" s="1555">
        <v>90</v>
      </c>
      <c r="AZ20" s="1554">
        <v>91</v>
      </c>
      <c r="BA20" s="1554">
        <v>88</v>
      </c>
      <c r="BB20" s="1809">
        <v>86</v>
      </c>
      <c r="BC20" s="703">
        <f t="shared" si="8"/>
        <v>86</v>
      </c>
      <c r="BD20" s="711"/>
      <c r="BE20" s="1555">
        <v>76</v>
      </c>
      <c r="BF20" s="1554">
        <v>157</v>
      </c>
      <c r="BG20" s="1554">
        <v>155</v>
      </c>
      <c r="BH20" s="1554">
        <v>135</v>
      </c>
      <c r="BI20" s="703">
        <f t="shared" si="9"/>
        <v>135</v>
      </c>
      <c r="BJ20" s="711"/>
      <c r="BK20" s="1555">
        <v>133</v>
      </c>
      <c r="BL20" s="1554">
        <v>134</v>
      </c>
      <c r="BM20" s="1554">
        <v>137</v>
      </c>
      <c r="BN20" s="1554">
        <v>138</v>
      </c>
      <c r="BO20" s="703">
        <f t="shared" si="10"/>
        <v>138</v>
      </c>
      <c r="BP20" s="711"/>
      <c r="BQ20" s="1555">
        <v>140</v>
      </c>
      <c r="BR20" s="709">
        <f>BQ20-CF!BR40-CF!BR38-CF!BR18-CF!BR55-CF!BR56</f>
        <v>140</v>
      </c>
      <c r="BS20" s="709">
        <f>BR20-CF!BS40-CF!BS38-CF!BS18-CF!BS55-CF!BS56</f>
        <v>140</v>
      </c>
      <c r="BT20" s="709">
        <f>BS20-CF!BT40-CF!BT38-CF!BT18-CF!BT55-CF!BT56</f>
        <v>140</v>
      </c>
      <c r="BU20" s="703">
        <f t="shared" si="11"/>
        <v>140</v>
      </c>
      <c r="BV20" s="711"/>
      <c r="BW20" s="708">
        <f>BT20-CF!BW40-CF!BW38-CF!BW18-CF!BW55-CF!BW56</f>
        <v>140</v>
      </c>
      <c r="BX20" s="709">
        <f>BW20-CF!BX40-CF!BX38-CF!BX18-CF!BX55-CF!BX56</f>
        <v>140</v>
      </c>
      <c r="BY20" s="709">
        <f>BX20-CF!BY40-CF!BY38-CF!BY18-CF!BY55-CF!BY56</f>
        <v>140</v>
      </c>
      <c r="BZ20" s="709">
        <f>BY20-CF!BZ40-CF!BZ38-CF!BZ18-CF!BZ55-CF!BZ56</f>
        <v>140</v>
      </c>
      <c r="CA20" s="703">
        <f t="shared" si="12"/>
        <v>140</v>
      </c>
      <c r="CB20" s="750"/>
      <c r="CC20" s="708">
        <f>BZ20-CF!CC40-CF!CC38-CF!CC18-CF!CC55-CF!CC56</f>
        <v>140</v>
      </c>
      <c r="CD20" s="709">
        <f>CC20-CF!CD40-CF!CD38-CF!CD18-CF!CD55-CF!CD56</f>
        <v>140</v>
      </c>
      <c r="CE20" s="709">
        <f>CD20-CF!CE40-CF!CE38-CF!CE18-CF!CE55-CF!CE56</f>
        <v>140</v>
      </c>
      <c r="CF20" s="709">
        <f>CE20-CF!CF40-CF!CF38-CF!CF18-CF!CF55-CF!CF56</f>
        <v>140</v>
      </c>
      <c r="CG20" s="703">
        <f t="shared" si="13"/>
        <v>140</v>
      </c>
      <c r="CH20" s="713"/>
      <c r="CI20" s="708">
        <f>CF20-CF!CI40-CF!CI38-CF!CI18-CF!CI55-CF!CI56</f>
        <v>140</v>
      </c>
      <c r="CJ20" s="709">
        <f>CI20-CF!CJ40-CF!CJ38-CF!CJ18-CF!CJ55-CF!CJ56</f>
        <v>140</v>
      </c>
      <c r="CK20" s="709">
        <f>CJ20-CF!CK40-CF!CK38-CF!CK18-CF!CK55-CF!CK56</f>
        <v>140</v>
      </c>
      <c r="CL20" s="709">
        <f>CK20-CF!CL40-CF!CL38-CF!CL18-CF!CL55-CF!CL56</f>
        <v>140</v>
      </c>
      <c r="CM20" s="703">
        <f t="shared" si="14"/>
        <v>140</v>
      </c>
      <c r="CN20" s="204"/>
      <c r="CO20" s="204"/>
      <c r="CP20" s="64"/>
    </row>
    <row r="21" spans="1:94">
      <c r="A21" s="1841" t="s">
        <v>266</v>
      </c>
      <c r="B21" s="707"/>
      <c r="C21" s="706">
        <v>415.97705544933081</v>
      </c>
      <c r="D21" s="705">
        <v>450.89483747609944</v>
      </c>
      <c r="E21" s="705">
        <v>460.76290630975143</v>
      </c>
      <c r="F21" s="709">
        <v>407.62715105162528</v>
      </c>
      <c r="G21" s="703">
        <f t="shared" si="0"/>
        <v>407.62715105162528</v>
      </c>
      <c r="H21" s="707"/>
      <c r="I21" s="706">
        <v>558.68451242829826</v>
      </c>
      <c r="J21" s="705">
        <v>400.03632887189292</v>
      </c>
      <c r="K21" s="705">
        <v>383.33652007648186</v>
      </c>
      <c r="L21" s="709">
        <v>257.32887189292546</v>
      </c>
      <c r="M21" s="703">
        <f t="shared" si="1"/>
        <v>257.32887189292546</v>
      </c>
      <c r="N21" s="707"/>
      <c r="O21" s="706">
        <v>534.3938814531549</v>
      </c>
      <c r="P21" s="705">
        <v>224.68833652007649</v>
      </c>
      <c r="Q21" s="705">
        <v>224.68833652007649</v>
      </c>
      <c r="R21" s="709">
        <v>193.56596558317401</v>
      </c>
      <c r="S21" s="703">
        <f t="shared" si="2"/>
        <v>193.56596558317401</v>
      </c>
      <c r="T21" s="711"/>
      <c r="U21" s="706">
        <v>188.2523900573614</v>
      </c>
      <c r="V21" s="705">
        <v>216.33843212237093</v>
      </c>
      <c r="W21" s="705">
        <v>264.91969407265776</v>
      </c>
      <c r="X21" s="709">
        <v>340.82791586998087</v>
      </c>
      <c r="Y21" s="703">
        <f t="shared" si="3"/>
        <v>340.82791586998087</v>
      </c>
      <c r="Z21" s="711"/>
      <c r="AA21" s="706">
        <v>315.01912045889105</v>
      </c>
      <c r="AB21" s="705">
        <v>286.93307839388149</v>
      </c>
      <c r="AC21" s="705">
        <v>277.82409177820267</v>
      </c>
      <c r="AD21" s="709">
        <v>274.02868068833652</v>
      </c>
      <c r="AE21" s="703">
        <f t="shared" si="4"/>
        <v>274.02868068833652</v>
      </c>
      <c r="AF21" s="711"/>
      <c r="AG21" s="706">
        <v>193.56596558317401</v>
      </c>
      <c r="AH21" s="705">
        <v>231.52007648183556</v>
      </c>
      <c r="AI21" s="705">
        <v>203.43403441682602</v>
      </c>
      <c r="AJ21" s="1705">
        <v>397</v>
      </c>
      <c r="AK21" s="703">
        <f t="shared" si="5"/>
        <v>397</v>
      </c>
      <c r="AL21" s="711"/>
      <c r="AM21" s="706">
        <v>399.72972972972974</v>
      </c>
      <c r="AN21" s="705">
        <v>392.67567567567568</v>
      </c>
      <c r="AO21" s="705">
        <v>384.83783783783781</v>
      </c>
      <c r="AP21" s="1705">
        <v>377</v>
      </c>
      <c r="AQ21" s="703">
        <f t="shared" si="6"/>
        <v>377</v>
      </c>
      <c r="AR21" s="711"/>
      <c r="AS21" s="1706">
        <v>350</v>
      </c>
      <c r="AT21" s="709">
        <v>411</v>
      </c>
      <c r="AU21" s="709">
        <v>401</v>
      </c>
      <c r="AV21" s="1809">
        <f>306+1142</f>
        <v>1448</v>
      </c>
      <c r="AW21" s="703">
        <f t="shared" si="7"/>
        <v>1448</v>
      </c>
      <c r="AX21" s="711"/>
      <c r="AY21" s="1555">
        <v>254</v>
      </c>
      <c r="AZ21" s="1554">
        <v>251</v>
      </c>
      <c r="BA21" s="1554">
        <v>248</v>
      </c>
      <c r="BB21" s="1809">
        <v>292</v>
      </c>
      <c r="BC21" s="703">
        <f t="shared" si="8"/>
        <v>292</v>
      </c>
      <c r="BD21" s="711"/>
      <c r="BE21" s="1555">
        <v>242</v>
      </c>
      <c r="BF21" s="1554">
        <v>339</v>
      </c>
      <c r="BG21" s="1554">
        <v>459</v>
      </c>
      <c r="BH21" s="1554">
        <v>468</v>
      </c>
      <c r="BI21" s="703">
        <f t="shared" si="9"/>
        <v>468</v>
      </c>
      <c r="BJ21" s="711"/>
      <c r="BK21" s="1555">
        <v>477</v>
      </c>
      <c r="BL21" s="1554">
        <v>466</v>
      </c>
      <c r="BM21" s="1554">
        <v>425</v>
      </c>
      <c r="BN21" s="1554">
        <v>397</v>
      </c>
      <c r="BO21" s="703">
        <f t="shared" si="10"/>
        <v>397</v>
      </c>
      <c r="BP21" s="711"/>
      <c r="BQ21" s="1555">
        <v>395</v>
      </c>
      <c r="BR21" s="709">
        <f>BQ21-CF!BR17-CF!BR22</f>
        <v>394</v>
      </c>
      <c r="BS21" s="709">
        <f>BR21-CF!BS17-CF!BS22</f>
        <v>393</v>
      </c>
      <c r="BT21" s="709">
        <f>BS21-CF!BT17-CF!BT22</f>
        <v>392</v>
      </c>
      <c r="BU21" s="703">
        <f t="shared" si="11"/>
        <v>392</v>
      </c>
      <c r="BV21" s="711"/>
      <c r="BW21" s="708">
        <f>BT21-CF!BW17-CF!BW22</f>
        <v>392</v>
      </c>
      <c r="BX21" s="709">
        <f>BW21-CF!BX17-CF!BX22</f>
        <v>392</v>
      </c>
      <c r="BY21" s="709">
        <f>BX21-CF!BY17-CF!BY22</f>
        <v>392</v>
      </c>
      <c r="BZ21" s="709">
        <f>BY21-CF!BZ17-CF!BZ22</f>
        <v>392</v>
      </c>
      <c r="CA21" s="703">
        <f t="shared" si="12"/>
        <v>392</v>
      </c>
      <c r="CB21" s="750"/>
      <c r="CC21" s="708">
        <f>BZ21-CF!CC17-CF!CC22</f>
        <v>392</v>
      </c>
      <c r="CD21" s="709">
        <f>CC21-CF!CD17-CF!CD22</f>
        <v>392</v>
      </c>
      <c r="CE21" s="709">
        <f>CD21-CF!CE17-CF!CE22</f>
        <v>392</v>
      </c>
      <c r="CF21" s="709">
        <f>CE21-CF!CF17-CF!CF22</f>
        <v>392</v>
      </c>
      <c r="CG21" s="703">
        <f t="shared" si="13"/>
        <v>392</v>
      </c>
      <c r="CH21" s="713"/>
      <c r="CI21" s="708">
        <f>CF21-CF!CI17-CF!CI22</f>
        <v>392</v>
      </c>
      <c r="CJ21" s="709">
        <f>CI21-CF!CJ17-CF!CJ22</f>
        <v>392</v>
      </c>
      <c r="CK21" s="709">
        <f>CJ21-CF!CK17-CF!CK22</f>
        <v>392</v>
      </c>
      <c r="CL21" s="709">
        <f>CK21-CF!CL17-CF!CL22</f>
        <v>392</v>
      </c>
      <c r="CM21" s="703">
        <f t="shared" si="14"/>
        <v>392</v>
      </c>
      <c r="CN21" s="204"/>
      <c r="CO21" s="204"/>
      <c r="CP21" s="64"/>
    </row>
    <row r="22" spans="1:94" ht="4.5" customHeight="1">
      <c r="A22" s="1841"/>
      <c r="B22" s="707"/>
      <c r="C22" s="712"/>
      <c r="D22" s="711"/>
      <c r="E22" s="711"/>
      <c r="F22" s="711"/>
      <c r="G22" s="703"/>
      <c r="H22" s="707"/>
      <c r="I22" s="712"/>
      <c r="J22" s="711"/>
      <c r="K22" s="711"/>
      <c r="L22" s="711"/>
      <c r="M22" s="703"/>
      <c r="N22" s="707"/>
      <c r="O22" s="712"/>
      <c r="P22" s="711"/>
      <c r="Q22" s="711"/>
      <c r="R22" s="711"/>
      <c r="S22" s="703"/>
      <c r="T22" s="711"/>
      <c r="U22" s="712"/>
      <c r="V22" s="711"/>
      <c r="W22" s="711"/>
      <c r="X22" s="711"/>
      <c r="Y22" s="703"/>
      <c r="Z22" s="711"/>
      <c r="AA22" s="712"/>
      <c r="AB22" s="711"/>
      <c r="AC22" s="711"/>
      <c r="AD22" s="711"/>
      <c r="AE22" s="703"/>
      <c r="AF22" s="711"/>
      <c r="AG22" s="712"/>
      <c r="AH22" s="711"/>
      <c r="AI22" s="711"/>
      <c r="AJ22" s="711"/>
      <c r="AK22" s="703"/>
      <c r="AL22" s="711"/>
      <c r="AM22" s="712"/>
      <c r="AN22" s="711"/>
      <c r="AO22" s="711"/>
      <c r="AP22" s="711"/>
      <c r="AQ22" s="703"/>
      <c r="AR22" s="711"/>
      <c r="AS22" s="712"/>
      <c r="AT22" s="709"/>
      <c r="AU22" s="709"/>
      <c r="AV22" s="709"/>
      <c r="AW22" s="703"/>
      <c r="AX22" s="711"/>
      <c r="AY22" s="708"/>
      <c r="AZ22" s="709"/>
      <c r="BA22" s="709"/>
      <c r="BB22" s="709"/>
      <c r="BC22" s="703"/>
      <c r="BD22" s="711"/>
      <c r="BE22" s="708"/>
      <c r="BF22" s="709"/>
      <c r="BG22" s="709"/>
      <c r="BH22" s="709"/>
      <c r="BI22" s="703"/>
      <c r="BJ22" s="711"/>
      <c r="BK22" s="708"/>
      <c r="BL22" s="709"/>
      <c r="BM22" s="709"/>
      <c r="BN22" s="709"/>
      <c r="BO22" s="703"/>
      <c r="BP22" s="711"/>
      <c r="BQ22" s="708"/>
      <c r="BR22" s="709"/>
      <c r="BS22" s="709"/>
      <c r="BT22" s="709"/>
      <c r="BU22" s="703"/>
      <c r="BV22" s="711"/>
      <c r="BW22" s="708"/>
      <c r="BX22" s="709"/>
      <c r="BY22" s="709"/>
      <c r="BZ22" s="709"/>
      <c r="CA22" s="703"/>
      <c r="CB22" s="750"/>
      <c r="CC22" s="708"/>
      <c r="CD22" s="709"/>
      <c r="CE22" s="709"/>
      <c r="CF22" s="709"/>
      <c r="CG22" s="703"/>
      <c r="CH22" s="713"/>
      <c r="CI22" s="708"/>
      <c r="CJ22" s="709"/>
      <c r="CK22" s="709"/>
      <c r="CL22" s="709"/>
      <c r="CM22" s="703"/>
      <c r="CN22" s="204"/>
      <c r="CO22" s="204"/>
      <c r="CP22" s="64"/>
    </row>
    <row r="23" spans="1:94">
      <c r="A23" s="1842" t="s">
        <v>267</v>
      </c>
      <c r="B23" s="714"/>
      <c r="C23" s="715">
        <f>SUM(C15:C21)</f>
        <v>5297.1316282155221</v>
      </c>
      <c r="D23" s="716">
        <f>SUM(D15:D21)</f>
        <v>5259.665604402031</v>
      </c>
      <c r="E23" s="716">
        <f>SUM(E15:E21)</f>
        <v>4893.760623439749</v>
      </c>
      <c r="F23" s="716">
        <f>SUM(F15:F21)</f>
        <v>5579.1505544880019</v>
      </c>
      <c r="G23" s="717">
        <f>SUM(G15:G21)</f>
        <v>5579.1505544880019</v>
      </c>
      <c r="H23" s="714"/>
      <c r="I23" s="715">
        <f>SUM(I15:I21)</f>
        <v>5411.163819961007</v>
      </c>
      <c r="J23" s="716">
        <f>SUM(J15:J21)</f>
        <v>5644.0226506152667</v>
      </c>
      <c r="K23" s="716">
        <f>SUM(K15:K21)</f>
        <v>5564.9348327514899</v>
      </c>
      <c r="L23" s="716">
        <f>SUM(L15:L21)</f>
        <v>5195.1571824399598</v>
      </c>
      <c r="M23" s="717">
        <f>SUM(M15:M21)</f>
        <v>5195.1571824399598</v>
      </c>
      <c r="N23" s="714"/>
      <c r="O23" s="715">
        <f>SUM(O15:O21)</f>
        <v>5286.676446916159</v>
      </c>
      <c r="P23" s="716">
        <f>SUM(P15:P21)</f>
        <v>4946.7882942860888</v>
      </c>
      <c r="Q23" s="716">
        <f>SUM(Q15:Q21)</f>
        <v>5014.4630160103998</v>
      </c>
      <c r="R23" s="716">
        <f>SUM(R15:R21)</f>
        <v>6034.6507385469895</v>
      </c>
      <c r="S23" s="717">
        <f>SUM(S15:S21)</f>
        <v>6034.6507385469895</v>
      </c>
      <c r="T23" s="718"/>
      <c r="U23" s="715">
        <f>SUM(U15:U21)</f>
        <v>6050.9680285997747</v>
      </c>
      <c r="V23" s="716">
        <f>SUM(V15:V21)</f>
        <v>6204.2587819302307</v>
      </c>
      <c r="W23" s="716">
        <f>SUM(W15:W21)</f>
        <v>7281.4877816149592</v>
      </c>
      <c r="X23" s="716">
        <f>SUM(X15:X21)</f>
        <v>7891.4450365751918</v>
      </c>
      <c r="Y23" s="717">
        <f>SUM(Y15:Y21)</f>
        <v>7891.4450365751918</v>
      </c>
      <c r="Z23" s="718"/>
      <c r="AA23" s="715">
        <f>SUM(AA15:AA21)</f>
        <v>6184.8089152847533</v>
      </c>
      <c r="AB23" s="716">
        <f>SUM(AB15:AB21)</f>
        <v>6745.6123128607342</v>
      </c>
      <c r="AC23" s="716">
        <f>SUM(AC15:AC21)</f>
        <v>6807.1370707679789</v>
      </c>
      <c r="AD23" s="716">
        <f>SUM(AD15:AD21)</f>
        <v>7234.0867857526118</v>
      </c>
      <c r="AE23" s="717">
        <f>SUM(AE15:AE21)</f>
        <v>7234.0867857526118</v>
      </c>
      <c r="AF23" s="718"/>
      <c r="AG23" s="715">
        <f>SUM(AG15:AG21)</f>
        <v>7263.1740158657012</v>
      </c>
      <c r="AH23" s="716">
        <f>SUM(AH15:AH21)</f>
        <v>7519.348064285663</v>
      </c>
      <c r="AI23" s="716">
        <f>SUM(AI15:AI21)</f>
        <v>7635.4540949647071</v>
      </c>
      <c r="AJ23" s="716">
        <f>SUM(AJ15:AJ21)</f>
        <v>8403</v>
      </c>
      <c r="AK23" s="717">
        <f>SUM(AK15:AK21)</f>
        <v>8403</v>
      </c>
      <c r="AL23" s="718"/>
      <c r="AM23" s="715">
        <f>SUM(AM15:AM21)</f>
        <v>8574.1555223558134</v>
      </c>
      <c r="AN23" s="719">
        <f>SUM(AN15:AN21)</f>
        <v>8518.947691612786</v>
      </c>
      <c r="AO23" s="719">
        <f>SUM(AO15:AO21)</f>
        <v>8239.5788976081167</v>
      </c>
      <c r="AP23" s="716">
        <f>SUM(AP15:AP21)</f>
        <v>8658</v>
      </c>
      <c r="AQ23" s="717">
        <f>SUM(AQ15:AQ21)</f>
        <v>8658</v>
      </c>
      <c r="AR23" s="718"/>
      <c r="AS23" s="715">
        <f>SUM(AS15:AS21)</f>
        <v>8706</v>
      </c>
      <c r="AT23" s="719">
        <f>SUM(AT15:AT21)</f>
        <v>9016</v>
      </c>
      <c r="AU23" s="719">
        <f>SUM(AU15:AU21)</f>
        <v>8381</v>
      </c>
      <c r="AV23" s="719">
        <f>SUM(AV15:AV21)</f>
        <v>10831</v>
      </c>
      <c r="AW23" s="717">
        <f>SUM(AW15:AW21)</f>
        <v>10831</v>
      </c>
      <c r="AX23" s="718"/>
      <c r="AY23" s="720">
        <f>SUM(AY15:AY21)</f>
        <v>7519</v>
      </c>
      <c r="AZ23" s="719">
        <f>SUM(AZ15:AZ21)</f>
        <v>7412</v>
      </c>
      <c r="BA23" s="719">
        <f>SUM(BA15:BA21)</f>
        <v>7251</v>
      </c>
      <c r="BB23" s="719">
        <f>SUM(BB15:BB21)</f>
        <v>7479</v>
      </c>
      <c r="BC23" s="717">
        <f>SUM(BC15:BC21)</f>
        <v>7479</v>
      </c>
      <c r="BD23" s="718"/>
      <c r="BE23" s="720">
        <f>SUM(BE15:BE21)</f>
        <v>7302</v>
      </c>
      <c r="BF23" s="719">
        <f>SUM(BF15:BF21)</f>
        <v>7640</v>
      </c>
      <c r="BG23" s="719">
        <f>SUM(BG15:BG21)</f>
        <v>7734</v>
      </c>
      <c r="BH23" s="719">
        <f>SUM(BH15:BH21)</f>
        <v>7802</v>
      </c>
      <c r="BI23" s="717">
        <f>SUM(BI15:BI21)</f>
        <v>7802</v>
      </c>
      <c r="BJ23" s="718"/>
      <c r="BK23" s="720">
        <f>SUM(BK15:BK21)</f>
        <v>7872</v>
      </c>
      <c r="BL23" s="719">
        <f>SUM(BL15:BL21)</f>
        <v>8016</v>
      </c>
      <c r="BM23" s="719">
        <f>SUM(BM15:BM21)</f>
        <v>8261</v>
      </c>
      <c r="BN23" s="719">
        <f>SUM(BN15:BN21)</f>
        <v>8429</v>
      </c>
      <c r="BO23" s="717">
        <f>SUM(BO15:BO21)</f>
        <v>8429</v>
      </c>
      <c r="BP23" s="718"/>
      <c r="BQ23" s="720">
        <f>SUM(BQ15:BQ21)</f>
        <v>8698</v>
      </c>
      <c r="BR23" s="719">
        <f>SUM(BR15:BR21)</f>
        <v>8816.7711496158645</v>
      </c>
      <c r="BS23" s="719">
        <f>SUM(BS15:BS21)</f>
        <v>8876.8185266932451</v>
      </c>
      <c r="BT23" s="719">
        <f>SUM(BT15:BT21)</f>
        <v>9065.6629840161695</v>
      </c>
      <c r="BU23" s="717">
        <f>SUM(BU15:BU21)</f>
        <v>9065.6629840161695</v>
      </c>
      <c r="BV23" s="718"/>
      <c r="BW23" s="720">
        <f>SUM(BW15:BW21)</f>
        <v>9082.2306723414422</v>
      </c>
      <c r="BX23" s="719">
        <f>SUM(BX15:BX21)</f>
        <v>9237.8912620216997</v>
      </c>
      <c r="BY23" s="719">
        <f>SUM(BY15:BY21)</f>
        <v>9349.1162517129396</v>
      </c>
      <c r="BZ23" s="719">
        <f>SUM(BZ15:BZ21)</f>
        <v>9580.8906584831439</v>
      </c>
      <c r="CA23" s="717">
        <f>SUM(CA15:CA21)</f>
        <v>9580.8906584831439</v>
      </c>
      <c r="CB23" s="732"/>
      <c r="CC23" s="720">
        <f>SUM(CC15:CC21)</f>
        <v>9092.744490446119</v>
      </c>
      <c r="CD23" s="719">
        <f>SUM(CD15:CD21)</f>
        <v>9346.5609876529197</v>
      </c>
      <c r="CE23" s="719">
        <f>SUM(CE15:CE21)</f>
        <v>9568.8537656994467</v>
      </c>
      <c r="CF23" s="719">
        <f>SUM(CF15:CF21)</f>
        <v>9908.3406798122905</v>
      </c>
      <c r="CG23" s="717">
        <f>SUM(CG15:CG21)</f>
        <v>9908.3406798122905</v>
      </c>
      <c r="CH23" s="721"/>
      <c r="CI23" s="720">
        <f>SUM(CI15:CI21)</f>
        <v>9626.1055976379939</v>
      </c>
      <c r="CJ23" s="719">
        <f>SUM(CJ15:CJ21)</f>
        <v>9845.2388327235076</v>
      </c>
      <c r="CK23" s="719">
        <f>SUM(CK15:CK21)</f>
        <v>10040.819997373301</v>
      </c>
      <c r="CL23" s="719">
        <f>SUM(CL15:CL21)</f>
        <v>10337.339630427496</v>
      </c>
      <c r="CM23" s="717">
        <f>SUM(CM15:CM21)</f>
        <v>10337.339630427496</v>
      </c>
      <c r="CN23" s="204"/>
      <c r="CO23" s="204"/>
      <c r="CP23" s="89"/>
    </row>
    <row r="24" spans="1:94">
      <c r="A24" s="1843" t="s">
        <v>268</v>
      </c>
      <c r="B24" s="723"/>
      <c r="C24" s="724"/>
      <c r="D24" s="725"/>
      <c r="E24" s="725"/>
      <c r="F24" s="725"/>
      <c r="G24" s="726"/>
      <c r="H24" s="723"/>
      <c r="I24" s="724"/>
      <c r="J24" s="725"/>
      <c r="K24" s="725"/>
      <c r="L24" s="725"/>
      <c r="M24" s="726"/>
      <c r="N24" s="723"/>
      <c r="O24" s="724"/>
      <c r="P24" s="725"/>
      <c r="Q24" s="725"/>
      <c r="R24" s="725"/>
      <c r="S24" s="726"/>
      <c r="T24" s="725"/>
      <c r="U24" s="727"/>
      <c r="V24" s="728"/>
      <c r="W24" s="725"/>
      <c r="X24" s="725"/>
      <c r="Y24" s="726"/>
      <c r="Z24" s="725"/>
      <c r="AA24" s="724"/>
      <c r="AB24" s="725"/>
      <c r="AC24" s="725"/>
      <c r="AD24" s="725"/>
      <c r="AE24" s="726"/>
      <c r="AF24" s="725"/>
      <c r="AG24" s="724"/>
      <c r="AH24" s="725"/>
      <c r="AI24" s="725"/>
      <c r="AJ24" s="725"/>
      <c r="AK24" s="726"/>
      <c r="AL24" s="725"/>
      <c r="AM24" s="724"/>
      <c r="AN24" s="725"/>
      <c r="AO24" s="725"/>
      <c r="AP24" s="725"/>
      <c r="AQ24" s="726"/>
      <c r="AR24" s="725"/>
      <c r="AS24" s="724"/>
      <c r="AT24" s="725"/>
      <c r="AU24" s="725"/>
      <c r="AV24" s="725"/>
      <c r="AW24" s="726"/>
      <c r="AX24" s="725"/>
      <c r="AY24" s="724"/>
      <c r="AZ24" s="725"/>
      <c r="BA24" s="725"/>
      <c r="BB24" s="725"/>
      <c r="BC24" s="726"/>
      <c r="BD24" s="725"/>
      <c r="BE24" s="724"/>
      <c r="BF24" s="725"/>
      <c r="BG24" s="725"/>
      <c r="BH24" s="725"/>
      <c r="BI24" s="726"/>
      <c r="BJ24" s="725"/>
      <c r="BK24" s="724"/>
      <c r="BL24" s="725"/>
      <c r="BM24" s="725"/>
      <c r="BN24" s="725"/>
      <c r="BO24" s="726"/>
      <c r="BP24" s="725"/>
      <c r="BQ24" s="724"/>
      <c r="BR24" s="725"/>
      <c r="BS24" s="725"/>
      <c r="BT24" s="725"/>
      <c r="BU24" s="726"/>
      <c r="BV24" s="725"/>
      <c r="BW24" s="724"/>
      <c r="BX24" s="725"/>
      <c r="BY24" s="725"/>
      <c r="BZ24" s="725"/>
      <c r="CA24" s="726"/>
      <c r="CB24" s="2124"/>
      <c r="CC24" s="724"/>
      <c r="CD24" s="725"/>
      <c r="CE24" s="725"/>
      <c r="CF24" s="725"/>
      <c r="CG24" s="726"/>
      <c r="CH24" s="729"/>
      <c r="CI24" s="724"/>
      <c r="CJ24" s="725"/>
      <c r="CK24" s="725"/>
      <c r="CL24" s="725"/>
      <c r="CM24" s="726"/>
      <c r="CN24" s="204"/>
      <c r="CO24" s="204"/>
      <c r="CP24" s="6"/>
    </row>
    <row r="25" spans="1:94">
      <c r="A25" s="1841" t="s">
        <v>269</v>
      </c>
      <c r="B25" s="707"/>
      <c r="C25" s="708">
        <v>151.88887372108414</v>
      </c>
      <c r="D25" s="709">
        <v>144.32459822027661</v>
      </c>
      <c r="E25" s="709">
        <v>153.00739006297979</v>
      </c>
      <c r="F25" s="709">
        <v>167.27217828700469</v>
      </c>
      <c r="G25" s="710">
        <f t="shared" ref="G25:G30" si="15">F25</f>
        <v>167.27217828700469</v>
      </c>
      <c r="H25" s="707"/>
      <c r="I25" s="708">
        <v>177.23650052521737</v>
      </c>
      <c r="J25" s="709">
        <v>177.27037357531896</v>
      </c>
      <c r="K25" s="709">
        <v>175.23375643796186</v>
      </c>
      <c r="L25" s="709">
        <v>186.12817617688026</v>
      </c>
      <c r="M25" s="710">
        <f t="shared" ref="M25:M30" si="16">L25</f>
        <v>186.12817617688026</v>
      </c>
      <c r="N25" s="707"/>
      <c r="O25" s="708">
        <v>167.52128634296</v>
      </c>
      <c r="P25" s="709">
        <v>161.19690561357882</v>
      </c>
      <c r="Q25" s="709">
        <v>163.01899343362592</v>
      </c>
      <c r="R25" s="709">
        <v>173.96492843624043</v>
      </c>
      <c r="S25" s="710">
        <f t="shared" ref="S25:S30" si="17">R25</f>
        <v>173.96492843624043</v>
      </c>
      <c r="T25" s="709"/>
      <c r="U25" s="708">
        <v>186.54453241771208</v>
      </c>
      <c r="V25" s="709">
        <v>183.4077468405977</v>
      </c>
      <c r="W25" s="709">
        <v>230.8998801486342</v>
      </c>
      <c r="X25" s="709">
        <v>277.22480460525401</v>
      </c>
      <c r="Y25" s="710">
        <f t="shared" ref="Y25:Y30" si="18">X25</f>
        <v>277.22480460525401</v>
      </c>
      <c r="Z25" s="709"/>
      <c r="AA25" s="706">
        <v>253.45580307356283</v>
      </c>
      <c r="AB25" s="705">
        <v>290.24475823804607</v>
      </c>
      <c r="AC25" s="705">
        <v>289.08178351789206</v>
      </c>
      <c r="AD25" s="709">
        <v>298.08072382820995</v>
      </c>
      <c r="AE25" s="710">
        <f t="shared" ref="AE25:AE30" si="19">AD25</f>
        <v>298.08072382820995</v>
      </c>
      <c r="AF25" s="709"/>
      <c r="AG25" s="706">
        <v>288.94276287476691</v>
      </c>
      <c r="AH25" s="705">
        <v>295.29254839172421</v>
      </c>
      <c r="AI25" s="705">
        <v>300.07429396439625</v>
      </c>
      <c r="AJ25" s="1705">
        <v>305</v>
      </c>
      <c r="AK25" s="703">
        <f t="shared" ref="AK25:AK30" si="20">AJ25</f>
        <v>305</v>
      </c>
      <c r="AL25" s="711"/>
      <c r="AM25" s="706">
        <v>292.15849961920907</v>
      </c>
      <c r="AN25" s="705">
        <v>296.21721261075839</v>
      </c>
      <c r="AO25" s="705">
        <v>293.04102617209156</v>
      </c>
      <c r="AP25" s="1705">
        <v>301</v>
      </c>
      <c r="AQ25" s="703">
        <f t="shared" ref="AQ25:AQ30" si="21">AP25</f>
        <v>301</v>
      </c>
      <c r="AR25" s="711"/>
      <c r="AS25" s="1706">
        <v>300</v>
      </c>
      <c r="AT25" s="705">
        <v>324</v>
      </c>
      <c r="AU25" s="705">
        <v>290</v>
      </c>
      <c r="AV25" s="1809">
        <v>302</v>
      </c>
      <c r="AW25" s="703">
        <f t="shared" ref="AW25:AW30" si="22">AV25</f>
        <v>302</v>
      </c>
      <c r="AX25" s="711"/>
      <c r="AY25" s="1555">
        <v>257</v>
      </c>
      <c r="AZ25" s="1554">
        <v>261</v>
      </c>
      <c r="BA25" s="1554">
        <v>248</v>
      </c>
      <c r="BB25" s="1809">
        <v>279</v>
      </c>
      <c r="BC25" s="703">
        <f t="shared" ref="BC25:BC30" si="23">BB25</f>
        <v>279</v>
      </c>
      <c r="BD25" s="711"/>
      <c r="BE25" s="1555">
        <v>250</v>
      </c>
      <c r="BF25" s="1554">
        <v>220</v>
      </c>
      <c r="BG25" s="1554">
        <v>261</v>
      </c>
      <c r="BH25" s="1554">
        <v>257</v>
      </c>
      <c r="BI25" s="703">
        <f t="shared" ref="BI25:BI30" si="24">BH25</f>
        <v>257</v>
      </c>
      <c r="BJ25" s="711"/>
      <c r="BK25" s="1555">
        <v>268</v>
      </c>
      <c r="BL25" s="1554">
        <v>265</v>
      </c>
      <c r="BM25" s="1554">
        <v>289</v>
      </c>
      <c r="BN25" s="1554">
        <v>305</v>
      </c>
      <c r="BO25" s="703">
        <f t="shared" ref="BO25:BO30" si="25">BN25</f>
        <v>305</v>
      </c>
      <c r="BP25" s="711"/>
      <c r="BQ25" s="1555">
        <v>292</v>
      </c>
      <c r="BR25" s="705">
        <f>(IS!BR11*BR75)/(365/4)</f>
        <v>302.76435221495967</v>
      </c>
      <c r="BS25" s="705">
        <f>(IS!BS11*BS75)/(365/4)</f>
        <v>323.71388829163288</v>
      </c>
      <c r="BT25" s="705">
        <f>(IS!BT11*BT75)/(365/4)</f>
        <v>339.69708681603277</v>
      </c>
      <c r="BU25" s="703">
        <f t="shared" ref="BU25:BU30" si="26">BT25</f>
        <v>339.69708681603277</v>
      </c>
      <c r="BV25" s="711"/>
      <c r="BW25" s="706">
        <f>(IS!BW11*BW75)/(365/4)</f>
        <v>296.27332584310722</v>
      </c>
      <c r="BX25" s="705">
        <f>(IS!BX11*BX75)/(365/4)</f>
        <v>307.15297509099588</v>
      </c>
      <c r="BY25" s="705">
        <f>(IS!BY11*BY75)/(365/4)</f>
        <v>333.49946943878052</v>
      </c>
      <c r="BZ25" s="705">
        <f>(IS!BZ11*BZ75)/(365/4)</f>
        <v>349.10658506484071</v>
      </c>
      <c r="CA25" s="703">
        <f t="shared" ref="CA25:CA30" si="27">BZ25</f>
        <v>349.10658506484071</v>
      </c>
      <c r="CB25" s="750"/>
      <c r="CC25" s="706">
        <f>(IS!CC11*CC75)/(365/4)</f>
        <v>298.94806804177131</v>
      </c>
      <c r="CD25" s="705">
        <f>(IS!CD11*CD75)/(365/4)</f>
        <v>310.29073077577459</v>
      </c>
      <c r="CE25" s="705">
        <f>(IS!CE11*CE75)/(365/4)</f>
        <v>340.81445723637802</v>
      </c>
      <c r="CF25" s="705">
        <f>(IS!CF11*CF75)/(365/4)</f>
        <v>355.54197647948735</v>
      </c>
      <c r="CG25" s="703">
        <f t="shared" ref="CG25:CG30" si="28">CF25</f>
        <v>355.54197647948735</v>
      </c>
      <c r="CH25" s="713"/>
      <c r="CI25" s="706">
        <f>(IS!CI11*CI75)/(365/4)</f>
        <v>302.39149487610513</v>
      </c>
      <c r="CJ25" s="705">
        <f>(IS!CJ11*CJ75)/(365/4)</f>
        <v>314.25275174874321</v>
      </c>
      <c r="CK25" s="705">
        <f>(IS!CK11*CK75)/(365/4)</f>
        <v>349.73029489045723</v>
      </c>
      <c r="CL25" s="705">
        <f>(IS!CL11*CL75)/(365/4)</f>
        <v>363.38938425384305</v>
      </c>
      <c r="CM25" s="703">
        <f t="shared" ref="CM25:CM30" si="29">CL25</f>
        <v>363.38938425384305</v>
      </c>
      <c r="CN25" s="333"/>
      <c r="CO25" s="333"/>
      <c r="CP25" s="64"/>
    </row>
    <row r="26" spans="1:94">
      <c r="A26" s="1841" t="s">
        <v>270</v>
      </c>
      <c r="B26" s="707"/>
      <c r="C26" s="706">
        <v>121.98150594451783</v>
      </c>
      <c r="D26" s="705">
        <v>120.05548216644651</v>
      </c>
      <c r="E26" s="705">
        <v>125.83355350066051</v>
      </c>
      <c r="F26" s="709">
        <v>135.78467635402907</v>
      </c>
      <c r="G26" s="710">
        <f t="shared" si="15"/>
        <v>135.78467635402907</v>
      </c>
      <c r="H26" s="707"/>
      <c r="I26" s="706">
        <v>142.52575957727873</v>
      </c>
      <c r="J26" s="705">
        <v>142.84676354029062</v>
      </c>
      <c r="K26" s="705">
        <v>140.59973579920739</v>
      </c>
      <c r="L26" s="709">
        <v>147.01981505944519</v>
      </c>
      <c r="M26" s="710">
        <f t="shared" si="16"/>
        <v>147.01981505944519</v>
      </c>
      <c r="N26" s="707"/>
      <c r="O26" s="706">
        <v>135.90890488771467</v>
      </c>
      <c r="P26" s="705">
        <v>131.42704755614267</v>
      </c>
      <c r="Q26" s="705">
        <v>130.00885204755613</v>
      </c>
      <c r="R26" s="709">
        <v>139.80300396301189</v>
      </c>
      <c r="S26" s="710">
        <f t="shared" si="17"/>
        <v>139.80300396301189</v>
      </c>
      <c r="T26" s="709"/>
      <c r="U26" s="706">
        <v>148.09325231175694</v>
      </c>
      <c r="V26" s="705">
        <v>150.51843725231177</v>
      </c>
      <c r="W26" s="705">
        <v>184.96184147952445</v>
      </c>
      <c r="X26" s="709">
        <v>214.70125363276088</v>
      </c>
      <c r="Y26" s="710">
        <f t="shared" si="18"/>
        <v>214.70125363276088</v>
      </c>
      <c r="Z26" s="709"/>
      <c r="AA26" s="706">
        <v>205.17321400264203</v>
      </c>
      <c r="AB26" s="705">
        <v>228.32787186261561</v>
      </c>
      <c r="AC26" s="705">
        <v>224.26781373844122</v>
      </c>
      <c r="AD26" s="709">
        <v>228.6822602377807</v>
      </c>
      <c r="AE26" s="710">
        <f t="shared" si="19"/>
        <v>228.6822602377807</v>
      </c>
      <c r="AF26" s="709"/>
      <c r="AG26" s="706">
        <v>225.665785997358</v>
      </c>
      <c r="AH26" s="705">
        <v>232.72787318361955</v>
      </c>
      <c r="AI26" s="705">
        <v>232.72787318361955</v>
      </c>
      <c r="AJ26" s="1705">
        <v>243</v>
      </c>
      <c r="AK26" s="703">
        <f t="shared" si="20"/>
        <v>243</v>
      </c>
      <c r="AL26" s="711"/>
      <c r="AM26" s="706">
        <v>258.67462311557784</v>
      </c>
      <c r="AN26" s="705">
        <v>258.34924623115575</v>
      </c>
      <c r="AO26" s="705">
        <v>252.8178391959799</v>
      </c>
      <c r="AP26" s="1705">
        <v>259</v>
      </c>
      <c r="AQ26" s="703">
        <f t="shared" si="21"/>
        <v>259</v>
      </c>
      <c r="AR26" s="711"/>
      <c r="AS26" s="1706">
        <v>216</v>
      </c>
      <c r="AT26" s="705">
        <v>259</v>
      </c>
      <c r="AU26" s="705">
        <v>236</v>
      </c>
      <c r="AV26" s="1809">
        <v>228</v>
      </c>
      <c r="AW26" s="703">
        <f t="shared" si="22"/>
        <v>228</v>
      </c>
      <c r="AX26" s="711"/>
      <c r="AY26" s="1555">
        <v>183</v>
      </c>
      <c r="AZ26" s="1554">
        <v>208</v>
      </c>
      <c r="BA26" s="1554">
        <v>186</v>
      </c>
      <c r="BB26" s="1809">
        <v>221</v>
      </c>
      <c r="BC26" s="703">
        <f t="shared" si="23"/>
        <v>221</v>
      </c>
      <c r="BD26" s="711"/>
      <c r="BE26" s="1555">
        <v>171</v>
      </c>
      <c r="BF26" s="1554">
        <v>211</v>
      </c>
      <c r="BG26" s="1554">
        <v>209</v>
      </c>
      <c r="BH26" s="1554">
        <v>235</v>
      </c>
      <c r="BI26" s="703">
        <f t="shared" si="24"/>
        <v>235</v>
      </c>
      <c r="BJ26" s="711"/>
      <c r="BK26" s="1555">
        <v>189</v>
      </c>
      <c r="BL26" s="1554">
        <v>241</v>
      </c>
      <c r="BM26" s="1554">
        <v>230</v>
      </c>
      <c r="BN26" s="1554">
        <v>276</v>
      </c>
      <c r="BO26" s="703">
        <f t="shared" si="25"/>
        <v>276</v>
      </c>
      <c r="BP26" s="711"/>
      <c r="BQ26" s="1555">
        <v>221</v>
      </c>
      <c r="BR26" s="705">
        <f>(IS!BR15)*BR87*4</f>
        <v>268.63132151356558</v>
      </c>
      <c r="BS26" s="705">
        <f>(IS!BS15)*BS87*4</f>
        <v>250.94935710762198</v>
      </c>
      <c r="BT26" s="705">
        <f>(IS!BT15)*BT87*4</f>
        <v>299.26976296778599</v>
      </c>
      <c r="BU26" s="703">
        <f t="shared" si="26"/>
        <v>299.26976296778599</v>
      </c>
      <c r="BV26" s="711"/>
      <c r="BW26" s="706">
        <f>(IS!BW15)*BW87*4</f>
        <v>233.64617638357609</v>
      </c>
      <c r="BX26" s="705">
        <f>(IS!BX15)*BX87*4</f>
        <v>283.9663064744804</v>
      </c>
      <c r="BY26" s="705">
        <f>(IS!BY15)*BY87*4</f>
        <v>268.76845523534018</v>
      </c>
      <c r="BZ26" s="705">
        <f>(IS!BZ15)*BZ87*4</f>
        <v>319.60710004890461</v>
      </c>
      <c r="CA26" s="703">
        <f t="shared" si="27"/>
        <v>319.60710004890461</v>
      </c>
      <c r="CB26" s="750"/>
      <c r="CC26" s="706">
        <f>(IS!CC15)*CC87*4</f>
        <v>245.53213857797329</v>
      </c>
      <c r="CD26" s="705">
        <f>(IS!CD15)*CD87*4</f>
        <v>298.5099291364084</v>
      </c>
      <c r="CE26" s="705">
        <f>(IS!CE15)*CE87*4</f>
        <v>285.092066530625</v>
      </c>
      <c r="CF26" s="705">
        <f>(IS!CF15)*CF87*4</f>
        <v>337.7030096305017</v>
      </c>
      <c r="CG26" s="703">
        <f t="shared" si="28"/>
        <v>337.7030096305017</v>
      </c>
      <c r="CH26" s="713"/>
      <c r="CI26" s="706">
        <f>(IS!CI15)*CI87*4</f>
        <v>258.62285517998941</v>
      </c>
      <c r="CJ26" s="705">
        <f>(IS!CJ15)*CJ87*4</f>
        <v>314.5848291169246</v>
      </c>
      <c r="CK26" s="705">
        <f>(IS!CK15)*CK87*4</f>
        <v>303.64948764777068</v>
      </c>
      <c r="CL26" s="705">
        <f>(IS!CL15)*CL87*4</f>
        <v>358.0464384759843</v>
      </c>
      <c r="CM26" s="703">
        <f t="shared" si="29"/>
        <v>358.0464384759843</v>
      </c>
      <c r="CN26" s="333"/>
      <c r="CO26" s="333"/>
      <c r="CP26" s="64"/>
    </row>
    <row r="27" spans="1:94">
      <c r="A27" s="1841" t="s">
        <v>271</v>
      </c>
      <c r="B27" s="707"/>
      <c r="C27" s="706">
        <v>87.907465825446906</v>
      </c>
      <c r="D27" s="705">
        <v>86.519453207150363</v>
      </c>
      <c r="E27" s="705">
        <v>90.683491062039963</v>
      </c>
      <c r="F27" s="709">
        <v>97.854889589905369</v>
      </c>
      <c r="G27" s="710">
        <f t="shared" si="15"/>
        <v>97.854889589905369</v>
      </c>
      <c r="H27" s="707"/>
      <c r="I27" s="706">
        <v>102.71293375394322</v>
      </c>
      <c r="J27" s="705">
        <v>102.94426919032597</v>
      </c>
      <c r="K27" s="705">
        <v>101.32492113564669</v>
      </c>
      <c r="L27" s="709">
        <v>105.95162986330179</v>
      </c>
      <c r="M27" s="710">
        <f t="shared" si="16"/>
        <v>105.95162986330179</v>
      </c>
      <c r="N27" s="707"/>
      <c r="O27" s="706">
        <v>97.944416403785496</v>
      </c>
      <c r="P27" s="705">
        <v>94.714511041009459</v>
      </c>
      <c r="Q27" s="705">
        <v>93.692471083070444</v>
      </c>
      <c r="R27" s="709">
        <v>100.75074658254468</v>
      </c>
      <c r="S27" s="710">
        <f t="shared" si="17"/>
        <v>100.75074658254468</v>
      </c>
      <c r="T27" s="709"/>
      <c r="U27" s="706">
        <v>106.72521556256572</v>
      </c>
      <c r="V27" s="705">
        <v>108.47295478443743</v>
      </c>
      <c r="W27" s="705">
        <v>133.29501577287067</v>
      </c>
      <c r="X27" s="709">
        <v>154.727087276551</v>
      </c>
      <c r="Y27" s="710">
        <f t="shared" si="18"/>
        <v>154.727087276551</v>
      </c>
      <c r="Z27" s="709"/>
      <c r="AA27" s="706">
        <v>147.8605888538381</v>
      </c>
      <c r="AB27" s="705">
        <v>164.54727655099896</v>
      </c>
      <c r="AC27" s="705">
        <v>161.62134595162985</v>
      </c>
      <c r="AD27" s="709">
        <v>164.8026708727655</v>
      </c>
      <c r="AE27" s="710">
        <f t="shared" si="19"/>
        <v>164.8026708727655</v>
      </c>
      <c r="AF27" s="709"/>
      <c r="AG27" s="706">
        <v>162.62881177707678</v>
      </c>
      <c r="AH27" s="705">
        <v>167.71819137749736</v>
      </c>
      <c r="AI27" s="705">
        <v>167.71819137749736</v>
      </c>
      <c r="AJ27" s="1705">
        <v>220</v>
      </c>
      <c r="AK27" s="703">
        <f t="shared" si="20"/>
        <v>220</v>
      </c>
      <c r="AL27" s="711"/>
      <c r="AM27" s="706">
        <v>195.41461006910166</v>
      </c>
      <c r="AN27" s="705">
        <v>195.16880552813424</v>
      </c>
      <c r="AO27" s="705">
        <v>190.99012833168806</v>
      </c>
      <c r="AP27" s="1705">
        <v>249</v>
      </c>
      <c r="AQ27" s="703">
        <f t="shared" si="21"/>
        <v>249</v>
      </c>
      <c r="AR27" s="711"/>
      <c r="AS27" s="1706">
        <v>257</v>
      </c>
      <c r="AT27" s="705">
        <v>275</v>
      </c>
      <c r="AU27" s="705">
        <v>262</v>
      </c>
      <c r="AV27" s="1809">
        <v>260</v>
      </c>
      <c r="AW27" s="703">
        <f t="shared" si="22"/>
        <v>260</v>
      </c>
      <c r="AX27" s="711"/>
      <c r="AY27" s="1555">
        <v>278</v>
      </c>
      <c r="AZ27" s="1554">
        <v>271</v>
      </c>
      <c r="BA27" s="1554">
        <v>265</v>
      </c>
      <c r="BB27" s="1809">
        <v>258</v>
      </c>
      <c r="BC27" s="703">
        <f t="shared" si="23"/>
        <v>258</v>
      </c>
      <c r="BD27" s="711"/>
      <c r="BE27" s="1555">
        <v>277</v>
      </c>
      <c r="BF27" s="1554">
        <v>279</v>
      </c>
      <c r="BG27" s="1554">
        <v>279</v>
      </c>
      <c r="BH27" s="1554">
        <v>269</v>
      </c>
      <c r="BI27" s="703">
        <f t="shared" si="24"/>
        <v>269</v>
      </c>
      <c r="BJ27" s="711"/>
      <c r="BK27" s="1555">
        <v>299</v>
      </c>
      <c r="BL27" s="1554">
        <v>301</v>
      </c>
      <c r="BM27" s="1554">
        <v>301</v>
      </c>
      <c r="BN27" s="1554">
        <v>291</v>
      </c>
      <c r="BO27" s="703">
        <f t="shared" si="25"/>
        <v>291</v>
      </c>
      <c r="BP27" s="711"/>
      <c r="BQ27" s="1555">
        <v>321</v>
      </c>
      <c r="BR27" s="705">
        <f>(IS!BR15)*BR88*4</f>
        <v>335.51048869536612</v>
      </c>
      <c r="BS27" s="705">
        <f>(IS!BS15)*BS88*4</f>
        <v>328.41633256258359</v>
      </c>
      <c r="BT27" s="705">
        <f>(IS!BT15)*BT88*4</f>
        <v>315.53442399864389</v>
      </c>
      <c r="BU27" s="703">
        <f t="shared" si="26"/>
        <v>315.53442399864389</v>
      </c>
      <c r="BV27" s="711"/>
      <c r="BW27" s="706">
        <f>(IS!BW15)*BW88*4</f>
        <v>339.36842814085031</v>
      </c>
      <c r="BX27" s="705">
        <f>(IS!BX15)*BX88*4</f>
        <v>354.66331223576179</v>
      </c>
      <c r="BY27" s="705">
        <f>(IS!BY15)*BY88*4</f>
        <v>351.73610880798867</v>
      </c>
      <c r="BZ27" s="705">
        <f>(IS!BZ15)*BZ88*4</f>
        <v>336.97705113851896</v>
      </c>
      <c r="CA27" s="703">
        <f t="shared" si="27"/>
        <v>336.97705113851896</v>
      </c>
      <c r="CB27" s="750"/>
      <c r="CC27" s="706">
        <f>(IS!CC15)*CC88*4</f>
        <v>356.63265377162634</v>
      </c>
      <c r="CD27" s="705">
        <f>(IS!CD15)*CD88*4</f>
        <v>372.82775381767192</v>
      </c>
      <c r="CE27" s="705">
        <f>(IS!CE15)*CE88*4</f>
        <v>373.09874793790488</v>
      </c>
      <c r="CF27" s="705">
        <f>(IS!CF15)*CF88*4</f>
        <v>356.05643406694202</v>
      </c>
      <c r="CG27" s="703">
        <f t="shared" si="28"/>
        <v>356.05643406694202</v>
      </c>
      <c r="CH27" s="713"/>
      <c r="CI27" s="706">
        <f>(IS!CI15)*CI88*4</f>
        <v>375.64677155102532</v>
      </c>
      <c r="CJ27" s="705">
        <f>(IS!CJ15)*CJ88*4</f>
        <v>392.9047035858685</v>
      </c>
      <c r="CK27" s="705">
        <f>(IS!CK15)*CK88*4</f>
        <v>397.38476426947381</v>
      </c>
      <c r="CL27" s="705">
        <f>(IS!CL15)*CL88*4</f>
        <v>377.50548404533123</v>
      </c>
      <c r="CM27" s="703">
        <f t="shared" si="29"/>
        <v>377.50548404533123</v>
      </c>
      <c r="CN27" s="333"/>
      <c r="CO27" s="333"/>
      <c r="CP27" s="64"/>
    </row>
    <row r="28" spans="1:94" hidden="1" outlineLevel="1">
      <c r="A28" s="1841" t="s">
        <v>272</v>
      </c>
      <c r="B28" s="707"/>
      <c r="C28" s="1706">
        <v>0</v>
      </c>
      <c r="D28" s="1705">
        <v>0</v>
      </c>
      <c r="E28" s="1705">
        <v>0</v>
      </c>
      <c r="F28" s="1705">
        <v>0</v>
      </c>
      <c r="G28" s="703">
        <f t="shared" si="15"/>
        <v>0</v>
      </c>
      <c r="H28" s="707"/>
      <c r="I28" s="1706">
        <v>0</v>
      </c>
      <c r="J28" s="1705">
        <v>0</v>
      </c>
      <c r="K28" s="1705">
        <v>0</v>
      </c>
      <c r="L28" s="1705">
        <v>0</v>
      </c>
      <c r="M28" s="703">
        <f t="shared" si="16"/>
        <v>0</v>
      </c>
      <c r="N28" s="707"/>
      <c r="O28" s="1706">
        <v>0</v>
      </c>
      <c r="P28" s="1705">
        <v>0</v>
      </c>
      <c r="Q28" s="1705">
        <v>0</v>
      </c>
      <c r="R28" s="1705">
        <v>0</v>
      </c>
      <c r="S28" s="703">
        <f t="shared" si="17"/>
        <v>0</v>
      </c>
      <c r="T28" s="711"/>
      <c r="U28" s="1706">
        <v>0</v>
      </c>
      <c r="V28" s="1705">
        <v>0</v>
      </c>
      <c r="W28" s="1705">
        <v>0</v>
      </c>
      <c r="X28" s="1705">
        <v>0</v>
      </c>
      <c r="Y28" s="703">
        <f t="shared" si="18"/>
        <v>0</v>
      </c>
      <c r="Z28" s="711"/>
      <c r="AA28" s="1706">
        <v>0</v>
      </c>
      <c r="AB28" s="1705">
        <v>0</v>
      </c>
      <c r="AC28" s="1705">
        <v>0</v>
      </c>
      <c r="AD28" s="1705">
        <v>0</v>
      </c>
      <c r="AE28" s="703">
        <f t="shared" si="19"/>
        <v>0</v>
      </c>
      <c r="AF28" s="711"/>
      <c r="AG28" s="1706">
        <v>0</v>
      </c>
      <c r="AH28" s="1705">
        <v>0</v>
      </c>
      <c r="AI28" s="1705">
        <v>0</v>
      </c>
      <c r="AJ28" s="1705">
        <v>0</v>
      </c>
      <c r="AK28" s="703">
        <f t="shared" si="20"/>
        <v>0</v>
      </c>
      <c r="AL28" s="711"/>
      <c r="AM28" s="1706">
        <v>0</v>
      </c>
      <c r="AN28" s="1705">
        <v>0</v>
      </c>
      <c r="AO28" s="1705">
        <v>0</v>
      </c>
      <c r="AP28" s="1705">
        <v>0</v>
      </c>
      <c r="AQ28" s="703">
        <f t="shared" si="21"/>
        <v>0</v>
      </c>
      <c r="AR28" s="711"/>
      <c r="AS28" s="1706">
        <v>0</v>
      </c>
      <c r="AT28" s="1705">
        <v>0</v>
      </c>
      <c r="AU28" s="1705">
        <v>0</v>
      </c>
      <c r="AV28" s="1809">
        <v>0</v>
      </c>
      <c r="AW28" s="703">
        <f t="shared" si="22"/>
        <v>0</v>
      </c>
      <c r="AX28" s="711"/>
      <c r="AY28" s="1555">
        <v>0</v>
      </c>
      <c r="AZ28" s="1554">
        <v>0</v>
      </c>
      <c r="BA28" s="1554">
        <v>0</v>
      </c>
      <c r="BB28" s="1809">
        <v>0</v>
      </c>
      <c r="BC28" s="703">
        <f t="shared" si="23"/>
        <v>0</v>
      </c>
      <c r="BD28" s="711"/>
      <c r="BE28" s="1555">
        <v>0</v>
      </c>
      <c r="BF28" s="1554">
        <v>0</v>
      </c>
      <c r="BG28" s="1554">
        <v>0</v>
      </c>
      <c r="BH28" s="1554">
        <v>0</v>
      </c>
      <c r="BI28" s="703">
        <f t="shared" si="24"/>
        <v>0</v>
      </c>
      <c r="BJ28" s="711"/>
      <c r="BK28" s="1555">
        <v>0</v>
      </c>
      <c r="BL28" s="1554">
        <v>0</v>
      </c>
      <c r="BM28" s="1554">
        <v>0</v>
      </c>
      <c r="BN28" s="1554">
        <v>0</v>
      </c>
      <c r="BO28" s="703">
        <f t="shared" si="25"/>
        <v>0</v>
      </c>
      <c r="BP28" s="711"/>
      <c r="BQ28" s="1555">
        <v>0</v>
      </c>
      <c r="BR28" s="709">
        <f>BQ28</f>
        <v>0</v>
      </c>
      <c r="BS28" s="709">
        <f>BR28</f>
        <v>0</v>
      </c>
      <c r="BT28" s="709">
        <f>BS28</f>
        <v>0</v>
      </c>
      <c r="BU28" s="703">
        <f t="shared" si="26"/>
        <v>0</v>
      </c>
      <c r="BV28" s="711"/>
      <c r="BW28" s="708">
        <f>BT28</f>
        <v>0</v>
      </c>
      <c r="BX28" s="709">
        <f>BW28</f>
        <v>0</v>
      </c>
      <c r="BY28" s="709">
        <f>BX28</f>
        <v>0</v>
      </c>
      <c r="BZ28" s="709">
        <f>BY28</f>
        <v>0</v>
      </c>
      <c r="CA28" s="703">
        <f t="shared" si="27"/>
        <v>0</v>
      </c>
      <c r="CB28" s="750"/>
      <c r="CC28" s="708">
        <f>BZ28</f>
        <v>0</v>
      </c>
      <c r="CD28" s="709">
        <f>CC28</f>
        <v>0</v>
      </c>
      <c r="CE28" s="709">
        <f>CD28</f>
        <v>0</v>
      </c>
      <c r="CF28" s="709">
        <f>CE28</f>
        <v>0</v>
      </c>
      <c r="CG28" s="703">
        <f t="shared" si="28"/>
        <v>0</v>
      </c>
      <c r="CH28" s="713"/>
      <c r="CI28" s="708">
        <f>CF28</f>
        <v>0</v>
      </c>
      <c r="CJ28" s="709">
        <f>CI28</f>
        <v>0</v>
      </c>
      <c r="CK28" s="709">
        <f>CJ28</f>
        <v>0</v>
      </c>
      <c r="CL28" s="709">
        <f>CK28</f>
        <v>0</v>
      </c>
      <c r="CM28" s="703">
        <f t="shared" si="29"/>
        <v>0</v>
      </c>
      <c r="CN28" s="333"/>
      <c r="CO28" s="333"/>
      <c r="CP28" s="64"/>
    </row>
    <row r="29" spans="1:94" ht="12" customHeight="1" collapsed="1">
      <c r="A29" s="1841" t="s">
        <v>273</v>
      </c>
      <c r="B29" s="498"/>
      <c r="C29" s="1555">
        <v>0</v>
      </c>
      <c r="D29" s="1554">
        <v>0</v>
      </c>
      <c r="E29" s="1554">
        <v>0</v>
      </c>
      <c r="F29" s="1554">
        <v>0</v>
      </c>
      <c r="G29" s="703">
        <f t="shared" si="15"/>
        <v>0</v>
      </c>
      <c r="H29" s="702"/>
      <c r="I29" s="1555">
        <v>1500</v>
      </c>
      <c r="J29" s="1554">
        <v>1752</v>
      </c>
      <c r="K29" s="1554">
        <v>1711</v>
      </c>
      <c r="L29" s="1554">
        <v>0</v>
      </c>
      <c r="M29" s="703">
        <f t="shared" si="16"/>
        <v>0</v>
      </c>
      <c r="N29" s="498"/>
      <c r="O29" s="1555">
        <v>50</v>
      </c>
      <c r="P29" s="1554">
        <v>0</v>
      </c>
      <c r="Q29" s="1554">
        <v>0</v>
      </c>
      <c r="R29" s="1554">
        <v>1</v>
      </c>
      <c r="S29" s="703">
        <f t="shared" si="17"/>
        <v>1</v>
      </c>
      <c r="T29" s="702"/>
      <c r="U29" s="1555">
        <v>1501</v>
      </c>
      <c r="V29" s="1554">
        <v>1501</v>
      </c>
      <c r="W29" s="1554">
        <v>1501</v>
      </c>
      <c r="X29" s="1554">
        <v>1501</v>
      </c>
      <c r="Y29" s="703">
        <f t="shared" si="18"/>
        <v>1501</v>
      </c>
      <c r="Z29" s="702"/>
      <c r="AA29" s="1555">
        <v>1</v>
      </c>
      <c r="AB29" s="1554">
        <v>0</v>
      </c>
      <c r="AC29" s="1554">
        <v>0</v>
      </c>
      <c r="AD29" s="1554">
        <v>253</v>
      </c>
      <c r="AE29" s="703">
        <f t="shared" si="19"/>
        <v>253</v>
      </c>
      <c r="AF29" s="702"/>
      <c r="AG29" s="1555">
        <v>252</v>
      </c>
      <c r="AH29" s="1554">
        <v>251</v>
      </c>
      <c r="AI29" s="1554">
        <v>500</v>
      </c>
      <c r="AJ29" s="1554">
        <v>250</v>
      </c>
      <c r="AK29" s="703">
        <f t="shared" si="20"/>
        <v>250</v>
      </c>
      <c r="AL29" s="702"/>
      <c r="AM29" s="1555">
        <v>250</v>
      </c>
      <c r="AN29" s="1705">
        <v>250</v>
      </c>
      <c r="AO29" s="1705">
        <v>0</v>
      </c>
      <c r="AP29" s="1554">
        <v>0</v>
      </c>
      <c r="AQ29" s="703">
        <f t="shared" si="21"/>
        <v>0</v>
      </c>
      <c r="AR29" s="702"/>
      <c r="AS29" s="1555">
        <v>0</v>
      </c>
      <c r="AT29" s="709">
        <v>0</v>
      </c>
      <c r="AU29" s="709">
        <v>35</v>
      </c>
      <c r="AV29" s="1809">
        <v>623</v>
      </c>
      <c r="AW29" s="703">
        <f t="shared" si="22"/>
        <v>623</v>
      </c>
      <c r="AX29" s="702"/>
      <c r="AY29" s="1555">
        <v>0</v>
      </c>
      <c r="AZ29" s="1554">
        <v>0</v>
      </c>
      <c r="BA29" s="1554">
        <v>0</v>
      </c>
      <c r="BB29" s="1809">
        <v>0</v>
      </c>
      <c r="BC29" s="703">
        <f t="shared" si="23"/>
        <v>0</v>
      </c>
      <c r="BD29" s="702"/>
      <c r="BE29" s="1555">
        <v>80</v>
      </c>
      <c r="BF29" s="1554">
        <v>235</v>
      </c>
      <c r="BG29" s="1554">
        <v>235</v>
      </c>
      <c r="BH29" s="1554">
        <v>0</v>
      </c>
      <c r="BI29" s="703">
        <f t="shared" si="24"/>
        <v>0</v>
      </c>
      <c r="BJ29" s="702"/>
      <c r="BK29" s="1555">
        <v>190</v>
      </c>
      <c r="BL29" s="1554">
        <v>241</v>
      </c>
      <c r="BM29" s="1554">
        <v>280</v>
      </c>
      <c r="BN29" s="1554">
        <v>210</v>
      </c>
      <c r="BO29" s="703">
        <f t="shared" si="25"/>
        <v>210</v>
      </c>
      <c r="BP29" s="702"/>
      <c r="BQ29" s="1555">
        <v>345</v>
      </c>
      <c r="BR29" s="709">
        <f>BQ29+CF!BR58+CF!BR59</f>
        <v>345</v>
      </c>
      <c r="BS29" s="709">
        <f>BR29+CF!BS58+CF!BS59</f>
        <v>345</v>
      </c>
      <c r="BT29" s="709">
        <f>BS29+CF!BT58+CF!BT59</f>
        <v>345</v>
      </c>
      <c r="BU29" s="703">
        <f t="shared" si="26"/>
        <v>345</v>
      </c>
      <c r="BV29" s="702"/>
      <c r="BW29" s="708">
        <f>BT29+CF!BW58+CF!BW59</f>
        <v>345</v>
      </c>
      <c r="BX29" s="709">
        <f>BW29+CF!BX58+CF!BX59</f>
        <v>345</v>
      </c>
      <c r="BY29" s="709">
        <f>BX29+CF!BY58+CF!BY59</f>
        <v>345</v>
      </c>
      <c r="BZ29" s="709">
        <f>BY29+CF!BZ58+CF!BZ59</f>
        <v>345</v>
      </c>
      <c r="CA29" s="703">
        <f t="shared" si="27"/>
        <v>345</v>
      </c>
      <c r="CB29" s="750"/>
      <c r="CC29" s="708">
        <f>BZ29+CF!CC58+CF!CC59</f>
        <v>345</v>
      </c>
      <c r="CD29" s="709">
        <f>CC29+CF!CD58+CF!CD59</f>
        <v>345</v>
      </c>
      <c r="CE29" s="709">
        <f>CD29+CF!CE58+CF!CE59</f>
        <v>345</v>
      </c>
      <c r="CF29" s="709">
        <f>CE29+CF!CF58+CF!CF59</f>
        <v>345</v>
      </c>
      <c r="CG29" s="703">
        <f t="shared" si="28"/>
        <v>345</v>
      </c>
      <c r="CH29" s="713"/>
      <c r="CI29" s="708">
        <f>CF29+CF!CI58+CF!CI59</f>
        <v>345</v>
      </c>
      <c r="CJ29" s="709">
        <f>CI29+CF!CJ58+CF!CJ59</f>
        <v>345</v>
      </c>
      <c r="CK29" s="709">
        <f>CJ29+CF!CK58+CF!CK59</f>
        <v>345</v>
      </c>
      <c r="CL29" s="709">
        <f>CK29+CF!CL58+CF!CL59</f>
        <v>345</v>
      </c>
      <c r="CM29" s="703">
        <f t="shared" si="29"/>
        <v>345</v>
      </c>
      <c r="CN29" s="333"/>
      <c r="CO29" s="333"/>
      <c r="CP29" s="64"/>
    </row>
    <row r="30" spans="1:94" ht="12" customHeight="1">
      <c r="A30" s="1841" t="s">
        <v>274</v>
      </c>
      <c r="B30" s="498"/>
      <c r="C30" s="706">
        <v>140.55482166446498</v>
      </c>
      <c r="D30" s="705">
        <v>138.33553500660503</v>
      </c>
      <c r="E30" s="705">
        <v>144.99339498018495</v>
      </c>
      <c r="F30" s="705">
        <v>156.45970937912813</v>
      </c>
      <c r="G30" s="703">
        <f t="shared" si="15"/>
        <v>156.45970937912813</v>
      </c>
      <c r="H30" s="498"/>
      <c r="I30" s="706">
        <v>164.22721268163804</v>
      </c>
      <c r="J30" s="705">
        <v>164.59709379128137</v>
      </c>
      <c r="K30" s="705">
        <v>162.00792602377808</v>
      </c>
      <c r="L30" s="705">
        <v>169.40554821664466</v>
      </c>
      <c r="M30" s="703">
        <f t="shared" si="16"/>
        <v>169.40554821664466</v>
      </c>
      <c r="N30" s="498"/>
      <c r="O30" s="706">
        <v>156.60285336856012</v>
      </c>
      <c r="P30" s="705">
        <v>151.43857331571994</v>
      </c>
      <c r="Q30" s="705">
        <v>149.80443857331571</v>
      </c>
      <c r="R30" s="705">
        <v>161.08988110964333</v>
      </c>
      <c r="S30" s="703">
        <f t="shared" si="17"/>
        <v>161.08988110964333</v>
      </c>
      <c r="T30" s="702"/>
      <c r="U30" s="706">
        <v>170.64243064729195</v>
      </c>
      <c r="V30" s="705">
        <v>173.4368824306473</v>
      </c>
      <c r="W30" s="705">
        <v>213.12475561426683</v>
      </c>
      <c r="X30" s="705">
        <v>247.39239101717303</v>
      </c>
      <c r="Y30" s="703">
        <f t="shared" si="18"/>
        <v>247.39239101717303</v>
      </c>
      <c r="Z30" s="702"/>
      <c r="AA30" s="706">
        <v>236.41357992073978</v>
      </c>
      <c r="AB30" s="705">
        <v>263.09384412153236</v>
      </c>
      <c r="AC30" s="705">
        <v>258.41558784676351</v>
      </c>
      <c r="AD30" s="705">
        <v>263.50219286657858</v>
      </c>
      <c r="AE30" s="703">
        <f t="shared" si="19"/>
        <v>263.50219286657858</v>
      </c>
      <c r="AF30" s="702"/>
      <c r="AG30" s="706">
        <v>260.02642007926022</v>
      </c>
      <c r="AH30" s="705">
        <v>268.16380449141349</v>
      </c>
      <c r="AI30" s="705">
        <v>268.16380449141349</v>
      </c>
      <c r="AJ30" s="1554">
        <v>280</v>
      </c>
      <c r="AK30" s="703">
        <f t="shared" si="20"/>
        <v>280</v>
      </c>
      <c r="AL30" s="702"/>
      <c r="AM30" s="706">
        <v>232.7072864321608</v>
      </c>
      <c r="AN30" s="705">
        <v>232.41457286432163</v>
      </c>
      <c r="AO30" s="705">
        <v>227.4384422110553</v>
      </c>
      <c r="AP30" s="1554">
        <v>233</v>
      </c>
      <c r="AQ30" s="703">
        <f t="shared" si="21"/>
        <v>233</v>
      </c>
      <c r="AR30" s="702"/>
      <c r="AS30" s="1555">
        <v>240</v>
      </c>
      <c r="AT30" s="705">
        <v>311</v>
      </c>
      <c r="AU30" s="705">
        <v>285</v>
      </c>
      <c r="AV30" s="1809">
        <v>289</v>
      </c>
      <c r="AW30" s="703">
        <f t="shared" si="22"/>
        <v>289</v>
      </c>
      <c r="AX30" s="702"/>
      <c r="AY30" s="1555">
        <v>210</v>
      </c>
      <c r="AZ30" s="1554">
        <v>190</v>
      </c>
      <c r="BA30" s="1554">
        <v>154</v>
      </c>
      <c r="BB30" s="1809">
        <v>218</v>
      </c>
      <c r="BC30" s="703">
        <f t="shared" si="23"/>
        <v>218</v>
      </c>
      <c r="BD30" s="702"/>
      <c r="BE30" s="1555">
        <v>169</v>
      </c>
      <c r="BF30" s="1554">
        <v>188</v>
      </c>
      <c r="BG30" s="1554">
        <v>167</v>
      </c>
      <c r="BH30" s="1554">
        <v>184</v>
      </c>
      <c r="BI30" s="703">
        <f t="shared" si="24"/>
        <v>184</v>
      </c>
      <c r="BJ30" s="702"/>
      <c r="BK30" s="1555">
        <v>143</v>
      </c>
      <c r="BL30" s="1554">
        <v>139</v>
      </c>
      <c r="BM30" s="1554">
        <v>141</v>
      </c>
      <c r="BN30" s="1554">
        <v>181</v>
      </c>
      <c r="BO30" s="703">
        <f t="shared" si="25"/>
        <v>181</v>
      </c>
      <c r="BP30" s="702"/>
      <c r="BQ30" s="1555">
        <v>182</v>
      </c>
      <c r="BR30" s="705">
        <f>(IS!BR15)*BR85*4</f>
        <v>154.93673730450462</v>
      </c>
      <c r="BS30" s="705">
        <f>(IS!BS15)*BS85*4</f>
        <v>153.84286674858564</v>
      </c>
      <c r="BT30" s="705">
        <f>(IS!BT15)*BT85*4</f>
        <v>196.26024310568576</v>
      </c>
      <c r="BU30" s="703">
        <f t="shared" si="26"/>
        <v>196.26024310568576</v>
      </c>
      <c r="BV30" s="702"/>
      <c r="BW30" s="706">
        <f>(IS!BW15)*BW85*4</f>
        <v>192.41449819823913</v>
      </c>
      <c r="BX30" s="705">
        <f>(IS!BX15)*BX85*4</f>
        <v>163.78139668030198</v>
      </c>
      <c r="BY30" s="705">
        <f>(IS!BY15)*BY85*4</f>
        <v>164.76674864427375</v>
      </c>
      <c r="BZ30" s="705">
        <f>(IS!BZ15)*BZ85*4</f>
        <v>209.59740981468022</v>
      </c>
      <c r="CA30" s="703">
        <f t="shared" si="27"/>
        <v>209.59740981468022</v>
      </c>
      <c r="CB30" s="750"/>
      <c r="CC30" s="706">
        <f>(IS!CC15)*CC85*4</f>
        <v>202.20293765244858</v>
      </c>
      <c r="CD30" s="705">
        <f>(IS!CD15)*CD85*4</f>
        <v>172.16962717826047</v>
      </c>
      <c r="CE30" s="705">
        <f>(IS!CE15)*CE85*4</f>
        <v>174.77383209051357</v>
      </c>
      <c r="CF30" s="705">
        <f>(IS!CF15)*CF85*4</f>
        <v>221.46465486637976</v>
      </c>
      <c r="CG30" s="703">
        <f t="shared" si="28"/>
        <v>221.46465486637976</v>
      </c>
      <c r="CH30" s="713"/>
      <c r="CI30" s="706">
        <f>(IS!CI15)*CI85*4</f>
        <v>212.98352779528537</v>
      </c>
      <c r="CJ30" s="705">
        <f>(IS!CJ15)*CJ85*4</f>
        <v>181.44104251972001</v>
      </c>
      <c r="CK30" s="705">
        <f>(IS!CK15)*CK85*4</f>
        <v>186.15033807972026</v>
      </c>
      <c r="CL30" s="705">
        <f>(IS!CL15)*CL85*4</f>
        <v>234.80581653678681</v>
      </c>
      <c r="CM30" s="703">
        <f t="shared" si="29"/>
        <v>234.80581653678681</v>
      </c>
      <c r="CN30" s="333"/>
      <c r="CO30" s="333"/>
      <c r="CP30" s="64"/>
    </row>
    <row r="31" spans="1:94">
      <c r="A31" s="1842" t="s">
        <v>275</v>
      </c>
      <c r="B31" s="714"/>
      <c r="C31" s="715">
        <f>SUM(C25:C30)</f>
        <v>502.33266715551383</v>
      </c>
      <c r="D31" s="716">
        <f>SUM(D25:D30)</f>
        <v>489.23506860047854</v>
      </c>
      <c r="E31" s="716">
        <f>SUM(E25:E30)</f>
        <v>514.51782960586513</v>
      </c>
      <c r="F31" s="716">
        <f>SUM(F25:F30)</f>
        <v>557.37145361006719</v>
      </c>
      <c r="G31" s="717">
        <f>SUM(G25:G30)</f>
        <v>557.37145361006719</v>
      </c>
      <c r="H31" s="714"/>
      <c r="I31" s="715">
        <f>SUM(I25:I30)</f>
        <v>2086.7024065380774</v>
      </c>
      <c r="J31" s="716">
        <f>SUM(J25:J30)</f>
        <v>2339.6585000972168</v>
      </c>
      <c r="K31" s="716">
        <f>SUM(K25:K30)</f>
        <v>2290.1663393965941</v>
      </c>
      <c r="L31" s="716">
        <f>SUM(L25:L30)</f>
        <v>608.5051693162718</v>
      </c>
      <c r="M31" s="717">
        <f>SUM(M25:M30)</f>
        <v>608.5051693162718</v>
      </c>
      <c r="N31" s="714"/>
      <c r="O31" s="715">
        <f>SUM(O25:O30)</f>
        <v>607.97746100302027</v>
      </c>
      <c r="P31" s="716">
        <f>SUM(P25:P30)</f>
        <v>538.77703752645095</v>
      </c>
      <c r="Q31" s="716">
        <f>SUM(Q25:Q30)</f>
        <v>536.52475513756815</v>
      </c>
      <c r="R31" s="716">
        <f>SUM(R25:R30)</f>
        <v>576.60856009144038</v>
      </c>
      <c r="S31" s="717">
        <f>SUM(S25:S30)</f>
        <v>576.60856009144038</v>
      </c>
      <c r="T31" s="718"/>
      <c r="U31" s="715">
        <f>SUM(U25:U30)</f>
        <v>2113.0054309393267</v>
      </c>
      <c r="V31" s="716">
        <f>SUM(V25:V30)</f>
        <v>2116.8360213079941</v>
      </c>
      <c r="W31" s="716">
        <f>SUM(W25:W30)</f>
        <v>2263.2814930152958</v>
      </c>
      <c r="X31" s="716">
        <f>SUM(X25:X30)</f>
        <v>2395.0455365317389</v>
      </c>
      <c r="Y31" s="717">
        <f>SUM(Y25:Y30)</f>
        <v>2395.0455365317389</v>
      </c>
      <c r="Z31" s="718"/>
      <c r="AA31" s="715">
        <f>SUM(AA25:AA30)</f>
        <v>843.90318585078262</v>
      </c>
      <c r="AB31" s="716">
        <f>SUM(AB25:AB30)</f>
        <v>946.21375077319294</v>
      </c>
      <c r="AC31" s="716">
        <f>SUM(AC25:AC30)</f>
        <v>933.38653105472656</v>
      </c>
      <c r="AD31" s="716">
        <f>SUM(AD25:AD30)</f>
        <v>1208.0678478053346</v>
      </c>
      <c r="AE31" s="717">
        <f>SUM(AE25:AE30)</f>
        <v>1208.0678478053346</v>
      </c>
      <c r="AF31" s="718"/>
      <c r="AG31" s="715">
        <f>SUM(AG25:AG30)</f>
        <v>1189.2637807284618</v>
      </c>
      <c r="AH31" s="716">
        <f>SUM(AH25:AH30)</f>
        <v>1214.9024174442545</v>
      </c>
      <c r="AI31" s="716">
        <f>SUM(AI25:AI30)</f>
        <v>1468.6841630169265</v>
      </c>
      <c r="AJ31" s="716">
        <f>SUM(AJ25:AJ30)</f>
        <v>1298</v>
      </c>
      <c r="AK31" s="717">
        <f>SUM(AK25:AK30)</f>
        <v>1298</v>
      </c>
      <c r="AL31" s="718"/>
      <c r="AM31" s="715">
        <f>SUM(AM25:AM30)</f>
        <v>1228.9550192360493</v>
      </c>
      <c r="AN31" s="719">
        <f>SUM(AN25:AN30)</f>
        <v>1232.1498372343701</v>
      </c>
      <c r="AO31" s="719">
        <f>SUM(AO25:AO30)</f>
        <v>964.28743591081491</v>
      </c>
      <c r="AP31" s="716">
        <f>SUM(AP25:AP30)</f>
        <v>1042</v>
      </c>
      <c r="AQ31" s="717">
        <f>SUM(AQ25:AQ30)</f>
        <v>1042</v>
      </c>
      <c r="AR31" s="718"/>
      <c r="AS31" s="715">
        <f>SUM(AS25:AS30)</f>
        <v>1013</v>
      </c>
      <c r="AT31" s="719">
        <f>SUM(AT25:AT30)</f>
        <v>1169</v>
      </c>
      <c r="AU31" s="719">
        <f>SUM(AU25:AU30)</f>
        <v>1108</v>
      </c>
      <c r="AV31" s="719">
        <f>SUM(AV25:AV30)</f>
        <v>1702</v>
      </c>
      <c r="AW31" s="717">
        <f>SUM(AW25:AW30)</f>
        <v>1702</v>
      </c>
      <c r="AX31" s="718"/>
      <c r="AY31" s="720">
        <f>SUM(AY25:AY30)</f>
        <v>928</v>
      </c>
      <c r="AZ31" s="719">
        <f>SUM(AZ25:AZ30)</f>
        <v>930</v>
      </c>
      <c r="BA31" s="719">
        <f>SUM(BA25:BA30)</f>
        <v>853</v>
      </c>
      <c r="BB31" s="719">
        <f>SUM(BB25:BB30)</f>
        <v>976</v>
      </c>
      <c r="BC31" s="717">
        <f>SUM(BC25:BC30)</f>
        <v>976</v>
      </c>
      <c r="BD31" s="718"/>
      <c r="BE31" s="720">
        <f>SUM(BE25:BE30)</f>
        <v>947</v>
      </c>
      <c r="BF31" s="719">
        <f>SUM(BF25:BF30)</f>
        <v>1133</v>
      </c>
      <c r="BG31" s="719">
        <f>SUM(BG25:BG30)</f>
        <v>1151</v>
      </c>
      <c r="BH31" s="719">
        <f>SUM(BH25:BH30)</f>
        <v>945</v>
      </c>
      <c r="BI31" s="717">
        <f>SUM(BI25:BI30)</f>
        <v>945</v>
      </c>
      <c r="BJ31" s="718"/>
      <c r="BK31" s="720">
        <f>SUM(BK25:BK30)</f>
        <v>1089</v>
      </c>
      <c r="BL31" s="719">
        <f>SUM(BL25:BL30)</f>
        <v>1187</v>
      </c>
      <c r="BM31" s="719">
        <f>SUM(BM25:BM30)</f>
        <v>1241</v>
      </c>
      <c r="BN31" s="719">
        <f>SUM(BN25:BN30)</f>
        <v>1263</v>
      </c>
      <c r="BO31" s="717">
        <f>SUM(BO25:BO30)</f>
        <v>1263</v>
      </c>
      <c r="BP31" s="718"/>
      <c r="BQ31" s="720">
        <f>SUM(BQ25:BQ30)</f>
        <v>1361</v>
      </c>
      <c r="BR31" s="719">
        <f>SUM(BR25:BR30)</f>
        <v>1406.8428997283959</v>
      </c>
      <c r="BS31" s="719">
        <f>SUM(BS25:BS30)</f>
        <v>1401.9224447104241</v>
      </c>
      <c r="BT31" s="719">
        <f>SUM(BT25:BT30)</f>
        <v>1495.7615168881484</v>
      </c>
      <c r="BU31" s="717">
        <f>SUM(BU25:BU30)</f>
        <v>1495.7615168881484</v>
      </c>
      <c r="BV31" s="718"/>
      <c r="BW31" s="720">
        <f>SUM(BW25:BW30)</f>
        <v>1406.7024285657726</v>
      </c>
      <c r="BX31" s="719">
        <f>SUM(BX25:BX30)</f>
        <v>1454.56399048154</v>
      </c>
      <c r="BY31" s="719">
        <f>SUM(BY25:BY30)</f>
        <v>1463.770782126383</v>
      </c>
      <c r="BZ31" s="719">
        <f>SUM(BZ25:BZ30)</f>
        <v>1560.2881460669446</v>
      </c>
      <c r="CA31" s="717">
        <f>SUM(CA25:CA30)</f>
        <v>1560.2881460669446</v>
      </c>
      <c r="CB31" s="732"/>
      <c r="CC31" s="720">
        <f>SUM(CC25:CC30)</f>
        <v>1448.3157980438195</v>
      </c>
      <c r="CD31" s="719">
        <f>SUM(CD25:CD30)</f>
        <v>1498.7980409081154</v>
      </c>
      <c r="CE31" s="719">
        <f>SUM(CE25:CE30)</f>
        <v>1518.7791037954216</v>
      </c>
      <c r="CF31" s="719">
        <f>SUM(CF25:CF30)</f>
        <v>1615.7660750433108</v>
      </c>
      <c r="CG31" s="717">
        <f>SUM(CG25:CG30)</f>
        <v>1615.7660750433108</v>
      </c>
      <c r="CH31" s="721"/>
      <c r="CI31" s="720">
        <f>SUM(CI25:CI30)</f>
        <v>1494.6446494024053</v>
      </c>
      <c r="CJ31" s="719">
        <f>SUM(CJ25:CJ30)</f>
        <v>1548.1833269712563</v>
      </c>
      <c r="CK31" s="719">
        <f>SUM(CK25:CK30)</f>
        <v>1581.914884887422</v>
      </c>
      <c r="CL31" s="719">
        <f>SUM(CL25:CL30)</f>
        <v>1678.7471233119454</v>
      </c>
      <c r="CM31" s="717">
        <f>SUM(CM25:CM30)</f>
        <v>1678.7471233119454</v>
      </c>
      <c r="CN31" s="204"/>
      <c r="CO31" s="204"/>
      <c r="CP31" s="89"/>
    </row>
    <row r="32" spans="1:94" ht="12.75" customHeight="1">
      <c r="A32" s="1841" t="s">
        <v>276</v>
      </c>
      <c r="B32" s="707"/>
      <c r="C32" s="1706">
        <v>1500</v>
      </c>
      <c r="D32" s="1705">
        <v>1500</v>
      </c>
      <c r="E32" s="1705">
        <v>1500</v>
      </c>
      <c r="F32" s="1705">
        <v>1500</v>
      </c>
      <c r="G32" s="703">
        <f>F32</f>
        <v>1500</v>
      </c>
      <c r="H32" s="711"/>
      <c r="I32" s="1706">
        <v>626</v>
      </c>
      <c r="J32" s="1705">
        <v>622</v>
      </c>
      <c r="K32" s="1705">
        <v>604</v>
      </c>
      <c r="L32" s="1705">
        <v>1514</v>
      </c>
      <c r="M32" s="703">
        <f>L32</f>
        <v>1514</v>
      </c>
      <c r="N32" s="707"/>
      <c r="O32" s="1706">
        <v>1514</v>
      </c>
      <c r="P32" s="1705">
        <v>2154</v>
      </c>
      <c r="Q32" s="1705">
        <v>2153</v>
      </c>
      <c r="R32" s="1705">
        <v>2904</v>
      </c>
      <c r="S32" s="703">
        <f>R32</f>
        <v>2904</v>
      </c>
      <c r="T32" s="711"/>
      <c r="U32" s="1706">
        <v>1410</v>
      </c>
      <c r="V32" s="1705">
        <v>1393</v>
      </c>
      <c r="W32" s="1705">
        <v>2177</v>
      </c>
      <c r="X32" s="1705">
        <v>2190</v>
      </c>
      <c r="Y32" s="703">
        <f>X32</f>
        <v>2190</v>
      </c>
      <c r="Z32" s="711"/>
      <c r="AA32" s="1706">
        <v>2138</v>
      </c>
      <c r="AB32" s="1705">
        <v>2144</v>
      </c>
      <c r="AC32" s="1705">
        <v>2168</v>
      </c>
      <c r="AD32" s="1705">
        <v>1932</v>
      </c>
      <c r="AE32" s="703">
        <f>AD32</f>
        <v>1932</v>
      </c>
      <c r="AF32" s="711"/>
      <c r="AG32" s="1706">
        <v>1929</v>
      </c>
      <c r="AH32" s="1705">
        <v>1926</v>
      </c>
      <c r="AI32" s="1705">
        <v>1714</v>
      </c>
      <c r="AJ32" s="1705">
        <v>2112</v>
      </c>
      <c r="AK32" s="703">
        <f>AJ32</f>
        <v>2112</v>
      </c>
      <c r="AL32" s="711"/>
      <c r="AM32" s="1706">
        <v>2111</v>
      </c>
      <c r="AN32" s="1705">
        <v>2106</v>
      </c>
      <c r="AO32" s="1705">
        <v>2701</v>
      </c>
      <c r="AP32" s="1705">
        <v>2699</v>
      </c>
      <c r="AQ32" s="703">
        <f>AP32</f>
        <v>2699</v>
      </c>
      <c r="AR32" s="711"/>
      <c r="AS32" s="1706">
        <v>2695</v>
      </c>
      <c r="AT32" s="709">
        <v>2693</v>
      </c>
      <c r="AU32" s="709">
        <v>2181</v>
      </c>
      <c r="AV32" s="1809">
        <v>1663</v>
      </c>
      <c r="AW32" s="703">
        <f>AV32</f>
        <v>1663</v>
      </c>
      <c r="AX32" s="711"/>
      <c r="AY32" s="1555">
        <v>1658</v>
      </c>
      <c r="AZ32" s="1554">
        <v>1656</v>
      </c>
      <c r="BA32" s="1554">
        <v>1655</v>
      </c>
      <c r="BB32" s="1809">
        <v>1655</v>
      </c>
      <c r="BC32" s="703">
        <f>BB32</f>
        <v>1655</v>
      </c>
      <c r="BD32" s="711"/>
      <c r="BE32" s="1555">
        <v>1653</v>
      </c>
      <c r="BF32" s="1554">
        <v>1654</v>
      </c>
      <c r="BG32" s="1554">
        <v>1652</v>
      </c>
      <c r="BH32" s="1554">
        <v>1912</v>
      </c>
      <c r="BI32" s="703">
        <f>BH32</f>
        <v>1912</v>
      </c>
      <c r="BJ32" s="711"/>
      <c r="BK32" s="1555">
        <v>1802</v>
      </c>
      <c r="BL32" s="1554">
        <v>1802</v>
      </c>
      <c r="BM32" s="1554">
        <v>1801</v>
      </c>
      <c r="BN32" s="1554">
        <v>1801</v>
      </c>
      <c r="BO32" s="703">
        <f>BN32</f>
        <v>1801</v>
      </c>
      <c r="BP32" s="711"/>
      <c r="BQ32" s="1555">
        <v>1800</v>
      </c>
      <c r="BR32" s="709">
        <f>BQ32+CF!BR60+CF!BR62</f>
        <v>1800</v>
      </c>
      <c r="BS32" s="709">
        <f>BR32+CF!BS60+CF!BS62</f>
        <v>1800</v>
      </c>
      <c r="BT32" s="709">
        <f>BS32+CF!BT60+CF!BT62</f>
        <v>1800</v>
      </c>
      <c r="BU32" s="703">
        <f>BT32</f>
        <v>1800</v>
      </c>
      <c r="BV32" s="711"/>
      <c r="BW32" s="708">
        <f>BT32+CF!BW60+CF!BW62</f>
        <v>1800</v>
      </c>
      <c r="BX32" s="709">
        <f>BW32+CF!BX60+CF!BX62</f>
        <v>1800</v>
      </c>
      <c r="BY32" s="709">
        <f>BX32+CF!BY60+CF!BY62</f>
        <v>1800</v>
      </c>
      <c r="BZ32" s="709">
        <f>BY32+CF!BZ60+CF!BZ62</f>
        <v>1800</v>
      </c>
      <c r="CA32" s="703">
        <f>BZ32</f>
        <v>1800</v>
      </c>
      <c r="CB32" s="750"/>
      <c r="CC32" s="708">
        <f>BZ32+CF!CC60+CF!CC62</f>
        <v>1291</v>
      </c>
      <c r="CD32" s="709">
        <f>CC32+CF!CD60+CF!CD62</f>
        <v>1291</v>
      </c>
      <c r="CE32" s="709">
        <f>CD32+CF!CE60+CF!CE62</f>
        <v>1291</v>
      </c>
      <c r="CF32" s="709">
        <f>CE32+CF!CF60+CF!CF62</f>
        <v>1291</v>
      </c>
      <c r="CG32" s="703">
        <f>CF32</f>
        <v>1291</v>
      </c>
      <c r="CH32" s="713"/>
      <c r="CI32" s="708">
        <f>CF32+CF!CI60+CF!CI62</f>
        <v>893</v>
      </c>
      <c r="CJ32" s="709">
        <f>CI32+CF!CJ60+CF!CJ62</f>
        <v>893</v>
      </c>
      <c r="CK32" s="709">
        <f>CJ32+CF!CK60+CF!CK62</f>
        <v>893</v>
      </c>
      <c r="CL32" s="709">
        <f>CK32+CF!CL60+CF!CL62</f>
        <v>893</v>
      </c>
      <c r="CM32" s="703">
        <f>CL32</f>
        <v>893</v>
      </c>
      <c r="CN32" s="204"/>
      <c r="CO32" s="204"/>
      <c r="CP32" s="64"/>
    </row>
    <row r="33" spans="1:94" ht="12.75" hidden="1" customHeight="1" outlineLevel="1">
      <c r="A33" s="1841" t="s">
        <v>277</v>
      </c>
      <c r="B33" s="707"/>
      <c r="C33" s="1706">
        <v>0</v>
      </c>
      <c r="D33" s="1705">
        <v>0</v>
      </c>
      <c r="E33" s="1705">
        <v>0</v>
      </c>
      <c r="F33" s="1705">
        <v>587</v>
      </c>
      <c r="G33" s="703">
        <f>F33</f>
        <v>587</v>
      </c>
      <c r="H33" s="711"/>
      <c r="I33" s="1706">
        <v>0</v>
      </c>
      <c r="J33" s="1705">
        <v>0</v>
      </c>
      <c r="K33" s="1705">
        <v>0</v>
      </c>
      <c r="L33" s="1705">
        <v>611</v>
      </c>
      <c r="M33" s="703">
        <f>L33</f>
        <v>611</v>
      </c>
      <c r="N33" s="707"/>
      <c r="O33" s="1706">
        <v>640</v>
      </c>
      <c r="P33" s="1705">
        <v>0</v>
      </c>
      <c r="Q33" s="1705">
        <v>0</v>
      </c>
      <c r="R33" s="1705">
        <v>0</v>
      </c>
      <c r="S33" s="703">
        <f>R33</f>
        <v>0</v>
      </c>
      <c r="T33" s="711"/>
      <c r="U33" s="1706">
        <v>0</v>
      </c>
      <c r="V33" s="1705">
        <v>0</v>
      </c>
      <c r="W33" s="1705">
        <v>0</v>
      </c>
      <c r="X33" s="1705">
        <v>0</v>
      </c>
      <c r="Y33" s="703">
        <f>X33</f>
        <v>0</v>
      </c>
      <c r="Z33" s="711"/>
      <c r="AA33" s="1706">
        <v>0</v>
      </c>
      <c r="AB33" s="1705">
        <v>0</v>
      </c>
      <c r="AC33" s="1705">
        <v>0</v>
      </c>
      <c r="AD33" s="1705">
        <v>0</v>
      </c>
      <c r="AE33" s="703">
        <f>AD33</f>
        <v>0</v>
      </c>
      <c r="AF33" s="711"/>
      <c r="AG33" s="1706">
        <v>0</v>
      </c>
      <c r="AH33" s="1705">
        <v>0</v>
      </c>
      <c r="AI33" s="1705">
        <v>0</v>
      </c>
      <c r="AJ33" s="1705">
        <v>0</v>
      </c>
      <c r="AK33" s="703">
        <f>AJ33</f>
        <v>0</v>
      </c>
      <c r="AL33" s="711"/>
      <c r="AM33" s="1706">
        <v>0</v>
      </c>
      <c r="AN33" s="1705">
        <v>0</v>
      </c>
      <c r="AO33" s="1705">
        <v>0</v>
      </c>
      <c r="AP33" s="1705">
        <v>0</v>
      </c>
      <c r="AQ33" s="703">
        <f>AP33</f>
        <v>0</v>
      </c>
      <c r="AR33" s="711"/>
      <c r="AS33" s="1706">
        <v>0</v>
      </c>
      <c r="AT33" s="1705">
        <v>0</v>
      </c>
      <c r="AU33" s="1705">
        <v>0</v>
      </c>
      <c r="AV33" s="1809">
        <v>0</v>
      </c>
      <c r="AW33" s="703">
        <f>AV33</f>
        <v>0</v>
      </c>
      <c r="AX33" s="711"/>
      <c r="AY33" s="1555">
        <v>0</v>
      </c>
      <c r="AZ33" s="1554">
        <v>0</v>
      </c>
      <c r="BA33" s="1554">
        <v>0</v>
      </c>
      <c r="BB33" s="1809">
        <v>0</v>
      </c>
      <c r="BC33" s="703">
        <f>BB33</f>
        <v>0</v>
      </c>
      <c r="BD33" s="711"/>
      <c r="BE33" s="1555">
        <v>0</v>
      </c>
      <c r="BF33" s="1554">
        <v>0</v>
      </c>
      <c r="BG33" s="1554">
        <v>0</v>
      </c>
      <c r="BH33" s="1554">
        <v>0</v>
      </c>
      <c r="BI33" s="703">
        <f>BH33</f>
        <v>0</v>
      </c>
      <c r="BJ33" s="711"/>
      <c r="BK33" s="1555">
        <v>0</v>
      </c>
      <c r="BL33" s="1554">
        <v>0</v>
      </c>
      <c r="BM33" s="1554">
        <v>0</v>
      </c>
      <c r="BN33" s="1554">
        <v>0</v>
      </c>
      <c r="BO33" s="703">
        <f>BN33</f>
        <v>0</v>
      </c>
      <c r="BP33" s="711"/>
      <c r="BQ33" s="1555">
        <v>0</v>
      </c>
      <c r="BR33" s="1705">
        <v>0</v>
      </c>
      <c r="BS33" s="1705">
        <v>0</v>
      </c>
      <c r="BT33" s="1705">
        <v>0</v>
      </c>
      <c r="BU33" s="703">
        <f>BT33</f>
        <v>0</v>
      </c>
      <c r="BV33" s="711"/>
      <c r="BW33" s="1706">
        <v>0</v>
      </c>
      <c r="BX33" s="1705">
        <v>0</v>
      </c>
      <c r="BY33" s="1705">
        <v>0</v>
      </c>
      <c r="BZ33" s="1705">
        <v>0</v>
      </c>
      <c r="CA33" s="703">
        <f>BZ33</f>
        <v>0</v>
      </c>
      <c r="CB33" s="750"/>
      <c r="CC33" s="1706">
        <v>0</v>
      </c>
      <c r="CD33" s="1705">
        <v>0</v>
      </c>
      <c r="CE33" s="1705">
        <v>0</v>
      </c>
      <c r="CF33" s="1705">
        <v>0</v>
      </c>
      <c r="CG33" s="703">
        <f>CF33</f>
        <v>0</v>
      </c>
      <c r="CH33" s="713"/>
      <c r="CI33" s="1706">
        <v>0</v>
      </c>
      <c r="CJ33" s="1705">
        <v>0</v>
      </c>
      <c r="CK33" s="1705">
        <v>0</v>
      </c>
      <c r="CL33" s="1705">
        <v>0</v>
      </c>
      <c r="CM33" s="703">
        <f>CL33</f>
        <v>0</v>
      </c>
      <c r="CN33" s="204"/>
      <c r="CO33" s="204"/>
      <c r="CP33" s="64"/>
    </row>
    <row r="34" spans="1:94" ht="12.75" customHeight="1" collapsed="1">
      <c r="A34" s="1841" t="s">
        <v>278</v>
      </c>
      <c r="B34" s="707"/>
      <c r="C34" s="1706">
        <v>0</v>
      </c>
      <c r="D34" s="1705">
        <v>0</v>
      </c>
      <c r="E34" s="1705">
        <v>0</v>
      </c>
      <c r="F34" s="1705">
        <v>0</v>
      </c>
      <c r="G34" s="703">
        <f>F34</f>
        <v>0</v>
      </c>
      <c r="H34" s="707"/>
      <c r="I34" s="1706">
        <v>0</v>
      </c>
      <c r="J34" s="1705">
        <v>0</v>
      </c>
      <c r="K34" s="1705">
        <v>0</v>
      </c>
      <c r="L34" s="1705">
        <v>0</v>
      </c>
      <c r="M34" s="703">
        <f>L34</f>
        <v>0</v>
      </c>
      <c r="N34" s="707"/>
      <c r="O34" s="1706">
        <v>323</v>
      </c>
      <c r="P34" s="1705">
        <v>344</v>
      </c>
      <c r="Q34" s="1705">
        <v>378</v>
      </c>
      <c r="R34" s="1705">
        <v>498</v>
      </c>
      <c r="S34" s="703">
        <f>R34</f>
        <v>498</v>
      </c>
      <c r="T34" s="711"/>
      <c r="U34" s="1706">
        <v>491</v>
      </c>
      <c r="V34" s="1705">
        <v>483</v>
      </c>
      <c r="W34" s="1705">
        <v>497</v>
      </c>
      <c r="X34" s="1705">
        <v>477</v>
      </c>
      <c r="Y34" s="703">
        <f>X34</f>
        <v>477</v>
      </c>
      <c r="Z34" s="711"/>
      <c r="AA34" s="1706">
        <v>469</v>
      </c>
      <c r="AB34" s="1705">
        <v>233</v>
      </c>
      <c r="AC34" s="1705">
        <v>226</v>
      </c>
      <c r="AD34" s="1705">
        <v>329</v>
      </c>
      <c r="AE34" s="703">
        <f>AD34</f>
        <v>329</v>
      </c>
      <c r="AF34" s="711"/>
      <c r="AG34" s="1706">
        <v>319</v>
      </c>
      <c r="AH34" s="1705">
        <v>281</v>
      </c>
      <c r="AI34" s="1705">
        <v>269</v>
      </c>
      <c r="AJ34" s="1705">
        <v>554</v>
      </c>
      <c r="AK34" s="703">
        <f>AJ34</f>
        <v>554</v>
      </c>
      <c r="AL34" s="711"/>
      <c r="AM34" s="1706">
        <v>554</v>
      </c>
      <c r="AN34" s="1705">
        <v>478</v>
      </c>
      <c r="AO34" s="1705">
        <v>463</v>
      </c>
      <c r="AP34" s="1705">
        <v>294</v>
      </c>
      <c r="AQ34" s="703">
        <f>AP34</f>
        <v>294</v>
      </c>
      <c r="AR34" s="711"/>
      <c r="AS34" s="1706">
        <v>274</v>
      </c>
      <c r="AT34" s="709">
        <v>261</v>
      </c>
      <c r="AU34" s="709">
        <v>235</v>
      </c>
      <c r="AV34" s="1809">
        <v>209</v>
      </c>
      <c r="AW34" s="703">
        <f>AV34</f>
        <v>209</v>
      </c>
      <c r="AX34" s="711"/>
      <c r="AY34" s="1555">
        <v>194</v>
      </c>
      <c r="AZ34" s="1554">
        <v>176</v>
      </c>
      <c r="BA34" s="1554">
        <v>168</v>
      </c>
      <c r="BB34" s="1809">
        <v>264</v>
      </c>
      <c r="BC34" s="703">
        <f>BB34</f>
        <v>264</v>
      </c>
      <c r="BD34" s="711"/>
      <c r="BE34" s="1555">
        <v>242</v>
      </c>
      <c r="BF34" s="1554">
        <v>242</v>
      </c>
      <c r="BG34" s="1554">
        <v>229</v>
      </c>
      <c r="BH34" s="1554">
        <v>360</v>
      </c>
      <c r="BI34" s="703">
        <f>BH34</f>
        <v>360</v>
      </c>
      <c r="BJ34" s="711"/>
      <c r="BK34" s="1555">
        <v>350</v>
      </c>
      <c r="BL34" s="1554">
        <v>317</v>
      </c>
      <c r="BM34" s="1554">
        <v>323</v>
      </c>
      <c r="BN34" s="1554">
        <v>242</v>
      </c>
      <c r="BO34" s="703">
        <f>BN34</f>
        <v>242</v>
      </c>
      <c r="BP34" s="711"/>
      <c r="BQ34" s="1555">
        <v>241</v>
      </c>
      <c r="BR34" s="709">
        <f>BQ34+CF!BR21</f>
        <v>241</v>
      </c>
      <c r="BS34" s="709">
        <f>BR34+CF!BS21</f>
        <v>241</v>
      </c>
      <c r="BT34" s="709">
        <f>BS34+CF!BT21</f>
        <v>241</v>
      </c>
      <c r="BU34" s="703">
        <f>BT34</f>
        <v>241</v>
      </c>
      <c r="BV34" s="711"/>
      <c r="BW34" s="708">
        <f>BT34+CF!BW21</f>
        <v>241</v>
      </c>
      <c r="BX34" s="709">
        <f>BW34+CF!BX21</f>
        <v>241</v>
      </c>
      <c r="BY34" s="709">
        <f>BX34+CF!BY21</f>
        <v>241</v>
      </c>
      <c r="BZ34" s="709">
        <f>BY34+CF!BZ21</f>
        <v>241</v>
      </c>
      <c r="CA34" s="703">
        <f>BZ34</f>
        <v>241</v>
      </c>
      <c r="CB34" s="750"/>
      <c r="CC34" s="708">
        <f>BZ34+CF!CC21</f>
        <v>241</v>
      </c>
      <c r="CD34" s="709">
        <f>CC34+CF!CD21</f>
        <v>241</v>
      </c>
      <c r="CE34" s="709">
        <f>CD34+CF!CE21</f>
        <v>241</v>
      </c>
      <c r="CF34" s="709">
        <f>CE34+CF!CF21</f>
        <v>241</v>
      </c>
      <c r="CG34" s="703">
        <f>CF34</f>
        <v>241</v>
      </c>
      <c r="CH34" s="713"/>
      <c r="CI34" s="708">
        <f>CF34+CF!CI21</f>
        <v>241</v>
      </c>
      <c r="CJ34" s="709">
        <f>CI34+CF!CJ21</f>
        <v>241</v>
      </c>
      <c r="CK34" s="709">
        <f>CJ34+CF!CK21</f>
        <v>241</v>
      </c>
      <c r="CL34" s="709">
        <f>CK34+CF!CL21</f>
        <v>241</v>
      </c>
      <c r="CM34" s="703">
        <f>CL34</f>
        <v>241</v>
      </c>
      <c r="CN34" s="204"/>
      <c r="CO34" s="204"/>
      <c r="CP34" s="64"/>
    </row>
    <row r="35" spans="1:94" ht="12.75" customHeight="1">
      <c r="A35" s="1841" t="s">
        <v>279</v>
      </c>
      <c r="B35" s="707"/>
      <c r="C35" s="708">
        <v>271.73611111111114</v>
      </c>
      <c r="D35" s="709">
        <v>273.85353535353539</v>
      </c>
      <c r="E35" s="709">
        <v>305.61489898989902</v>
      </c>
      <c r="F35" s="709">
        <v>302.79166666666669</v>
      </c>
      <c r="G35" s="703">
        <f>F35</f>
        <v>302.79166666666669</v>
      </c>
      <c r="H35" s="707"/>
      <c r="I35" s="708">
        <v>599.93686868686871</v>
      </c>
      <c r="J35" s="709">
        <v>515.94570707070716</v>
      </c>
      <c r="K35" s="709">
        <v>520.18055555555566</v>
      </c>
      <c r="L35" s="709">
        <v>472.18560606060612</v>
      </c>
      <c r="M35" s="703">
        <f>L35</f>
        <v>472.18560606060612</v>
      </c>
      <c r="N35" s="707"/>
      <c r="O35" s="708">
        <v>694.51515151515162</v>
      </c>
      <c r="P35" s="709">
        <v>395.25252525252529</v>
      </c>
      <c r="Q35" s="709">
        <v>396.66414141414145</v>
      </c>
      <c r="R35" s="709">
        <v>404.42803030303037</v>
      </c>
      <c r="S35" s="703">
        <f>R35</f>
        <v>404.42803030303037</v>
      </c>
      <c r="T35" s="711"/>
      <c r="U35" s="708">
        <v>371.25505050505052</v>
      </c>
      <c r="V35" s="709">
        <v>388.19444444444451</v>
      </c>
      <c r="W35" s="709">
        <v>493.35984848484856</v>
      </c>
      <c r="X35" s="709">
        <v>501.12373737373741</v>
      </c>
      <c r="Y35" s="703">
        <f>X35</f>
        <v>501.12373737373741</v>
      </c>
      <c r="Z35" s="711"/>
      <c r="AA35" s="708">
        <v>488.41919191919197</v>
      </c>
      <c r="AB35" s="709">
        <v>507.47601010101016</v>
      </c>
      <c r="AC35" s="709">
        <v>461.59848484848487</v>
      </c>
      <c r="AD35" s="709">
        <v>453.83459595959602</v>
      </c>
      <c r="AE35" s="703">
        <f>AD35</f>
        <v>453.83459595959602</v>
      </c>
      <c r="AF35" s="711"/>
      <c r="AG35" s="708">
        <v>456.65782828282835</v>
      </c>
      <c r="AH35" s="709">
        <v>455.95202020202026</v>
      </c>
      <c r="AI35" s="709">
        <v>572.41035353535358</v>
      </c>
      <c r="AJ35" s="1705">
        <v>559</v>
      </c>
      <c r="AK35" s="703">
        <f>AJ35</f>
        <v>559</v>
      </c>
      <c r="AL35" s="711"/>
      <c r="AM35" s="708">
        <v>571.05860349127181</v>
      </c>
      <c r="AN35" s="709">
        <v>568.17082294264344</v>
      </c>
      <c r="AO35" s="709">
        <v>558.78553615960107</v>
      </c>
      <c r="AP35" s="1705">
        <v>579</v>
      </c>
      <c r="AQ35" s="703">
        <f>AP35</f>
        <v>579</v>
      </c>
      <c r="AR35" s="711"/>
      <c r="AS35" s="1706">
        <v>476</v>
      </c>
      <c r="AT35" s="709">
        <v>529</v>
      </c>
      <c r="AU35" s="709">
        <v>558</v>
      </c>
      <c r="AV35" s="1809">
        <f>545+1411</f>
        <v>1956</v>
      </c>
      <c r="AW35" s="703">
        <f>AV35</f>
        <v>1956</v>
      </c>
      <c r="AX35" s="711"/>
      <c r="AY35" s="1555">
        <v>499</v>
      </c>
      <c r="AZ35" s="1554">
        <v>489</v>
      </c>
      <c r="BA35" s="1554">
        <v>469</v>
      </c>
      <c r="BB35" s="1809">
        <v>414</v>
      </c>
      <c r="BC35" s="703">
        <f>BB35</f>
        <v>414</v>
      </c>
      <c r="BD35" s="711"/>
      <c r="BE35" s="1555">
        <v>412</v>
      </c>
      <c r="BF35" s="1554">
        <v>446</v>
      </c>
      <c r="BG35" s="1554">
        <v>356</v>
      </c>
      <c r="BH35" s="1554">
        <v>339</v>
      </c>
      <c r="BI35" s="703">
        <f>BH35</f>
        <v>339</v>
      </c>
      <c r="BJ35" s="711"/>
      <c r="BK35" s="1555">
        <v>331</v>
      </c>
      <c r="BL35" s="1554">
        <v>335</v>
      </c>
      <c r="BM35" s="1554">
        <v>285</v>
      </c>
      <c r="BN35" s="1554">
        <v>293</v>
      </c>
      <c r="BO35" s="703">
        <f>BN35</f>
        <v>293</v>
      </c>
      <c r="BP35" s="711"/>
      <c r="BQ35" s="1555">
        <v>770</v>
      </c>
      <c r="BR35" s="709">
        <f>BQ35+CF!BR61+CF!BR57</f>
        <v>770</v>
      </c>
      <c r="BS35" s="709">
        <f>BR35+CF!BS61+CF!BS57</f>
        <v>770</v>
      </c>
      <c r="BT35" s="709">
        <f>BS35+CF!BT61+CF!BT57</f>
        <v>770</v>
      </c>
      <c r="BU35" s="703">
        <f>BT35</f>
        <v>770</v>
      </c>
      <c r="BV35" s="711"/>
      <c r="BW35" s="708">
        <f>BT35+CF!BW61+CF!BW57</f>
        <v>770</v>
      </c>
      <c r="BX35" s="709">
        <f>BW35+CF!BX61+CF!BX57</f>
        <v>770</v>
      </c>
      <c r="BY35" s="709">
        <f>BX35+CF!BY61+CF!BY57</f>
        <v>770</v>
      </c>
      <c r="BZ35" s="709">
        <f>BY35+CF!BZ61+CF!BZ57</f>
        <v>770</v>
      </c>
      <c r="CA35" s="703">
        <f>BZ35</f>
        <v>770</v>
      </c>
      <c r="CB35" s="750"/>
      <c r="CC35" s="708">
        <f>BZ35+CF!CC61+CF!CC57</f>
        <v>770</v>
      </c>
      <c r="CD35" s="709">
        <f>CC35+CF!CD61+CF!CD57</f>
        <v>770</v>
      </c>
      <c r="CE35" s="709">
        <f>CD35+CF!CE61+CF!CE57</f>
        <v>770</v>
      </c>
      <c r="CF35" s="709">
        <f>CE35+CF!CF61+CF!CF57</f>
        <v>770</v>
      </c>
      <c r="CG35" s="703">
        <f>CF35</f>
        <v>770</v>
      </c>
      <c r="CH35" s="713"/>
      <c r="CI35" s="708">
        <f>CF35+CF!CI61+CF!CI57</f>
        <v>770</v>
      </c>
      <c r="CJ35" s="709">
        <f>CI35+CF!CJ61+CF!CJ57</f>
        <v>770</v>
      </c>
      <c r="CK35" s="709">
        <f>CJ35+CF!CK61+CF!CK57</f>
        <v>770</v>
      </c>
      <c r="CL35" s="709">
        <f>CK35+CF!CL61+CF!CL57</f>
        <v>770</v>
      </c>
      <c r="CM35" s="703">
        <f>CL35</f>
        <v>770</v>
      </c>
      <c r="CN35" s="204"/>
      <c r="CO35" s="204"/>
      <c r="CP35" s="64"/>
    </row>
    <row r="36" spans="1:94" ht="12.75" customHeight="1">
      <c r="A36" s="1842" t="s">
        <v>280</v>
      </c>
      <c r="B36" s="714"/>
      <c r="C36" s="715">
        <f>SUM(C31:C35)</f>
        <v>2274.068778266625</v>
      </c>
      <c r="D36" s="716">
        <f>SUM(D31:D35)</f>
        <v>2263.0886039540142</v>
      </c>
      <c r="E36" s="716">
        <f>SUM(E31:E35)</f>
        <v>2320.1327285957641</v>
      </c>
      <c r="F36" s="716">
        <f>SUM(F31:F35)</f>
        <v>2947.1631202767335</v>
      </c>
      <c r="G36" s="717">
        <f>SUM(G31:G35)</f>
        <v>2947.1631202767335</v>
      </c>
      <c r="H36" s="714"/>
      <c r="I36" s="715">
        <f>SUM(I31:I35)</f>
        <v>3312.6392752249462</v>
      </c>
      <c r="J36" s="716">
        <f>SUM(J31:J35)</f>
        <v>3477.604207167924</v>
      </c>
      <c r="K36" s="716">
        <f>SUM(K31:K35)</f>
        <v>3414.3468949521498</v>
      </c>
      <c r="L36" s="716">
        <f>SUM(L31:L35)</f>
        <v>3205.6907753768778</v>
      </c>
      <c r="M36" s="717">
        <f>SUM(M31:M35)</f>
        <v>3205.6907753768778</v>
      </c>
      <c r="N36" s="714"/>
      <c r="O36" s="715">
        <f>SUM(O31:O35)</f>
        <v>3779.4926125181719</v>
      </c>
      <c r="P36" s="716">
        <f>SUM(P31:P35)</f>
        <v>3432.029562778976</v>
      </c>
      <c r="Q36" s="716">
        <f>SUM(Q31:Q35)</f>
        <v>3464.1888965517096</v>
      </c>
      <c r="R36" s="716">
        <f>SUM(R31:R35)</f>
        <v>4383.0365903944703</v>
      </c>
      <c r="S36" s="717">
        <f>SUM(S31:S35)</f>
        <v>4383.0365903944703</v>
      </c>
      <c r="T36" s="718"/>
      <c r="U36" s="715">
        <f>SUM(U31:U35)</f>
        <v>4385.2604814443775</v>
      </c>
      <c r="V36" s="716">
        <f>SUM(V31:V35)</f>
        <v>4381.0304657524384</v>
      </c>
      <c r="W36" s="716">
        <f>SUM(W31:W35)</f>
        <v>5430.6413415001452</v>
      </c>
      <c r="X36" s="716">
        <f>SUM(X31:X35)</f>
        <v>5563.169273905477</v>
      </c>
      <c r="Y36" s="717">
        <f>SUM(Y31:Y35)</f>
        <v>5563.169273905477</v>
      </c>
      <c r="Z36" s="718"/>
      <c r="AA36" s="715">
        <f>SUM(AA31:AA35)</f>
        <v>3939.3223777699745</v>
      </c>
      <c r="AB36" s="716">
        <f>SUM(AB31:AB35)</f>
        <v>3830.6897608742033</v>
      </c>
      <c r="AC36" s="716">
        <f>SUM(AC31:AC35)</f>
        <v>3788.9850159032117</v>
      </c>
      <c r="AD36" s="716">
        <f>SUM(AD31:AD35)</f>
        <v>3922.9024437649305</v>
      </c>
      <c r="AE36" s="717">
        <f>SUM(AE31:AE35)</f>
        <v>3922.9024437649305</v>
      </c>
      <c r="AF36" s="718"/>
      <c r="AG36" s="715">
        <f>SUM(AG31:AG35)</f>
        <v>3893.92160901129</v>
      </c>
      <c r="AH36" s="716">
        <f>SUM(AH31:AH35)</f>
        <v>3877.8544376462751</v>
      </c>
      <c r="AI36" s="716">
        <f>SUM(AI31:AI35)</f>
        <v>4024.0945165522799</v>
      </c>
      <c r="AJ36" s="716">
        <f>SUM(AJ31:AJ35)</f>
        <v>4523</v>
      </c>
      <c r="AK36" s="717">
        <f>SUM(AK31:AK35)</f>
        <v>4523</v>
      </c>
      <c r="AL36" s="718"/>
      <c r="AM36" s="715">
        <f>SUM(AM31:AM35)</f>
        <v>4465.0136227273215</v>
      </c>
      <c r="AN36" s="719">
        <f>SUM(AN31:AN35)</f>
        <v>4384.3206601770135</v>
      </c>
      <c r="AO36" s="719">
        <f>SUM(AO31:AO35)</f>
        <v>4687.0729720704167</v>
      </c>
      <c r="AP36" s="716">
        <f>SUM(AP31:AP35)</f>
        <v>4614</v>
      </c>
      <c r="AQ36" s="717">
        <f>SUM(AQ31:AQ35)</f>
        <v>4614</v>
      </c>
      <c r="AR36" s="718"/>
      <c r="AS36" s="715">
        <f>SUM(AS31:AS35)</f>
        <v>4458</v>
      </c>
      <c r="AT36" s="719">
        <f>SUM(AT31:AT35)</f>
        <v>4652</v>
      </c>
      <c r="AU36" s="719">
        <f>SUM(AU31:AU35)</f>
        <v>4082</v>
      </c>
      <c r="AV36" s="719">
        <f>SUM(AV31:AV35)</f>
        <v>5530</v>
      </c>
      <c r="AW36" s="717">
        <f>SUM(AW31:AW35)</f>
        <v>5530</v>
      </c>
      <c r="AX36" s="718"/>
      <c r="AY36" s="720">
        <f>SUM(AY31:AY35)</f>
        <v>3279</v>
      </c>
      <c r="AZ36" s="719">
        <f>SUM(AZ31:AZ35)</f>
        <v>3251</v>
      </c>
      <c r="BA36" s="719">
        <f>SUM(BA31:BA35)</f>
        <v>3145</v>
      </c>
      <c r="BB36" s="719">
        <f>SUM(BB31:BB35)</f>
        <v>3309</v>
      </c>
      <c r="BC36" s="717">
        <f>SUM(BC31:BC35)</f>
        <v>3309</v>
      </c>
      <c r="BD36" s="718"/>
      <c r="BE36" s="720">
        <f>SUM(BE31:BE35)</f>
        <v>3254</v>
      </c>
      <c r="BF36" s="719">
        <f>SUM(BF31:BF35)</f>
        <v>3475</v>
      </c>
      <c r="BG36" s="719">
        <f>SUM(BG31:BG35)</f>
        <v>3388</v>
      </c>
      <c r="BH36" s="719">
        <f>SUM(BH31:BH35)</f>
        <v>3556</v>
      </c>
      <c r="BI36" s="717">
        <f>SUM(BI31:BI35)</f>
        <v>3556</v>
      </c>
      <c r="BJ36" s="718"/>
      <c r="BK36" s="720">
        <f>SUM(BK31:BK35)</f>
        <v>3572</v>
      </c>
      <c r="BL36" s="719">
        <f>SUM(BL31:BL35)</f>
        <v>3641</v>
      </c>
      <c r="BM36" s="719">
        <f>SUM(BM31:BM35)</f>
        <v>3650</v>
      </c>
      <c r="BN36" s="719">
        <f>SUM(BN31:BN35)</f>
        <v>3599</v>
      </c>
      <c r="BO36" s="717">
        <f>SUM(BO31:BO35)</f>
        <v>3599</v>
      </c>
      <c r="BP36" s="718"/>
      <c r="BQ36" s="720">
        <f>SUM(BQ31:BQ35)</f>
        <v>4172</v>
      </c>
      <c r="BR36" s="719">
        <f>SUM(BR31:BR35)</f>
        <v>4217.8428997283954</v>
      </c>
      <c r="BS36" s="719">
        <f>SUM(BS31:BS35)</f>
        <v>4212.9224447104243</v>
      </c>
      <c r="BT36" s="719">
        <f>SUM(BT31:BT35)</f>
        <v>4306.7615168881484</v>
      </c>
      <c r="BU36" s="717">
        <f>SUM(BU31:BU35)</f>
        <v>4306.7615168881484</v>
      </c>
      <c r="BV36" s="718"/>
      <c r="BW36" s="720">
        <f>SUM(BW31:BW35)</f>
        <v>4217.7024285657726</v>
      </c>
      <c r="BX36" s="719">
        <f>SUM(BX31:BX35)</f>
        <v>4265.5639904815398</v>
      </c>
      <c r="BY36" s="719">
        <f>SUM(BY31:BY35)</f>
        <v>4274.770782126383</v>
      </c>
      <c r="BZ36" s="719">
        <f>SUM(BZ31:BZ35)</f>
        <v>4371.288146066945</v>
      </c>
      <c r="CA36" s="717">
        <f>SUM(CA31:CA35)</f>
        <v>4371.288146066945</v>
      </c>
      <c r="CB36" s="732"/>
      <c r="CC36" s="720">
        <f>SUM(CC31:CC35)</f>
        <v>3750.3157980438195</v>
      </c>
      <c r="CD36" s="719">
        <f>SUM(CD31:CD35)</f>
        <v>3800.7980409081156</v>
      </c>
      <c r="CE36" s="719">
        <f>SUM(CE31:CE35)</f>
        <v>3820.7791037954216</v>
      </c>
      <c r="CF36" s="719">
        <f>SUM(CF31:CF35)</f>
        <v>3917.7660750433106</v>
      </c>
      <c r="CG36" s="717">
        <f>SUM(CG31:CG35)</f>
        <v>3917.7660750433106</v>
      </c>
      <c r="CH36" s="721"/>
      <c r="CI36" s="720">
        <f>SUM(CI31:CI35)</f>
        <v>3398.6446494024053</v>
      </c>
      <c r="CJ36" s="719">
        <f>SUM(CJ31:CJ35)</f>
        <v>3452.1833269712561</v>
      </c>
      <c r="CK36" s="719">
        <f>SUM(CK31:CK35)</f>
        <v>3485.914884887422</v>
      </c>
      <c r="CL36" s="719">
        <f>SUM(CL31:CL35)</f>
        <v>3582.7471233119454</v>
      </c>
      <c r="CM36" s="717">
        <f>SUM(CM31:CM35)</f>
        <v>3582.7471233119454</v>
      </c>
      <c r="CN36" s="204"/>
      <c r="CO36" s="204"/>
      <c r="CP36" s="89"/>
    </row>
    <row r="37" spans="1:94" ht="12.75" hidden="1" customHeight="1" outlineLevel="1">
      <c r="A37" s="1844" t="s">
        <v>281</v>
      </c>
      <c r="B37" s="707"/>
      <c r="C37" s="1706">
        <v>0</v>
      </c>
      <c r="D37" s="1705">
        <v>0</v>
      </c>
      <c r="E37" s="1705">
        <v>0</v>
      </c>
      <c r="F37" s="1705">
        <v>0</v>
      </c>
      <c r="G37" s="703">
        <f t="shared" ref="G37:G42" si="30">F37</f>
        <v>0</v>
      </c>
      <c r="H37" s="711"/>
      <c r="I37" s="730"/>
      <c r="J37" s="711"/>
      <c r="K37" s="711"/>
      <c r="L37" s="711"/>
      <c r="M37" s="703">
        <f t="shared" ref="M37:M42" si="31">L37</f>
        <v>0</v>
      </c>
      <c r="N37" s="707"/>
      <c r="O37" s="712"/>
      <c r="P37" s="711"/>
      <c r="Q37" s="711"/>
      <c r="R37" s="711"/>
      <c r="S37" s="703">
        <f t="shared" ref="S37:S42" si="32">R37</f>
        <v>0</v>
      </c>
      <c r="T37" s="711"/>
      <c r="U37" s="712"/>
      <c r="V37" s="711"/>
      <c r="W37" s="711"/>
      <c r="X37" s="711"/>
      <c r="Y37" s="703">
        <f t="shared" ref="Y37:Y42" si="33">X37</f>
        <v>0</v>
      </c>
      <c r="Z37" s="711"/>
      <c r="AA37" s="712"/>
      <c r="AB37" s="711"/>
      <c r="AC37" s="711"/>
      <c r="AD37" s="711"/>
      <c r="AE37" s="703">
        <f t="shared" ref="AE37:AE42" si="34">AD37</f>
        <v>0</v>
      </c>
      <c r="AF37" s="711"/>
      <c r="AG37" s="712"/>
      <c r="AH37" s="711"/>
      <c r="AI37" s="711"/>
      <c r="AJ37" s="711"/>
      <c r="AK37" s="703">
        <f t="shared" ref="AK37:AK42" si="35">AJ37</f>
        <v>0</v>
      </c>
      <c r="AL37" s="711"/>
      <c r="AM37" s="1706">
        <v>0</v>
      </c>
      <c r="AN37" s="1705">
        <v>0</v>
      </c>
      <c r="AO37" s="1705">
        <v>0</v>
      </c>
      <c r="AP37" s="1705">
        <v>0</v>
      </c>
      <c r="AQ37" s="703">
        <f t="shared" ref="AQ37:AQ42" si="36">AP37</f>
        <v>0</v>
      </c>
      <c r="AR37" s="711"/>
      <c r="AS37" s="1706">
        <v>0</v>
      </c>
      <c r="AT37" s="709">
        <v>0</v>
      </c>
      <c r="AU37" s="709">
        <v>0</v>
      </c>
      <c r="AV37" s="1809">
        <v>0</v>
      </c>
      <c r="AW37" s="703">
        <f t="shared" ref="AW37:AW42" si="37">AV37</f>
        <v>0</v>
      </c>
      <c r="AX37" s="711"/>
      <c r="AY37" s="1555">
        <v>0</v>
      </c>
      <c r="AZ37" s="1554">
        <v>0</v>
      </c>
      <c r="BA37" s="1554">
        <v>0</v>
      </c>
      <c r="BB37" s="1809">
        <v>0</v>
      </c>
      <c r="BC37" s="703">
        <f t="shared" ref="BC37:BC42" si="38">BB37</f>
        <v>0</v>
      </c>
      <c r="BD37" s="711"/>
      <c r="BE37" s="1555">
        <v>0</v>
      </c>
      <c r="BF37" s="1554">
        <v>0</v>
      </c>
      <c r="BG37" s="1554">
        <v>0</v>
      </c>
      <c r="BH37" s="1554">
        <v>0</v>
      </c>
      <c r="BI37" s="703">
        <f t="shared" ref="BI37:BI42" si="39">BH37</f>
        <v>0</v>
      </c>
      <c r="BJ37" s="711"/>
      <c r="BK37" s="1555">
        <v>0</v>
      </c>
      <c r="BL37" s="1554">
        <v>0</v>
      </c>
      <c r="BM37" s="1554">
        <v>0</v>
      </c>
      <c r="BN37" s="1554">
        <v>0</v>
      </c>
      <c r="BO37" s="703">
        <f t="shared" ref="BO37:BO38" si="40">BN37</f>
        <v>0</v>
      </c>
      <c r="BP37" s="711"/>
      <c r="BQ37" s="1555">
        <v>0</v>
      </c>
      <c r="BR37" s="709">
        <f t="shared" ref="BR37:BU38" si="41">BQ37</f>
        <v>0</v>
      </c>
      <c r="BS37" s="709">
        <f t="shared" si="41"/>
        <v>0</v>
      </c>
      <c r="BT37" s="709">
        <f t="shared" si="41"/>
        <v>0</v>
      </c>
      <c r="BU37" s="703">
        <f t="shared" si="41"/>
        <v>0</v>
      </c>
      <c r="BV37" s="711"/>
      <c r="BW37" s="708">
        <f>BT37</f>
        <v>0</v>
      </c>
      <c r="BX37" s="709">
        <f t="shared" ref="BX37:CA38" si="42">BW37</f>
        <v>0</v>
      </c>
      <c r="BY37" s="709">
        <f t="shared" si="42"/>
        <v>0</v>
      </c>
      <c r="BZ37" s="709">
        <f t="shared" si="42"/>
        <v>0</v>
      </c>
      <c r="CA37" s="703">
        <f t="shared" si="42"/>
        <v>0</v>
      </c>
      <c r="CB37" s="750"/>
      <c r="CC37" s="708">
        <f>BZ37</f>
        <v>0</v>
      </c>
      <c r="CD37" s="709">
        <f t="shared" ref="CD37:CG38" si="43">CC37</f>
        <v>0</v>
      </c>
      <c r="CE37" s="709">
        <f t="shared" si="43"/>
        <v>0</v>
      </c>
      <c r="CF37" s="709">
        <f t="shared" si="43"/>
        <v>0</v>
      </c>
      <c r="CG37" s="703">
        <f t="shared" si="43"/>
        <v>0</v>
      </c>
      <c r="CH37" s="713"/>
      <c r="CI37" s="708">
        <f>CF37</f>
        <v>0</v>
      </c>
      <c r="CJ37" s="709">
        <f t="shared" ref="CJ37:CJ38" si="44">CI37</f>
        <v>0</v>
      </c>
      <c r="CK37" s="709">
        <f t="shared" ref="CK37:CK38" si="45">CJ37</f>
        <v>0</v>
      </c>
      <c r="CL37" s="709">
        <f t="shared" ref="CL37:CL38" si="46">CK37</f>
        <v>0</v>
      </c>
      <c r="CM37" s="703">
        <f t="shared" ref="CM37:CM38" si="47">CL37</f>
        <v>0</v>
      </c>
      <c r="CN37" s="204"/>
      <c r="CO37" s="204"/>
      <c r="CP37" s="64"/>
    </row>
    <row r="38" spans="1:94" collapsed="1">
      <c r="A38" s="1841" t="s">
        <v>282</v>
      </c>
      <c r="B38" s="707"/>
      <c r="C38" s="1706">
        <v>5</v>
      </c>
      <c r="D38" s="1705">
        <v>5</v>
      </c>
      <c r="E38" s="1705">
        <v>5</v>
      </c>
      <c r="F38" s="1705">
        <v>6</v>
      </c>
      <c r="G38" s="703">
        <f t="shared" si="30"/>
        <v>6</v>
      </c>
      <c r="H38" s="711"/>
      <c r="I38" s="1706">
        <v>6</v>
      </c>
      <c r="J38" s="1705">
        <v>6</v>
      </c>
      <c r="K38" s="1705">
        <v>6</v>
      </c>
      <c r="L38" s="1705">
        <v>6</v>
      </c>
      <c r="M38" s="703">
        <f t="shared" si="31"/>
        <v>6</v>
      </c>
      <c r="N38" s="707"/>
      <c r="O38" s="1706">
        <v>6</v>
      </c>
      <c r="P38" s="1705">
        <v>6</v>
      </c>
      <c r="Q38" s="1705">
        <v>6</v>
      </c>
      <c r="R38" s="1705">
        <v>6</v>
      </c>
      <c r="S38" s="703">
        <f t="shared" si="32"/>
        <v>6</v>
      </c>
      <c r="T38" s="711"/>
      <c r="U38" s="1706">
        <v>6</v>
      </c>
      <c r="V38" s="1705">
        <v>6</v>
      </c>
      <c r="W38" s="1705">
        <v>6</v>
      </c>
      <c r="X38" s="1705">
        <v>6</v>
      </c>
      <c r="Y38" s="703">
        <f t="shared" si="33"/>
        <v>6</v>
      </c>
      <c r="Z38" s="711"/>
      <c r="AA38" s="1706">
        <v>6</v>
      </c>
      <c r="AB38" s="1705">
        <v>6</v>
      </c>
      <c r="AC38" s="1705">
        <v>6</v>
      </c>
      <c r="AD38" s="1705">
        <v>6</v>
      </c>
      <c r="AE38" s="703">
        <f t="shared" si="34"/>
        <v>6</v>
      </c>
      <c r="AF38" s="711"/>
      <c r="AG38" s="1706">
        <v>6</v>
      </c>
      <c r="AH38" s="1705">
        <v>6</v>
      </c>
      <c r="AI38" s="1705">
        <v>6</v>
      </c>
      <c r="AJ38" s="1705">
        <v>6</v>
      </c>
      <c r="AK38" s="703">
        <f t="shared" si="35"/>
        <v>6</v>
      </c>
      <c r="AL38" s="711"/>
      <c r="AM38" s="1706">
        <v>6</v>
      </c>
      <c r="AN38" s="1705">
        <v>6</v>
      </c>
      <c r="AO38" s="1705">
        <v>6</v>
      </c>
      <c r="AP38" s="1705">
        <v>6</v>
      </c>
      <c r="AQ38" s="703">
        <f t="shared" si="36"/>
        <v>6</v>
      </c>
      <c r="AR38" s="711"/>
      <c r="AS38" s="1706">
        <v>6</v>
      </c>
      <c r="AT38" s="709">
        <v>6</v>
      </c>
      <c r="AU38" s="709">
        <v>6</v>
      </c>
      <c r="AV38" s="1809">
        <v>6</v>
      </c>
      <c r="AW38" s="703">
        <f t="shared" si="37"/>
        <v>6</v>
      </c>
      <c r="AX38" s="711"/>
      <c r="AY38" s="1555">
        <v>6</v>
      </c>
      <c r="AZ38" s="1554">
        <v>6</v>
      </c>
      <c r="BA38" s="1554">
        <v>6</v>
      </c>
      <c r="BB38" s="1809">
        <v>6</v>
      </c>
      <c r="BC38" s="703">
        <f t="shared" si="38"/>
        <v>6</v>
      </c>
      <c r="BD38" s="711"/>
      <c r="BE38" s="1555">
        <v>6</v>
      </c>
      <c r="BF38" s="1554">
        <v>6</v>
      </c>
      <c r="BG38" s="1554">
        <v>6</v>
      </c>
      <c r="BH38" s="1554">
        <v>6</v>
      </c>
      <c r="BI38" s="703">
        <f t="shared" si="39"/>
        <v>6</v>
      </c>
      <c r="BJ38" s="711"/>
      <c r="BK38" s="1555">
        <v>3</v>
      </c>
      <c r="BL38" s="1554">
        <v>3</v>
      </c>
      <c r="BM38" s="1554">
        <v>3</v>
      </c>
      <c r="BN38" s="1554">
        <v>3</v>
      </c>
      <c r="BO38" s="703">
        <f t="shared" si="40"/>
        <v>3</v>
      </c>
      <c r="BP38" s="711"/>
      <c r="BQ38" s="1555">
        <v>3</v>
      </c>
      <c r="BR38" s="709">
        <f t="shared" si="41"/>
        <v>3</v>
      </c>
      <c r="BS38" s="709">
        <f t="shared" si="41"/>
        <v>3</v>
      </c>
      <c r="BT38" s="709">
        <f t="shared" si="41"/>
        <v>3</v>
      </c>
      <c r="BU38" s="703">
        <f t="shared" si="41"/>
        <v>3</v>
      </c>
      <c r="BV38" s="711"/>
      <c r="BW38" s="708">
        <f>BT38</f>
        <v>3</v>
      </c>
      <c r="BX38" s="709">
        <f t="shared" si="42"/>
        <v>3</v>
      </c>
      <c r="BY38" s="709">
        <f t="shared" si="42"/>
        <v>3</v>
      </c>
      <c r="BZ38" s="709">
        <f t="shared" si="42"/>
        <v>3</v>
      </c>
      <c r="CA38" s="703">
        <f t="shared" si="42"/>
        <v>3</v>
      </c>
      <c r="CB38" s="750"/>
      <c r="CC38" s="708">
        <f>BZ38</f>
        <v>3</v>
      </c>
      <c r="CD38" s="709">
        <f t="shared" si="43"/>
        <v>3</v>
      </c>
      <c r="CE38" s="709">
        <f t="shared" si="43"/>
        <v>3</v>
      </c>
      <c r="CF38" s="709">
        <f t="shared" si="43"/>
        <v>3</v>
      </c>
      <c r="CG38" s="703">
        <f t="shared" si="43"/>
        <v>3</v>
      </c>
      <c r="CH38" s="713"/>
      <c r="CI38" s="708">
        <f>CF38</f>
        <v>3</v>
      </c>
      <c r="CJ38" s="709">
        <f t="shared" si="44"/>
        <v>3</v>
      </c>
      <c r="CK38" s="709">
        <f t="shared" si="45"/>
        <v>3</v>
      </c>
      <c r="CL38" s="709">
        <f t="shared" si="46"/>
        <v>3</v>
      </c>
      <c r="CM38" s="703">
        <f t="shared" si="47"/>
        <v>3</v>
      </c>
      <c r="CN38" s="204"/>
      <c r="CO38" s="204"/>
      <c r="CP38" s="64"/>
    </row>
    <row r="39" spans="1:94">
      <c r="A39" s="1841" t="s">
        <v>283</v>
      </c>
      <c r="B39" s="707"/>
      <c r="C39" s="1706">
        <v>-4779</v>
      </c>
      <c r="D39" s="1705">
        <v>-5161</v>
      </c>
      <c r="E39" s="1705">
        <v>-5838</v>
      </c>
      <c r="F39" s="1705">
        <v>-6469</v>
      </c>
      <c r="G39" s="703">
        <f t="shared" si="30"/>
        <v>-6469</v>
      </c>
      <c r="H39" s="711"/>
      <c r="I39" s="1706">
        <v>-6706</v>
      </c>
      <c r="J39" s="1705">
        <v>-6969</v>
      </c>
      <c r="K39" s="1705">
        <v>-7219</v>
      </c>
      <c r="L39" s="1705">
        <v>-7470</v>
      </c>
      <c r="M39" s="703">
        <f t="shared" si="31"/>
        <v>-7470</v>
      </c>
      <c r="N39" s="707"/>
      <c r="O39" s="1706">
        <v>-7595</v>
      </c>
      <c r="P39" s="1705">
        <v>-7627</v>
      </c>
      <c r="Q39" s="1705">
        <v>-7627</v>
      </c>
      <c r="R39" s="1705">
        <v>-7627</v>
      </c>
      <c r="S39" s="703">
        <f t="shared" si="32"/>
        <v>-7627</v>
      </c>
      <c r="T39" s="711"/>
      <c r="U39" s="1706">
        <v>-7727</v>
      </c>
      <c r="V39" s="1705">
        <v>-7892</v>
      </c>
      <c r="W39" s="1705">
        <v>-7986</v>
      </c>
      <c r="X39" s="1705">
        <v>-8038</v>
      </c>
      <c r="Y39" s="703">
        <f t="shared" si="33"/>
        <v>-8038</v>
      </c>
      <c r="Z39" s="711"/>
      <c r="AA39" s="1706">
        <v>-8308</v>
      </c>
      <c r="AB39" s="1705">
        <v>-8308</v>
      </c>
      <c r="AC39" s="1705">
        <v>-8500</v>
      </c>
      <c r="AD39" s="1705">
        <v>-8535</v>
      </c>
      <c r="AE39" s="703">
        <f t="shared" si="34"/>
        <v>-8535</v>
      </c>
      <c r="AF39" s="711"/>
      <c r="AG39" s="1706">
        <v>-8568</v>
      </c>
      <c r="AH39" s="1705">
        <v>-8612</v>
      </c>
      <c r="AI39" s="1705">
        <v>-8612</v>
      </c>
      <c r="AJ39" s="1705">
        <v>-8707</v>
      </c>
      <c r="AK39" s="703">
        <f t="shared" si="35"/>
        <v>-8707</v>
      </c>
      <c r="AL39" s="711"/>
      <c r="AM39" s="1706">
        <v>-8786</v>
      </c>
      <c r="AN39" s="1705">
        <v>-8926</v>
      </c>
      <c r="AO39" s="1705">
        <v>-9607</v>
      </c>
      <c r="AP39" s="1705">
        <v>-9607</v>
      </c>
      <c r="AQ39" s="703">
        <f t="shared" si="36"/>
        <v>-9607</v>
      </c>
      <c r="AR39" s="711"/>
      <c r="AS39" s="1706">
        <v>-9707</v>
      </c>
      <c r="AT39" s="709">
        <v>-9757</v>
      </c>
      <c r="AU39" s="709">
        <v>-9807</v>
      </c>
      <c r="AV39" s="1809">
        <v>-9807</v>
      </c>
      <c r="AW39" s="703">
        <f t="shared" si="37"/>
        <v>-9807</v>
      </c>
      <c r="AX39" s="711"/>
      <c r="AY39" s="1555">
        <v>-9813</v>
      </c>
      <c r="AZ39" s="1554">
        <v>-9975</v>
      </c>
      <c r="BA39" s="1554">
        <v>-10074</v>
      </c>
      <c r="BB39" s="1809">
        <v>-10074</v>
      </c>
      <c r="BC39" s="703">
        <f t="shared" si="38"/>
        <v>-10074</v>
      </c>
      <c r="BD39" s="711"/>
      <c r="BE39" s="1555">
        <v>-10274</v>
      </c>
      <c r="BF39" s="1554">
        <v>-10368</v>
      </c>
      <c r="BG39" s="1554">
        <v>-10462</v>
      </c>
      <c r="BH39" s="1554">
        <v>-10508</v>
      </c>
      <c r="BI39" s="703">
        <f t="shared" si="39"/>
        <v>-10508</v>
      </c>
      <c r="BJ39" s="711"/>
      <c r="BK39" s="1555">
        <v>0</v>
      </c>
      <c r="BL39" s="1554">
        <v>0</v>
      </c>
      <c r="BM39" s="1554">
        <v>0</v>
      </c>
      <c r="BN39" s="1554">
        <v>0</v>
      </c>
      <c r="BO39" s="703">
        <f>BN39</f>
        <v>0</v>
      </c>
      <c r="BP39" s="711"/>
      <c r="BQ39" s="1555">
        <v>-3</v>
      </c>
      <c r="BR39" s="709">
        <f>BQ39+CF!BR53</f>
        <v>-114</v>
      </c>
      <c r="BS39" s="709">
        <f>BR39+CF!BS53</f>
        <v>-225</v>
      </c>
      <c r="BT39" s="709">
        <f>BS39+CF!BT53</f>
        <v>-336</v>
      </c>
      <c r="BU39" s="703">
        <f>BT39</f>
        <v>-336</v>
      </c>
      <c r="BV39" s="711"/>
      <c r="BW39" s="708">
        <f>BT39+CF!BW53</f>
        <v>-443.5</v>
      </c>
      <c r="BX39" s="709">
        <f>BW39+CF!BX53</f>
        <v>-551</v>
      </c>
      <c r="BY39" s="709">
        <f>BX39+CF!BY53</f>
        <v>-658.5</v>
      </c>
      <c r="BZ39" s="709">
        <f>BY39+CF!BZ53</f>
        <v>-766</v>
      </c>
      <c r="CA39" s="703">
        <f>BZ39</f>
        <v>-766</v>
      </c>
      <c r="CB39" s="750"/>
      <c r="CC39" s="708">
        <f>BZ39+CF!CC53</f>
        <v>-873.5</v>
      </c>
      <c r="CD39" s="709">
        <f>CC39+CF!CD53</f>
        <v>-981</v>
      </c>
      <c r="CE39" s="709">
        <f>CD39+CF!CE53</f>
        <v>-1088.5</v>
      </c>
      <c r="CF39" s="709">
        <f>CE39+CF!CF53</f>
        <v>-1196</v>
      </c>
      <c r="CG39" s="703">
        <f>CF39</f>
        <v>-1196</v>
      </c>
      <c r="CH39" s="713"/>
      <c r="CI39" s="708">
        <f>CF39+CF!CI53</f>
        <v>-1303.5</v>
      </c>
      <c r="CJ39" s="709">
        <f>CI39+CF!CJ53</f>
        <v>-1411</v>
      </c>
      <c r="CK39" s="709">
        <f>CJ39+CF!CK53</f>
        <v>-1518.5</v>
      </c>
      <c r="CL39" s="709">
        <f>CK39+CF!CL53</f>
        <v>-1626</v>
      </c>
      <c r="CM39" s="703">
        <f>CL39</f>
        <v>-1626</v>
      </c>
      <c r="CN39" s="204"/>
      <c r="CO39" s="204"/>
      <c r="CP39" s="64"/>
    </row>
    <row r="40" spans="1:94">
      <c r="A40" s="1841" t="s">
        <v>284</v>
      </c>
      <c r="B40" s="707"/>
      <c r="C40" s="1706">
        <v>6726</v>
      </c>
      <c r="D40" s="1705">
        <v>6830</v>
      </c>
      <c r="E40" s="1705">
        <v>7052</v>
      </c>
      <c r="F40" s="1705">
        <v>7117</v>
      </c>
      <c r="G40" s="703">
        <f t="shared" si="30"/>
        <v>7117</v>
      </c>
      <c r="H40" s="711"/>
      <c r="I40" s="1706">
        <v>7216</v>
      </c>
      <c r="J40" s="1705">
        <v>7251</v>
      </c>
      <c r="K40" s="1705">
        <v>7383</v>
      </c>
      <c r="L40" s="1705">
        <v>7410</v>
      </c>
      <c r="M40" s="703">
        <f t="shared" si="31"/>
        <v>7410</v>
      </c>
      <c r="N40" s="707"/>
      <c r="O40" s="1706">
        <v>7459</v>
      </c>
      <c r="P40" s="1705">
        <v>7474</v>
      </c>
      <c r="Q40" s="1705">
        <v>7516</v>
      </c>
      <c r="R40" s="1705">
        <v>7552</v>
      </c>
      <c r="S40" s="703">
        <f t="shared" si="32"/>
        <v>7552</v>
      </c>
      <c r="T40" s="711"/>
      <c r="U40" s="1706">
        <v>7673</v>
      </c>
      <c r="V40" s="1705">
        <v>7802</v>
      </c>
      <c r="W40" s="1705">
        <v>7855</v>
      </c>
      <c r="X40" s="1705">
        <v>7904</v>
      </c>
      <c r="Y40" s="703">
        <f t="shared" si="33"/>
        <v>7904</v>
      </c>
      <c r="Z40" s="711"/>
      <c r="AA40" s="1706">
        <v>8060</v>
      </c>
      <c r="AB40" s="1705">
        <v>8140</v>
      </c>
      <c r="AC40" s="1705">
        <v>8248</v>
      </c>
      <c r="AD40" s="1705">
        <v>8265</v>
      </c>
      <c r="AE40" s="703">
        <f t="shared" si="34"/>
        <v>8265</v>
      </c>
      <c r="AF40" s="711"/>
      <c r="AG40" s="1706">
        <v>8320</v>
      </c>
      <c r="AH40" s="1705">
        <v>8354</v>
      </c>
      <c r="AI40" s="1705">
        <v>8397</v>
      </c>
      <c r="AJ40" s="1705">
        <v>8489</v>
      </c>
      <c r="AK40" s="703">
        <f t="shared" si="35"/>
        <v>8489</v>
      </c>
      <c r="AL40" s="711"/>
      <c r="AM40" s="1706">
        <v>8562</v>
      </c>
      <c r="AN40" s="1705">
        <v>8596</v>
      </c>
      <c r="AO40" s="1705">
        <v>8660</v>
      </c>
      <c r="AP40" s="1705">
        <v>8723</v>
      </c>
      <c r="AQ40" s="703">
        <f t="shared" si="36"/>
        <v>8723</v>
      </c>
      <c r="AR40" s="711"/>
      <c r="AS40" s="1706">
        <v>8820</v>
      </c>
      <c r="AT40" s="709">
        <v>8861</v>
      </c>
      <c r="AU40" s="709">
        <v>8898</v>
      </c>
      <c r="AV40" s="1809">
        <v>8967</v>
      </c>
      <c r="AW40" s="703">
        <f t="shared" si="37"/>
        <v>8967</v>
      </c>
      <c r="AX40" s="711"/>
      <c r="AY40" s="1555">
        <v>8957</v>
      </c>
      <c r="AZ40" s="1554">
        <v>9000</v>
      </c>
      <c r="BA40" s="1554">
        <v>9029</v>
      </c>
      <c r="BB40" s="1809">
        <v>9045</v>
      </c>
      <c r="BC40" s="703">
        <f t="shared" si="38"/>
        <v>9045</v>
      </c>
      <c r="BD40" s="711"/>
      <c r="BE40" s="1555">
        <v>9085</v>
      </c>
      <c r="BF40" s="1554">
        <v>9103</v>
      </c>
      <c r="BG40" s="1554">
        <v>9144</v>
      </c>
      <c r="BH40" s="1554">
        <v>9159</v>
      </c>
      <c r="BI40" s="703">
        <f t="shared" si="39"/>
        <v>9159</v>
      </c>
      <c r="BJ40" s="711"/>
      <c r="BK40" s="1555">
        <v>5236</v>
      </c>
      <c r="BL40" s="1554">
        <v>5239</v>
      </c>
      <c r="BM40" s="1554">
        <v>5282</v>
      </c>
      <c r="BN40" s="1554">
        <v>5301</v>
      </c>
      <c r="BO40" s="703">
        <f>BN40</f>
        <v>5301</v>
      </c>
      <c r="BP40" s="711"/>
      <c r="BQ40" s="1555">
        <v>5320</v>
      </c>
      <c r="BR40" s="709">
        <f>BQ40+CF!BR13+CF!BR52</f>
        <v>5335.6402985837785</v>
      </c>
      <c r="BS40" s="709">
        <f>BR40+CF!BS13+CF!BS52</f>
        <v>5351.253673572618</v>
      </c>
      <c r="BT40" s="709">
        <f>BS40+CF!BT13+CF!BT52</f>
        <v>5367.3893360557176</v>
      </c>
      <c r="BU40" s="703">
        <f>BT40</f>
        <v>5367.3893360557176</v>
      </c>
      <c r="BV40" s="711"/>
      <c r="BW40" s="708">
        <f>BT40+CF!BW13+CF!BW52</f>
        <v>5405.5954721004728</v>
      </c>
      <c r="BX40" s="709">
        <f>BW40+CF!BX13+CF!BX52</f>
        <v>5426.2423066648498</v>
      </c>
      <c r="BY40" s="709">
        <f>BX40+CF!BY13+CF!BY52</f>
        <v>5447.0606722409448</v>
      </c>
      <c r="BZ40" s="709">
        <f>BY40+CF!BZ13+CF!BZ52</f>
        <v>5468.3929986994053</v>
      </c>
      <c r="CA40" s="703">
        <f>BZ40</f>
        <v>5468.3929986994053</v>
      </c>
      <c r="CB40" s="750"/>
      <c r="CC40" s="708">
        <f>BZ40+CF!CC13+CF!CC52</f>
        <v>5506.9409303374377</v>
      </c>
      <c r="CD40" s="709">
        <f>CC40+CF!CD13+CF!CD52</f>
        <v>5527.041529838355</v>
      </c>
      <c r="CE40" s="709">
        <f>CD40+CF!CE13+CF!CE52</f>
        <v>5547.4689034632011</v>
      </c>
      <c r="CF40" s="709">
        <f>CE40+CF!CF13+CF!CF52</f>
        <v>5568.376014698405</v>
      </c>
      <c r="CG40" s="703">
        <f>CF40</f>
        <v>5568.376014698405</v>
      </c>
      <c r="CH40" s="713"/>
      <c r="CI40" s="708">
        <f>CF40+CF!CI13+CF!CI52</f>
        <v>5607.7581483509939</v>
      </c>
      <c r="CJ40" s="709">
        <f>CI40+CF!CJ13+CF!CJ52</f>
        <v>5627.7179706332117</v>
      </c>
      <c r="CK40" s="709">
        <f>CJ40+CF!CK13+CF!CK52</f>
        <v>5648.205644439071</v>
      </c>
      <c r="CL40" s="709">
        <f>CK40+CF!CL13+CF!CL52</f>
        <v>5669.1227656908623</v>
      </c>
      <c r="CM40" s="703">
        <f>CL40</f>
        <v>5669.1227656908623</v>
      </c>
      <c r="CN40" s="204"/>
      <c r="CO40" s="204"/>
      <c r="CP40" s="64"/>
    </row>
    <row r="41" spans="1:94">
      <c r="A41" s="1841" t="s">
        <v>285</v>
      </c>
      <c r="B41" s="707"/>
      <c r="C41" s="1706">
        <f>C23-C36-SUM(C38,C39,C40,C42,C44)-C37</f>
        <v>1060.5628499488971</v>
      </c>
      <c r="D41" s="1705">
        <f>D23-D36-SUM(D38,D39,D40,D42,D44)-D37</f>
        <v>1285.5770004480169</v>
      </c>
      <c r="E41" s="1705">
        <f>E23-E36-SUM(E38,E39,E40,E42,E44)-E37</f>
        <v>1316.1278948439849</v>
      </c>
      <c r="F41" s="1705">
        <f>F23-F36-SUM(F38,F39,F40,F42,F44)-F37</f>
        <v>1773.9874342112685</v>
      </c>
      <c r="G41" s="703">
        <f t="shared" si="30"/>
        <v>1773.9874342112685</v>
      </c>
      <c r="H41" s="711"/>
      <c r="I41" s="1706">
        <f>I23-I36-SUM(I38,I39,I40,I42,I44)-I37</f>
        <v>1363.0245447360608</v>
      </c>
      <c r="J41" s="1705">
        <f>J23-J36-SUM(J38,J39,J40,J42,J44)-J37</f>
        <v>1639.9184434473427</v>
      </c>
      <c r="K41" s="1705">
        <f>K23-K36-SUM(K38,K39,K40,K42,K44)-K37</f>
        <v>1753.0879377993401</v>
      </c>
      <c r="L41" s="1705">
        <f>L23-L36-SUM(L38,L39,L40,L42,L44)-L37</f>
        <v>2132.466407063082</v>
      </c>
      <c r="M41" s="703">
        <f t="shared" si="31"/>
        <v>2132.466407063082</v>
      </c>
      <c r="N41" s="707"/>
      <c r="O41" s="1706">
        <f>O23-O36-SUM(O38,O39,O40,O42,O44)-O37</f>
        <v>1714.1838343979871</v>
      </c>
      <c r="P41" s="1705">
        <f>P23-P36-SUM(P38,P39,P40,P42,P44)-P37</f>
        <v>1755.7587315071128</v>
      </c>
      <c r="Q41" s="1705">
        <f>Q23-Q36-SUM(Q38,Q39,Q40,Q42,Q44)-Q37</f>
        <v>1725.7741194586902</v>
      </c>
      <c r="R41" s="1705">
        <f>R23-R36-SUM(R38,R39,R40,R42,R44)-R37</f>
        <v>1805.1141481525192</v>
      </c>
      <c r="S41" s="703">
        <f t="shared" si="32"/>
        <v>1805.1141481525192</v>
      </c>
      <c r="T41" s="711"/>
      <c r="U41" s="1706">
        <f>U23-U36-SUM(U38,U39,U40,U42,U44)-U37</f>
        <v>1806.2075471553972</v>
      </c>
      <c r="V41" s="1705">
        <f>V23-V36-SUM(V38,V39,V40,V42,V44)-V37</f>
        <v>2018.7283161777923</v>
      </c>
      <c r="W41" s="1705">
        <f>W23-W36-SUM(W38,W39,W40,W42,W44)-W37</f>
        <v>2080.346440114814</v>
      </c>
      <c r="X41" s="1705">
        <f>X23-X36-SUM(X38,X39,X40,X42,X44)-X37</f>
        <v>2492.2757626697148</v>
      </c>
      <c r="Y41" s="703">
        <f t="shared" si="33"/>
        <v>2492.2757626697148</v>
      </c>
      <c r="Z41" s="711"/>
      <c r="AA41" s="1706">
        <f>AA23-AA36-SUM(AA38,AA39,AA40,AA42,AA44)-AA37</f>
        <v>2511.9865375147788</v>
      </c>
      <c r="AB41" s="1705">
        <f>AB23-AB36-SUM(AB38,AB39,AB40,AB42,AB44)-AB37</f>
        <v>2929.9225519865308</v>
      </c>
      <c r="AC41" s="1705">
        <f>AC23-AC36-SUM(AC38,AC39,AC40,AC42,AC44)-AC37</f>
        <v>3120.6520548647673</v>
      </c>
      <c r="AD41" s="1705">
        <f>AD23-AD36-SUM(AD38,AD39,AD40,AD42,AD44)-AD37</f>
        <v>3509.1843419876814</v>
      </c>
      <c r="AE41" s="703">
        <f t="shared" si="34"/>
        <v>3509.1843419876814</v>
      </c>
      <c r="AF41" s="711"/>
      <c r="AG41" s="1706">
        <f>AG23-AG36-SUM(AG38,AG39,AG40,AG42,AG44)-AG37</f>
        <v>3442.0902446922491</v>
      </c>
      <c r="AH41" s="1705">
        <f>AH23-AH36-SUM(AH38,AH39,AH40,AH42,AH44)-AH37</f>
        <v>3760.619752765514</v>
      </c>
      <c r="AI41" s="1705">
        <f>AI23-AI36-SUM(AI38,AI39,AI40,AI42,AI44)-AI37</f>
        <v>3884.2064252592741</v>
      </c>
      <c r="AJ41" s="1705">
        <v>4301</v>
      </c>
      <c r="AK41" s="703">
        <f t="shared" si="35"/>
        <v>4301</v>
      </c>
      <c r="AL41" s="711"/>
      <c r="AM41" s="1706">
        <f>AM23-AM36-SUM(AM38,AM39,AM40,AM42,AM44)-AM37</f>
        <v>4351.1748666614594</v>
      </c>
      <c r="AN41" s="1705">
        <f>AN23-AN36-SUM(AN38,AN39,AN40,AN42,AN44)-AN37</f>
        <v>4551.2314270401685</v>
      </c>
      <c r="AO41" s="1705">
        <f>AO23-AO36-SUM(AO38,AO39,AO40,AO42,AO44)-AO37</f>
        <v>4604.571859603634</v>
      </c>
      <c r="AP41" s="1705">
        <v>4859</v>
      </c>
      <c r="AQ41" s="703">
        <f t="shared" si="36"/>
        <v>4859</v>
      </c>
      <c r="AR41" s="711"/>
      <c r="AS41" s="1706">
        <v>5107</v>
      </c>
      <c r="AT41" s="709">
        <f>AT23-AT36-SUM(AT38,AT39,AT40,AT42,AT44)-AT37</f>
        <v>5139</v>
      </c>
      <c r="AU41" s="709">
        <f>AU23-AU36-SUM(AU38,AU39,AU40,AU42,AU44)-AU37</f>
        <v>5169</v>
      </c>
      <c r="AV41" s="1809">
        <v>6466</v>
      </c>
      <c r="AW41" s="703">
        <f t="shared" si="37"/>
        <v>6466</v>
      </c>
      <c r="AX41" s="711"/>
      <c r="AY41" s="1555">
        <v>5348</v>
      </c>
      <c r="AZ41" s="1554">
        <v>5397</v>
      </c>
      <c r="BA41" s="1554">
        <v>5474</v>
      </c>
      <c r="BB41" s="1809">
        <v>5581</v>
      </c>
      <c r="BC41" s="703">
        <f t="shared" si="38"/>
        <v>5581</v>
      </c>
      <c r="BD41" s="711"/>
      <c r="BE41" s="1555">
        <v>5666</v>
      </c>
      <c r="BF41" s="1554">
        <v>5720</v>
      </c>
      <c r="BG41" s="1554">
        <v>6000</v>
      </c>
      <c r="BH41" s="1554">
        <v>6089</v>
      </c>
      <c r="BI41" s="703">
        <f t="shared" si="39"/>
        <v>6089</v>
      </c>
      <c r="BJ41" s="711"/>
      <c r="BK41" s="1555">
        <v>-453</v>
      </c>
      <c r="BL41" s="1554">
        <v>-477</v>
      </c>
      <c r="BM41" s="1554">
        <v>-260</v>
      </c>
      <c r="BN41" s="1554">
        <v>-126</v>
      </c>
      <c r="BO41" s="703">
        <f>BN41</f>
        <v>-126</v>
      </c>
      <c r="BP41" s="711"/>
      <c r="BQ41" s="1555">
        <v>-529</v>
      </c>
      <c r="BR41" s="709">
        <f>BQ41+CF!BR11+CF!BR54</f>
        <v>-360.71204869630844</v>
      </c>
      <c r="BS41" s="709">
        <f>BR41+CF!BS11+CF!BS54</f>
        <v>-200.35759158979545</v>
      </c>
      <c r="BT41" s="709">
        <f>BS41+CF!BT11+CF!BT54</f>
        <v>-10.487868927695303</v>
      </c>
      <c r="BU41" s="703">
        <f>BT41</f>
        <v>-10.487868927695303</v>
      </c>
      <c r="BV41" s="711"/>
      <c r="BW41" s="708">
        <f>BT41+CF!BW11+CF!BW54</f>
        <v>164.43277167519821</v>
      </c>
      <c r="BX41" s="709">
        <f>BW41+CF!BX11+CF!BX54</f>
        <v>359.08496487531045</v>
      </c>
      <c r="BY41" s="709">
        <f>BX41+CF!BY11+CF!BY54</f>
        <v>547.78479734561301</v>
      </c>
      <c r="BZ41" s="709">
        <f>BY41+CF!BZ11+CF!BZ54</f>
        <v>769.20951371679632</v>
      </c>
      <c r="CA41" s="703">
        <f>BZ41</f>
        <v>769.20951371679632</v>
      </c>
      <c r="CB41" s="750"/>
      <c r="CC41" s="708">
        <f>BZ41+CF!CC11+CF!CC54</f>
        <v>970.9877620648648</v>
      </c>
      <c r="CD41" s="709">
        <f>CC41+CF!CD11+CF!CD54</f>
        <v>1261.7214169064541</v>
      </c>
      <c r="CE41" s="709">
        <f>CD41+CF!CE11+CF!CE54</f>
        <v>1551.1057584408275</v>
      </c>
      <c r="CF41" s="709">
        <f>CE41+CF!CF11+CF!CF54</f>
        <v>1880.1985900705772</v>
      </c>
      <c r="CG41" s="703">
        <f>CF41</f>
        <v>1880.1985900705772</v>
      </c>
      <c r="CH41" s="713"/>
      <c r="CI41" s="708">
        <f>CF41+CF!CI11+CF!CI54</f>
        <v>2185.202799884597</v>
      </c>
      <c r="CJ41" s="709">
        <f>CI41+CF!CJ11+CF!CJ54</f>
        <v>2438.3375351190416</v>
      </c>
      <c r="CK41" s="709">
        <f>CJ41+CF!CK11+CF!CK54</f>
        <v>2687.1994680468115</v>
      </c>
      <c r="CL41" s="709">
        <f>CK41+CF!CL11+CF!CL54</f>
        <v>2973.4697414246921</v>
      </c>
      <c r="CM41" s="703">
        <f>CL41</f>
        <v>2973.4697414246921</v>
      </c>
      <c r="CN41" s="204"/>
      <c r="CO41" s="204"/>
      <c r="CP41" s="64"/>
    </row>
    <row r="42" spans="1:94">
      <c r="A42" s="1841" t="s">
        <v>286</v>
      </c>
      <c r="B42" s="707"/>
      <c r="C42" s="708">
        <v>10.5</v>
      </c>
      <c r="D42" s="709">
        <v>37</v>
      </c>
      <c r="E42" s="709">
        <v>38.5</v>
      </c>
      <c r="F42" s="709">
        <v>204</v>
      </c>
      <c r="G42" s="703">
        <f t="shared" si="30"/>
        <v>204</v>
      </c>
      <c r="H42" s="707"/>
      <c r="I42" s="708">
        <v>219.5</v>
      </c>
      <c r="J42" s="709">
        <v>238.5</v>
      </c>
      <c r="K42" s="709">
        <v>227.5</v>
      </c>
      <c r="L42" s="709">
        <v>-89</v>
      </c>
      <c r="M42" s="703">
        <f t="shared" si="31"/>
        <v>-89</v>
      </c>
      <c r="N42" s="707"/>
      <c r="O42" s="708">
        <v>-77</v>
      </c>
      <c r="P42" s="709">
        <v>-94</v>
      </c>
      <c r="Q42" s="709">
        <v>-70.5</v>
      </c>
      <c r="R42" s="709">
        <v>-92.5</v>
      </c>
      <c r="S42" s="703">
        <f t="shared" si="32"/>
        <v>-92.5</v>
      </c>
      <c r="T42" s="711"/>
      <c r="U42" s="708">
        <v>-100.5</v>
      </c>
      <c r="V42" s="709">
        <v>-119.5</v>
      </c>
      <c r="W42" s="709">
        <v>-112.5</v>
      </c>
      <c r="X42" s="709">
        <v>-44</v>
      </c>
      <c r="Y42" s="703">
        <f t="shared" si="33"/>
        <v>-44</v>
      </c>
      <c r="Z42" s="711"/>
      <c r="AA42" s="708">
        <v>-31.5</v>
      </c>
      <c r="AB42" s="709">
        <v>139</v>
      </c>
      <c r="AC42" s="709">
        <v>135.5</v>
      </c>
      <c r="AD42" s="709">
        <v>58</v>
      </c>
      <c r="AE42" s="703">
        <f t="shared" si="34"/>
        <v>58</v>
      </c>
      <c r="AF42" s="711"/>
      <c r="AG42" s="708">
        <v>166.16216216216216</v>
      </c>
      <c r="AH42" s="709">
        <v>129.87387387387389</v>
      </c>
      <c r="AI42" s="709">
        <v>-66.846846846846844</v>
      </c>
      <c r="AJ42" s="1705">
        <v>-212</v>
      </c>
      <c r="AK42" s="703">
        <f t="shared" si="35"/>
        <v>-212</v>
      </c>
      <c r="AL42" s="711"/>
      <c r="AM42" s="708">
        <v>-27.032967032967033</v>
      </c>
      <c r="AN42" s="709">
        <v>-95.604395604395606</v>
      </c>
      <c r="AO42" s="709">
        <v>-114.06593406593406</v>
      </c>
      <c r="AP42" s="1705">
        <v>60</v>
      </c>
      <c r="AQ42" s="703">
        <f t="shared" si="36"/>
        <v>60</v>
      </c>
      <c r="AR42" s="711"/>
      <c r="AS42" s="1706">
        <v>19</v>
      </c>
      <c r="AT42" s="709">
        <v>112</v>
      </c>
      <c r="AU42" s="709">
        <v>30</v>
      </c>
      <c r="AV42" s="1809">
        <v>-334</v>
      </c>
      <c r="AW42" s="703">
        <f t="shared" si="37"/>
        <v>-334</v>
      </c>
      <c r="AX42" s="711"/>
      <c r="AY42" s="1555">
        <v>-261</v>
      </c>
      <c r="AZ42" s="1554">
        <v>-270</v>
      </c>
      <c r="BA42" s="1554">
        <v>-332</v>
      </c>
      <c r="BB42" s="1809">
        <v>-391</v>
      </c>
      <c r="BC42" s="703">
        <f t="shared" si="38"/>
        <v>-391</v>
      </c>
      <c r="BD42" s="711"/>
      <c r="BE42" s="1555">
        <v>-438</v>
      </c>
      <c r="BF42" s="1554">
        <v>-299</v>
      </c>
      <c r="BG42" s="1554">
        <v>-345</v>
      </c>
      <c r="BH42" s="1554">
        <v>-503</v>
      </c>
      <c r="BI42" s="703">
        <f t="shared" si="39"/>
        <v>-503</v>
      </c>
      <c r="BJ42" s="711"/>
      <c r="BK42" s="1555">
        <v>-489</v>
      </c>
      <c r="BL42" s="1554">
        <v>-393</v>
      </c>
      <c r="BM42" s="1554">
        <v>-417</v>
      </c>
      <c r="BN42" s="1554">
        <v>-352</v>
      </c>
      <c r="BO42" s="703">
        <f>BN42</f>
        <v>-352</v>
      </c>
      <c r="BP42" s="711"/>
      <c r="BQ42" s="1555">
        <v>-269</v>
      </c>
      <c r="BR42" s="709">
        <f>BQ42+CF!BR69</f>
        <v>-269</v>
      </c>
      <c r="BS42" s="709">
        <f>BR42+CF!BS69</f>
        <v>-269</v>
      </c>
      <c r="BT42" s="709">
        <f>BS42+CF!BT69</f>
        <v>-269</v>
      </c>
      <c r="BU42" s="703">
        <f>BT42</f>
        <v>-269</v>
      </c>
      <c r="BV42" s="711"/>
      <c r="BW42" s="708">
        <f>BT42+CF!BW69</f>
        <v>-269</v>
      </c>
      <c r="BX42" s="709">
        <f>BW42+CF!BX69</f>
        <v>-269</v>
      </c>
      <c r="BY42" s="709">
        <f>BX42+CF!BY69</f>
        <v>-269</v>
      </c>
      <c r="BZ42" s="709">
        <f>BY42+CF!BZ69</f>
        <v>-269</v>
      </c>
      <c r="CA42" s="703">
        <f>BZ42</f>
        <v>-269</v>
      </c>
      <c r="CB42" s="750"/>
      <c r="CC42" s="708">
        <f>BZ42+CF!CC69</f>
        <v>-269</v>
      </c>
      <c r="CD42" s="709">
        <f>CC42+CF!CD69</f>
        <v>-269</v>
      </c>
      <c r="CE42" s="709">
        <f>CD42+CF!CE69</f>
        <v>-269</v>
      </c>
      <c r="CF42" s="709">
        <f>CE42+CF!CF69</f>
        <v>-269</v>
      </c>
      <c r="CG42" s="703">
        <f>CF42</f>
        <v>-269</v>
      </c>
      <c r="CH42" s="713"/>
      <c r="CI42" s="708">
        <f>CF42+CF!CI69</f>
        <v>-269</v>
      </c>
      <c r="CJ42" s="709">
        <f>CI42+CF!CJ69</f>
        <v>-269</v>
      </c>
      <c r="CK42" s="709">
        <f>CJ42+CF!CK69</f>
        <v>-269</v>
      </c>
      <c r="CL42" s="709">
        <f>CK42+CF!CL69</f>
        <v>-269</v>
      </c>
      <c r="CM42" s="703">
        <f>CL42</f>
        <v>-269</v>
      </c>
      <c r="CN42" s="204"/>
      <c r="CO42" s="204"/>
      <c r="CP42" s="64"/>
    </row>
    <row r="43" spans="1:94">
      <c r="A43" s="1842" t="s">
        <v>287</v>
      </c>
      <c r="B43" s="714"/>
      <c r="C43" s="715">
        <f>SUM(C37:C42)</f>
        <v>3023.0628499488971</v>
      </c>
      <c r="D43" s="716">
        <f>SUM(D37:D42)</f>
        <v>2996.5770004480169</v>
      </c>
      <c r="E43" s="716">
        <f>SUM(E37:E42)</f>
        <v>2573.6278948439849</v>
      </c>
      <c r="F43" s="716">
        <f>SUM(F37:F42)</f>
        <v>2631.9874342112685</v>
      </c>
      <c r="G43" s="717">
        <f>SUM(G37:G42)</f>
        <v>2631.9874342112685</v>
      </c>
      <c r="H43" s="714"/>
      <c r="I43" s="715">
        <f>SUM(I38:I42)</f>
        <v>2098.5245447360608</v>
      </c>
      <c r="J43" s="716">
        <f>SUM(J38:J42)</f>
        <v>2166.4184434473427</v>
      </c>
      <c r="K43" s="716">
        <f>SUM(K38:K42)</f>
        <v>2150.5879377993401</v>
      </c>
      <c r="L43" s="716">
        <f>SUM(L38:L42)</f>
        <v>1989.466407063082</v>
      </c>
      <c r="M43" s="717">
        <f>SUM(M38:M42)</f>
        <v>1989.466407063082</v>
      </c>
      <c r="N43" s="714"/>
      <c r="O43" s="715">
        <f>SUM(O38:O42)</f>
        <v>1507.1838343979871</v>
      </c>
      <c r="P43" s="716">
        <f>SUM(P38:P42)</f>
        <v>1514.7587315071128</v>
      </c>
      <c r="Q43" s="716">
        <f>SUM(Q38:Q42)</f>
        <v>1550.2741194586902</v>
      </c>
      <c r="R43" s="716">
        <f>SUM(R38:R42)</f>
        <v>1643.6141481525192</v>
      </c>
      <c r="S43" s="717">
        <f>SUM(S38:S42)</f>
        <v>1643.6141481525192</v>
      </c>
      <c r="T43" s="718"/>
      <c r="U43" s="715">
        <f>SUM(U38:U42)</f>
        <v>1657.7075471553972</v>
      </c>
      <c r="V43" s="716">
        <f>SUM(V38:V42)</f>
        <v>1815.2283161777923</v>
      </c>
      <c r="W43" s="716">
        <f>SUM(W38:W42)</f>
        <v>1842.846440114814</v>
      </c>
      <c r="X43" s="716">
        <f>SUM(X38:X42)</f>
        <v>2320.2757626697148</v>
      </c>
      <c r="Y43" s="717">
        <f>SUM(Y38:Y42)</f>
        <v>2320.2757626697148</v>
      </c>
      <c r="Z43" s="718"/>
      <c r="AA43" s="715">
        <f>SUM(AA38:AA42)</f>
        <v>2238.4865375147788</v>
      </c>
      <c r="AB43" s="716">
        <f>SUM(AB38:AB42)</f>
        <v>2906.9225519865308</v>
      </c>
      <c r="AC43" s="716">
        <f>SUM(AC38:AC42)</f>
        <v>3010.1520548647673</v>
      </c>
      <c r="AD43" s="716">
        <f>SUM(AD38:AD42)</f>
        <v>3303.1843419876814</v>
      </c>
      <c r="AE43" s="717">
        <f>SUM(AE38:AE42)</f>
        <v>3303.1843419876814</v>
      </c>
      <c r="AF43" s="718"/>
      <c r="AG43" s="715">
        <f>SUM(AG38:AG42)</f>
        <v>3366.2524068544112</v>
      </c>
      <c r="AH43" s="716">
        <f>SUM(AH38:AH42)</f>
        <v>3638.4936266393879</v>
      </c>
      <c r="AI43" s="716">
        <f>SUM(AI38:AI42)</f>
        <v>3608.3595784124273</v>
      </c>
      <c r="AJ43" s="716">
        <f>SUM(AJ38:AJ42)</f>
        <v>3877</v>
      </c>
      <c r="AK43" s="717">
        <f>SUM(AK38:AK42)</f>
        <v>3877</v>
      </c>
      <c r="AL43" s="718"/>
      <c r="AM43" s="715">
        <f>SUM(AM38:AM42)</f>
        <v>4106.141899628492</v>
      </c>
      <c r="AN43" s="719">
        <f>SUM(AN38:AN42)</f>
        <v>4131.6270314357726</v>
      </c>
      <c r="AO43" s="719">
        <f>SUM(AO38:AO42)</f>
        <v>3549.5059255377</v>
      </c>
      <c r="AP43" s="716">
        <f>SUM(AP38:AP42)</f>
        <v>4041</v>
      </c>
      <c r="AQ43" s="717">
        <f>SUM(AQ38:AQ42)</f>
        <v>4041</v>
      </c>
      <c r="AR43" s="718"/>
      <c r="AS43" s="715">
        <f>SUM(AS38:AS42)</f>
        <v>4245</v>
      </c>
      <c r="AT43" s="719">
        <f>SUM(AT38:AT42)</f>
        <v>4361</v>
      </c>
      <c r="AU43" s="719">
        <f>SUM(AU38:AU42)</f>
        <v>4296</v>
      </c>
      <c r="AV43" s="719">
        <f>SUM(AV38:AV42)</f>
        <v>5298</v>
      </c>
      <c r="AW43" s="717">
        <f>SUM(AW38:AW42)</f>
        <v>5298</v>
      </c>
      <c r="AX43" s="718"/>
      <c r="AY43" s="720">
        <f>SUM(AY38:AY42)</f>
        <v>4237</v>
      </c>
      <c r="AZ43" s="719">
        <f>SUM(AZ38:AZ42)</f>
        <v>4158</v>
      </c>
      <c r="BA43" s="719">
        <f>SUM(BA38:BA42)</f>
        <v>4103</v>
      </c>
      <c r="BB43" s="719">
        <f>SUM(BB38:BB42)</f>
        <v>4167</v>
      </c>
      <c r="BC43" s="717">
        <f>SUM(BC38:BC42)</f>
        <v>4167</v>
      </c>
      <c r="BD43" s="718"/>
      <c r="BE43" s="720">
        <f>SUM(BE38:BE42)</f>
        <v>4045</v>
      </c>
      <c r="BF43" s="719">
        <f>SUM(BF38:BF42)</f>
        <v>4162</v>
      </c>
      <c r="BG43" s="719">
        <f>SUM(BG38:BG42)</f>
        <v>4343</v>
      </c>
      <c r="BH43" s="719">
        <f>SUM(BH38:BH42)</f>
        <v>4243</v>
      </c>
      <c r="BI43" s="717">
        <f>SUM(BI38:BI42)</f>
        <v>4243</v>
      </c>
      <c r="BJ43" s="718"/>
      <c r="BK43" s="720">
        <f>SUM(BK38:BK42)</f>
        <v>4297</v>
      </c>
      <c r="BL43" s="719">
        <f>SUM(BL38:BL42)</f>
        <v>4372</v>
      </c>
      <c r="BM43" s="719">
        <f>SUM(BM38:BM42)</f>
        <v>4608</v>
      </c>
      <c r="BN43" s="719">
        <f>SUM(BN38:BN42)</f>
        <v>4826</v>
      </c>
      <c r="BO43" s="717">
        <f>SUM(BO38:BO42)</f>
        <v>4826</v>
      </c>
      <c r="BP43" s="718"/>
      <c r="BQ43" s="720">
        <f>SUM(BQ38:BQ42)</f>
        <v>4522</v>
      </c>
      <c r="BR43" s="719">
        <f>SUM(BR38:BR42)</f>
        <v>4594.92824988747</v>
      </c>
      <c r="BS43" s="719">
        <f>SUM(BS38:BS42)</f>
        <v>4659.8960819828226</v>
      </c>
      <c r="BT43" s="719">
        <f>SUM(BT38:BT42)</f>
        <v>4754.901467128022</v>
      </c>
      <c r="BU43" s="717">
        <f>SUM(BU38:BU42)</f>
        <v>4754.901467128022</v>
      </c>
      <c r="BV43" s="718"/>
      <c r="BW43" s="720">
        <f>SUM(BW38:BW42)</f>
        <v>4860.5282437756714</v>
      </c>
      <c r="BX43" s="719">
        <f>SUM(BX38:BX42)</f>
        <v>4968.3272715401599</v>
      </c>
      <c r="BY43" s="719">
        <f>SUM(BY38:BY42)</f>
        <v>5070.3454695865576</v>
      </c>
      <c r="BZ43" s="719">
        <f>SUM(BZ38:BZ42)</f>
        <v>5205.6025124162015</v>
      </c>
      <c r="CA43" s="717">
        <f>SUM(CA38:CA42)</f>
        <v>5205.6025124162015</v>
      </c>
      <c r="CB43" s="732"/>
      <c r="CC43" s="720">
        <f>SUM(CC38:CC42)</f>
        <v>5338.4286924023027</v>
      </c>
      <c r="CD43" s="719">
        <f>SUM(CD38:CD42)</f>
        <v>5541.7629467448096</v>
      </c>
      <c r="CE43" s="719">
        <f>SUM(CE38:CE42)</f>
        <v>5744.0746619040283</v>
      </c>
      <c r="CF43" s="719">
        <f>SUM(CF38:CF42)</f>
        <v>5986.5746047689827</v>
      </c>
      <c r="CG43" s="717">
        <f>SUM(CG38:CG42)</f>
        <v>5986.5746047689827</v>
      </c>
      <c r="CH43" s="721"/>
      <c r="CI43" s="720">
        <f>SUM(CI38:CI42)</f>
        <v>6223.4609482355909</v>
      </c>
      <c r="CJ43" s="719">
        <f>SUM(CJ38:CJ42)</f>
        <v>6389.0555057522533</v>
      </c>
      <c r="CK43" s="719">
        <f>SUM(CK38:CK42)</f>
        <v>6550.9051124858825</v>
      </c>
      <c r="CL43" s="719">
        <f>SUM(CL38:CL42)</f>
        <v>6750.5925071155543</v>
      </c>
      <c r="CM43" s="717">
        <f>SUM(CM38:CM42)</f>
        <v>6750.5925071155543</v>
      </c>
      <c r="CN43" s="204"/>
      <c r="CO43" s="204"/>
      <c r="CP43" s="89"/>
    </row>
    <row r="44" spans="1:94">
      <c r="A44" s="1841" t="s">
        <v>288</v>
      </c>
      <c r="B44" s="707"/>
      <c r="C44" s="1706">
        <v>0</v>
      </c>
      <c r="D44" s="1705">
        <v>0</v>
      </c>
      <c r="E44" s="1705">
        <v>0</v>
      </c>
      <c r="F44" s="1705">
        <v>0</v>
      </c>
      <c r="G44" s="703">
        <f>F44</f>
        <v>0</v>
      </c>
      <c r="H44" s="711"/>
      <c r="I44" s="1707">
        <v>0</v>
      </c>
      <c r="J44" s="1705">
        <v>0</v>
      </c>
      <c r="K44" s="1705">
        <v>0</v>
      </c>
      <c r="L44" s="1705">
        <v>0</v>
      </c>
      <c r="M44" s="703">
        <f>L44</f>
        <v>0</v>
      </c>
      <c r="N44" s="707"/>
      <c r="O44" s="1706">
        <v>0</v>
      </c>
      <c r="P44" s="1705">
        <v>0</v>
      </c>
      <c r="Q44" s="1705">
        <v>0</v>
      </c>
      <c r="R44" s="1705">
        <v>8</v>
      </c>
      <c r="S44" s="703">
        <f>R44</f>
        <v>8</v>
      </c>
      <c r="T44" s="711"/>
      <c r="U44" s="1706">
        <v>8</v>
      </c>
      <c r="V44" s="1705">
        <v>8</v>
      </c>
      <c r="W44" s="1705">
        <v>8</v>
      </c>
      <c r="X44" s="1705">
        <v>8</v>
      </c>
      <c r="Y44" s="703">
        <f>X44</f>
        <v>8</v>
      </c>
      <c r="Z44" s="711"/>
      <c r="AA44" s="1706">
        <v>7</v>
      </c>
      <c r="AB44" s="1705">
        <v>8</v>
      </c>
      <c r="AC44" s="1705">
        <v>8</v>
      </c>
      <c r="AD44" s="1705">
        <v>8</v>
      </c>
      <c r="AE44" s="703">
        <f>AD44</f>
        <v>8</v>
      </c>
      <c r="AF44" s="711"/>
      <c r="AG44" s="1706">
        <v>3</v>
      </c>
      <c r="AH44" s="1705">
        <v>3</v>
      </c>
      <c r="AI44" s="1705">
        <v>3</v>
      </c>
      <c r="AJ44" s="1705">
        <v>3</v>
      </c>
      <c r="AK44" s="703">
        <f>AJ44</f>
        <v>3</v>
      </c>
      <c r="AL44" s="711"/>
      <c r="AM44" s="1706">
        <v>3</v>
      </c>
      <c r="AN44" s="1705">
        <v>3</v>
      </c>
      <c r="AO44" s="1705">
        <v>3</v>
      </c>
      <c r="AP44" s="1705">
        <v>3</v>
      </c>
      <c r="AQ44" s="703">
        <f>AP44</f>
        <v>3</v>
      </c>
      <c r="AR44" s="711"/>
      <c r="AS44" s="1706">
        <v>3</v>
      </c>
      <c r="AT44" s="709">
        <v>3</v>
      </c>
      <c r="AU44" s="709">
        <v>3</v>
      </c>
      <c r="AV44" s="1809">
        <v>3</v>
      </c>
      <c r="AW44" s="703">
        <f>AV44</f>
        <v>3</v>
      </c>
      <c r="AX44" s="711"/>
      <c r="AY44" s="1555">
        <v>3</v>
      </c>
      <c r="AZ44" s="1554">
        <v>3</v>
      </c>
      <c r="BA44" s="1554">
        <v>3</v>
      </c>
      <c r="BB44" s="1809">
        <v>3</v>
      </c>
      <c r="BC44" s="703">
        <f>BB44</f>
        <v>3</v>
      </c>
      <c r="BD44" s="711"/>
      <c r="BE44" s="1555">
        <v>3</v>
      </c>
      <c r="BF44" s="1554">
        <v>3</v>
      </c>
      <c r="BG44" s="1554">
        <v>3</v>
      </c>
      <c r="BH44" s="1554">
        <v>3</v>
      </c>
      <c r="BI44" s="703">
        <f>BH44</f>
        <v>3</v>
      </c>
      <c r="BJ44" s="711"/>
      <c r="BK44" s="1555">
        <v>3</v>
      </c>
      <c r="BL44" s="1554">
        <v>3</v>
      </c>
      <c r="BM44" s="1554">
        <v>3</v>
      </c>
      <c r="BN44" s="1554">
        <v>4</v>
      </c>
      <c r="BO44" s="703">
        <f>BN44</f>
        <v>4</v>
      </c>
      <c r="BP44" s="711"/>
      <c r="BQ44" s="1555">
        <v>4</v>
      </c>
      <c r="BR44" s="709">
        <f>BQ44+CF!BR63+CF!BR45</f>
        <v>4</v>
      </c>
      <c r="BS44" s="709">
        <f>BR44+CF!BS63+CF!BS45</f>
        <v>4</v>
      </c>
      <c r="BT44" s="709">
        <f>BS44+CF!BT63+CF!BT45</f>
        <v>4</v>
      </c>
      <c r="BU44" s="703">
        <f>BT44</f>
        <v>4</v>
      </c>
      <c r="BV44" s="711"/>
      <c r="BW44" s="708">
        <f>BT44+CF!BW63+CF!BW45</f>
        <v>4</v>
      </c>
      <c r="BX44" s="709">
        <f>BW44+CF!BX63+CF!BX45</f>
        <v>4</v>
      </c>
      <c r="BY44" s="709">
        <f>BX44+CF!BY63+CF!BY45</f>
        <v>4</v>
      </c>
      <c r="BZ44" s="709">
        <f>BY44+CF!BZ63+CF!BZ45</f>
        <v>4</v>
      </c>
      <c r="CA44" s="703">
        <f>BZ44</f>
        <v>4</v>
      </c>
      <c r="CB44" s="750"/>
      <c r="CC44" s="708">
        <f>BZ44+CF!CC63+CF!CC45</f>
        <v>4</v>
      </c>
      <c r="CD44" s="709">
        <f>CC44+CF!CD63+CF!CD45</f>
        <v>4</v>
      </c>
      <c r="CE44" s="709">
        <f>CD44+CF!CE63+CF!CE45</f>
        <v>4</v>
      </c>
      <c r="CF44" s="709">
        <f>CE44+CF!CF63+CF!CF45</f>
        <v>4</v>
      </c>
      <c r="CG44" s="703">
        <f>CF44</f>
        <v>4</v>
      </c>
      <c r="CH44" s="713"/>
      <c r="CI44" s="708">
        <f>CF44+CF!CI63+CF!CI45</f>
        <v>4</v>
      </c>
      <c r="CJ44" s="709">
        <f>CI44+CF!CJ63+CF!CJ45</f>
        <v>4</v>
      </c>
      <c r="CK44" s="709">
        <f>CJ44+CF!CK63+CF!CK45</f>
        <v>4</v>
      </c>
      <c r="CL44" s="709">
        <f>CK44+CF!CL63+CF!CL45</f>
        <v>4</v>
      </c>
      <c r="CM44" s="703">
        <f>CL44</f>
        <v>4</v>
      </c>
      <c r="CN44" s="204"/>
      <c r="CO44" s="204"/>
      <c r="CP44" s="64"/>
    </row>
    <row r="45" spans="1:94">
      <c r="A45" s="1845" t="s">
        <v>289</v>
      </c>
      <c r="B45" s="714"/>
      <c r="C45" s="1931">
        <f>C43+C44</f>
        <v>3023.0628499488971</v>
      </c>
      <c r="D45" s="732">
        <f>D43+D44</f>
        <v>2996.5770004480169</v>
      </c>
      <c r="E45" s="732">
        <f>E43+E44</f>
        <v>2573.6278948439849</v>
      </c>
      <c r="F45" s="732">
        <f>F43+F44</f>
        <v>2631.9874342112685</v>
      </c>
      <c r="G45" s="733">
        <f>G43+G44</f>
        <v>2631.9874342112685</v>
      </c>
      <c r="H45" s="714"/>
      <c r="I45" s="731">
        <f>I43+I44</f>
        <v>2098.5245447360608</v>
      </c>
      <c r="J45" s="732">
        <f>J43+J44</f>
        <v>2166.4184434473427</v>
      </c>
      <c r="K45" s="732">
        <f>K43+K44</f>
        <v>2150.5879377993401</v>
      </c>
      <c r="L45" s="732">
        <f>L43+L44</f>
        <v>1989.466407063082</v>
      </c>
      <c r="M45" s="733">
        <f>M43+M44</f>
        <v>1989.466407063082</v>
      </c>
      <c r="N45" s="714"/>
      <c r="O45" s="731">
        <f>O43+O44</f>
        <v>1507.1838343979871</v>
      </c>
      <c r="P45" s="732">
        <f>P43+P44</f>
        <v>1514.7587315071128</v>
      </c>
      <c r="Q45" s="732">
        <f>Q43+Q44</f>
        <v>1550.2741194586902</v>
      </c>
      <c r="R45" s="732">
        <f>R43+R44</f>
        <v>1651.6141481525192</v>
      </c>
      <c r="S45" s="733">
        <f>S43+S44</f>
        <v>1651.6141481525192</v>
      </c>
      <c r="T45" s="718"/>
      <c r="U45" s="731">
        <f>U43+U44</f>
        <v>1665.7075471553972</v>
      </c>
      <c r="V45" s="732">
        <f>V43+V44</f>
        <v>1823.2283161777923</v>
      </c>
      <c r="W45" s="732">
        <f>W43+W44</f>
        <v>1850.846440114814</v>
      </c>
      <c r="X45" s="732">
        <f>X43+X44</f>
        <v>2328.2757626697148</v>
      </c>
      <c r="Y45" s="733">
        <f>Y43+Y44</f>
        <v>2328.2757626697148</v>
      </c>
      <c r="Z45" s="718"/>
      <c r="AA45" s="731">
        <f>AA43+AA44</f>
        <v>2245.4865375147788</v>
      </c>
      <c r="AB45" s="732">
        <f>AB43+AB44</f>
        <v>2914.9225519865308</v>
      </c>
      <c r="AC45" s="732">
        <f>AC43+AC44</f>
        <v>3018.1520548647673</v>
      </c>
      <c r="AD45" s="732">
        <f>AD43+AD44</f>
        <v>3311.1843419876814</v>
      </c>
      <c r="AE45" s="733">
        <f>AE43+AE44</f>
        <v>3311.1843419876814</v>
      </c>
      <c r="AF45" s="718"/>
      <c r="AG45" s="731">
        <f>AG43+AG44</f>
        <v>3369.2524068544112</v>
      </c>
      <c r="AH45" s="732">
        <f>AH43+AH44</f>
        <v>3641.4936266393879</v>
      </c>
      <c r="AI45" s="732">
        <f>AI43+AI44</f>
        <v>3611.3595784124273</v>
      </c>
      <c r="AJ45" s="732">
        <f>AJ43+AJ44</f>
        <v>3880</v>
      </c>
      <c r="AK45" s="733">
        <f>AK43+AK44</f>
        <v>3880</v>
      </c>
      <c r="AL45" s="718"/>
      <c r="AM45" s="731">
        <f>AM43+AM44</f>
        <v>4109.141899628492</v>
      </c>
      <c r="AN45" s="718">
        <f>AN43+AN44</f>
        <v>4134.6270314357726</v>
      </c>
      <c r="AO45" s="718">
        <f>AO43+AO44</f>
        <v>3552.5059255377</v>
      </c>
      <c r="AP45" s="732">
        <f>AP43+AP44</f>
        <v>4044</v>
      </c>
      <c r="AQ45" s="733">
        <f>AQ43+AQ44</f>
        <v>4044</v>
      </c>
      <c r="AR45" s="718"/>
      <c r="AS45" s="731">
        <f>AS43+AS44</f>
        <v>4248</v>
      </c>
      <c r="AT45" s="718">
        <f>AT43+AT44</f>
        <v>4364</v>
      </c>
      <c r="AU45" s="718">
        <f>AU43+AU44</f>
        <v>4299</v>
      </c>
      <c r="AV45" s="718">
        <f>AV43+AV44</f>
        <v>5301</v>
      </c>
      <c r="AW45" s="733">
        <f>AW43+AW44</f>
        <v>5301</v>
      </c>
      <c r="AX45" s="718"/>
      <c r="AY45" s="734">
        <f>AY43+AY44</f>
        <v>4240</v>
      </c>
      <c r="AZ45" s="718">
        <f>AZ43+AZ44</f>
        <v>4161</v>
      </c>
      <c r="BA45" s="718">
        <f>BA43+BA44</f>
        <v>4106</v>
      </c>
      <c r="BB45" s="718">
        <f>BB43+BB44</f>
        <v>4170</v>
      </c>
      <c r="BC45" s="733">
        <f>BC43+BC44</f>
        <v>4170</v>
      </c>
      <c r="BD45" s="718"/>
      <c r="BE45" s="734">
        <f>BE43+BE44</f>
        <v>4048</v>
      </c>
      <c r="BF45" s="718">
        <f>BF43+BF44</f>
        <v>4165</v>
      </c>
      <c r="BG45" s="718">
        <f>BG43+BG44</f>
        <v>4346</v>
      </c>
      <c r="BH45" s="718">
        <f>BH43+BH44</f>
        <v>4246</v>
      </c>
      <c r="BI45" s="733">
        <f>BI43+BI44</f>
        <v>4246</v>
      </c>
      <c r="BJ45" s="718"/>
      <c r="BK45" s="734">
        <f>BK43+BK44</f>
        <v>4300</v>
      </c>
      <c r="BL45" s="718">
        <f>BL43+BL44</f>
        <v>4375</v>
      </c>
      <c r="BM45" s="718">
        <f>BM43+BM44</f>
        <v>4611</v>
      </c>
      <c r="BN45" s="718">
        <f>BN43+BN44</f>
        <v>4830</v>
      </c>
      <c r="BO45" s="733">
        <f>BO43+BO44</f>
        <v>4830</v>
      </c>
      <c r="BP45" s="718"/>
      <c r="BQ45" s="734">
        <f>BQ43+BQ44</f>
        <v>4526</v>
      </c>
      <c r="BR45" s="718">
        <f>BR43+BR44</f>
        <v>4598.92824988747</v>
      </c>
      <c r="BS45" s="718">
        <f>BS43+BS44</f>
        <v>4663.8960819828226</v>
      </c>
      <c r="BT45" s="718">
        <f>BT43+BT44</f>
        <v>4758.901467128022</v>
      </c>
      <c r="BU45" s="733">
        <f>BU43+BU44</f>
        <v>4758.901467128022</v>
      </c>
      <c r="BV45" s="718"/>
      <c r="BW45" s="734">
        <f>BW43+BW44</f>
        <v>4864.5282437756714</v>
      </c>
      <c r="BX45" s="718">
        <f>BX43+BX44</f>
        <v>4972.3272715401599</v>
      </c>
      <c r="BY45" s="718">
        <f>BY43+BY44</f>
        <v>5074.3454695865576</v>
      </c>
      <c r="BZ45" s="718">
        <f>BZ43+BZ44</f>
        <v>5209.6025124162015</v>
      </c>
      <c r="CA45" s="733">
        <f>CA43+CA44</f>
        <v>5209.6025124162015</v>
      </c>
      <c r="CB45" s="732"/>
      <c r="CC45" s="734">
        <f>CC43+CC44</f>
        <v>5342.4286924023027</v>
      </c>
      <c r="CD45" s="718">
        <f>CD43+CD44</f>
        <v>5545.7629467448096</v>
      </c>
      <c r="CE45" s="718">
        <f>CE43+CE44</f>
        <v>5748.0746619040283</v>
      </c>
      <c r="CF45" s="718">
        <f>CF43+CF44</f>
        <v>5990.5746047689827</v>
      </c>
      <c r="CG45" s="733">
        <f>CG43+CG44</f>
        <v>5990.5746047689827</v>
      </c>
      <c r="CH45" s="721"/>
      <c r="CI45" s="734">
        <f>CI43+CI44</f>
        <v>6227.4609482355909</v>
      </c>
      <c r="CJ45" s="718">
        <f>CJ43+CJ44</f>
        <v>6393.0555057522533</v>
      </c>
      <c r="CK45" s="718">
        <f>CK43+CK44</f>
        <v>6554.9051124858825</v>
      </c>
      <c r="CL45" s="718">
        <f>CL43+CL44</f>
        <v>6754.5925071155543</v>
      </c>
      <c r="CM45" s="733">
        <f>CM43+CM44</f>
        <v>6754.5925071155543</v>
      </c>
      <c r="CN45" s="204"/>
      <c r="CO45" s="204"/>
      <c r="CP45" s="89"/>
    </row>
    <row r="46" spans="1:94" ht="13.5" customHeight="1">
      <c r="A46" s="1842" t="s">
        <v>290</v>
      </c>
      <c r="B46" s="714"/>
      <c r="C46" s="715">
        <f>+C36+C45</f>
        <v>5297.1316282155221</v>
      </c>
      <c r="D46" s="716">
        <f>+D36+D45</f>
        <v>5259.665604402031</v>
      </c>
      <c r="E46" s="716">
        <f>+E36+E45</f>
        <v>4893.760623439749</v>
      </c>
      <c r="F46" s="716">
        <f>+F36+F45</f>
        <v>5579.1505544880019</v>
      </c>
      <c r="G46" s="717">
        <f>+G36+G45</f>
        <v>5579.1505544880019</v>
      </c>
      <c r="H46" s="714"/>
      <c r="I46" s="715">
        <f>+I36+I45</f>
        <v>5411.163819961007</v>
      </c>
      <c r="J46" s="716">
        <f>+J36+J45</f>
        <v>5644.0226506152667</v>
      </c>
      <c r="K46" s="716">
        <f>+K36+K45</f>
        <v>5564.9348327514899</v>
      </c>
      <c r="L46" s="716">
        <f>+L36+L45</f>
        <v>5195.1571824399598</v>
      </c>
      <c r="M46" s="717">
        <f>+M36+M45</f>
        <v>5195.1571824399598</v>
      </c>
      <c r="N46" s="714"/>
      <c r="O46" s="715">
        <f>+O36+O45</f>
        <v>5286.676446916159</v>
      </c>
      <c r="P46" s="716">
        <f>+P36+P45</f>
        <v>4946.7882942860888</v>
      </c>
      <c r="Q46" s="716">
        <f>+Q36+Q45</f>
        <v>5014.4630160103998</v>
      </c>
      <c r="R46" s="716">
        <f>+R36+R45</f>
        <v>6034.6507385469895</v>
      </c>
      <c r="S46" s="717">
        <f>+S36+S45</f>
        <v>6034.6507385469895</v>
      </c>
      <c r="T46" s="718"/>
      <c r="U46" s="715">
        <f>+U36+U45</f>
        <v>6050.9680285997747</v>
      </c>
      <c r="V46" s="716">
        <f>+V36+V45</f>
        <v>6204.2587819302307</v>
      </c>
      <c r="W46" s="716">
        <f>+W36+W45</f>
        <v>7281.4877816149592</v>
      </c>
      <c r="X46" s="716">
        <f>+X36+X45</f>
        <v>7891.4450365751918</v>
      </c>
      <c r="Y46" s="717">
        <f>+Y36+Y45</f>
        <v>7891.4450365751918</v>
      </c>
      <c r="Z46" s="718"/>
      <c r="AA46" s="715">
        <f>+AA36+AA45</f>
        <v>6184.8089152847533</v>
      </c>
      <c r="AB46" s="716">
        <f>+AB36+AB45</f>
        <v>6745.6123128607342</v>
      </c>
      <c r="AC46" s="716">
        <f>+AC36+AC45</f>
        <v>6807.1370707679789</v>
      </c>
      <c r="AD46" s="735">
        <f>+AD36+AD45</f>
        <v>7234.0867857526118</v>
      </c>
      <c r="AE46" s="717">
        <f>+AE36+AE45</f>
        <v>7234.0867857526118</v>
      </c>
      <c r="AF46" s="718"/>
      <c r="AG46" s="715">
        <f>+AG36+AG45</f>
        <v>7263.1740158657012</v>
      </c>
      <c r="AH46" s="716">
        <f>+AH36+AH45</f>
        <v>7519.348064285663</v>
      </c>
      <c r="AI46" s="716">
        <f>+AI36+AI45</f>
        <v>7635.4540949647071</v>
      </c>
      <c r="AJ46" s="735">
        <f>+AJ36+AJ45</f>
        <v>8403</v>
      </c>
      <c r="AK46" s="717">
        <f>+AK36+AK45</f>
        <v>8403</v>
      </c>
      <c r="AL46" s="718"/>
      <c r="AM46" s="715">
        <f>+AM36+AM45</f>
        <v>8574.1555223558134</v>
      </c>
      <c r="AN46" s="719">
        <f>+AN36+AN45</f>
        <v>8518.947691612786</v>
      </c>
      <c r="AO46" s="719">
        <f>+AO36+AO45</f>
        <v>8239.5788976081167</v>
      </c>
      <c r="AP46" s="735">
        <f>+AP36+AP45</f>
        <v>8658</v>
      </c>
      <c r="AQ46" s="717">
        <f>+AQ36+AQ45</f>
        <v>8658</v>
      </c>
      <c r="AR46" s="718"/>
      <c r="AS46" s="715">
        <f>+AS36+AS45</f>
        <v>8706</v>
      </c>
      <c r="AT46" s="719">
        <f>+AT36+AT45</f>
        <v>9016</v>
      </c>
      <c r="AU46" s="719">
        <f>+AU36+AU45</f>
        <v>8381</v>
      </c>
      <c r="AV46" s="736">
        <f>+AV36+AV45</f>
        <v>10831</v>
      </c>
      <c r="AW46" s="717">
        <f>+AW36+AW45</f>
        <v>10831</v>
      </c>
      <c r="AX46" s="718"/>
      <c r="AY46" s="720">
        <f>+AY36+AY45</f>
        <v>7519</v>
      </c>
      <c r="AZ46" s="719">
        <f>+AZ36+AZ45</f>
        <v>7412</v>
      </c>
      <c r="BA46" s="719">
        <f>+BA36+BA45</f>
        <v>7251</v>
      </c>
      <c r="BB46" s="736">
        <f>+BB36+BB45</f>
        <v>7479</v>
      </c>
      <c r="BC46" s="717">
        <f>+BC36+BC45</f>
        <v>7479</v>
      </c>
      <c r="BD46" s="718"/>
      <c r="BE46" s="720">
        <f>+BE36+BE45</f>
        <v>7302</v>
      </c>
      <c r="BF46" s="719">
        <f>+BF36+BF45</f>
        <v>7640</v>
      </c>
      <c r="BG46" s="719">
        <f>+BG36+BG45</f>
        <v>7734</v>
      </c>
      <c r="BH46" s="719">
        <f>+BH36+BH45</f>
        <v>7802</v>
      </c>
      <c r="BI46" s="717">
        <f>+BI36+BI45</f>
        <v>7802</v>
      </c>
      <c r="BJ46" s="718"/>
      <c r="BK46" s="720">
        <f>+BK36+BK45</f>
        <v>7872</v>
      </c>
      <c r="BL46" s="719">
        <f>+BL36+BL45</f>
        <v>8016</v>
      </c>
      <c r="BM46" s="719">
        <f>+BM36+BM45</f>
        <v>8261</v>
      </c>
      <c r="BN46" s="719">
        <f>+BN36+BN45</f>
        <v>8429</v>
      </c>
      <c r="BO46" s="717">
        <f>+BO36+BO45</f>
        <v>8429</v>
      </c>
      <c r="BP46" s="718"/>
      <c r="BQ46" s="720">
        <f>+BQ36+BQ45</f>
        <v>8698</v>
      </c>
      <c r="BR46" s="719">
        <f>+BR36+BR45</f>
        <v>8816.7711496158663</v>
      </c>
      <c r="BS46" s="719">
        <f>+BS36+BS45</f>
        <v>8876.8185266932469</v>
      </c>
      <c r="BT46" s="719">
        <f>+BT36+BT45</f>
        <v>9065.6629840161695</v>
      </c>
      <c r="BU46" s="717">
        <f>+BU36+BU45</f>
        <v>9065.6629840161695</v>
      </c>
      <c r="BV46" s="718"/>
      <c r="BW46" s="720">
        <f>+BW36+BW45</f>
        <v>9082.230672341444</v>
      </c>
      <c r="BX46" s="719">
        <f>+BX36+BX45</f>
        <v>9237.8912620216997</v>
      </c>
      <c r="BY46" s="719">
        <f>+BY36+BY45</f>
        <v>9349.1162517129414</v>
      </c>
      <c r="BZ46" s="719">
        <f>+BZ36+BZ45</f>
        <v>9580.8906584831457</v>
      </c>
      <c r="CA46" s="717">
        <f>+CA36+CA45</f>
        <v>9580.8906584831457</v>
      </c>
      <c r="CB46" s="732"/>
      <c r="CC46" s="720">
        <f>+CC36+CC45</f>
        <v>9092.7444904461227</v>
      </c>
      <c r="CD46" s="719">
        <f>+CD36+CD45</f>
        <v>9346.5609876529252</v>
      </c>
      <c r="CE46" s="719">
        <f>+CE36+CE45</f>
        <v>9568.8537656994504</v>
      </c>
      <c r="CF46" s="719">
        <f>+CF36+CF45</f>
        <v>9908.3406798122924</v>
      </c>
      <c r="CG46" s="717">
        <f>+CG36+CG45</f>
        <v>9908.3406798122924</v>
      </c>
      <c r="CH46" s="714"/>
      <c r="CI46" s="720">
        <f>+CI36+CI45</f>
        <v>9626.1055976379957</v>
      </c>
      <c r="CJ46" s="719">
        <f>+CJ36+CJ45</f>
        <v>9845.2388327235094</v>
      </c>
      <c r="CK46" s="719">
        <f>+CK36+CK45</f>
        <v>10040.819997373304</v>
      </c>
      <c r="CL46" s="719">
        <f>+CL36+CL45</f>
        <v>10337.339630427499</v>
      </c>
      <c r="CM46" s="717">
        <f>+CM36+CM45</f>
        <v>10337.339630427499</v>
      </c>
      <c r="CN46" s="714"/>
      <c r="CO46" s="714"/>
      <c r="CP46" s="89"/>
    </row>
    <row r="47" spans="1:94" hidden="1" outlineLevel="1">
      <c r="A47" s="1519" t="s">
        <v>169</v>
      </c>
      <c r="B47" s="1527"/>
      <c r="C47" s="1520">
        <f>ROUND(C46-C23,6)</f>
        <v>0</v>
      </c>
      <c r="D47" s="1520">
        <f>ROUND(D46-D23,6)</f>
        <v>0</v>
      </c>
      <c r="E47" s="1520">
        <f>ROUND(E46-E23,6)</f>
        <v>0</v>
      </c>
      <c r="F47" s="1520">
        <f>ROUND(F46-F23,6)</f>
        <v>0</v>
      </c>
      <c r="G47" s="1520">
        <f>ROUND(G46-G23,6)</f>
        <v>0</v>
      </c>
      <c r="H47" s="1527"/>
      <c r="I47" s="1520">
        <f>ROUND(I46-I23,6)</f>
        <v>0</v>
      </c>
      <c r="J47" s="1520">
        <f>ROUND(J46-J23,6)</f>
        <v>0</v>
      </c>
      <c r="K47" s="1520">
        <f>ROUND(K46-K23,6)</f>
        <v>0</v>
      </c>
      <c r="L47" s="1520">
        <f>ROUND(L46-L23,6)</f>
        <v>0</v>
      </c>
      <c r="M47" s="1520">
        <f>ROUND(M46-M23,6)</f>
        <v>0</v>
      </c>
      <c r="N47" s="1527"/>
      <c r="O47" s="1520">
        <f t="shared" ref="O47:AL47" si="48">ROUND(O46-O23,6)</f>
        <v>0</v>
      </c>
      <c r="P47" s="1520">
        <f t="shared" si="48"/>
        <v>0</v>
      </c>
      <c r="Q47" s="1520">
        <f t="shared" si="48"/>
        <v>0</v>
      </c>
      <c r="R47" s="1520">
        <f t="shared" si="48"/>
        <v>0</v>
      </c>
      <c r="S47" s="1520">
        <f t="shared" si="48"/>
        <v>0</v>
      </c>
      <c r="T47" s="1528">
        <f t="shared" si="48"/>
        <v>0</v>
      </c>
      <c r="U47" s="1520">
        <f t="shared" si="48"/>
        <v>0</v>
      </c>
      <c r="V47" s="1520">
        <f t="shared" si="48"/>
        <v>0</v>
      </c>
      <c r="W47" s="1520">
        <f t="shared" si="48"/>
        <v>0</v>
      </c>
      <c r="X47" s="1520">
        <f t="shared" si="48"/>
        <v>0</v>
      </c>
      <c r="Y47" s="1520">
        <f t="shared" si="48"/>
        <v>0</v>
      </c>
      <c r="Z47" s="1528">
        <f t="shared" si="48"/>
        <v>0</v>
      </c>
      <c r="AA47" s="1520">
        <f t="shared" si="48"/>
        <v>0</v>
      </c>
      <c r="AB47" s="1520">
        <f t="shared" si="48"/>
        <v>0</v>
      </c>
      <c r="AC47" s="1520">
        <f t="shared" si="48"/>
        <v>0</v>
      </c>
      <c r="AD47" s="1520">
        <f t="shared" si="48"/>
        <v>0</v>
      </c>
      <c r="AE47" s="1520">
        <f t="shared" si="48"/>
        <v>0</v>
      </c>
      <c r="AF47" s="1528">
        <f t="shared" si="48"/>
        <v>0</v>
      </c>
      <c r="AG47" s="1520">
        <f t="shared" si="48"/>
        <v>0</v>
      </c>
      <c r="AH47" s="1520">
        <f t="shared" si="48"/>
        <v>0</v>
      </c>
      <c r="AI47" s="1520">
        <f t="shared" si="48"/>
        <v>0</v>
      </c>
      <c r="AJ47" s="1520">
        <f t="shared" si="48"/>
        <v>0</v>
      </c>
      <c r="AK47" s="1520">
        <f t="shared" si="48"/>
        <v>0</v>
      </c>
      <c r="AL47" s="1528">
        <f t="shared" si="48"/>
        <v>0</v>
      </c>
      <c r="AM47" s="1520">
        <f>ROUND(AM46-AM23,3)</f>
        <v>0</v>
      </c>
      <c r="AN47" s="1520">
        <f>ROUND(AN46-AN23,3)</f>
        <v>0</v>
      </c>
      <c r="AO47" s="1520">
        <f>ROUND(AO46-AO23,3)</f>
        <v>0</v>
      </c>
      <c r="AP47" s="1520">
        <f>ROUND(AP46-AP23,3)</f>
        <v>0</v>
      </c>
      <c r="AQ47" s="1520">
        <f>ROUND(AQ46-AQ23,3)</f>
        <v>0</v>
      </c>
      <c r="AR47" s="1528"/>
      <c r="AS47" s="1520">
        <f>ROUND(AS46-AS23,3)</f>
        <v>0</v>
      </c>
      <c r="AT47" s="1520">
        <f>ROUND(AT46-AT23,3)</f>
        <v>0</v>
      </c>
      <c r="AU47" s="1520">
        <f>ROUND(AU46-AU23,3)</f>
        <v>0</v>
      </c>
      <c r="AV47" s="1520">
        <f>ROUND(AV46-AV23,3)</f>
        <v>0</v>
      </c>
      <c r="AW47" s="1520">
        <f>ROUND(AW46-AW23,3)</f>
        <v>0</v>
      </c>
      <c r="AX47" s="1528"/>
      <c r="AY47" s="1520">
        <f>ROUND(AY46-AY23,3)</f>
        <v>0</v>
      </c>
      <c r="AZ47" s="1520">
        <f>ROUND(AZ46-AZ23,3)</f>
        <v>0</v>
      </c>
      <c r="BA47" s="1520">
        <f>ROUND(BA46-BA23,3)</f>
        <v>0</v>
      </c>
      <c r="BB47" s="1520">
        <f>ROUND(BB46-BB23,3)</f>
        <v>0</v>
      </c>
      <c r="BC47" s="1520">
        <f>ROUND(BC46-BC23,3)</f>
        <v>0</v>
      </c>
      <c r="BD47" s="1528"/>
      <c r="BE47" s="1520">
        <f>ROUND(BE46-BE23,3)</f>
        <v>0</v>
      </c>
      <c r="BF47" s="1520">
        <f>ROUND(BF46-BF23,3)</f>
        <v>0</v>
      </c>
      <c r="BG47" s="1520">
        <f>ROUND(BG46-BG23,3)</f>
        <v>0</v>
      </c>
      <c r="BH47" s="1520">
        <f>ROUND(BH46-BH23,3)</f>
        <v>0</v>
      </c>
      <c r="BI47" s="1520">
        <f>ROUND(BI46-BI23,3)</f>
        <v>0</v>
      </c>
      <c r="BJ47" s="1528"/>
      <c r="BK47" s="1520">
        <f>ROUND(BK46-BK23,3)</f>
        <v>0</v>
      </c>
      <c r="BL47" s="1520">
        <f>ROUND(BL46-BL23,3)</f>
        <v>0</v>
      </c>
      <c r="BM47" s="1520">
        <f>ROUND(BM46-BM23,3)</f>
        <v>0</v>
      </c>
      <c r="BN47" s="1520">
        <f>ROUND(BN46-BN23,3)</f>
        <v>0</v>
      </c>
      <c r="BO47" s="1520">
        <f>ROUND(BO46-BO23,3)</f>
        <v>0</v>
      </c>
      <c r="BP47" s="1528"/>
      <c r="BQ47" s="1520">
        <f>ROUND(BQ46-BQ23,3)</f>
        <v>0</v>
      </c>
      <c r="BR47" s="2481">
        <f>ROUND(BR46-BR23,3)</f>
        <v>0</v>
      </c>
      <c r="BS47" s="2481">
        <f>ROUND(BS46-BS23,3)</f>
        <v>0</v>
      </c>
      <c r="BT47" s="2481">
        <f>ROUND(BT46-BT23,3)</f>
        <v>0</v>
      </c>
      <c r="BU47" s="2481">
        <f>ROUND(BU46-BU23,3)</f>
        <v>0</v>
      </c>
      <c r="BV47" s="2482"/>
      <c r="BW47" s="2481">
        <f>ROUND(BW46-BW23,3)</f>
        <v>0</v>
      </c>
      <c r="BX47" s="2481">
        <f>ROUND(BX46-BX23,3)</f>
        <v>0</v>
      </c>
      <c r="BY47" s="2481">
        <f>ROUND(BY46-BY23,3)</f>
        <v>0</v>
      </c>
      <c r="BZ47" s="2481">
        <f>ROUND(BZ46-BZ23,3)</f>
        <v>0</v>
      </c>
      <c r="CA47" s="2481">
        <f>ROUND(CA46-CA23,3)</f>
        <v>0</v>
      </c>
      <c r="CB47" s="2481"/>
      <c r="CC47" s="2481">
        <f>ROUND(CC46-CC23,3)</f>
        <v>0</v>
      </c>
      <c r="CD47" s="2481">
        <f>ROUND(CD46-CD23,3)</f>
        <v>0</v>
      </c>
      <c r="CE47" s="2481">
        <f>ROUND(CE46-CE23,3)</f>
        <v>0</v>
      </c>
      <c r="CF47" s="2481">
        <f>ROUND(CF46-CF23,3)</f>
        <v>0</v>
      </c>
      <c r="CG47" s="2481">
        <f>ROUND(CG46-CG23,3)</f>
        <v>0</v>
      </c>
      <c r="CH47" s="2483"/>
      <c r="CI47" s="2481">
        <f>ROUND(CI46-CI23,3)</f>
        <v>0</v>
      </c>
      <c r="CJ47" s="2481">
        <f>ROUND(CJ46-CJ23,3)</f>
        <v>0</v>
      </c>
      <c r="CK47" s="2481">
        <f>ROUND(CK46-CK23,3)</f>
        <v>0</v>
      </c>
      <c r="CL47" s="2481">
        <f>ROUND(CL46-CL23,3)</f>
        <v>0</v>
      </c>
      <c r="CM47" s="2481">
        <f>ROUND(CM46-CM23,3)</f>
        <v>0</v>
      </c>
      <c r="CN47" s="737"/>
      <c r="CO47" s="737"/>
      <c r="CP47" s="6"/>
    </row>
    <row r="48" spans="1:94" ht="4.5" customHeight="1" collapsed="1">
      <c r="B48" s="79"/>
      <c r="H48" s="79"/>
      <c r="N48" s="79"/>
      <c r="T48" s="79"/>
      <c r="Z48" s="79"/>
      <c r="AF48" s="79"/>
      <c r="AL48" s="79"/>
      <c r="AR48" s="79"/>
      <c r="AX48" s="79"/>
      <c r="BD48" s="79"/>
      <c r="BJ48" s="79"/>
      <c r="BP48" s="79"/>
      <c r="BV48" s="79"/>
    </row>
    <row r="49" spans="1:94" ht="12.75" hidden="1" customHeight="1" outlineLevel="1">
      <c r="A49" s="769" t="s">
        <v>291</v>
      </c>
      <c r="B49" s="738"/>
      <c r="C49" s="739"/>
      <c r="D49" s="740"/>
      <c r="E49" s="740"/>
      <c r="F49" s="740"/>
      <c r="G49" s="741"/>
      <c r="H49" s="738"/>
      <c r="I49" s="739"/>
      <c r="J49" s="740"/>
      <c r="K49" s="740"/>
      <c r="L49" s="740"/>
      <c r="M49" s="741"/>
      <c r="N49" s="738"/>
      <c r="O49" s="739"/>
      <c r="P49" s="740"/>
      <c r="Q49" s="740"/>
      <c r="R49" s="740"/>
      <c r="S49" s="741"/>
      <c r="T49" s="742"/>
      <c r="U49" s="739"/>
      <c r="V49" s="740"/>
      <c r="W49" s="740"/>
      <c r="X49" s="740"/>
      <c r="Y49" s="741"/>
      <c r="Z49" s="742"/>
      <c r="AA49" s="739"/>
      <c r="AB49" s="740"/>
      <c r="AC49" s="740"/>
      <c r="AD49" s="740"/>
      <c r="AE49" s="741"/>
      <c r="AF49" s="742"/>
      <c r="AG49" s="739"/>
      <c r="AH49" s="740"/>
      <c r="AI49" s="740"/>
      <c r="AJ49" s="740"/>
      <c r="AK49" s="741"/>
      <c r="AL49" s="742"/>
      <c r="AM49" s="739"/>
      <c r="AN49" s="740"/>
      <c r="AO49" s="740"/>
      <c r="AP49" s="740"/>
      <c r="AQ49" s="741"/>
      <c r="AR49" s="742"/>
      <c r="AS49" s="739"/>
      <c r="AT49" s="740"/>
      <c r="AU49" s="740"/>
      <c r="AV49" s="740"/>
      <c r="AW49" s="741"/>
      <c r="AX49" s="742"/>
      <c r="AY49" s="739"/>
      <c r="AZ49" s="740"/>
      <c r="BA49" s="740"/>
      <c r="BB49" s="740"/>
      <c r="BC49" s="741"/>
      <c r="BD49" s="742"/>
      <c r="BE49" s="739"/>
      <c r="BF49" s="740"/>
      <c r="BG49" s="740"/>
      <c r="BH49" s="740"/>
      <c r="BI49" s="741"/>
      <c r="BJ49" s="742"/>
      <c r="BK49" s="739"/>
      <c r="BL49" s="740"/>
      <c r="BM49" s="740"/>
      <c r="BN49" s="740"/>
      <c r="BO49" s="741"/>
      <c r="BP49" s="742"/>
      <c r="BQ49" s="739"/>
      <c r="BR49" s="740"/>
      <c r="BS49" s="740"/>
      <c r="BT49" s="740"/>
      <c r="BU49" s="741"/>
      <c r="BV49" s="742"/>
      <c r="BW49" s="739"/>
      <c r="BX49" s="740"/>
      <c r="BY49" s="740"/>
      <c r="BZ49" s="740"/>
      <c r="CA49" s="741"/>
      <c r="CB49" s="2125"/>
      <c r="CC49" s="739"/>
      <c r="CD49" s="740"/>
      <c r="CE49" s="740"/>
      <c r="CF49" s="740"/>
      <c r="CG49" s="741"/>
      <c r="CH49" s="743"/>
      <c r="CI49" s="739"/>
      <c r="CJ49" s="740"/>
      <c r="CK49" s="740"/>
      <c r="CL49" s="740"/>
      <c r="CM49" s="741"/>
      <c r="CN49" s="743"/>
      <c r="CO49" s="743"/>
      <c r="CP49" s="6"/>
    </row>
    <row r="50" spans="1:94" ht="12.75" hidden="1" customHeight="1" outlineLevel="1">
      <c r="A50" s="800" t="s">
        <v>292</v>
      </c>
      <c r="B50" s="744"/>
      <c r="C50" s="745">
        <f>C32+C33+C29</f>
        <v>1500</v>
      </c>
      <c r="D50" s="746">
        <f>D32+D33+D29</f>
        <v>1500</v>
      </c>
      <c r="E50" s="746">
        <f>E32+E33+E29</f>
        <v>1500</v>
      </c>
      <c r="F50" s="746">
        <f>F32+F33+F29</f>
        <v>2087</v>
      </c>
      <c r="G50" s="747">
        <f>G32+G33+G29</f>
        <v>2087</v>
      </c>
      <c r="H50" s="744"/>
      <c r="I50" s="745">
        <f>I32+I33+I29</f>
        <v>2126</v>
      </c>
      <c r="J50" s="746">
        <f>J32+J33+J29</f>
        <v>2374</v>
      </c>
      <c r="K50" s="746">
        <f>K32+K33+K29</f>
        <v>2315</v>
      </c>
      <c r="L50" s="746">
        <f>L32+L33+L29</f>
        <v>2125</v>
      </c>
      <c r="M50" s="747">
        <f>M32+M33+M29</f>
        <v>2125</v>
      </c>
      <c r="N50" s="744"/>
      <c r="O50" s="745">
        <f>O32+O33+O29</f>
        <v>2204</v>
      </c>
      <c r="P50" s="746">
        <f>P32+P33+P29</f>
        <v>2154</v>
      </c>
      <c r="Q50" s="746">
        <f>Q32+Q33+Q29</f>
        <v>2153</v>
      </c>
      <c r="R50" s="746">
        <f>R32+R33+R29</f>
        <v>2905</v>
      </c>
      <c r="S50" s="747">
        <f>S32+S33+S29</f>
        <v>2905</v>
      </c>
      <c r="T50" s="204"/>
      <c r="U50" s="745">
        <f>U32+U33+U29</f>
        <v>2911</v>
      </c>
      <c r="V50" s="746">
        <f>V32+V33+V29</f>
        <v>2894</v>
      </c>
      <c r="W50" s="746">
        <f>W32+W33+W29</f>
        <v>3678</v>
      </c>
      <c r="X50" s="746">
        <f>X32+X33+X29</f>
        <v>3691</v>
      </c>
      <c r="Y50" s="747">
        <f>Y32+Y33+Y29</f>
        <v>3691</v>
      </c>
      <c r="Z50" s="204"/>
      <c r="AA50" s="745">
        <f>AA32+AA33+AA29</f>
        <v>2139</v>
      </c>
      <c r="AB50" s="746">
        <f>AB32+AB33+AB29</f>
        <v>2144</v>
      </c>
      <c r="AC50" s="746">
        <f>AC32+AC33+AC29</f>
        <v>2168</v>
      </c>
      <c r="AD50" s="204">
        <f>AD32+AD33+AD29</f>
        <v>2185</v>
      </c>
      <c r="AE50" s="748">
        <f>AE32+AE33+AE29</f>
        <v>2185</v>
      </c>
      <c r="AF50" s="204"/>
      <c r="AG50" s="745">
        <f>AG32+AG33+AG29</f>
        <v>2181</v>
      </c>
      <c r="AH50" s="746">
        <f>AH32+AH33+AH29</f>
        <v>2177</v>
      </c>
      <c r="AI50" s="746">
        <f>AI32+AI33+AI29</f>
        <v>2214</v>
      </c>
      <c r="AJ50" s="204">
        <f>AJ32+AJ33+AJ29</f>
        <v>2362</v>
      </c>
      <c r="AK50" s="748">
        <f>AK32+AK33+AK29</f>
        <v>2362</v>
      </c>
      <c r="AL50" s="204"/>
      <c r="AM50" s="701">
        <f>AM32+AM33+AM29</f>
        <v>2361</v>
      </c>
      <c r="AN50" s="204">
        <f>AN32+AN33+AN29</f>
        <v>2356</v>
      </c>
      <c r="AO50" s="746">
        <f>AO32+AO33+AO29</f>
        <v>2701</v>
      </c>
      <c r="AP50" s="204">
        <f>AP32+AP33+AP29</f>
        <v>2699</v>
      </c>
      <c r="AQ50" s="748">
        <f>AQ32+AQ33+AQ29</f>
        <v>2699</v>
      </c>
      <c r="AR50" s="204"/>
      <c r="AS50" s="701">
        <f>AS32+AS33+AS29</f>
        <v>2695</v>
      </c>
      <c r="AT50" s="204">
        <f>AT32+AT33+AT29</f>
        <v>2693</v>
      </c>
      <c r="AU50" s="204">
        <f>AU32+AU33+AU29</f>
        <v>2216</v>
      </c>
      <c r="AV50" s="204">
        <f>AV32+AV33+AV29</f>
        <v>2286</v>
      </c>
      <c r="AW50" s="748">
        <f>AW32+AW33+AW29</f>
        <v>2286</v>
      </c>
      <c r="AX50" s="204"/>
      <c r="AY50" s="701">
        <f>AY32+AY33+AY29</f>
        <v>1658</v>
      </c>
      <c r="AZ50" s="204">
        <f>AZ32+AZ33+AZ29</f>
        <v>1656</v>
      </c>
      <c r="BA50" s="204">
        <f>BA32+BA33+BA29</f>
        <v>1655</v>
      </c>
      <c r="BB50" s="204">
        <f>BB32+BB33+BB29</f>
        <v>1655</v>
      </c>
      <c r="BC50" s="748">
        <f>BC32+BC33+BC29</f>
        <v>1655</v>
      </c>
      <c r="BD50" s="204"/>
      <c r="BE50" s="701">
        <f>BE32+BE33+BE29</f>
        <v>1733</v>
      </c>
      <c r="BF50" s="204">
        <f>BF32+BF33+BF29</f>
        <v>1889</v>
      </c>
      <c r="BG50" s="204">
        <f>BG32+BG33+BG29</f>
        <v>1887</v>
      </c>
      <c r="BH50" s="204">
        <f>BH32+BH33+BH29</f>
        <v>1912</v>
      </c>
      <c r="BI50" s="748">
        <f>BI32+BI33+BI29</f>
        <v>1912</v>
      </c>
      <c r="BJ50" s="204"/>
      <c r="BK50" s="701">
        <f>BK32+BK33+BK29</f>
        <v>1992</v>
      </c>
      <c r="BL50" s="204">
        <f>BL32+BL33+BL29</f>
        <v>2043</v>
      </c>
      <c r="BM50" s="204">
        <f>BM32+BM33+BM29</f>
        <v>2081</v>
      </c>
      <c r="BN50" s="204">
        <f>BN32+BN33+BN29</f>
        <v>2011</v>
      </c>
      <c r="BO50" s="748">
        <f>BO32+BO33+BO29</f>
        <v>2011</v>
      </c>
      <c r="BP50" s="204"/>
      <c r="BQ50" s="701">
        <f>BQ32+BQ33+BQ29</f>
        <v>2145</v>
      </c>
      <c r="BR50" s="204">
        <f>BR32+BR33+BR29</f>
        <v>2145</v>
      </c>
      <c r="BS50" s="204">
        <f>BS32+BS33+BS29</f>
        <v>2145</v>
      </c>
      <c r="BT50" s="204">
        <f>BT32+BT33+BT29</f>
        <v>2145</v>
      </c>
      <c r="BU50" s="748">
        <f>BU32+BU33+BU29</f>
        <v>2145</v>
      </c>
      <c r="BV50" s="204"/>
      <c r="BW50" s="701">
        <f>BW32+BW33+BW29</f>
        <v>2145</v>
      </c>
      <c r="BX50" s="204">
        <f>BX32+BX33+BX29</f>
        <v>2145</v>
      </c>
      <c r="BY50" s="204">
        <f>BY32+BY33+BY29</f>
        <v>2145</v>
      </c>
      <c r="BZ50" s="204">
        <f>BZ32+BZ33+BZ29</f>
        <v>2145</v>
      </c>
      <c r="CA50" s="748">
        <f>CA32+CA33+CA29</f>
        <v>2145</v>
      </c>
      <c r="CB50" s="204"/>
      <c r="CC50" s="701">
        <f>CC32+CC33+CC29</f>
        <v>1636</v>
      </c>
      <c r="CD50" s="204">
        <f>CD32+CD33+CD29</f>
        <v>1636</v>
      </c>
      <c r="CE50" s="204">
        <f>CE32+CE33+CE29</f>
        <v>1636</v>
      </c>
      <c r="CF50" s="204">
        <f>CF32+CF33+CF29</f>
        <v>1636</v>
      </c>
      <c r="CG50" s="748">
        <f>CG32+CG33+CG29</f>
        <v>1636</v>
      </c>
      <c r="CH50" s="204"/>
      <c r="CI50" s="701">
        <f>CI32+CI33+CI29</f>
        <v>1238</v>
      </c>
      <c r="CJ50" s="204">
        <f>CJ32+CJ33+CJ29</f>
        <v>1238</v>
      </c>
      <c r="CK50" s="204">
        <f>CK32+CK33+CK29</f>
        <v>1238</v>
      </c>
      <c r="CL50" s="204">
        <f>CL32+CL33+CL29</f>
        <v>1238</v>
      </c>
      <c r="CM50" s="748">
        <f>CM32+CM33+CM29</f>
        <v>1238</v>
      </c>
      <c r="CN50" s="204"/>
      <c r="CO50" s="204"/>
      <c r="CP50" s="89"/>
    </row>
    <row r="51" spans="1:94" ht="12.75" hidden="1" customHeight="1" outlineLevel="1">
      <c r="A51" s="1882" t="s">
        <v>293</v>
      </c>
      <c r="B51" s="495"/>
      <c r="C51" s="749">
        <f>C50-C9-C10-C20</f>
        <v>-590</v>
      </c>
      <c r="D51" s="750">
        <f>D50-D9-D10-D20</f>
        <v>-550</v>
      </c>
      <c r="E51" s="750">
        <f>E50-E9-E10-E20</f>
        <v>14</v>
      </c>
      <c r="F51" s="750">
        <f>F50-F9-F10-F20</f>
        <v>113.27522935779817</v>
      </c>
      <c r="G51" s="703">
        <f>G50-G9-G10-G20</f>
        <v>113.27522935779817</v>
      </c>
      <c r="H51" s="495"/>
      <c r="I51" s="749">
        <f>I50-I9-I10-I20</f>
        <v>-1022</v>
      </c>
      <c r="J51" s="750">
        <f>J50-J9-J10-J20</f>
        <v>-1146.6422018348624</v>
      </c>
      <c r="K51" s="750">
        <f>K50-K9-K10-K20</f>
        <v>-1115.1284403669724</v>
      </c>
      <c r="L51" s="750">
        <f>L50-L9-L10-L20</f>
        <v>539.13761467889913</v>
      </c>
      <c r="M51" s="703">
        <f>M50-M9-M10-M20</f>
        <v>539.13761467889913</v>
      </c>
      <c r="N51" s="495"/>
      <c r="O51" s="749">
        <f>O50-O9-O10-O20</f>
        <v>695.3119266055046</v>
      </c>
      <c r="P51" s="750">
        <f>P50-P9-P10-P20</f>
        <v>614.83486238532112</v>
      </c>
      <c r="Q51" s="750">
        <f>Q50-Q9-Q10-Q20</f>
        <v>537.49541284403665</v>
      </c>
      <c r="R51" s="750">
        <f>R50-R9-R10-R20</f>
        <v>287.88073394495416</v>
      </c>
      <c r="S51" s="703">
        <f>S50-S9-S10-S20</f>
        <v>287.88073394495416</v>
      </c>
      <c r="T51" s="705"/>
      <c r="U51" s="749">
        <f>U50-U9-U10-U20</f>
        <v>-1252.2660550458716</v>
      </c>
      <c r="V51" s="750">
        <f>V50-V9-V10-V20</f>
        <v>-1435.3119266055046</v>
      </c>
      <c r="W51" s="750">
        <f>W50-W9-W10-W20</f>
        <v>-293.55963302752292</v>
      </c>
      <c r="X51" s="750">
        <f>X50-X9-X10-X20</f>
        <v>-616.12844036697243</v>
      </c>
      <c r="Y51" s="703">
        <f>Y50-Y9-Y10-Y20</f>
        <v>-616.12844036697243</v>
      </c>
      <c r="Z51" s="705"/>
      <c r="AA51" s="749">
        <f>AA50-AA9-AA10-AA20</f>
        <v>-618.03669724770646</v>
      </c>
      <c r="AB51" s="750">
        <f>AB50-AB9-AB10-AB20</f>
        <v>-924.66055045871553</v>
      </c>
      <c r="AC51" s="750">
        <f>AC50-AC9-AC10-AC20</f>
        <v>-1025.8990825688074</v>
      </c>
      <c r="AD51" s="705">
        <f>AD50-AD9</f>
        <v>-1342</v>
      </c>
      <c r="AE51" s="710">
        <f>AE50-AE9</f>
        <v>-1342</v>
      </c>
      <c r="AF51" s="705"/>
      <c r="AG51" s="749">
        <f>AG50-AG9-AG10-AG20</f>
        <v>-1564.7614678899083</v>
      </c>
      <c r="AH51" s="750">
        <f>AH50-AH9-AH10-AH20</f>
        <v>-1803.5229357798164</v>
      </c>
      <c r="AI51" s="750">
        <f>AI50-AI9-AI10-AI20</f>
        <v>211.8073394495413</v>
      </c>
      <c r="AJ51" s="705">
        <f>AJ50-AJ9</f>
        <v>11</v>
      </c>
      <c r="AK51" s="710">
        <f>AK50-AK9</f>
        <v>11</v>
      </c>
      <c r="AL51" s="705"/>
      <c r="AM51" s="706">
        <f>AM50-AM9</f>
        <v>-89</v>
      </c>
      <c r="AN51" s="705">
        <f>AN50-AN9</f>
        <v>-163</v>
      </c>
      <c r="AO51" s="705">
        <f>AO50-AO9</f>
        <v>371</v>
      </c>
      <c r="AP51" s="705">
        <f>AP50-AP9</f>
        <v>24</v>
      </c>
      <c r="AQ51" s="710">
        <f>AQ50-AQ9</f>
        <v>24</v>
      </c>
      <c r="AR51" s="705"/>
      <c r="AS51" s="706">
        <f>AS50-AS9</f>
        <v>-47</v>
      </c>
      <c r="AT51" s="705">
        <f>AT50-AT9</f>
        <v>-257</v>
      </c>
      <c r="AU51" s="705">
        <f>AU50-AU9</f>
        <v>-175</v>
      </c>
      <c r="AV51" s="705">
        <f>AV50-AV9</f>
        <v>68</v>
      </c>
      <c r="AW51" s="710">
        <f>AW50-AW9</f>
        <v>68</v>
      </c>
      <c r="AX51" s="705"/>
      <c r="AY51" s="706">
        <f>AY50-AY9</f>
        <v>-460</v>
      </c>
      <c r="AZ51" s="705">
        <f>AZ50-AZ9</f>
        <v>-541</v>
      </c>
      <c r="BA51" s="705">
        <f>BA50-BA9</f>
        <v>-420</v>
      </c>
      <c r="BB51" s="705">
        <f>BB50-BB9</f>
        <v>-348</v>
      </c>
      <c r="BC51" s="710">
        <f>BC50-BC9</f>
        <v>-348</v>
      </c>
      <c r="BD51" s="705"/>
      <c r="BE51" s="706">
        <f>BE50-BE9</f>
        <v>-198</v>
      </c>
      <c r="BF51" s="705">
        <f>BF50-BF9</f>
        <v>-250</v>
      </c>
      <c r="BG51" s="705">
        <f>BG50-BG9</f>
        <v>-312</v>
      </c>
      <c r="BH51" s="705">
        <f>BH50-BH9</f>
        <v>-377</v>
      </c>
      <c r="BI51" s="710">
        <f>BI50-BI9</f>
        <v>-377</v>
      </c>
      <c r="BJ51" s="705"/>
      <c r="BK51" s="706">
        <f>BK50-BK9</f>
        <v>-249</v>
      </c>
      <c r="BL51" s="705">
        <f>BL50-BL9</f>
        <v>-346</v>
      </c>
      <c r="BM51" s="705">
        <f>BM50-BM9</f>
        <v>-482</v>
      </c>
      <c r="BN51" s="705">
        <f>BN50-BN9</f>
        <v>-667</v>
      </c>
      <c r="BO51" s="710">
        <f>BO50-BO9</f>
        <v>-667</v>
      </c>
      <c r="BP51" s="705"/>
      <c r="BQ51" s="706">
        <f>BQ50-BQ9</f>
        <v>-742</v>
      </c>
      <c r="BR51" s="705">
        <f>BR50-BR9</f>
        <v>-787.338783510741</v>
      </c>
      <c r="BS51" s="705">
        <f>BS50-BS9</f>
        <v>-857.01400355826763</v>
      </c>
      <c r="BT51" s="705">
        <f>BT50-BT9</f>
        <v>-993.88380029588689</v>
      </c>
      <c r="BU51" s="710">
        <f>BU50-BU9</f>
        <v>-993.88380029588689</v>
      </c>
      <c r="BV51" s="705"/>
      <c r="BW51" s="706">
        <f>BW50-BW9</f>
        <v>-1011.7233860767842</v>
      </c>
      <c r="BX51" s="705">
        <f>BX50-BX9</f>
        <v>-1100.4556896019385</v>
      </c>
      <c r="BY51" s="705">
        <f>BY50-BY9</f>
        <v>-1213.5384785890251</v>
      </c>
      <c r="BZ51" s="705">
        <f>BZ50-BZ9</f>
        <v>-1405.7907818206868</v>
      </c>
      <c r="CA51" s="710">
        <f>CA50-CA9</f>
        <v>-1405.7907818206868</v>
      </c>
      <c r="CB51" s="705"/>
      <c r="CC51" s="706">
        <f>CC50-CC9</f>
        <v>-1456.8201646124071</v>
      </c>
      <c r="CD51" s="705">
        <f>CD50-CD9</f>
        <v>-1631.2801607217566</v>
      </c>
      <c r="CE51" s="705">
        <f>CE50-CE9</f>
        <v>-1837.2408100149532</v>
      </c>
      <c r="CF51" s="705">
        <f>CF50-CF9</f>
        <v>-2136.5015225231014</v>
      </c>
      <c r="CG51" s="710">
        <f>CG50-CG9</f>
        <v>-2136.5015225231014</v>
      </c>
      <c r="CH51" s="705"/>
      <c r="CI51" s="706">
        <f>CI50-CI9</f>
        <v>-2297.4444376782776</v>
      </c>
      <c r="CJ51" s="705">
        <f>CJ50-CJ9</f>
        <v>-2428.3970480529265</v>
      </c>
      <c r="CK51" s="705">
        <f>CK50-CK9</f>
        <v>-2589.2388963143726</v>
      </c>
      <c r="CL51" s="705">
        <f>CL50-CL9</f>
        <v>-2852.4101075632775</v>
      </c>
      <c r="CM51" s="710">
        <f>CM50-CM9</f>
        <v>-2852.4101075632775</v>
      </c>
      <c r="CN51" s="705"/>
      <c r="CO51" s="705"/>
      <c r="CP51" s="64"/>
    </row>
    <row r="52" spans="1:94" ht="12.75" hidden="1" customHeight="1" outlineLevel="1">
      <c r="A52" s="1883" t="s">
        <v>294</v>
      </c>
      <c r="B52" s="495"/>
      <c r="C52" s="751">
        <f>C51/IS!C35</f>
        <v>-1.4114832535885167</v>
      </c>
      <c r="D52" s="752">
        <f>D51/IS!D35</f>
        <v>-1.3317191283292977</v>
      </c>
      <c r="E52" s="752">
        <f>E51/IS!E35</f>
        <v>3.4398034398034398E-2</v>
      </c>
      <c r="F52" s="752">
        <f>F51/IS!F35</f>
        <v>0.27900302797487231</v>
      </c>
      <c r="G52" s="753">
        <f>G51/IS!G35</f>
        <v>0.27900302797487231</v>
      </c>
      <c r="H52" s="495"/>
      <c r="I52" s="751">
        <f>I51/IS!I35</f>
        <v>-2.6753926701570681</v>
      </c>
      <c r="J52" s="752">
        <f>J51/IS!J35</f>
        <v>-3.0990329779320605</v>
      </c>
      <c r="K52" s="752">
        <f>K51/IS!K35</f>
        <v>-2.9976570977606785</v>
      </c>
      <c r="L52" s="752">
        <f>L51/IS!L35</f>
        <v>1.4532011177328819</v>
      </c>
      <c r="M52" s="753">
        <f>M51/IS!M35</f>
        <v>1.4532011177328819</v>
      </c>
      <c r="N52" s="495"/>
      <c r="O52" s="751">
        <f>O51/IS!O35</f>
        <v>1.9753179733110926</v>
      </c>
      <c r="P52" s="752">
        <f>P51/IS!P35</f>
        <v>1.7873106464689568</v>
      </c>
      <c r="Q52" s="752">
        <f>Q51/IS!Q35</f>
        <v>1.557957718388512</v>
      </c>
      <c r="R52" s="752">
        <f>R51/IS!R35</f>
        <v>0.83202524261547439</v>
      </c>
      <c r="S52" s="753">
        <f>S51/IS!S35</f>
        <v>0.83202524261547439</v>
      </c>
      <c r="T52" s="705"/>
      <c r="U52" s="751">
        <f>U51/IS!U35</f>
        <v>-3.5374747317679986</v>
      </c>
      <c r="V52" s="752">
        <f>V51/IS!V35</f>
        <v>-4.0545534649873014</v>
      </c>
      <c r="W52" s="752">
        <f>W51/IS!W35</f>
        <v>-0.83397623019182643</v>
      </c>
      <c r="X52" s="752">
        <f>X51/IS!X35</f>
        <v>-1.7454063466486471</v>
      </c>
      <c r="Y52" s="753">
        <f>Y51/IS!Y35</f>
        <v>-1.7454063466486471</v>
      </c>
      <c r="Z52" s="705"/>
      <c r="AA52" s="751">
        <f>AA51/IS!AA35</f>
        <v>-1.7409484429512858</v>
      </c>
      <c r="AB52" s="752">
        <f>AB51/IS!AB35</f>
        <v>-2.6046776069259594</v>
      </c>
      <c r="AC52" s="752">
        <f>AC51/IS!AC35</f>
        <v>-2.8736668979518414</v>
      </c>
      <c r="AD52" s="754">
        <f>AD9/IS!AD35</f>
        <v>10.048433048433049</v>
      </c>
      <c r="AE52" s="755">
        <f>AE9/IS!AE35</f>
        <v>9.9492242595204505</v>
      </c>
      <c r="AF52" s="705"/>
      <c r="AG52" s="751">
        <f>AG51/IS!AG35</f>
        <v>-4.4453450792326938</v>
      </c>
      <c r="AH52" s="752">
        <f>AH51/IS!AH35</f>
        <v>-5.0946975587000463</v>
      </c>
      <c r="AI52" s="752">
        <f>AI51/IS!AI35</f>
        <v>0.60002079164176003</v>
      </c>
      <c r="AJ52" s="754">
        <f>AJ9/IS!AJ35</f>
        <v>6.6600566572237963</v>
      </c>
      <c r="AK52" s="755">
        <f>AK9/IS!AK35</f>
        <v>6.6600566572237963</v>
      </c>
      <c r="AL52" s="705"/>
      <c r="AM52" s="756">
        <f>AM9/IS!AM35</f>
        <v>6.9602272727272725</v>
      </c>
      <c r="AN52" s="754">
        <f>AN9/IS!AN35</f>
        <v>7.2177650429799423</v>
      </c>
      <c r="AO52" s="752">
        <f>AO51/IS!AO35</f>
        <v>1.0816326530612246</v>
      </c>
      <c r="AP52" s="754">
        <f>AP9/IS!AP35</f>
        <v>7.9613095238095237</v>
      </c>
      <c r="AQ52" s="755">
        <f>AQ9/IS!AQ35</f>
        <v>7.7536231884057969</v>
      </c>
      <c r="AR52" s="705"/>
      <c r="AS52" s="756">
        <f>AS9/IS!AS35</f>
        <v>8.112426035502958</v>
      </c>
      <c r="AT52" s="754">
        <f>AT9/IS!AT35</f>
        <v>8.7537091988130555</v>
      </c>
      <c r="AU52" s="754">
        <f>AU9/IS!AU35</f>
        <v>7.0739644970414197</v>
      </c>
      <c r="AV52" s="754">
        <f>AV9/IS!AV35</f>
        <v>6.5621301775147929</v>
      </c>
      <c r="AW52" s="755">
        <f>AW9/IS!AW35</f>
        <v>6.5669874167283497</v>
      </c>
      <c r="AX52" s="705"/>
      <c r="AY52" s="756">
        <f>AY9/IS!AY35</f>
        <v>6.2662721893491122</v>
      </c>
      <c r="AZ52" s="754">
        <f>AZ9/IS!AZ35</f>
        <v>6.5192878338278932</v>
      </c>
      <c r="BA52" s="754">
        <f>BA9/IS!BA35</f>
        <v>6.1755952380952381</v>
      </c>
      <c r="BB52" s="754">
        <f>BB9/IS!BB35</f>
        <v>5.9826762246117084</v>
      </c>
      <c r="BC52" s="755">
        <f>BC9/IS!BC35</f>
        <v>5.9791044776119406</v>
      </c>
      <c r="BD52" s="705"/>
      <c r="BE52" s="756">
        <f>BE9/IS!BE35</f>
        <v>5.8162650602409638</v>
      </c>
      <c r="BF52" s="754">
        <f>BF9/IS!BF35</f>
        <v>6.5213414634146343</v>
      </c>
      <c r="BG52" s="754">
        <f>BG9/IS!BG35</f>
        <v>6.7042682926829267</v>
      </c>
      <c r="BH52" s="754">
        <f>BH9/IS!BH35</f>
        <v>6.9786585365853657</v>
      </c>
      <c r="BI52" s="755">
        <f>BI9/IS!BI35</f>
        <v>6.957446808510638</v>
      </c>
      <c r="BJ52" s="705"/>
      <c r="BK52" s="756">
        <f>BK9/IS!BK35</f>
        <v>6.8742331288343559</v>
      </c>
      <c r="BL52" s="754">
        <f>BL9/IS!BL35</f>
        <v>7.3507692307692309</v>
      </c>
      <c r="BM52" s="754">
        <f>BM9/IS!BM35</f>
        <v>7.8619631901840492</v>
      </c>
      <c r="BN52" s="754">
        <f>BN9/IS!BN35</f>
        <v>8.2147239263803673</v>
      </c>
      <c r="BO52" s="755">
        <f>BO9/IS!BO35</f>
        <v>8.2210283960092099</v>
      </c>
      <c r="BP52" s="705"/>
      <c r="BQ52" s="756">
        <f>BQ9/IS!BQ35</f>
        <v>8.9380804953560364</v>
      </c>
      <c r="BR52" s="754">
        <f>BR9/IS!BR35</f>
        <v>9.0109542074099842</v>
      </c>
      <c r="BS52" s="754">
        <f>BS9/IS!BS35</f>
        <v>9.2695774299640359</v>
      </c>
      <c r="BT52" s="754">
        <f>BT9/IS!BT35</f>
        <v>9.7382973556778865</v>
      </c>
      <c r="BU52" s="755">
        <f>BU9/IS!BU35</f>
        <v>9.698392346298073</v>
      </c>
      <c r="BV52" s="705"/>
      <c r="BW52" s="756">
        <f>BW9/IS!BW35</f>
        <v>9.8380944202176135</v>
      </c>
      <c r="BX52" s="754">
        <f>BX9/IS!BX35</f>
        <v>10.159867004365831</v>
      </c>
      <c r="BY52" s="754">
        <f>BY9/IS!BY35</f>
        <v>10.560197904055943</v>
      </c>
      <c r="BZ52" s="754">
        <f>BZ9/IS!BZ35</f>
        <v>11.21315972272733</v>
      </c>
      <c r="CA52" s="755">
        <f>CA9/IS!CA35</f>
        <v>11.139679578362212</v>
      </c>
      <c r="CB52" s="705"/>
      <c r="CC52" s="756">
        <f>CC9/IS!CC35</f>
        <v>9.8086873366872691</v>
      </c>
      <c r="CD52" s="754">
        <f>CD9/IS!CD35</f>
        <v>10.40562801205763</v>
      </c>
      <c r="CE52" s="754">
        <f>CE9/IS!CE35</f>
        <v>11.107471577188001</v>
      </c>
      <c r="CF52" s="754">
        <f>CF9/IS!CF35</f>
        <v>12.113820334088544</v>
      </c>
      <c r="CG52" s="755">
        <f>CG9/IS!CG35</f>
        <v>12.039052528305625</v>
      </c>
      <c r="CH52" s="705"/>
      <c r="CI52" s="756">
        <f>CI9/IS!CI35</f>
        <v>11.398308362764125</v>
      </c>
      <c r="CJ52" s="754">
        <f>CJ9/IS!CJ35</f>
        <v>11.867360927896705</v>
      </c>
      <c r="CK52" s="754">
        <f>CK9/IS!CK35</f>
        <v>12.436334252612937</v>
      </c>
      <c r="CL52" s="754">
        <f>CL9/IS!CL35</f>
        <v>13.342585963368871</v>
      </c>
      <c r="CM52" s="755">
        <f>CM9/IS!CM35</f>
        <v>13.265098667079638</v>
      </c>
      <c r="CN52" s="705"/>
      <c r="CO52" s="705"/>
      <c r="CP52" s="64"/>
    </row>
    <row r="53" spans="1:94" ht="12.75" hidden="1" customHeight="1" outlineLevel="1">
      <c r="A53" s="757"/>
      <c r="B53" s="495"/>
      <c r="C53" s="758"/>
      <c r="D53" s="758"/>
      <c r="E53" s="758"/>
      <c r="F53" s="758"/>
      <c r="G53" s="758"/>
      <c r="H53" s="495"/>
      <c r="I53" s="758"/>
      <c r="J53" s="758"/>
      <c r="K53" s="758"/>
      <c r="L53" s="758"/>
      <c r="M53" s="758"/>
      <c r="N53" s="495"/>
      <c r="O53" s="758"/>
      <c r="P53" s="758"/>
      <c r="Q53" s="758"/>
      <c r="R53" s="758"/>
      <c r="S53" s="758"/>
      <c r="T53" s="705"/>
      <c r="U53" s="758"/>
      <c r="V53" s="758"/>
      <c r="W53" s="758"/>
      <c r="X53" s="758"/>
      <c r="Y53" s="758"/>
      <c r="Z53" s="705"/>
      <c r="AA53" s="758"/>
      <c r="AB53" s="758"/>
      <c r="AC53" s="758"/>
      <c r="AD53" s="758"/>
      <c r="AE53" s="758"/>
      <c r="AF53" s="705"/>
      <c r="AG53" s="758"/>
      <c r="AH53" s="758"/>
      <c r="AI53" s="758"/>
      <c r="AJ53" s="758"/>
      <c r="AK53" s="758"/>
      <c r="AL53" s="705"/>
      <c r="AM53" s="758"/>
      <c r="AN53" s="758"/>
      <c r="AO53" s="758"/>
      <c r="AP53" s="758"/>
      <c r="AQ53" s="758"/>
      <c r="AR53" s="705"/>
      <c r="AS53" s="758"/>
      <c r="AT53" s="758"/>
      <c r="AU53" s="758"/>
      <c r="AV53" s="758"/>
      <c r="AW53" s="758"/>
      <c r="AX53" s="705"/>
      <c r="AY53" s="758"/>
      <c r="AZ53" s="758"/>
      <c r="BA53" s="758"/>
      <c r="BB53" s="758"/>
      <c r="BC53" s="758"/>
      <c r="BD53" s="705"/>
      <c r="BE53" s="758"/>
      <c r="BF53" s="758"/>
      <c r="BG53" s="758"/>
      <c r="BH53" s="758"/>
      <c r="BI53" s="705"/>
      <c r="BJ53" s="705"/>
      <c r="BK53" s="758"/>
      <c r="BL53" s="758"/>
      <c r="BM53" s="758"/>
      <c r="BN53" s="758"/>
      <c r="BO53" s="705"/>
      <c r="BP53" s="705"/>
      <c r="BQ53" s="758"/>
      <c r="BR53" s="758"/>
      <c r="BS53" s="758"/>
      <c r="BT53" s="758"/>
      <c r="BU53" s="705"/>
      <c r="BV53" s="705"/>
      <c r="BW53" s="758"/>
      <c r="BX53" s="758"/>
      <c r="BY53" s="758"/>
      <c r="BZ53" s="758"/>
      <c r="CA53" s="705"/>
      <c r="CB53" s="705"/>
      <c r="CC53" s="758"/>
      <c r="CD53" s="758"/>
      <c r="CE53" s="758"/>
      <c r="CF53" s="758"/>
      <c r="CG53" s="705"/>
      <c r="CH53" s="495"/>
      <c r="CI53" s="758"/>
      <c r="CJ53" s="758"/>
      <c r="CK53" s="758"/>
      <c r="CL53" s="758"/>
      <c r="CM53" s="705"/>
      <c r="CN53" s="495"/>
      <c r="CO53" s="495"/>
      <c r="CP53" s="64"/>
    </row>
    <row r="54" spans="1:94" ht="12.75" hidden="1" customHeight="1" outlineLevel="1">
      <c r="A54" s="769" t="s">
        <v>295</v>
      </c>
      <c r="B54" s="738"/>
      <c r="C54" s="739"/>
      <c r="D54" s="740"/>
      <c r="E54" s="740"/>
      <c r="F54" s="740"/>
      <c r="G54" s="741"/>
      <c r="H54" s="738"/>
      <c r="I54" s="739"/>
      <c r="J54" s="740"/>
      <c r="K54" s="740"/>
      <c r="L54" s="740"/>
      <c r="M54" s="741"/>
      <c r="N54" s="738"/>
      <c r="O54" s="739"/>
      <c r="P54" s="740"/>
      <c r="Q54" s="740"/>
      <c r="R54" s="740"/>
      <c r="S54" s="741"/>
      <c r="T54" s="742"/>
      <c r="U54" s="739"/>
      <c r="V54" s="740"/>
      <c r="W54" s="740"/>
      <c r="X54" s="740"/>
      <c r="Y54" s="741"/>
      <c r="Z54" s="742"/>
      <c r="AA54" s="739"/>
      <c r="AB54" s="740"/>
      <c r="AC54" s="740"/>
      <c r="AD54" s="740"/>
      <c r="AE54" s="741"/>
      <c r="AF54" s="742"/>
      <c r="AG54" s="739"/>
      <c r="AH54" s="740"/>
      <c r="AI54" s="740"/>
      <c r="AJ54" s="740"/>
      <c r="AK54" s="741"/>
      <c r="AL54" s="742"/>
      <c r="AM54" s="739"/>
      <c r="AN54" s="740"/>
      <c r="AO54" s="740"/>
      <c r="AP54" s="740"/>
      <c r="AQ54" s="741"/>
      <c r="AR54" s="742"/>
      <c r="AS54" s="739"/>
      <c r="AT54" s="740"/>
      <c r="AU54" s="740"/>
      <c r="AV54" s="740"/>
      <c r="AW54" s="741"/>
      <c r="AX54" s="742"/>
      <c r="AY54" s="739"/>
      <c r="AZ54" s="740"/>
      <c r="BA54" s="740"/>
      <c r="BB54" s="740"/>
      <c r="BC54" s="741"/>
      <c r="BD54" s="742"/>
      <c r="BE54" s="739"/>
      <c r="BF54" s="740"/>
      <c r="BG54" s="740"/>
      <c r="BH54" s="740"/>
      <c r="BI54" s="741"/>
      <c r="BJ54" s="742"/>
      <c r="BK54" s="739"/>
      <c r="BL54" s="740"/>
      <c r="BM54" s="740"/>
      <c r="BN54" s="740"/>
      <c r="BO54" s="741"/>
      <c r="BP54" s="742"/>
      <c r="BQ54" s="739"/>
      <c r="BR54" s="740"/>
      <c r="BS54" s="740"/>
      <c r="BT54" s="740"/>
      <c r="BU54" s="741"/>
      <c r="BV54" s="742"/>
      <c r="BW54" s="739"/>
      <c r="BX54" s="740"/>
      <c r="BY54" s="740"/>
      <c r="BZ54" s="740"/>
      <c r="CA54" s="741"/>
      <c r="CB54" s="2125"/>
      <c r="CC54" s="739"/>
      <c r="CD54" s="740"/>
      <c r="CE54" s="740"/>
      <c r="CF54" s="740"/>
      <c r="CG54" s="741"/>
      <c r="CH54" s="743"/>
      <c r="CI54" s="739"/>
      <c r="CJ54" s="740"/>
      <c r="CK54" s="740"/>
      <c r="CL54" s="740"/>
      <c r="CM54" s="741"/>
      <c r="CN54" s="743"/>
      <c r="CO54" s="743"/>
      <c r="CP54" s="6"/>
    </row>
    <row r="55" spans="1:94" ht="12.75" hidden="1" customHeight="1" outlineLevel="1">
      <c r="A55" s="235" t="s">
        <v>296</v>
      </c>
      <c r="B55" s="16"/>
      <c r="C55" s="759">
        <f>(IS!C26*4)/C43</f>
        <v>0.10902849737496251</v>
      </c>
      <c r="D55" s="760">
        <f>(IS!D26*4)/AVERAGE(C43,D43)</f>
        <v>8.8244481929425495E-2</v>
      </c>
      <c r="E55" s="760">
        <f>(IS!E26*4)/AVERAGE(D43,E43)</f>
        <v>0.11259908958288346</v>
      </c>
      <c r="F55" s="760">
        <f>(IS!F26*4)/AVERAGE(E43,F43)</f>
        <v>0.13769745835793232</v>
      </c>
      <c r="G55" s="761">
        <f>(IS!G26)/G43</f>
        <v>0.12036531629374436</v>
      </c>
      <c r="H55" s="16"/>
      <c r="I55" s="759">
        <f>(IS!I26*4)/AVERAGE(G43,I43)</f>
        <v>0.13258607161154881</v>
      </c>
      <c r="J55" s="760">
        <f>(IS!J26*4)/AVERAGE(I43,J43)</f>
        <v>0.12755152917805113</v>
      </c>
      <c r="K55" s="760">
        <f>(IS!K26*4)/AVERAGE(J43,K43)</f>
        <v>0.1586284428428944</v>
      </c>
      <c r="L55" s="760">
        <f>(IS!L26*4)/AVERAGE(K43,L43)</f>
        <v>0.22105990012805327</v>
      </c>
      <c r="M55" s="761">
        <f>(IS!M26)/AVERAGE(G43,M43)</f>
        <v>0.14990953578559657</v>
      </c>
      <c r="N55" s="16"/>
      <c r="O55" s="759">
        <f>(IS!O26*4)/AVERAGE(M43,O43)</f>
        <v>0.17866333686807651</v>
      </c>
      <c r="P55" s="760">
        <f>(IS!P26*4)/AVERAGE(O43,P43)</f>
        <v>0.16429167304551334</v>
      </c>
      <c r="Q55" s="760">
        <f>(IS!Q26*4)/AVERAGE(P43,Q43)</f>
        <v>0.16076669450532363</v>
      </c>
      <c r="R55" s="760">
        <f>(IS!R26*4)/AVERAGE(Q43,R43)</f>
        <v>0.19734090462450843</v>
      </c>
      <c r="S55" s="761">
        <f>(IS!S26)/AVERAGE(M43,S43)</f>
        <v>0.15443114774720551</v>
      </c>
      <c r="T55" s="760"/>
      <c r="U55" s="759">
        <f>(IS!U26*4)/AVERAGE(S43,U43)</f>
        <v>0.21451965768938669</v>
      </c>
      <c r="V55" s="760">
        <f>(IS!V26*4)/AVERAGE(U43,V43)</f>
        <v>0.16972567971188279</v>
      </c>
      <c r="W55" s="760">
        <f>(IS!W26*4)/AVERAGE(V43,W43)</f>
        <v>0.1886054402833568</v>
      </c>
      <c r="X55" s="760">
        <f>(IS!X26*4)/AVERAGE(W43,X43)</f>
        <v>0.19855405624344172</v>
      </c>
      <c r="Y55" s="761">
        <f>(IS!Y26)/AVERAGE(S43,Y43)</f>
        <v>0.17748868304318355</v>
      </c>
      <c r="Z55" s="760"/>
      <c r="AA55" s="759">
        <f>(IS!AA26*4)/AVERAGE(Y43,AA43)</f>
        <v>0.14297073571342434</v>
      </c>
      <c r="AB55" s="760">
        <f>(IS!AB26*4)/AVERAGE(AA43,AB43)</f>
        <v>0.15138248221882256</v>
      </c>
      <c r="AC55" s="760">
        <f>(IS!AC26*4)/AVERAGE(AB43,AC43)</f>
        <v>0.13774915040892668</v>
      </c>
      <c r="AD55" s="760">
        <f>(IS!AD26*4)/AVERAGE(AC43,AD43)</f>
        <v>0.14861542946892156</v>
      </c>
      <c r="AE55" s="761">
        <f>(IS!AE26)/AVERAGE(Y43,AE43)</f>
        <v>0.1415509997733852</v>
      </c>
      <c r="AF55" s="760"/>
      <c r="AG55" s="759">
        <f>(IS!AG26*4)/AVERAGE(AE43,AG43)</f>
        <v>0.12858657069487786</v>
      </c>
      <c r="AH55" s="760">
        <f>(IS!AH26*4)/AVERAGE(AG43,AH43)</f>
        <v>0.10872628305984883</v>
      </c>
      <c r="AI55" s="760">
        <f>(IS!AI26*4)/AVERAGE(AH43,AI43)</f>
        <v>0.11834101998949877</v>
      </c>
      <c r="AJ55" s="760">
        <f>(IS!AJ26*4)/AVERAGE(AI43,AJ43)</f>
        <v>0.14706040350749175</v>
      </c>
      <c r="AK55" s="761">
        <f>(IS!AK26)/AVERAGE(AE43,AK43)</f>
        <v>0.1245650469960503</v>
      </c>
      <c r="AL55" s="760"/>
      <c r="AM55" s="759">
        <f>(IS!AM26*4)/AVERAGE(AK43,AM43)</f>
        <v>0.11223651179765419</v>
      </c>
      <c r="AN55" s="760">
        <f>(IS!AN26*4)/AVERAGE(AM43,AN43)</f>
        <v>0.1266362298736177</v>
      </c>
      <c r="AO55" s="760">
        <f>(IS!AO26*4)/AVERAGE(AN43,AO43)</f>
        <v>0.12414835224721046</v>
      </c>
      <c r="AP55" s="760">
        <f>(IS!AP26*4)/AVERAGE(AO43,AP43)</f>
        <v>0.15935696669841065</v>
      </c>
      <c r="AQ55" s="761">
        <f>(IS!AQ26)/AVERAGE(AK43,AQ43)</f>
        <v>0.12952765849962114</v>
      </c>
      <c r="AR55" s="760"/>
      <c r="AS55" s="759">
        <f>(IS!AS26*4)/AVERAGE(AQ43,AS43)</f>
        <v>0.13462708182476466</v>
      </c>
      <c r="AT55" s="760">
        <f>(IS!AT26*4)/AVERAGE(AS43,AT43)</f>
        <v>0.11083471066697656</v>
      </c>
      <c r="AU55" s="760">
        <f>(IS!AU26*4)/AVERAGE(AT43,AU43)</f>
        <v>0.12784689384313272</v>
      </c>
      <c r="AV55" s="760">
        <f>(IS!AV26*4)/AVERAGE(AU43,AV43)</f>
        <v>0.13401545966228903</v>
      </c>
      <c r="AW55" s="761">
        <f>(IS!AW26)/AVERAGE(AQ43,AW43)</f>
        <v>0.11944208159331839</v>
      </c>
      <c r="AX55" s="760"/>
      <c r="AY55" s="759">
        <f>(IS!AY26*4)/AVERAGE(AW43,AY43)</f>
        <v>0.11701646565285793</v>
      </c>
      <c r="AZ55" s="760">
        <f>(IS!AZ26*4)/AVERAGE(AY43,AZ43)</f>
        <v>0.12302465753424661</v>
      </c>
      <c r="BA55" s="760">
        <f>(IS!BA26*4)/AVERAGE(AZ43,BA43)</f>
        <v>0.14288730177944556</v>
      </c>
      <c r="BB55" s="760">
        <f>(IS!BB26*4)/AVERAGE(BA43,BB43)</f>
        <v>0.1625325272067715</v>
      </c>
      <c r="BC55" s="761">
        <f>(IS!BC26)/AVERAGE(AW43,BC43)</f>
        <v>0.12343053354463816</v>
      </c>
      <c r="BD55" s="760"/>
      <c r="BE55" s="759">
        <f>(IS!BE26*4)/AVERAGE(BC43,BE43)</f>
        <v>0.149375547978568</v>
      </c>
      <c r="BF55" s="760">
        <f>(IS!BF26*4)/AVERAGE(BE43,BF43)</f>
        <v>0.14147922505178515</v>
      </c>
      <c r="BG55" s="760">
        <f>(IS!BG26*4)/AVERAGE(BF43,BG43)</f>
        <v>0.15033415637860079</v>
      </c>
      <c r="BH55" s="760">
        <f>(IS!BH26*4)/AVERAGE(BG43,BH43)</f>
        <v>0.17991642208245978</v>
      </c>
      <c r="BI55" s="761">
        <f>(IS!BI26)/AVERAGE(BC43,BI43)</f>
        <v>0.15490922711058266</v>
      </c>
      <c r="BJ55" s="760"/>
      <c r="BK55" s="759">
        <f>(IS!BK26*4)/AVERAGE(BI43,BK43)</f>
        <v>0.16134051522248244</v>
      </c>
      <c r="BL55" s="760">
        <f>(IS!BL26*4)/AVERAGE(BK43,BL43)</f>
        <v>0.17272211327719456</v>
      </c>
      <c r="BM55" s="760">
        <f>(IS!BM26*4)/AVERAGE(BL43,BM43)</f>
        <v>0.17034841870824052</v>
      </c>
      <c r="BN55" s="760">
        <f>(IS!BN26*4)/AVERAGE(BM43,BN43)</f>
        <v>0.18538986644053423</v>
      </c>
      <c r="BO55" s="761">
        <f>(IS!BO26)/AVERAGE(BI43,BO43)</f>
        <v>0.16964033520785091</v>
      </c>
      <c r="BP55" s="760"/>
      <c r="BQ55" s="759">
        <f>(IS!BQ26*4)/AVERAGE(BO43,BQ43)</f>
        <v>0.18376773641420618</v>
      </c>
      <c r="BR55" s="760">
        <f>(IS!BR26*4)/AVERAGE(BQ43,BR43)</f>
        <v>0.20963163221617484</v>
      </c>
      <c r="BS55" s="760">
        <f>(IS!BS26*4)/AVERAGE(BR43,BS43)</f>
        <v>0.19887833588432371</v>
      </c>
      <c r="BT55" s="760">
        <f>(IS!BT26*4)/AVERAGE(BS43,BT43)</f>
        <v>0.22387888298422937</v>
      </c>
      <c r="BU55" s="761">
        <f>(IS!BU26)/AVERAGE(BO43,BU43)</f>
        <v>0.19772188965363571</v>
      </c>
      <c r="BV55" s="760"/>
      <c r="BW55" s="759">
        <f>(IS!BW26*4)/AVERAGE(BU43,BW43)</f>
        <v>0.19851243509392713</v>
      </c>
      <c r="BX55" s="760">
        <f>(IS!BX26*4)/AVERAGE(BW43,BX43)</f>
        <v>0.2141618366691781</v>
      </c>
      <c r="BY55" s="760">
        <f>(IS!BY26*4)/AVERAGE(BX43,BY43)</f>
        <v>0.20438077060585194</v>
      </c>
      <c r="BZ55" s="760">
        <f>(IS!BZ26*4)/AVERAGE(BY43,BZ43)</f>
        <v>0.22793340268140302</v>
      </c>
      <c r="CA55" s="761">
        <f>(IS!CA26)/AVERAGE(BU43,CA43)</f>
        <v>0.21102575715985886</v>
      </c>
      <c r="CB55" s="760"/>
      <c r="CC55" s="759">
        <f>(IS!CC26*4)/AVERAGE(CA43,CC43)</f>
        <v>0.20172939602390574</v>
      </c>
      <c r="CD55" s="760">
        <f>(IS!CD26*4)/AVERAGE(CC43,CD43)</f>
        <v>0.26438904766436044</v>
      </c>
      <c r="CE55" s="760">
        <f>(IS!CE26*4)/AVERAGE(CD43,CE43)</f>
        <v>0.253478162206147</v>
      </c>
      <c r="CF55" s="760">
        <f>(IS!CF26*4)/AVERAGE(CE43,CF43)</f>
        <v>0.27328965089696938</v>
      </c>
      <c r="CG55" s="761">
        <f>(IS!CG26)/AVERAGE(CA43,CG43)</f>
        <v>0.24727590654298054</v>
      </c>
      <c r="CH55" s="16"/>
      <c r="CI55" s="759">
        <f>(IS!CI26*4)/AVERAGE(CG43,CI43)</f>
        <v>0.24392997777618516</v>
      </c>
      <c r="CJ55" s="760">
        <f>(IS!CJ26*4)/AVERAGE(CI43,CJ43)</f>
        <v>0.20628535286124863</v>
      </c>
      <c r="CK55" s="760">
        <f>(IS!CK26*4)/AVERAGE(CJ43,CK43)</f>
        <v>0.19808949334649925</v>
      </c>
      <c r="CL55" s="760">
        <f>(IS!CL26*4)/AVERAGE(CK43,CL43)</f>
        <v>0.21726784874629013</v>
      </c>
      <c r="CM55" s="761">
        <f>(IS!CM26)/AVERAGE(CG43,CM43)</f>
        <v>0.21655971510494521</v>
      </c>
      <c r="CN55" s="16"/>
      <c r="CO55" s="16"/>
      <c r="CP55" s="201"/>
    </row>
    <row r="56" spans="1:94" ht="12.75" hidden="1" customHeight="1" outlineLevel="1">
      <c r="A56" s="235" t="s">
        <v>297</v>
      </c>
      <c r="B56" s="16"/>
      <c r="C56" s="759">
        <f>(IS!C26*4)/C23</f>
        <v>6.2222354121684233E-2</v>
      </c>
      <c r="D56" s="760">
        <f>(IS!D26*4)/AVERAGE(C23,D23)</f>
        <v>5.0318291456687307E-2</v>
      </c>
      <c r="E56" s="760">
        <f>(IS!E26*4)/AVERAGE(D23,E23)</f>
        <v>6.1772251644489282E-2</v>
      </c>
      <c r="F56" s="760">
        <f>(IS!F26*4)/AVERAGE(E23,F23)</f>
        <v>6.8443242554247594E-2</v>
      </c>
      <c r="G56" s="762">
        <f>(IS!G26)/G23</f>
        <v>5.6782837621250158E-2</v>
      </c>
      <c r="H56" s="16"/>
      <c r="I56" s="759">
        <f>(IS!I26*4)/AVERAGE(G23,I23)</f>
        <v>5.7068431223237348E-2</v>
      </c>
      <c r="J56" s="760">
        <f>(IS!J26*4)/AVERAGE(I23,J23)</f>
        <v>4.920767292780389E-2</v>
      </c>
      <c r="K56" s="760">
        <f>(IS!K26*4)/AVERAGE(J23,K23)</f>
        <v>6.1093995674101821E-2</v>
      </c>
      <c r="L56" s="760">
        <f>(IS!L26*4)/AVERAGE(K23,L23)</f>
        <v>8.5055034725343495E-2</v>
      </c>
      <c r="M56" s="762">
        <f>(IS!M26)/AVERAGE(G23,M23)</f>
        <v>6.4301114922259997E-2</v>
      </c>
      <c r="N56" s="16"/>
      <c r="O56" s="759">
        <f>(IS!O26*4)/AVERAGE(M23,O23)</f>
        <v>5.9600564375526702E-2</v>
      </c>
      <c r="P56" s="760">
        <f>(IS!P26*4)/AVERAGE(O23,P23)</f>
        <v>4.8515337918843784E-2</v>
      </c>
      <c r="Q56" s="760">
        <f>(IS!Q26*4)/AVERAGE(P23,Q23)</f>
        <v>4.9467198914122559E-2</v>
      </c>
      <c r="R56" s="760">
        <f>(IS!R26*4)/AVERAGE(Q23,R23)</f>
        <v>5.7043923521923084E-2</v>
      </c>
      <c r="S56" s="762">
        <f>(IS!S26)/AVERAGE(M23,S23)</f>
        <v>4.996174502249992E-2</v>
      </c>
      <c r="T56" s="760"/>
      <c r="U56" s="759">
        <f>(IS!U26*4)/AVERAGE(S23,U23)</f>
        <v>5.8598439487860428E-2</v>
      </c>
      <c r="V56" s="760">
        <f>(IS!V26*4)/AVERAGE(U23,V23)</f>
        <v>4.8097551282652112E-2</v>
      </c>
      <c r="W56" s="760">
        <f>(IS!W26*4)/AVERAGE(V23,W23)</f>
        <v>5.1160148735482962E-2</v>
      </c>
      <c r="X56" s="760">
        <f>(IS!X26*4)/AVERAGE(W23,X23)</f>
        <v>5.4478907268937532E-2</v>
      </c>
      <c r="Y56" s="762">
        <f>(IS!Y26)/AVERAGE(S23,Y23)</f>
        <v>5.0519945529659979E-2</v>
      </c>
      <c r="Z56" s="760"/>
      <c r="AA56" s="759">
        <f>(IS!AA26*4)/AVERAGE(Y23,AA23)</f>
        <v>4.6302773609301004E-2</v>
      </c>
      <c r="AB56" s="760">
        <f>(IS!AB26*4)/AVERAGE(AA23,AB23)</f>
        <v>6.0239708069565752E-2</v>
      </c>
      <c r="AC56" s="760">
        <f>(IS!AC26*4)/AVERAGE(AB23,AC23)</f>
        <v>6.0140712185276661E-2</v>
      </c>
      <c r="AD56" s="760">
        <f>(IS!AD26*4)/AVERAGE(AC23,AD23)</f>
        <v>6.6821753544245577E-2</v>
      </c>
      <c r="AE56" s="762">
        <f>(IS!AE26)/AVERAGE(Y23,AE23)</f>
        <v>5.2626671865181079E-2</v>
      </c>
      <c r="AF56" s="760"/>
      <c r="AG56" s="759">
        <f>(IS!AG26*4)/AVERAGE(AE23,AG23)</f>
        <v>5.915600276048473E-2</v>
      </c>
      <c r="AH56" s="760">
        <f>(IS!AH26*4)/AVERAGE(AG23,AH23)</f>
        <v>5.1520301872074167E-2</v>
      </c>
      <c r="AI56" s="760">
        <f>(IS!AI26*4)/AVERAGE(AH23,AI23)</f>
        <v>5.658932337011921E-2</v>
      </c>
      <c r="AJ56" s="760">
        <f>(IS!AJ26*4)/AVERAGE(AI23,AJ23)</f>
        <v>6.8635043844131924E-2</v>
      </c>
      <c r="AK56" s="762">
        <f>(IS!AK26)/AVERAGE(AE23,AK23)</f>
        <v>5.7197354740968306E-2</v>
      </c>
      <c r="AL56" s="760"/>
      <c r="AM56" s="759">
        <f>(IS!AM26*4)/AVERAGE(AK23,AM23)</f>
        <v>5.2776803441550162E-2</v>
      </c>
      <c r="AN56" s="760">
        <f>(IS!AN26*4)/AVERAGE(AM23,AN23)</f>
        <v>6.1030462809555257E-2</v>
      </c>
      <c r="AO56" s="760">
        <f>(IS!AO26*4)/AVERAGE(AN23,AO23)</f>
        <v>5.6902377122661621E-2</v>
      </c>
      <c r="AP56" s="760">
        <f>(IS!AP26*4)/AVERAGE(AO23,AP23)</f>
        <v>7.1584219687899839E-2</v>
      </c>
      <c r="AQ56" s="762">
        <f>(IS!AQ26)/AVERAGE(AK23,AQ23)</f>
        <v>6.0113709630150641E-2</v>
      </c>
      <c r="AR56" s="760"/>
      <c r="AS56" s="759">
        <f>(IS!AS26*4)/AVERAGE(AQ23,AS23)</f>
        <v>6.4243261921216308E-2</v>
      </c>
      <c r="AT56" s="760">
        <f>(IS!AT26*4)/AVERAGE(AS23,AT23)</f>
        <v>5.3822566301771825E-2</v>
      </c>
      <c r="AU56" s="760">
        <f>(IS!AU26*4)/AVERAGE(AT23,AU23)</f>
        <v>6.3618472150370753E-2</v>
      </c>
      <c r="AV56" s="760">
        <f>(IS!AV26*4)/AVERAGE(AU23,AV23)</f>
        <v>6.6924022485946338E-2</v>
      </c>
      <c r="AW56" s="762">
        <f>(IS!AW26)/AVERAGE(AQ23,AW23)</f>
        <v>5.7235856123967387E-2</v>
      </c>
      <c r="AX56" s="760"/>
      <c r="AY56" s="759">
        <f>(IS!AY26*4)/AVERAGE(AW23,AY23)</f>
        <v>6.0803923705722095E-2</v>
      </c>
      <c r="AZ56" s="760">
        <f>(IS!AZ26*4)/AVERAGE(AY23,AZ23)</f>
        <v>6.9170986538075172E-2</v>
      </c>
      <c r="BA56" s="760">
        <f>(IS!BA26*4)/AVERAGE(AZ23,BA23)</f>
        <v>8.0501398076791908E-2</v>
      </c>
      <c r="BB56" s="760">
        <f>(IS!BB26*4)/AVERAGE(BA23,BB23)</f>
        <v>9.1252138492871712E-2</v>
      </c>
      <c r="BC56" s="762">
        <f>(IS!BC26)/AVERAGE(AW23,BC23)</f>
        <v>6.3805024576734037E-2</v>
      </c>
      <c r="BD56" s="760"/>
      <c r="BE56" s="759">
        <f>(IS!BE26*4)/AVERAGE(BC23,BE23)</f>
        <v>8.2989784182396359E-2</v>
      </c>
      <c r="BF56" s="760">
        <f>(IS!BF26*4)/AVERAGE(BE23,BF23)</f>
        <v>7.7708472761343919E-2</v>
      </c>
      <c r="BG56" s="760">
        <f>(IS!BG26*4)/AVERAGE(BF23,BG23)</f>
        <v>8.3165864446468035E-2</v>
      </c>
      <c r="BH56" s="760">
        <f>(IS!BH26*4)/AVERAGE(BG23,BH23)</f>
        <v>9.9431153450051463E-2</v>
      </c>
      <c r="BI56" s="762">
        <f>(IS!BI26)/AVERAGE(BC23,BI23)</f>
        <v>8.5255323604476158E-2</v>
      </c>
      <c r="BJ56" s="760"/>
      <c r="BK56" s="759">
        <f>(IS!BK26*4)/AVERAGE(BI23,BK23)</f>
        <v>8.7906596912083704E-2</v>
      </c>
      <c r="BL56" s="760">
        <f>(IS!BL26*4)/AVERAGE(BK23,BL23)</f>
        <v>9.4242698892245694E-2</v>
      </c>
      <c r="BM56" s="760">
        <f>(IS!BM26*4)/AVERAGE(BL23,BM23)</f>
        <v>9.3981003870492102E-2</v>
      </c>
      <c r="BN56" s="760">
        <f>(IS!BN26*4)/AVERAGE(BM23,BN23)</f>
        <v>0.10479137207908927</v>
      </c>
      <c r="BO56" s="762">
        <f>(IS!BO26)/AVERAGE(BI23,BO23)</f>
        <v>9.4785792619062281E-2</v>
      </c>
      <c r="BP56" s="760"/>
      <c r="BQ56" s="759">
        <f>(IS!BQ26*4)/AVERAGE(BO23,BQ23)</f>
        <v>0.10030132539265484</v>
      </c>
      <c r="BR56" s="760">
        <f>(IS!BR26*4)/AVERAGE(BQ23,BR23)</f>
        <v>0.10911912770630641</v>
      </c>
      <c r="BS56" s="760">
        <f>(IS!BS26*4)/AVERAGE(BR23,BS23)</f>
        <v>0.10402547451908914</v>
      </c>
      <c r="BT56" s="760">
        <f>(IS!BT26*4)/AVERAGE(BS23,BT23)</f>
        <v>0.117473960196616</v>
      </c>
      <c r="BU56" s="762">
        <f>(IS!BU26)/AVERAGE(BO23,BU23)</f>
        <v>0.10828181968390026</v>
      </c>
      <c r="BV56" s="760"/>
      <c r="BW56" s="759">
        <f>(IS!BW26*4)/AVERAGE(BU23,BW23)</f>
        <v>0.10517927879290269</v>
      </c>
      <c r="BX56" s="760">
        <f>(IS!BX26*4)/AVERAGE(BW23,BX23)</f>
        <v>0.11489911241080358</v>
      </c>
      <c r="BY56" s="760">
        <f>(IS!BY26*4)/AVERAGE(BX23,BY23)</f>
        <v>0.11038418471479884</v>
      </c>
      <c r="BZ56" s="760">
        <f>(IS!BZ26*4)/AVERAGE(BY23,BZ23)</f>
        <v>0.12373116398882096</v>
      </c>
      <c r="CA56" s="762">
        <f>(IS!CA26)/AVERAGE(BU23,CA23)</f>
        <v>0.11272447092777482</v>
      </c>
      <c r="CB56" s="760"/>
      <c r="CC56" s="759">
        <f>(IS!CC26*4)/AVERAGE(CA23,CC23)</f>
        <v>0.11390610503211077</v>
      </c>
      <c r="CD56" s="760">
        <f>(IS!CD26*4)/AVERAGE(CC23,CD23)</f>
        <v>0.15600389663789005</v>
      </c>
      <c r="CE56" s="760">
        <f>(IS!CE26*4)/AVERAGE(CD23,CE23)</f>
        <v>0.15123714776015273</v>
      </c>
      <c r="CF56" s="760">
        <f>(IS!CF26*4)/AVERAGE(CE23,CF23)</f>
        <v>0.16459583292924443</v>
      </c>
      <c r="CG56" s="762">
        <f>(IS!CG26)/AVERAGE(CA23,CG23)</f>
        <v>0.14200435588259708</v>
      </c>
      <c r="CH56" s="16"/>
      <c r="CI56" s="759">
        <f>(IS!CI26*4)/AVERAGE(CG23,CI23)</f>
        <v>0.15246880606638771</v>
      </c>
      <c r="CJ56" s="760">
        <f>(IS!CJ26*4)/AVERAGE(CI23,CJ23)</f>
        <v>0.13362084043473943</v>
      </c>
      <c r="CK56" s="760">
        <f>(IS!CK26*4)/AVERAGE(CJ23,CK23)</f>
        <v>0.12889785073506027</v>
      </c>
      <c r="CL56" s="760">
        <f>(IS!CL26*4)/AVERAGE(CK23,CL23)</f>
        <v>0.1418178984608626</v>
      </c>
      <c r="CM56" s="762">
        <f>(IS!CM26)/AVERAGE(CG23,CM23)</f>
        <v>0.1362442377201166</v>
      </c>
      <c r="CN56" s="16"/>
      <c r="CO56" s="16"/>
      <c r="CP56" s="201"/>
    </row>
    <row r="57" spans="1:94" ht="12.75" hidden="1" customHeight="1" outlineLevel="1">
      <c r="A57" s="1884" t="s">
        <v>608</v>
      </c>
      <c r="B57" s="16"/>
      <c r="C57" s="763">
        <f>C219</f>
        <v>9.3597998780872702E-2</v>
      </c>
      <c r="D57" s="764">
        <f>D219</f>
        <v>6.7011961962842856E-2</v>
      </c>
      <c r="E57" s="764">
        <f>E219</f>
        <v>9.3725515639444493E-2</v>
      </c>
      <c r="F57" s="764">
        <f>F219</f>
        <v>0.1104759404528783</v>
      </c>
      <c r="G57" s="765">
        <f>G219</f>
        <v>9.1836441419150136E-2</v>
      </c>
      <c r="H57" s="16"/>
      <c r="I57" s="763">
        <f>I219</f>
        <v>8.668047353354269E-2</v>
      </c>
      <c r="J57" s="764">
        <f>J219</f>
        <v>8.7622832692939565E-2</v>
      </c>
      <c r="K57" s="764">
        <f>K219</f>
        <v>0.10572051018989825</v>
      </c>
      <c r="L57" s="764">
        <f>L219</f>
        <v>0.14781132039823647</v>
      </c>
      <c r="M57" s="765">
        <f>M219</f>
        <v>0.10625469527919022</v>
      </c>
      <c r="N57" s="16"/>
      <c r="O57" s="763">
        <f>O219</f>
        <v>9.3995192949184875E-2</v>
      </c>
      <c r="P57" s="764">
        <f>P219</f>
        <v>9.2699774751775044E-2</v>
      </c>
      <c r="Q57" s="764">
        <f>Q219</f>
        <v>9.5337691993359008E-2</v>
      </c>
      <c r="R57" s="764">
        <f>R219</f>
        <v>0.11420182556077689</v>
      </c>
      <c r="S57" s="765">
        <f>S219</f>
        <v>9.8876859816631205E-2</v>
      </c>
      <c r="T57" s="760"/>
      <c r="U57" s="763">
        <f>U219</f>
        <v>0.14327571112114654</v>
      </c>
      <c r="V57" s="764">
        <f>V219</f>
        <v>0.12108733563016449</v>
      </c>
      <c r="W57" s="764">
        <f>W219</f>
        <v>0.12510328869063989</v>
      </c>
      <c r="X57" s="764">
        <f>X219</f>
        <v>0.14410458681659544</v>
      </c>
      <c r="Y57" s="765">
        <f>Y219</f>
        <v>0.13360949070725478</v>
      </c>
      <c r="Z57" s="760"/>
      <c r="AA57" s="763">
        <f>AA219</f>
        <v>0.21956619829271928</v>
      </c>
      <c r="AB57" s="764">
        <f>AB219</f>
        <v>0.25488960295535223</v>
      </c>
      <c r="AC57" s="764">
        <f>AC219</f>
        <v>0.26801917627090205</v>
      </c>
      <c r="AD57" s="764">
        <f>AD219</f>
        <v>0.32134093511627121</v>
      </c>
      <c r="AE57" s="765">
        <f>AE219</f>
        <v>0.26566458822219857</v>
      </c>
      <c r="AF57" s="760"/>
      <c r="AG57" s="763">
        <f>AG219</f>
        <v>0.32613982540515513</v>
      </c>
      <c r="AH57" s="764">
        <f>AH219</f>
        <v>0.2800054676201672</v>
      </c>
      <c r="AI57" s="764">
        <f>AI219</f>
        <v>0.21762225241232538</v>
      </c>
      <c r="AJ57" s="764">
        <f>AJ219</f>
        <v>0.25349122090649245</v>
      </c>
      <c r="AK57" s="765">
        <f>AK219</f>
        <v>0.26251515966005906</v>
      </c>
      <c r="AL57" s="760"/>
      <c r="AM57" s="763">
        <f>AM219</f>
        <v>0.20837324031771526</v>
      </c>
      <c r="AN57" s="764">
        <f>AN219</f>
        <v>0.23500309605896333</v>
      </c>
      <c r="AO57" s="764">
        <f>AO219</f>
        <v>0.23580316493406153</v>
      </c>
      <c r="AP57" s="764">
        <f>AP219</f>
        <v>0.29982728842832468</v>
      </c>
      <c r="AQ57" s="765">
        <f>AQ219</f>
        <v>0.24389101579571196</v>
      </c>
      <c r="AR57" s="760"/>
      <c r="AS57" s="763">
        <f>AS219</f>
        <v>0.27630166169578185</v>
      </c>
      <c r="AT57" s="764">
        <f>AT219</f>
        <v>0.24996513368983961</v>
      </c>
      <c r="AU57" s="764">
        <f>AU219</f>
        <v>0.27701914396887156</v>
      </c>
      <c r="AV57" s="764">
        <f>AV219</f>
        <v>0.14183541948310147</v>
      </c>
      <c r="AW57" s="765">
        <f>AW219</f>
        <v>0.2148130718954249</v>
      </c>
      <c r="AX57" s="760"/>
      <c r="AY57" s="763">
        <f>AY219</f>
        <v>0.26566437399576248</v>
      </c>
      <c r="AZ57" s="764">
        <f>AZ219</f>
        <v>0.27839736009739202</v>
      </c>
      <c r="BA57" s="764">
        <f>BA219</f>
        <v>0.32559524206888918</v>
      </c>
      <c r="BB57" s="764">
        <f>BB219</f>
        <v>0.33396017377265791</v>
      </c>
      <c r="BC57" s="765">
        <f>BC219</f>
        <v>0.30094828855023642</v>
      </c>
      <c r="BD57" s="760"/>
      <c r="BE57" s="763">
        <f>BE219</f>
        <v>0.32440319740403956</v>
      </c>
      <c r="BF57" s="764">
        <f>BF219</f>
        <v>0.3050880423981453</v>
      </c>
      <c r="BG57" s="764">
        <f>BG219</f>
        <v>0.3231700260177453</v>
      </c>
      <c r="BH57" s="764">
        <f>BH219</f>
        <v>0.40034037710446224</v>
      </c>
      <c r="BI57" s="765">
        <f>BI219</f>
        <v>0.33824155506155207</v>
      </c>
      <c r="BJ57" s="760"/>
      <c r="BK57" s="763">
        <f>BK219</f>
        <v>0.33362391771889888</v>
      </c>
      <c r="BL57" s="764">
        <f>BL219</f>
        <v>0.36911645728213988</v>
      </c>
      <c r="BM57" s="764">
        <f>BM219</f>
        <v>0.37202835283291197</v>
      </c>
      <c r="BN57" s="764">
        <f>BN219</f>
        <v>0.42837381229220461</v>
      </c>
      <c r="BO57" s="765">
        <f>BO219</f>
        <v>0.37539634714622883</v>
      </c>
      <c r="BP57" s="760"/>
      <c r="BQ57" s="763">
        <f>BQ219</f>
        <v>0.40560743943719857</v>
      </c>
      <c r="BR57" s="764">
        <f>BR219</f>
        <v>0.44140166123345065</v>
      </c>
      <c r="BS57" s="764">
        <f>BS219</f>
        <v>0.42596719383505255</v>
      </c>
      <c r="BT57" s="764">
        <f>BT219</f>
        <v>0.49609881330595923</v>
      </c>
      <c r="BU57" s="765">
        <f>BU219</f>
        <v>0.44210561683468663</v>
      </c>
      <c r="BV57" s="760"/>
      <c r="BW57" s="763">
        <f>BW219</f>
        <v>0.43502254977662347</v>
      </c>
      <c r="BX57" s="764">
        <f>BX219</f>
        <v>0.47476652205227349</v>
      </c>
      <c r="BY57" s="764">
        <f>BY219</f>
        <v>0.46474990025780694</v>
      </c>
      <c r="BZ57" s="764">
        <f>BZ219</f>
        <v>0.54268784898856304</v>
      </c>
      <c r="CA57" s="765">
        <f>CA219</f>
        <v>0.4789357079780589</v>
      </c>
      <c r="CB57" s="760"/>
      <c r="CC57" s="763">
        <f>CC219</f>
        <v>0.46541736757131213</v>
      </c>
      <c r="CD57" s="764">
        <f>CD219</f>
        <v>0.51010950600978777</v>
      </c>
      <c r="CE57" s="764">
        <f>CE219</f>
        <v>0.50001696112117211</v>
      </c>
      <c r="CF57" s="764">
        <f>CF219</f>
        <v>0.58088219230557281</v>
      </c>
      <c r="CG57" s="765">
        <f>CG219</f>
        <v>0.51382314314496214</v>
      </c>
      <c r="CH57" s="16"/>
      <c r="CI57" s="763">
        <f>CI219</f>
        <v>0.49543649380620941</v>
      </c>
      <c r="CJ57" s="764">
        <f>CJ219</f>
        <v>0.54652086578611681</v>
      </c>
      <c r="CK57" s="764">
        <f>CK219</f>
        <v>0.53739901524910949</v>
      </c>
      <c r="CL57" s="764">
        <f>CL219</f>
        <v>0.62298611674427118</v>
      </c>
      <c r="CM57" s="765">
        <f>CM219</f>
        <v>0.55030295710902744</v>
      </c>
      <c r="CN57" s="16"/>
      <c r="CO57" s="16"/>
      <c r="CP57" s="201"/>
    </row>
    <row r="58" spans="1:94" ht="12.75" hidden="1" customHeight="1" outlineLevel="1">
      <c r="A58" s="766"/>
      <c r="B58" s="743"/>
      <c r="C58" s="767"/>
      <c r="D58" s="767"/>
      <c r="E58" s="767"/>
      <c r="F58" s="767"/>
      <c r="G58" s="767"/>
      <c r="H58" s="743"/>
      <c r="I58" s="767"/>
      <c r="J58" s="767"/>
      <c r="K58" s="767"/>
      <c r="L58" s="767"/>
      <c r="M58" s="767"/>
      <c r="N58" s="743"/>
      <c r="O58" s="767"/>
      <c r="P58" s="767"/>
      <c r="Q58" s="767"/>
      <c r="R58" s="767"/>
      <c r="S58" s="767"/>
      <c r="T58" s="768"/>
      <c r="U58" s="767"/>
      <c r="V58" s="767"/>
      <c r="W58" s="767"/>
      <c r="X58" s="767"/>
      <c r="Y58" s="767"/>
      <c r="Z58" s="768"/>
      <c r="AA58" s="767"/>
      <c r="AB58" s="767"/>
      <c r="AC58" s="767"/>
      <c r="AD58" s="767"/>
      <c r="AE58" s="767"/>
      <c r="AF58" s="768"/>
      <c r="AG58" s="767"/>
      <c r="AH58" s="767"/>
      <c r="AI58" s="767"/>
      <c r="AJ58" s="767"/>
      <c r="AK58" s="767"/>
      <c r="AL58" s="768"/>
      <c r="AM58" s="767"/>
      <c r="AN58" s="767"/>
      <c r="AO58" s="767"/>
      <c r="AP58" s="767"/>
      <c r="AQ58" s="767"/>
      <c r="AR58" s="768"/>
      <c r="AS58" s="767"/>
      <c r="AT58" s="767"/>
      <c r="AU58" s="767"/>
      <c r="AV58" s="767"/>
      <c r="AW58" s="767"/>
      <c r="AX58" s="768"/>
      <c r="AY58" s="767"/>
      <c r="AZ58" s="767"/>
      <c r="BA58" s="767"/>
      <c r="BB58" s="767"/>
      <c r="BC58" s="767"/>
      <c r="BD58" s="768"/>
      <c r="BE58" s="767"/>
      <c r="BF58" s="767"/>
      <c r="BG58" s="767"/>
      <c r="BH58" s="767"/>
      <c r="BI58" s="768"/>
      <c r="BJ58" s="768"/>
      <c r="BK58" s="767"/>
      <c r="BL58" s="767"/>
      <c r="BM58" s="767"/>
      <c r="BN58" s="767"/>
      <c r="BO58" s="768"/>
      <c r="BP58" s="768"/>
      <c r="BQ58" s="767"/>
      <c r="BR58" s="767"/>
      <c r="BS58" s="767"/>
      <c r="BT58" s="767"/>
      <c r="BU58" s="768"/>
      <c r="BV58" s="768"/>
      <c r="BW58" s="767"/>
      <c r="BX58" s="767"/>
      <c r="BY58" s="767"/>
      <c r="BZ58" s="767"/>
      <c r="CA58" s="768"/>
      <c r="CB58" s="768"/>
      <c r="CC58" s="767"/>
      <c r="CD58" s="767"/>
      <c r="CE58" s="767"/>
      <c r="CF58" s="767"/>
      <c r="CG58" s="768"/>
      <c r="CH58" s="743"/>
      <c r="CI58" s="767"/>
      <c r="CJ58" s="767"/>
      <c r="CK58" s="767"/>
      <c r="CL58" s="767"/>
      <c r="CM58" s="768"/>
      <c r="CN58" s="743"/>
      <c r="CO58" s="743"/>
      <c r="CP58" s="6"/>
    </row>
    <row r="59" spans="1:94" ht="12.75" customHeight="1" collapsed="1">
      <c r="A59" s="769" t="s">
        <v>299</v>
      </c>
      <c r="B59" s="738"/>
      <c r="C59" s="739"/>
      <c r="D59" s="740"/>
      <c r="E59" s="740"/>
      <c r="F59" s="740"/>
      <c r="G59" s="741"/>
      <c r="H59" s="738"/>
      <c r="I59" s="739"/>
      <c r="J59" s="740"/>
      <c r="K59" s="740"/>
      <c r="L59" s="740"/>
      <c r="M59" s="741"/>
      <c r="N59" s="738"/>
      <c r="O59" s="739"/>
      <c r="P59" s="740"/>
      <c r="Q59" s="740"/>
      <c r="R59" s="740"/>
      <c r="S59" s="741"/>
      <c r="T59" s="742"/>
      <c r="U59" s="739"/>
      <c r="V59" s="740"/>
      <c r="W59" s="740"/>
      <c r="X59" s="740"/>
      <c r="Y59" s="741"/>
      <c r="Z59" s="742"/>
      <c r="AA59" s="739"/>
      <c r="AB59" s="740"/>
      <c r="AC59" s="740"/>
      <c r="AD59" s="740"/>
      <c r="AE59" s="741"/>
      <c r="AF59" s="742"/>
      <c r="AG59" s="739"/>
      <c r="AH59" s="740"/>
      <c r="AI59" s="740"/>
      <c r="AJ59" s="740"/>
      <c r="AK59" s="741"/>
      <c r="AL59" s="742"/>
      <c r="AM59" s="739"/>
      <c r="AN59" s="740"/>
      <c r="AO59" s="740"/>
      <c r="AP59" s="740"/>
      <c r="AQ59" s="741"/>
      <c r="AR59" s="742"/>
      <c r="AS59" s="739"/>
      <c r="AT59" s="740"/>
      <c r="AU59" s="740"/>
      <c r="AV59" s="740"/>
      <c r="AW59" s="741"/>
      <c r="AX59" s="742"/>
      <c r="AY59" s="739"/>
      <c r="AZ59" s="740"/>
      <c r="BA59" s="740"/>
      <c r="BB59" s="740"/>
      <c r="BC59" s="741"/>
      <c r="BD59" s="742"/>
      <c r="BE59" s="739"/>
      <c r="BF59" s="740"/>
      <c r="BG59" s="740"/>
      <c r="BH59" s="740"/>
      <c r="BI59" s="741"/>
      <c r="BJ59" s="742"/>
      <c r="BK59" s="739"/>
      <c r="BL59" s="740"/>
      <c r="BM59" s="740"/>
      <c r="BN59" s="740"/>
      <c r="BO59" s="741"/>
      <c r="BP59" s="742"/>
      <c r="BQ59" s="739"/>
      <c r="BR59" s="740"/>
      <c r="BS59" s="740"/>
      <c r="BT59" s="740"/>
      <c r="BU59" s="741"/>
      <c r="BV59" s="742"/>
      <c r="BW59" s="739"/>
      <c r="BX59" s="740"/>
      <c r="BY59" s="740"/>
      <c r="BZ59" s="740"/>
      <c r="CA59" s="741"/>
      <c r="CB59" s="2125"/>
      <c r="CC59" s="739"/>
      <c r="CD59" s="740"/>
      <c r="CE59" s="740"/>
      <c r="CF59" s="740"/>
      <c r="CG59" s="741"/>
      <c r="CH59" s="743"/>
      <c r="CI59" s="739"/>
      <c r="CJ59" s="740"/>
      <c r="CK59" s="740"/>
      <c r="CL59" s="740"/>
      <c r="CM59" s="741"/>
      <c r="CN59" s="743"/>
      <c r="CO59" s="743"/>
      <c r="CP59" s="6"/>
    </row>
    <row r="60" spans="1:94" ht="12.75" customHeight="1">
      <c r="A60" s="770" t="s">
        <v>300</v>
      </c>
      <c r="B60" s="495"/>
      <c r="C60" s="706">
        <f>IF(IS!C16&lt;0,"NM",(IS!C16)/-IS!C21)</f>
        <v>4.3043478260869561</v>
      </c>
      <c r="D60" s="705">
        <f>IF(IS!D16&lt;0,"NM",(IS!D16)/-IS!D21)</f>
        <v>3.5454545454545454</v>
      </c>
      <c r="E60" s="705">
        <f>IF(IS!E16&lt;0,"NM",(IS!E16)/-IS!E21)</f>
        <v>4.3913043478260869</v>
      </c>
      <c r="F60" s="705">
        <f>IF(IS!F16&lt;0,"NM",(IS!F16)/-IS!F21)</f>
        <v>5.4347826086956532</v>
      </c>
      <c r="G60" s="771">
        <f>IF(IS!G16&lt;0,"NM",(IS!G16)/-IS!G21)</f>
        <v>5.0195360195360195</v>
      </c>
      <c r="H60" s="495"/>
      <c r="I60" s="706">
        <f>IF(IS!I16&lt;0,"NM",(IS!I16)/-IS!I21)</f>
        <v>3.5</v>
      </c>
      <c r="J60" s="705">
        <f>IF(IS!J16&lt;0,"NM",(IS!J16)/-IS!J21)</f>
        <v>3.5517241379310347</v>
      </c>
      <c r="K60" s="705">
        <f>IF(IS!K16&lt;0,"NM",(IS!K16)/-IS!K21)</f>
        <v>3.870967741935484</v>
      </c>
      <c r="L60" s="705">
        <f>IF(IS!L16&lt;0,"NM",(IS!L16)/-IS!L21)</f>
        <v>4.666666666666667</v>
      </c>
      <c r="M60" s="771">
        <f>IF(IS!M16&lt;0,"NM",(IS!M16)/-IS!M21)</f>
        <v>4.3261065943992767</v>
      </c>
      <c r="N60" s="495"/>
      <c r="O60" s="706">
        <f>IF(IS!O16&lt;0,"NM",(IS!O16)/-IS!O21)</f>
        <v>5.3853478260869565</v>
      </c>
      <c r="P60" s="705">
        <f>IF(IS!P16&lt;0,"NM",(IS!P16)/-IS!P21)</f>
        <v>4.6880434782608713</v>
      </c>
      <c r="Q60" s="705">
        <f>IF(IS!Q16&lt;0,"NM",(IS!Q16)/-IS!Q21)</f>
        <v>5.2020476190476215</v>
      </c>
      <c r="R60" s="705">
        <f>IF(IS!R16&lt;0,"NM",(IS!R16)/-IS!R21)</f>
        <v>5.9396190476190487</v>
      </c>
      <c r="S60" s="771">
        <f>IF(IS!S16&lt;0,"NM",(IS!S16)/-IS!S21)</f>
        <v>5.8598068181818181</v>
      </c>
      <c r="T60" s="705"/>
      <c r="U60" s="706">
        <f>IF(IS!U16&lt;0,"NM",(IS!U16)/-IS!U21)</f>
        <v>6.6806956521739131</v>
      </c>
      <c r="V60" s="705">
        <f>IF(IS!V16&lt;0,"NM",(IS!V16)/-IS!V21)</f>
        <v>5.5500454545454545</v>
      </c>
      <c r="W60" s="705">
        <f>IF(IS!W16&lt;0,"NM",(IS!W16)/-IS!W21)</f>
        <v>6.0750833333333345</v>
      </c>
      <c r="X60" s="705">
        <f>IF(IS!X16&lt;0,"NM",(IS!X16)/-IS!X21)</f>
        <v>6.3761851851851867</v>
      </c>
      <c r="Y60" s="771">
        <f>IF(IS!Y16&lt;0,"NM",(IS!Y16)/-IS!Y21)</f>
        <v>6.1845416666666706</v>
      </c>
      <c r="Z60" s="705"/>
      <c r="AA60" s="706">
        <f>IF(IS!AA16&lt;0,"NM",(IS!AA16)/-IS!AA21)</f>
        <v>6.5799565217391276</v>
      </c>
      <c r="AB60" s="705">
        <f>IF(IS!AB16&lt;0,"NM",(IS!AB16)/-IS!AB21)</f>
        <v>8.010349999999999</v>
      </c>
      <c r="AC60" s="705">
        <f>IF(IS!AC16&lt;0,"NM",(IS!AC16)/-IS!AC21)</f>
        <v>7.9927500000000009</v>
      </c>
      <c r="AD60" s="705">
        <f>IF(IS!AD16&lt;0,"NM",(IS!AD16)/-IS!AD21)</f>
        <v>8.1349130434782637</v>
      </c>
      <c r="AE60" s="771">
        <f>IF(IS!AE16&lt;0,"NM",(IS!AE16)/-IS!AE21)</f>
        <v>7.6570232558139528</v>
      </c>
      <c r="AF60" s="705"/>
      <c r="AG60" s="706">
        <f>IF(IS!AG16&lt;0,"NM",(IS!AG16)/-IS!AG21)</f>
        <v>6.4741379310344831</v>
      </c>
      <c r="AH60" s="705">
        <f>IF(IS!AH16&lt;0,"NM",(IS!AH16)/-IS!AH21)</f>
        <v>6.19</v>
      </c>
      <c r="AI60" s="705">
        <f>IF(IS!AI16&lt;0,"NM",(IS!AI16)/-IS!AI21)</f>
        <v>9.1785714285714288</v>
      </c>
      <c r="AJ60" s="705">
        <f>IF(IS!AJ16&lt;0,"NM",(IS!AJ16)/-IS!AJ21)</f>
        <v>8.5673076923076916</v>
      </c>
      <c r="AK60" s="771">
        <f>IF(IS!AK16&lt;0,"NM",(IS!AK16)/-IS!AK21)</f>
        <v>7.5049504950495045</v>
      </c>
      <c r="AL60" s="705"/>
      <c r="AM60" s="706">
        <f>IF(IS!AM16&lt;0,"NM",(IS!AM16)/-IS!AM21)</f>
        <v>8.180000000000005</v>
      </c>
      <c r="AN60" s="705">
        <f>IF(IS!AN16&lt;0,"NM",(IS!AN16)/-IS!AN21)</f>
        <v>8.42</v>
      </c>
      <c r="AO60" s="705">
        <f>IF(IS!AO16&lt;0,"NM",(IS!AO16)/-IS!AO21)</f>
        <v>7.685185185185186</v>
      </c>
      <c r="AP60" s="705">
        <f>IF(IS!AP16&lt;0,"NM",(IS!AP16)/-IS!AP21)</f>
        <v>8.5166666666666675</v>
      </c>
      <c r="AQ60" s="771">
        <f>IF(IS!AQ16&lt;0,"NM",(IS!AQ16)/-IS!AQ21)</f>
        <v>8.2056074766355156</v>
      </c>
      <c r="AR60" s="705"/>
      <c r="AS60" s="706">
        <f>IF(IS!AS16&lt;0,"NM",(IS!AS16)/-IS!AS21)</f>
        <v>9.5172413793103452</v>
      </c>
      <c r="AT60" s="705">
        <f>IF(IS!AT16&lt;0,"NM",(IS!AT16)/-IS!AT21)</f>
        <v>7.5478608666666673</v>
      </c>
      <c r="AU60" s="705">
        <f>IF(IS!AU16&lt;0,"NM",(IS!AU16)/-IS!AU21)</f>
        <v>8.3626509999999996</v>
      </c>
      <c r="AV60" s="705">
        <f>IF(IS!AV16&lt;0,"NM",(IS!AV16)/-IS!AV21)</f>
        <v>9.5928150272767816</v>
      </c>
      <c r="AW60" s="771">
        <f>IF(IS!AW16&lt;0,"NM",(IS!AW16)/-IS!AW21)</f>
        <v>8.7256924310548367</v>
      </c>
      <c r="AX60" s="705"/>
      <c r="AY60" s="706">
        <f>IF(IS!AY16&lt;0,"NM",(IS!AY16)/-IS!AY21)</f>
        <v>13.966812500000003</v>
      </c>
      <c r="AZ60" s="705">
        <f>IF(IS!AZ16&lt;0,"NM",(IS!AZ16)/-IS!AZ21)</f>
        <v>12.064647058823532</v>
      </c>
      <c r="BA60" s="705">
        <f>IF(IS!BA16&lt;0,"NM",(IS!BA16)/-IS!BA21)</f>
        <v>13.738176470588234</v>
      </c>
      <c r="BB60" s="705">
        <f>IF(IS!BB16&lt;0,"NM",(IS!BB16)/-IS!BB21)</f>
        <v>16.126125000000002</v>
      </c>
      <c r="BC60" s="771">
        <f>IF(IS!BC16&lt;0,"NM",(IS!BC16)/-IS!BC21)</f>
        <v>13.941439393939397</v>
      </c>
      <c r="BD60" s="705"/>
      <c r="BE60" s="706">
        <f>IF(IS!BE16&lt;0,"NM",(IS!BE16)/-IS!BE21)</f>
        <v>14.018555555555558</v>
      </c>
      <c r="BF60" s="705">
        <f>IF(IS!BF16&lt;0,"NM",(IS!BF16)/-IS!BF21)</f>
        <v>13.10733333333334</v>
      </c>
      <c r="BG60" s="705">
        <f>IF(IS!BG16&lt;0,"NM",(IS!BG16)/-IS!BG21)</f>
        <v>14.460235294117645</v>
      </c>
      <c r="BH60" s="705">
        <f>IF(IS!BH16&lt;0,"NM",(IS!BH16)/-IS!BH21)</f>
        <v>14.847121052631577</v>
      </c>
      <c r="BI60" s="771">
        <f>IF(IS!BI16&lt;0,"NM",(IS!BI16)/-IS!BI21)</f>
        <v>14.113684722222224</v>
      </c>
      <c r="BJ60" s="705"/>
      <c r="BK60" s="706">
        <f>IF(IS!BK16&lt;0,"NM",(IS!BK16)/-IS!BK21)</f>
        <v>13.361549999999999</v>
      </c>
      <c r="BL60" s="705">
        <f>IF(IS!BL16&lt;0,"NM",(IS!BL16)/-IS!BL21)</f>
        <v>13.958299999999998</v>
      </c>
      <c r="BM60" s="705">
        <f>IF(IS!BM16&lt;0,"NM",(IS!BM16)/-IS!BM21)</f>
        <v>14.379794736842104</v>
      </c>
      <c r="BN60" s="705">
        <f>IF(IS!BN16&lt;0,"NM",(IS!BN16)/-IS!BN21)</f>
        <v>15.48105</v>
      </c>
      <c r="BO60" s="771">
        <f>IF(IS!BO16&lt;0,"NM",(IS!BO16)/-IS!BO21)</f>
        <v>14.294102531645569</v>
      </c>
      <c r="BP60" s="705"/>
      <c r="BQ60" s="706">
        <f>IF(IS!BQ16&lt;0,"NM",(IS!BQ16)/-IS!BQ21)</f>
        <v>16.286629999999995</v>
      </c>
      <c r="BR60" s="705">
        <f>IF(IS!BR16&lt;0,"NM",(IS!BR16)/-IS!BR21)</f>
        <v>18.532805211970317</v>
      </c>
      <c r="BS60" s="705">
        <f>IF(IS!BS16&lt;0,"NM",(IS!BS16)/-IS!BS21)</f>
        <v>17.913608906177132</v>
      </c>
      <c r="BT60" s="705">
        <f>IF(IS!BT16&lt;0,"NM",(IS!BT16)/-IS!BT21)</f>
        <v>20.261647077794098</v>
      </c>
      <c r="BU60" s="771">
        <f>IF(IS!BU16&lt;0,"NM",(IS!BU16)/-IS!BU21)</f>
        <v>18.201259001848502</v>
      </c>
      <c r="BV60" s="705"/>
      <c r="BW60" s="706">
        <f>IF(IS!BW16&lt;0,"NM",(IS!BW16)/-IS!BW21)</f>
        <v>19.775990829576159</v>
      </c>
      <c r="BX60" s="705">
        <f>IF(IS!BX16&lt;0,"NM",(IS!BX16)/-IS!BX21)</f>
        <v>20.513393296697785</v>
      </c>
      <c r="BY60" s="705">
        <f>IF(IS!BY16&lt;0,"NM",(IS!BY16)/-IS!BY21)</f>
        <v>20.062322677810087</v>
      </c>
      <c r="BZ60" s="705">
        <f>IF(IS!BZ16&lt;0,"NM",(IS!BZ16)/-IS!BZ21)</f>
        <v>22.602900749061416</v>
      </c>
      <c r="CA60" s="771">
        <f>IF(IS!CA16&lt;0,"NM",(IS!CA16)/-IS!CA21)</f>
        <v>20.738651888286359</v>
      </c>
      <c r="CB60" s="705"/>
      <c r="CC60" s="706">
        <f>IF(IS!CC16&lt;0,"NM",(IS!CC16)/-IS!CC21)</f>
        <v>32.844245791081292</v>
      </c>
      <c r="CD60" s="705">
        <f>IF(IS!CD16&lt;0,"NM",(IS!CD16)/-IS!CD21)</f>
        <v>34.38560443012998</v>
      </c>
      <c r="CE60" s="705">
        <f>IF(IS!CE16&lt;0,"NM",(IS!CE16)/-IS!CE21)</f>
        <v>33.79756631998103</v>
      </c>
      <c r="CF60" s="705">
        <f>IF(IS!CF16&lt;0,"NM",(IS!CF16)/-IS!CF21)</f>
        <v>37.92251281364149</v>
      </c>
      <c r="CG60" s="771">
        <f>IF(IS!CG16&lt;0,"NM",(IS!CG16)/-IS!CG21)</f>
        <v>34.737482338708453</v>
      </c>
      <c r="CH60" s="495"/>
      <c r="CI60" s="706">
        <f>IF(IS!CI16&lt;0,"NM",(IS!CI16)/-IS!CI21)</f>
        <v>48.547907514274478</v>
      </c>
      <c r="CJ60" s="705">
        <f>IF(IS!CJ16&lt;0,"NM",(IS!CJ16)/-IS!CJ21)</f>
        <v>51.304746811254667</v>
      </c>
      <c r="CK60" s="705">
        <f>IF(IS!CK16&lt;0,"NM",(IS!CK16)/-IS!CK21)</f>
        <v>50.709606023077704</v>
      </c>
      <c r="CL60" s="705">
        <f>IF(IS!CL16&lt;0,"NM",(IS!CL16)/-IS!CL21)</f>
        <v>56.660323208225158</v>
      </c>
      <c r="CM60" s="771">
        <f>IF(IS!CM16&lt;0,"NM",(IS!CM16)/-IS!CM21)</f>
        <v>51.805645889208009</v>
      </c>
      <c r="CN60" s="495"/>
      <c r="CO60" s="495"/>
      <c r="CP60" s="86"/>
    </row>
    <row r="61" spans="1:94" ht="12.75" customHeight="1">
      <c r="A61" s="770" t="s">
        <v>301</v>
      </c>
      <c r="B61" s="495"/>
      <c r="C61" s="706">
        <f>IF(IS!C19&lt;0,"NM",IS!C19/-IS!C21)</f>
        <v>3.2608695652173911</v>
      </c>
      <c r="D61" s="705">
        <f>IF(IS!D19&lt;0,"NM",IS!D19/-IS!D21)</f>
        <v>2.4545454545454546</v>
      </c>
      <c r="E61" s="705">
        <f>IF(IS!E19&lt;0,"NM",IS!E19/-IS!E21)</f>
        <v>3.347826086956522</v>
      </c>
      <c r="F61" s="705">
        <f>IF(IS!F19&lt;0,"NM",IS!F19/-IS!F21)</f>
        <v>4.3913043478260869</v>
      </c>
      <c r="G61" s="710">
        <f>IF(IS!G19&lt;0,"NM",IS!G19/-IS!G21)</f>
        <v>3.3736263736263736</v>
      </c>
      <c r="H61" s="495"/>
      <c r="I61" s="706">
        <f>IF(IS!I19&lt;0,"NM",IS!I19/-IS!I21)</f>
        <v>2.9</v>
      </c>
      <c r="J61" s="705">
        <f>IF(IS!J19&lt;0,"NM",IS!J19/-IS!J21)</f>
        <v>2.9310344827586206</v>
      </c>
      <c r="K61" s="705">
        <f>IF(IS!K19&lt;0,"NM",IS!K19/-IS!K21)</f>
        <v>3.2903225806451615</v>
      </c>
      <c r="L61" s="705">
        <f>IF(IS!L19&lt;0,"NM",IS!L19/-IS!L21)</f>
        <v>4.1212121212121211</v>
      </c>
      <c r="M61" s="710">
        <f>IF(IS!M19&lt;0,"NM",IS!M19/-IS!M21)</f>
        <v>3.3333333333333335</v>
      </c>
      <c r="N61" s="495"/>
      <c r="O61" s="706">
        <f>IF(IS!O19&lt;0,"NM",IS!O19/-IS!O21)</f>
        <v>4.4179565217391303</v>
      </c>
      <c r="P61" s="705">
        <f>IF(IS!P19&lt;0,"NM",IS!P19/-IS!P21)</f>
        <v>3.8510869565217409</v>
      </c>
      <c r="Q61" s="705">
        <f>IF(IS!Q19&lt;0,"NM",IS!Q19/-IS!Q21)</f>
        <v>4.3330000000000028</v>
      </c>
      <c r="R61" s="705">
        <f>IF(IS!R19&lt;0,"NM",IS!R19/-IS!R21)</f>
        <v>5.165809523809525</v>
      </c>
      <c r="S61" s="710">
        <f>IF(IS!S19&lt;0,"NM",IS!S19/-IS!S21)</f>
        <v>4.4279886363636365</v>
      </c>
      <c r="T61" s="705"/>
      <c r="U61" s="706">
        <f>IF(IS!U19&lt;0,"NM",IS!U19/-IS!U21)</f>
        <v>5.3328695652173916</v>
      </c>
      <c r="V61" s="705">
        <f>IF(IS!V19&lt;0,"NM",IS!V19/-IS!V21)</f>
        <v>4.6864090909090912</v>
      </c>
      <c r="W61" s="705">
        <f>IF(IS!W19&lt;0,"NM",IS!W19/-IS!W21)</f>
        <v>5.2834166666666675</v>
      </c>
      <c r="X61" s="705">
        <f>IF(IS!X19&lt;0,"NM",IS!X19/-IS!X21)</f>
        <v>5.5984074074074091</v>
      </c>
      <c r="Y61" s="710">
        <f>IF(IS!Y19&lt;0,"NM",IS!Y19/-IS!Y21)</f>
        <v>5.2470416666666706</v>
      </c>
      <c r="Z61" s="705"/>
      <c r="AA61" s="706">
        <f>IF(IS!AA19&lt;0,"NM",IS!AA19/-IS!AA21)</f>
        <v>4.9495217391304323</v>
      </c>
      <c r="AB61" s="705">
        <f>IF(IS!AB19&lt;0,"NM",IS!AB19/-IS!AB21)</f>
        <v>6.6853499999999997</v>
      </c>
      <c r="AC61" s="705">
        <f>IF(IS!AC19&lt;0,"NM",IS!AC19/-IS!AC21)</f>
        <v>6.8677500000000009</v>
      </c>
      <c r="AD61" s="705">
        <f>IF(IS!AD19&lt;0,"NM",IS!AD19/-IS!AD21)</f>
        <v>7.1131739130434815</v>
      </c>
      <c r="AE61" s="710">
        <f>IF(IS!AE19&lt;0,"NM",IS!AE19/-IS!AE21)</f>
        <v>6.3779534883720919</v>
      </c>
      <c r="AF61" s="705"/>
      <c r="AG61" s="706">
        <f>IF(IS!AG19&lt;0,"NM",IS!AG19/-IS!AG21)</f>
        <v>5.3103448275862073</v>
      </c>
      <c r="AH61" s="705">
        <f>IF(IS!AH19&lt;0,"NM",IS!AH19/-IS!AH21)</f>
        <v>5.28</v>
      </c>
      <c r="AI61" s="705">
        <f>IF(IS!AI19&lt;0,"NM",IS!AI19/-IS!AI21)</f>
        <v>7.2857142857142856</v>
      </c>
      <c r="AJ61" s="705">
        <f>IF(IS!AJ19&lt;0,"NM",IS!AJ19/-IS!AJ21)</f>
        <v>7.4615384615384617</v>
      </c>
      <c r="AK61" s="710">
        <f>IF(IS!AK19&lt;0,"NM",IS!AK19/-IS!AK21)</f>
        <v>6.2673267326732676</v>
      </c>
      <c r="AL61" s="705"/>
      <c r="AM61" s="706">
        <f>IF(IS!AM19&lt;0,"NM",IS!AM19/-IS!AM21)</f>
        <v>6.5200000000000049</v>
      </c>
      <c r="AN61" s="705">
        <f>IF(IS!AN19&lt;0,"NM",IS!AN19/-IS!AN21)</f>
        <v>7.12</v>
      </c>
      <c r="AO61" s="705">
        <f>IF(IS!AO19&lt;0,"NM",IS!AO19/-IS!AO21)</f>
        <v>6.4444444444444446</v>
      </c>
      <c r="AP61" s="705">
        <f>IF(IS!AP19&lt;0,"NM",IS!AP19/-IS!AP21)</f>
        <v>7.2333333333333334</v>
      </c>
      <c r="AQ61" s="710">
        <f>IF(IS!AQ19&lt;0,"NM",IS!AQ19/-IS!AQ21)</f>
        <v>6.841121495327104</v>
      </c>
      <c r="AR61" s="705"/>
      <c r="AS61" s="706">
        <f>IF(IS!AS19&lt;0,"NM",IS!AS19/-IS!AS21)</f>
        <v>6.6551724137931032</v>
      </c>
      <c r="AT61" s="705">
        <f>IF(IS!AT19&lt;0,"NM",IS!AT19/-IS!AT21)</f>
        <v>5.5647000000000011</v>
      </c>
      <c r="AU61" s="705">
        <f>IF(IS!AU19&lt;0,"NM",IS!AU19/-IS!AU21)</f>
        <v>6.8106428571428568</v>
      </c>
      <c r="AV61" s="705">
        <f>IF(IS!AV19&lt;0,"NM",IS!AV19/-IS!AV21)</f>
        <v>8.1665769230769278</v>
      </c>
      <c r="AW61" s="710">
        <f>IF(IS!AW19&lt;0,"NM",IS!AW19/-IS!AW21)</f>
        <v>6.7519469026548684</v>
      </c>
      <c r="AX61" s="705"/>
      <c r="AY61" s="706">
        <f>IF(IS!AY19&lt;0,"NM",IS!AY19/-IS!AY21)</f>
        <v>11.029312500000003</v>
      </c>
      <c r="AZ61" s="705">
        <f>IF(IS!AZ19&lt;0,"NM",IS!AZ19/-IS!AZ21)</f>
        <v>9.9470000000000027</v>
      </c>
      <c r="BA61" s="705">
        <f>IF(IS!BA19&lt;0,"NM",IS!BA19/-IS!BA21)</f>
        <v>11.738176470588234</v>
      </c>
      <c r="BB61" s="705">
        <f>IF(IS!BB19&lt;0,"NM",IS!BB19/-IS!BB21)</f>
        <v>13.938625000000002</v>
      </c>
      <c r="BC61" s="710">
        <f>IF(IS!BC19&lt;0,"NM",IS!BC19/-IS!BC21)</f>
        <v>11.638409090909093</v>
      </c>
      <c r="BD61" s="705"/>
      <c r="BE61" s="706">
        <f>IF(IS!BE19&lt;0,"NM",IS!BE19/-IS!BE21)</f>
        <v>11.407444444444447</v>
      </c>
      <c r="BF61" s="705">
        <f>IF(IS!BF19&lt;0,"NM",IS!BF19/-IS!BF21)</f>
        <v>10.841111111111116</v>
      </c>
      <c r="BG61" s="705">
        <f>IF(IS!BG19&lt;0,"NM",IS!BG19/-IS!BG21)</f>
        <v>12.460235294117645</v>
      </c>
      <c r="BH61" s="705">
        <f>IF(IS!BH19&lt;0,"NM",IS!BH19/-IS!BH21)</f>
        <v>13.005015789473681</v>
      </c>
      <c r="BI61" s="710">
        <f>IF(IS!BI19&lt;0,"NM",IS!BI19/-IS!BI21)</f>
        <v>11.936018055555557</v>
      </c>
      <c r="BJ61" s="705"/>
      <c r="BK61" s="706">
        <f>IF(IS!BK19&lt;0,"NM",IS!BK19/-IS!BK21)</f>
        <v>11.16155</v>
      </c>
      <c r="BL61" s="705">
        <f>IF(IS!BL19&lt;0,"NM",IS!BL19/-IS!BL21)</f>
        <v>12.058299999999997</v>
      </c>
      <c r="BM61" s="705">
        <f>IF(IS!BM19&lt;0,"NM",IS!BM19/-IS!BM21)</f>
        <v>12.432426315789472</v>
      </c>
      <c r="BN61" s="705">
        <f>IF(IS!BN19&lt;0,"NM",IS!BN19/-IS!BN21)</f>
        <v>13.681049999999999</v>
      </c>
      <c r="BO61" s="710">
        <f>IF(IS!BO19&lt;0,"NM",IS!BO19/-IS!BO21)</f>
        <v>12.332077215189873</v>
      </c>
      <c r="BP61" s="705"/>
      <c r="BQ61" s="706">
        <f>IF(IS!BQ19&lt;0,"NM",IS!BQ19/-IS!BQ21)</f>
        <v>13.436629999999997</v>
      </c>
      <c r="BR61" s="705">
        <f>IF(IS!BR19&lt;0,"NM",IS!BR19/-IS!BR21)</f>
        <v>16.275527323569403</v>
      </c>
      <c r="BS61" s="705">
        <f>IF(IS!BS19&lt;0,"NM",IS!BS19/-IS!BS21)</f>
        <v>15.672716275445167</v>
      </c>
      <c r="BT61" s="705">
        <f>IF(IS!BT19&lt;0,"NM",IS!BT19/-IS!BT21)</f>
        <v>17.903978987201945</v>
      </c>
      <c r="BU61" s="710">
        <f>IF(IS!BU19&lt;0,"NM",IS!BU19/-IS!BU21)</f>
        <v>15.764564273949324</v>
      </c>
      <c r="BV61" s="705"/>
      <c r="BW61" s="706">
        <f>IF(IS!BW19&lt;0,"NM",IS!BW19/-IS!BW21)</f>
        <v>16.287982577440996</v>
      </c>
      <c r="BX61" s="705">
        <f>IF(IS!BX19&lt;0,"NM",IS!BX19/-IS!BX21)</f>
        <v>17.927724715818506</v>
      </c>
      <c r="BY61" s="705">
        <f>IF(IS!BY19&lt;0,"NM",IS!BY19/-IS!BY21)</f>
        <v>17.463332629897643</v>
      </c>
      <c r="BZ61" s="705">
        <f>IF(IS!BZ19&lt;0,"NM",IS!BZ19/-IS!BZ21)</f>
        <v>19.873701836551593</v>
      </c>
      <c r="CA61" s="710">
        <f>IF(IS!CA19&lt;0,"NM",IS!CA19/-IS!CA21)</f>
        <v>17.888185439927184</v>
      </c>
      <c r="CB61" s="705"/>
      <c r="CC61" s="706">
        <f>IF(IS!CC19&lt;0,"NM",IS!CC19/-IS!CC21)</f>
        <v>27.187598924851134</v>
      </c>
      <c r="CD61" s="705">
        <f>IF(IS!CD19&lt;0,"NM",IS!CD19/-IS!CD21)</f>
        <v>30.177745988441885</v>
      </c>
      <c r="CE61" s="705">
        <f>IF(IS!CE19&lt;0,"NM",IS!CE19/-IS!CE21)</f>
        <v>29.533676192487835</v>
      </c>
      <c r="CF61" s="705">
        <f>IF(IS!CF19&lt;0,"NM",IS!CF19/-IS!CF21)</f>
        <v>33.460640040435948</v>
      </c>
      <c r="CG61" s="710">
        <f>IF(IS!CG19&lt;0,"NM",IS!CG19/-IS!CG21)</f>
        <v>30.089915286554199</v>
      </c>
      <c r="CH61" s="495"/>
      <c r="CI61" s="706">
        <f>IF(IS!CI19&lt;0,"NM",IS!CI19/-IS!CI21)</f>
        <v>40.368434395771033</v>
      </c>
      <c r="CJ61" s="705">
        <f>IF(IS!CJ19&lt;0,"NM",IS!CJ19/-IS!CJ21)</f>
        <v>45.198041309358679</v>
      </c>
      <c r="CK61" s="705">
        <f>IF(IS!CK19&lt;0,"NM",IS!CK19/-IS!CK21)</f>
        <v>44.46273755062046</v>
      </c>
      <c r="CL61" s="705">
        <f>IF(IS!CL19&lt;0,"NM",IS!CL19/-IS!CL21)</f>
        <v>50.150137859818329</v>
      </c>
      <c r="CM61" s="710">
        <f>IF(IS!CM19&lt;0,"NM",IS!CM19/-IS!CM21)</f>
        <v>45.044837778892123</v>
      </c>
      <c r="CN61" s="495"/>
      <c r="CO61" s="495"/>
      <c r="CP61" s="86"/>
    </row>
    <row r="62" spans="1:94" ht="12.75" customHeight="1">
      <c r="A62" s="770" t="s">
        <v>302</v>
      </c>
      <c r="B62" s="495"/>
      <c r="C62" s="706"/>
      <c r="D62" s="705"/>
      <c r="E62" s="705"/>
      <c r="F62" s="705"/>
      <c r="G62" s="710">
        <f>(G50+G35)/(IS!G16)</f>
        <v>5.2318474823643877</v>
      </c>
      <c r="H62" s="495"/>
      <c r="I62" s="706"/>
      <c r="J62" s="705"/>
      <c r="K62" s="705"/>
      <c r="L62" s="705"/>
      <c r="M62" s="710">
        <f>(M50+M35)/(IS!M16)</f>
        <v>4.8809084265077169</v>
      </c>
      <c r="N62" s="495"/>
      <c r="O62" s="706"/>
      <c r="P62" s="705"/>
      <c r="Q62" s="705"/>
      <c r="R62" s="705"/>
      <c r="S62" s="710">
        <f>(S50+S35)/(IS!S16)</f>
        <v>6.4178116915563663</v>
      </c>
      <c r="T62" s="705"/>
      <c r="U62" s="706">
        <f>(U50+U35)/(IS!U16)/4</f>
        <v>5.3402650246411634</v>
      </c>
      <c r="V62" s="705">
        <f>(V50+V35)/(IS!V16)/4</f>
        <v>6.7202448064398412</v>
      </c>
      <c r="W62" s="705">
        <f>(W50+W35)/(IS!W16)/4</f>
        <v>7.1524393500858157</v>
      </c>
      <c r="X62" s="705">
        <f>(X50+X35)/(IS!X16)/4</f>
        <v>6.0876463596800257</v>
      </c>
      <c r="Y62" s="710">
        <f>(Y50+Y35)/(IS!Y16)</f>
        <v>7.0608232511398299</v>
      </c>
      <c r="Z62" s="705"/>
      <c r="AA62" s="706">
        <f>(AA50+AA35)/(IS!AA16)/4</f>
        <v>4.3402876851294003</v>
      </c>
      <c r="AB62" s="705">
        <f>(AB50+AB35)/(IS!AB16)/4</f>
        <v>4.1375782738909823</v>
      </c>
      <c r="AC62" s="705">
        <f>(AC50+AC35)/(IS!AC16)/4</f>
        <v>4.1124745626481571</v>
      </c>
      <c r="AD62" s="705">
        <f>(AD50+AD35)/(IS!AD16)/4</f>
        <v>3.5259116582304868</v>
      </c>
      <c r="AE62" s="710">
        <f>(AE50+AE35)/(IS!AE16)</f>
        <v>4.0073174892781154</v>
      </c>
      <c r="AF62" s="705"/>
      <c r="AG62" s="706">
        <f>(AG50+AG35)/(IS!AG16)/4</f>
        <v>3.5121941788053639</v>
      </c>
      <c r="AH62" s="705">
        <f>(AH50+AH35)/(IS!AH16)/4</f>
        <v>4.2535573832019713</v>
      </c>
      <c r="AI62" s="705">
        <f>(AI50+AI35)/(IS!AI16)/4</f>
        <v>3.6140212108110936</v>
      </c>
      <c r="AJ62" s="705">
        <f>(AJ50+AJ35)/(IS!AJ16)/4</f>
        <v>3.2783389450056117</v>
      </c>
      <c r="AK62" s="710">
        <f>(AK50+AK35)/(IS!AK16)</f>
        <v>3.8535620052770447</v>
      </c>
      <c r="AL62" s="705"/>
      <c r="AM62" s="706">
        <f>(AM50+AM35)/(IS!AM16)/4</f>
        <v>3.5844237206494745</v>
      </c>
      <c r="AN62" s="705">
        <f>(AN50+AN35)/(IS!AN16)/4</f>
        <v>3.4728869631147785</v>
      </c>
      <c r="AO62" s="705">
        <f>(AO50+AO35)/(IS!AO16)/4</f>
        <v>3.9274524532043382</v>
      </c>
      <c r="AP62" s="705">
        <f>(AP50+AP35)/(IS!AP16)/4</f>
        <v>3.207436399217221</v>
      </c>
      <c r="AQ62" s="710">
        <f>(AQ50+AQ35)/(IS!AQ16)</f>
        <v>3.7334851936218669</v>
      </c>
      <c r="AR62" s="705"/>
      <c r="AS62" s="706">
        <f>(AS50+AS35)/(IS!AS16)/4</f>
        <v>2.8722826086956523</v>
      </c>
      <c r="AT62" s="705">
        <f>(AT50+AT35)/(IS!AT16)/4</f>
        <v>3.5572992764846316</v>
      </c>
      <c r="AU62" s="705">
        <f>(AU50+AU35)/(IS!AU16)/4</f>
        <v>2.961723159660393</v>
      </c>
      <c r="AV62" s="705">
        <f>(AV50+AV35)/(IS!AV16)/4</f>
        <v>4.2519804064272266</v>
      </c>
      <c r="AW62" s="710">
        <f>(AW50+AW35)/(IS!AW16)</f>
        <v>4.3022170796720856</v>
      </c>
      <c r="AX62" s="705"/>
      <c r="AY62" s="706">
        <f>(AY50+AY35)/(IS!AY16)/4</f>
        <v>2.4130863788713417</v>
      </c>
      <c r="AZ62" s="705">
        <f>(AZ50+AZ35)/(IS!AZ16)/4</f>
        <v>2.6145910023939654</v>
      </c>
      <c r="BA62" s="705">
        <f>(BA50+BA35)/(IS!BA16)/4</f>
        <v>2.2736128178669146</v>
      </c>
      <c r="BB62" s="705">
        <f>(BB50+BB35)/(IS!BB16)/4</f>
        <v>2.0047050980939312</v>
      </c>
      <c r="BC62" s="710">
        <f>(BC50+BC35)/(IS!BC16)</f>
        <v>2.2485830883511655</v>
      </c>
      <c r="BD62" s="705"/>
      <c r="BE62" s="706">
        <f>(BE50+BE35)/(IS!BE16)/4</f>
        <v>2.1251595108071042</v>
      </c>
      <c r="BF62" s="705">
        <f>(BF50+BF35)/(IS!BF16)/4</f>
        <v>2.4742298628418342</v>
      </c>
      <c r="BG62" s="705">
        <f>(BG50+BG35)/(IS!BG16)/4</f>
        <v>2.2811035537620414</v>
      </c>
      <c r="BH62" s="705">
        <f>(BH50+BH35)/(IS!BH16)/4</f>
        <v>1.9948932151652299</v>
      </c>
      <c r="BI62" s="710">
        <f>(BI50+BI35)/(IS!BI16)</f>
        <v>2.2151471783738654</v>
      </c>
      <c r="BJ62" s="705"/>
      <c r="BK62" s="706">
        <f>(BK50+BK35)/(IS!BK16)/4</f>
        <v>2.1732134370638136</v>
      </c>
      <c r="BL62" s="705">
        <f>(BL50+BL35)/(IS!BL16)/4</f>
        <v>2.1295573243159986</v>
      </c>
      <c r="BM62" s="705">
        <f>(BM50+BM35)/(IS!BM16)/4</f>
        <v>2.1649529438418895</v>
      </c>
      <c r="BN62" s="705">
        <f>(BN50+BN35)/(IS!BN16)/4</f>
        <v>1.8603389304989004</v>
      </c>
      <c r="BO62" s="710">
        <f>(BO50+BO35)/(IS!BO16)</f>
        <v>2.0403209573639338</v>
      </c>
      <c r="BP62" s="705"/>
      <c r="BQ62" s="706">
        <f>(BQ50+BQ35)/(IS!BQ16)/4</f>
        <v>2.2372645538088607</v>
      </c>
      <c r="BR62" s="705">
        <f>(BR50+BR35)/(IS!BR16)/4</f>
        <v>2.1608626863144038</v>
      </c>
      <c r="BS62" s="705">
        <f>(BS50+BS35)/(IS!BS16)/4</f>
        <v>2.2355544025230141</v>
      </c>
      <c r="BT62" s="705">
        <f>(BT50+BT35)/(IS!BT16)/4</f>
        <v>1.9764852828361323</v>
      </c>
      <c r="BU62" s="710">
        <f>(BU50+BU35)/(IS!BU16)</f>
        <v>2.1470544485462431</v>
      </c>
      <c r="BV62" s="705"/>
      <c r="BW62" s="706">
        <f>(BW50+BW35)/(IS!BW16)/4</f>
        <v>2.0250235550972921</v>
      </c>
      <c r="BX62" s="705">
        <f>(BX50+BX35)/(IS!BX16)/4</f>
        <v>1.9522292911785806</v>
      </c>
      <c r="BY62" s="705">
        <f>(BY50+BY35)/(IS!BY16)/4</f>
        <v>1.9961221787930636</v>
      </c>
      <c r="BZ62" s="705">
        <f>(BZ50+BZ35)/(IS!BZ16)/4</f>
        <v>1.7717569837554017</v>
      </c>
      <c r="CA62" s="710">
        <f>(CA50+CA35)/(IS!CA16)</f>
        <v>1.9310246138949412</v>
      </c>
      <c r="CB62" s="705"/>
      <c r="CC62" s="706">
        <f>(CC50+CC35)/(IS!CC16)/4</f>
        <v>1.5474277093321633</v>
      </c>
      <c r="CD62" s="705">
        <f>(CD50+CD35)/(IS!CD16)/4</f>
        <v>1.4780631857877551</v>
      </c>
      <c r="CE62" s="705">
        <f>(CE50+CE35)/(IS!CE16)/4</f>
        <v>1.5037797558574033</v>
      </c>
      <c r="CF62" s="705">
        <f>(CF50+CF35)/(IS!CF16)/4</f>
        <v>1.3402090805267795</v>
      </c>
      <c r="CG62" s="710">
        <f>(CG50+CG35)/(IS!CG16)</f>
        <v>1.4630909498182452</v>
      </c>
      <c r="CH62" s="495"/>
      <c r="CI62" s="706">
        <f>(CI50+CI35)/(IS!CI16)/4</f>
        <v>1.1952810295568885</v>
      </c>
      <c r="CJ62" s="705">
        <f>(CJ50+CJ35)/(IS!CJ16)/4</f>
        <v>1.1310530990431664</v>
      </c>
      <c r="CK62" s="705">
        <f>(CK50+CK35)/(IS!CK16)/4</f>
        <v>1.1443274248686957</v>
      </c>
      <c r="CL62" s="705">
        <f>(CL50+CL35)/(IS!CL16)/4</f>
        <v>1.0241451087958293</v>
      </c>
      <c r="CM62" s="710">
        <f>(CM50+CM35)/(IS!CM16)</f>
        <v>1.1201171586702079</v>
      </c>
      <c r="CN62" s="495"/>
      <c r="CO62" s="495"/>
      <c r="CP62" s="86"/>
    </row>
    <row r="63" spans="1:94" ht="12.75" customHeight="1">
      <c r="A63" s="770" t="s">
        <v>303</v>
      </c>
      <c r="B63" s="495"/>
      <c r="C63" s="706">
        <f>C51/(IS!C16*4)</f>
        <v>-1.4898989898989898</v>
      </c>
      <c r="D63" s="705">
        <f>D51/(IS!D16*4)</f>
        <v>-1.7628205128205128</v>
      </c>
      <c r="E63" s="705">
        <f>E51/(IS!E16*4)</f>
        <v>3.4653465346534656E-2</v>
      </c>
      <c r="F63" s="705">
        <f>F51/(IS!F16*4)</f>
        <v>0.22655045871559631</v>
      </c>
      <c r="G63" s="710">
        <f>G51/(IS!G16)</f>
        <v>0.24798760988085222</v>
      </c>
      <c r="H63" s="495"/>
      <c r="I63" s="706">
        <f>I51/(IS!I16*4)</f>
        <v>-2.4333333333333331</v>
      </c>
      <c r="J63" s="705">
        <f>J51/(IS!J16*4)</f>
        <v>-2.7831121403758794</v>
      </c>
      <c r="K63" s="705">
        <f>K51/(IS!K16*4)</f>
        <v>-2.3231842507645259</v>
      </c>
      <c r="L63" s="705">
        <f>L51/(IS!L16*4)</f>
        <v>0.87522340045275837</v>
      </c>
      <c r="M63" s="710">
        <f>M51/(IS!M16)</f>
        <v>1.0132049555460623</v>
      </c>
      <c r="N63" s="495"/>
      <c r="O63" s="706">
        <f>O51/(IS!O16*4)</f>
        <v>1.4033890802852842</v>
      </c>
      <c r="P63" s="705">
        <f>P51/(IS!P16*4)</f>
        <v>1.4255387488646438</v>
      </c>
      <c r="Q63" s="705">
        <f>Q51/(IS!Q16*4)</f>
        <v>1.2300454327600772</v>
      </c>
      <c r="R63" s="705">
        <f>R51/(IS!R16*4)</f>
        <v>0.57699855278708367</v>
      </c>
      <c r="S63" s="710">
        <f>S51/(IS!S16)</f>
        <v>0.55827300765219567</v>
      </c>
      <c r="T63" s="705"/>
      <c r="U63" s="706">
        <f>U51/(IS!U16*4)</f>
        <v>-2.0374506284262761</v>
      </c>
      <c r="V63" s="705">
        <f>V51/(IS!V16*4)</f>
        <v>-2.938780039896284</v>
      </c>
      <c r="W63" s="705">
        <f>W51/(IS!W16*4)</f>
        <v>-0.50335323422779332</v>
      </c>
      <c r="X63" s="705">
        <f>X51/(IS!X16*4)</f>
        <v>-0.894718832761625</v>
      </c>
      <c r="Y63" s="710">
        <f>Y51/(IS!Y16)</f>
        <v>-1.037749429638029</v>
      </c>
      <c r="Z63" s="705"/>
      <c r="AA63" s="706">
        <f>AA51/(IS!AA16*4)</f>
        <v>-1.0209475040268978</v>
      </c>
      <c r="AB63" s="705">
        <f>AB51/(IS!AB16*4)</f>
        <v>-1.4429153383727233</v>
      </c>
      <c r="AC63" s="705">
        <f>AC51/(IS!AC16*4)</f>
        <v>-1.6044213233380364</v>
      </c>
      <c r="AD63" s="705">
        <f>AD51/(IS!AD16*4)</f>
        <v>-1.7931299872262865</v>
      </c>
      <c r="AE63" s="710">
        <f>AE51/(IS!AE16)</f>
        <v>-2.0379526927702796</v>
      </c>
      <c r="AF63" s="705"/>
      <c r="AG63" s="706">
        <f>AG51/(IS!AG16*4)</f>
        <v>-2.0835705298134597</v>
      </c>
      <c r="AH63" s="705">
        <f>AH51/(IS!AH16*4)</f>
        <v>-2.9136073275925951</v>
      </c>
      <c r="AI63" s="705">
        <f>AI51/(IS!AI16*4)</f>
        <v>0.27471769059603279</v>
      </c>
      <c r="AJ63" s="705">
        <f>AJ51/(IS!AJ16*4)</f>
        <v>1.2345679012345678E-2</v>
      </c>
      <c r="AK63" s="710">
        <f>AK51/(IS!AK16)</f>
        <v>1.4511873350923483E-2</v>
      </c>
      <c r="AL63" s="705"/>
      <c r="AM63" s="706">
        <f>AM51/(IS!AM16*4)</f>
        <v>-0.10880195599022</v>
      </c>
      <c r="AN63" s="705">
        <f>AN51/(IS!AN16*4)</f>
        <v>-0.19358669833729217</v>
      </c>
      <c r="AO63" s="705">
        <f>AO51/(IS!AO16*4)</f>
        <v>0.44698795180722883</v>
      </c>
      <c r="AP63" s="705">
        <f>AP51/(IS!AP16*4)</f>
        <v>2.3483365949119372E-2</v>
      </c>
      <c r="AQ63" s="710">
        <f>AQ51/(IS!AQ16)</f>
        <v>2.7334851936218672E-2</v>
      </c>
      <c r="AR63" s="705"/>
      <c r="AS63" s="706">
        <f>AS51/(IS!AS16*4)</f>
        <v>-4.2572463768115944E-2</v>
      </c>
      <c r="AT63" s="705">
        <f>AT51/(IS!AT16*4)</f>
        <v>-0.28374485228322482</v>
      </c>
      <c r="AU63" s="705">
        <f>AU51/(IS!AU16*4)</f>
        <v>-0.18684266508311778</v>
      </c>
      <c r="AV63" s="705">
        <f>AV51/(IS!AV16*4)</f>
        <v>6.8159987656070578E-2</v>
      </c>
      <c r="AW63" s="710">
        <f>AW51/(IS!AW16)</f>
        <v>6.8965290291773174E-2</v>
      </c>
      <c r="AX63" s="705"/>
      <c r="AY63" s="706">
        <f>AY51/(IS!AY16*4)</f>
        <v>-0.5146127650815101</v>
      </c>
      <c r="AZ63" s="705">
        <f>AZ51/(IS!AZ16*4)</f>
        <v>-0.65943763743362949</v>
      </c>
      <c r="BA63" s="705">
        <f>BA51/(IS!BA16*4)</f>
        <v>-0.44958445551040688</v>
      </c>
      <c r="BB63" s="705">
        <f>BB51/(IS!BB16*4)</f>
        <v>-0.33718577773643693</v>
      </c>
      <c r="BC63" s="710">
        <f>BC51/(IS!BC16)</f>
        <v>-0.37820537203779869</v>
      </c>
      <c r="BD63" s="705"/>
      <c r="BE63" s="706">
        <f>BE51/(IS!BE16*4)</f>
        <v>-0.1961685702283481</v>
      </c>
      <c r="BF63" s="705">
        <f>BF51/(IS!BF16*4)</f>
        <v>-0.26490683756336558</v>
      </c>
      <c r="BG63" s="705">
        <f>BG51/(IS!BG16*4)</f>
        <v>-0.31730018224420731</v>
      </c>
      <c r="BH63" s="705">
        <f>BH51/(IS!BH16*4)</f>
        <v>-0.33410694896370136</v>
      </c>
      <c r="BI63" s="710">
        <f>BI51/(IS!BI16)</f>
        <v>-0.37099532929673357</v>
      </c>
      <c r="BJ63" s="705"/>
      <c r="BK63" s="706">
        <f>BK51/(IS!BK16*4)</f>
        <v>-0.23294453113598348</v>
      </c>
      <c r="BL63" s="705">
        <f>BL51/(IS!BL16*4)</f>
        <v>-0.30985148621250447</v>
      </c>
      <c r="BM63" s="705">
        <f>BM51/(IS!BM16*4)</f>
        <v>-0.4410428228790324</v>
      </c>
      <c r="BN63" s="705">
        <f>BN51/(IS!BN16*4)</f>
        <v>-0.53856166086925628</v>
      </c>
      <c r="BO63" s="710">
        <f>BO51/(IS!BO16)</f>
        <v>-0.59066583270909023</v>
      </c>
      <c r="BP63" s="705"/>
      <c r="BQ63" s="706">
        <f>BQ51/(IS!BQ16*4)</f>
        <v>-0.56948552278771003</v>
      </c>
      <c r="BR63" s="705">
        <f>BR51/(IS!BR16*4)</f>
        <v>-0.58364699786502039</v>
      </c>
      <c r="BS63" s="705">
        <f>BS51/(IS!BS16*4)</f>
        <v>-0.65725606472677855</v>
      </c>
      <c r="BT63" s="705">
        <f>BT51/(IS!BT16*4)</f>
        <v>-0.67389252285902779</v>
      </c>
      <c r="BU63" s="710">
        <f>BU51/(IS!BU16)</f>
        <v>-0.73204893130817483</v>
      </c>
      <c r="BV63" s="705"/>
      <c r="BW63" s="706">
        <f>BW51/(IS!BW16*4)</f>
        <v>-0.70283488440764319</v>
      </c>
      <c r="BX63" s="705">
        <f>BX51/(IS!BX16*4)</f>
        <v>-0.73699548229332024</v>
      </c>
      <c r="BY63" s="705">
        <f>BY51/(IS!BY16*4)</f>
        <v>-0.83100208299497236</v>
      </c>
      <c r="BZ63" s="705">
        <f>BZ51/(IS!BZ16*4)</f>
        <v>-0.85444927457624975</v>
      </c>
      <c r="CA63" s="710">
        <f>CA51/(IS!CA16)</f>
        <v>-0.93125783934214723</v>
      </c>
      <c r="CB63" s="705"/>
      <c r="CC63" s="706">
        <f>CC51/(IS!CC16*4)</f>
        <v>-0.93695922287409894</v>
      </c>
      <c r="CD63" s="705">
        <f>CD51/(IS!CD16*4)</f>
        <v>-1.0021343105855198</v>
      </c>
      <c r="CE63" s="705">
        <f>CE51/(IS!CE16*4)</f>
        <v>-1.1482982280696361</v>
      </c>
      <c r="CF63" s="705">
        <f>CF51/(IS!CF16*4)</f>
        <v>-1.1900909148149417</v>
      </c>
      <c r="CG63" s="710">
        <f>CG51/(IS!CG16)</f>
        <v>-1.2992086624590404</v>
      </c>
      <c r="CH63" s="495"/>
      <c r="CI63" s="706">
        <f>CI51/(IS!CI16*4)</f>
        <v>-1.3675755741124695</v>
      </c>
      <c r="CJ63" s="705">
        <f>CJ51/(IS!CJ16*4)</f>
        <v>-1.3678515970655079</v>
      </c>
      <c r="CK63" s="705">
        <f>CK51/(IS!CK16*4)</f>
        <v>-1.4755662741978532</v>
      </c>
      <c r="CL63" s="705">
        <f>CL51/(IS!CL16*4)</f>
        <v>-1.4548216433967709</v>
      </c>
      <c r="CM63" s="710">
        <f>CM51/(IS!CM16)</f>
        <v>-1.5911521439471914</v>
      </c>
      <c r="CN63" s="495"/>
      <c r="CO63" s="495"/>
      <c r="CP63" s="86"/>
    </row>
    <row r="64" spans="1:94" ht="12.75" customHeight="1">
      <c r="A64" s="772" t="s">
        <v>304</v>
      </c>
      <c r="B64" s="495"/>
      <c r="C64" s="756">
        <f>C50/(C50+C45)</f>
        <v>0.33163368490821377</v>
      </c>
      <c r="D64" s="754">
        <f>D50/(D50+D45)</f>
        <v>0.33358708187373365</v>
      </c>
      <c r="E64" s="754">
        <f>E50/(E50+E45)</f>
        <v>0.36822214466337461</v>
      </c>
      <c r="F64" s="754">
        <f>F50/(F50+F45)</f>
        <v>0.44225589262430848</v>
      </c>
      <c r="G64" s="755">
        <f>G50/(G50+G45)</f>
        <v>0.44225589262430848</v>
      </c>
      <c r="H64" s="495"/>
      <c r="I64" s="756">
        <f>I50/(I50+I45)</f>
        <v>0.5032518991158631</v>
      </c>
      <c r="J64" s="754">
        <f>J50/(J50+J45)</f>
        <v>0.5228592980072394</v>
      </c>
      <c r="K64" s="754">
        <f>K50/(K50+K45)</f>
        <v>0.51840878116059252</v>
      </c>
      <c r="L64" s="754">
        <f>L50/(L50+L45)</f>
        <v>0.51647037301170506</v>
      </c>
      <c r="M64" s="755">
        <f>M50/(M50+M45)</f>
        <v>0.51647037301170506</v>
      </c>
      <c r="N64" s="495"/>
      <c r="O64" s="756">
        <f>O50/(O50+O45)</f>
        <v>0.59388057782848258</v>
      </c>
      <c r="P64" s="754">
        <f>P50/(P50+P45)</f>
        <v>0.58711955667772808</v>
      </c>
      <c r="Q64" s="754">
        <f>Q50/(Q50+Q45)</f>
        <v>0.58137743265807862</v>
      </c>
      <c r="R64" s="754">
        <f>R50/(R50+R45)</f>
        <v>0.63753478033197819</v>
      </c>
      <c r="S64" s="755">
        <f>S50/(S50+S45)</f>
        <v>0.63753478033197819</v>
      </c>
      <c r="T64" s="705"/>
      <c r="U64" s="756">
        <f>U50/(U50+U45)</f>
        <v>0.63604675850640713</v>
      </c>
      <c r="V64" s="754">
        <f>V50/(V50+V45)</f>
        <v>0.61349585095870629</v>
      </c>
      <c r="W64" s="754">
        <f>W50/(W50+W45)</f>
        <v>0.66523822642533392</v>
      </c>
      <c r="X64" s="754">
        <f>X50/(X50+X45)</f>
        <v>0.61319669434166935</v>
      </c>
      <c r="Y64" s="755">
        <f>Y50/(Y50+Y45)</f>
        <v>0.61319669434166935</v>
      </c>
      <c r="Z64" s="705"/>
      <c r="AA64" s="756">
        <f>AA50/(AA50+AA45)</f>
        <v>0.48785644150077179</v>
      </c>
      <c r="AB64" s="754">
        <f>AB50/(AB50+AB45)</f>
        <v>0.42380565781899493</v>
      </c>
      <c r="AC64" s="754">
        <f>AC50/(AC50+AC45)</f>
        <v>0.41803633543030239</v>
      </c>
      <c r="AD64" s="754">
        <f>AD50/(AD50+AD45)</f>
        <v>0.39754852895086851</v>
      </c>
      <c r="AE64" s="755">
        <f>AE50/(AE50+AE45)</f>
        <v>0.39754852895086851</v>
      </c>
      <c r="AF64" s="705"/>
      <c r="AG64" s="756">
        <f>AG50/(AG50+AG45)</f>
        <v>0.39295510188086652</v>
      </c>
      <c r="AH64" s="754">
        <f>AH50/(AH50+AH45)</f>
        <v>0.37415182342605385</v>
      </c>
      <c r="AI64" s="754">
        <f>AI50/(AI50+AI45)</f>
        <v>0.38006237558358186</v>
      </c>
      <c r="AJ64" s="754">
        <f>AJ50/(AJ50+AJ45)</f>
        <v>0.37840435757769947</v>
      </c>
      <c r="AK64" s="755">
        <f>AK50/(AK50+AK45)</f>
        <v>0.37840435757769947</v>
      </c>
      <c r="AL64" s="705"/>
      <c r="AM64" s="756">
        <f>AM50/(AM50+AM45)</f>
        <v>0.36490698915514758</v>
      </c>
      <c r="AN64" s="754">
        <f>AN50/(AN50+AN45)</f>
        <v>0.3629849610198348</v>
      </c>
      <c r="AO64" s="754">
        <f>AO50/(AO50+AO45)</f>
        <v>0.43191771658355915</v>
      </c>
      <c r="AP64" s="754">
        <f>AP50/(AP50+AP45)</f>
        <v>0.40026694349695979</v>
      </c>
      <c r="AQ64" s="755">
        <f>AQ50/(AQ50+AQ45)</f>
        <v>0.40026694349695979</v>
      </c>
      <c r="AR64" s="705"/>
      <c r="AS64" s="756">
        <f>AS50/(AS50+AS45)</f>
        <v>0.38816073743338614</v>
      </c>
      <c r="AT64" s="754">
        <f>AT50/(AT50+AT45)</f>
        <v>0.38160691511973927</v>
      </c>
      <c r="AU64" s="754">
        <f>AU50/(AU50+AU45)</f>
        <v>0.34013814274750576</v>
      </c>
      <c r="AV64" s="754">
        <f>AV50/(AV50+AV45)</f>
        <v>0.30130486358244363</v>
      </c>
      <c r="AW64" s="755">
        <f>AW50/(AW50+AW45)</f>
        <v>0.30130486358244363</v>
      </c>
      <c r="AX64" s="705"/>
      <c r="AY64" s="756">
        <f>AY50/(AY50+AY45)</f>
        <v>0.28111224143777552</v>
      </c>
      <c r="AZ64" s="754">
        <f>AZ50/(AZ50+AZ45)</f>
        <v>0.2846828261990717</v>
      </c>
      <c r="BA64" s="754">
        <f>BA50/(BA50+BA45)</f>
        <v>0.28727651449401148</v>
      </c>
      <c r="BB64" s="754">
        <f>BB50/(BB50+BB45)</f>
        <v>0.28412017167381975</v>
      </c>
      <c r="BC64" s="755">
        <f>BC50/(BC50+BC45)</f>
        <v>0.28412017167381975</v>
      </c>
      <c r="BD64" s="705"/>
      <c r="BE64" s="756">
        <f>BE50/(BE50+BE45)</f>
        <v>0.29977512541082857</v>
      </c>
      <c r="BF64" s="754">
        <f>BF50/(BF50+BF45)</f>
        <v>0.31202510736703004</v>
      </c>
      <c r="BG64" s="754">
        <f>BG50/(BG50+BG45)</f>
        <v>0.30274346221723086</v>
      </c>
      <c r="BH64" s="754">
        <f>BH50/(BH50+BH45)</f>
        <v>0.31049041896719715</v>
      </c>
      <c r="BI64" s="755">
        <f>BI50/(BI50+BI45)</f>
        <v>0.31049041896719715</v>
      </c>
      <c r="BJ64" s="705"/>
      <c r="BK64" s="756">
        <f>BK50/(BK50+BK45)</f>
        <v>0.31659249841068021</v>
      </c>
      <c r="BL64" s="754">
        <f>BL50/(BL50+BL45)</f>
        <v>0.3183234652539732</v>
      </c>
      <c r="BM64" s="754">
        <f>BM50/(BM50+BM45)</f>
        <v>0.31096832038254635</v>
      </c>
      <c r="BN64" s="754">
        <f>BN50/(BN50+BN45)</f>
        <v>0.29396287092530332</v>
      </c>
      <c r="BO64" s="755">
        <f>BO50/(BO50+BO45)</f>
        <v>0.29396287092530332</v>
      </c>
      <c r="BP64" s="705"/>
      <c r="BQ64" s="756">
        <f>BQ50/(BQ50+BQ45)</f>
        <v>0.32154099835107181</v>
      </c>
      <c r="BR64" s="754">
        <f>BR50/(BR50+BR45)</f>
        <v>0.3180638821351327</v>
      </c>
      <c r="BS64" s="754">
        <f>BS50/(BS50+BS45)</f>
        <v>0.31502904056296793</v>
      </c>
      <c r="BT64" s="754">
        <f>BT50/(BT50+BT45)</f>
        <v>0.31069388956564964</v>
      </c>
      <c r="BU64" s="755">
        <f>BU50/(BU50+BU45)</f>
        <v>0.31069388956564964</v>
      </c>
      <c r="BV64" s="705"/>
      <c r="BW64" s="756">
        <f>BW50/(BW50+BW45)</f>
        <v>0.30601203467647331</v>
      </c>
      <c r="BX64" s="754">
        <f>BX50/(BX50+BX45)</f>
        <v>0.30137717687609311</v>
      </c>
      <c r="BY64" s="754">
        <f>BY50/(BY50+BY45)</f>
        <v>0.29711834806027665</v>
      </c>
      <c r="BZ64" s="754">
        <f>BZ50/(BZ50+BZ45)</f>
        <v>0.29165410317943952</v>
      </c>
      <c r="CA64" s="755">
        <f>CA50/(CA50+CA45)</f>
        <v>0.29165410317943952</v>
      </c>
      <c r="CB64" s="705"/>
      <c r="CC64" s="756">
        <f>CC50/(CC50+CC45)</f>
        <v>0.23443672954359759</v>
      </c>
      <c r="CD64" s="754">
        <f>CD50/(CD50+CD45)</f>
        <v>0.22779922034902722</v>
      </c>
      <c r="CE64" s="754">
        <f>CE50/(CE50+CE45)</f>
        <v>0.2215578897705982</v>
      </c>
      <c r="CF64" s="754">
        <f>CF50/(CF50+CF45)</f>
        <v>0.21451307890923807</v>
      </c>
      <c r="CG64" s="755">
        <f>CG50/(CG50+CG45)</f>
        <v>0.21451307890923807</v>
      </c>
      <c r="CH64" s="495"/>
      <c r="CI64" s="756">
        <f>CI50/(CI50+CI45)</f>
        <v>0.16583034973782732</v>
      </c>
      <c r="CJ64" s="754">
        <f>CJ50/(CJ50+CJ45)</f>
        <v>0.16223181695727432</v>
      </c>
      <c r="CK64" s="754">
        <f>CK50/(CK50+CK45)</f>
        <v>0.15886245015565018</v>
      </c>
      <c r="CL64" s="754">
        <f>CL50/(CL50+CL45)</f>
        <v>0.15489342148969154</v>
      </c>
      <c r="CM64" s="755">
        <f>CM50/(CM50+CM45)</f>
        <v>0.15489342148969154</v>
      </c>
      <c r="CN64" s="495"/>
      <c r="CO64" s="495"/>
      <c r="CP64" s="86"/>
    </row>
    <row r="65" spans="1:94" ht="4.5" customHeight="1">
      <c r="A65" s="773"/>
      <c r="B65" s="743"/>
      <c r="C65" s="774"/>
      <c r="D65" s="774"/>
      <c r="E65" s="774"/>
      <c r="F65" s="774"/>
      <c r="G65" s="774"/>
      <c r="H65" s="743"/>
      <c r="I65" s="774"/>
      <c r="J65" s="774"/>
      <c r="K65" s="774"/>
      <c r="L65" s="774"/>
      <c r="M65" s="774"/>
      <c r="N65" s="743"/>
      <c r="O65" s="774"/>
      <c r="P65" s="774"/>
      <c r="Q65" s="774"/>
      <c r="R65" s="774"/>
      <c r="S65" s="774"/>
      <c r="T65" s="768"/>
      <c r="U65" s="774"/>
      <c r="V65" s="774"/>
      <c r="W65" s="774"/>
      <c r="X65" s="774"/>
      <c r="Y65" s="774"/>
      <c r="Z65" s="768"/>
      <c r="AA65" s="767"/>
      <c r="AB65" s="767"/>
      <c r="AC65" s="767"/>
      <c r="AD65" s="767"/>
      <c r="AE65" s="774"/>
      <c r="AF65" s="768"/>
      <c r="AG65" s="774"/>
      <c r="AH65" s="767"/>
      <c r="AI65" s="767"/>
      <c r="AJ65" s="767"/>
      <c r="AK65" s="774"/>
      <c r="AL65" s="768"/>
      <c r="AM65" s="774"/>
      <c r="AN65" s="774"/>
      <c r="AO65" s="767"/>
      <c r="AP65" s="774"/>
      <c r="AQ65" s="774"/>
      <c r="AR65" s="768"/>
      <c r="AS65" s="774"/>
      <c r="AT65" s="774"/>
      <c r="AU65" s="774"/>
      <c r="AV65" s="774"/>
      <c r="AW65" s="774"/>
      <c r="AX65" s="768"/>
      <c r="AY65" s="774"/>
      <c r="AZ65" s="774"/>
      <c r="BA65" s="774"/>
      <c r="BB65" s="774"/>
      <c r="BC65" s="774"/>
      <c r="BD65" s="768"/>
      <c r="BE65" s="774"/>
      <c r="BF65" s="774"/>
      <c r="BG65" s="774"/>
      <c r="BH65" s="774"/>
      <c r="BI65" s="775"/>
      <c r="BJ65" s="768"/>
      <c r="BK65" s="774"/>
      <c r="BL65" s="774"/>
      <c r="BM65" s="774"/>
      <c r="BN65" s="774"/>
      <c r="BO65" s="775"/>
      <c r="BP65" s="768"/>
      <c r="BQ65" s="774"/>
      <c r="BR65" s="774"/>
      <c r="BS65" s="774"/>
      <c r="BT65" s="774"/>
      <c r="BU65" s="775"/>
      <c r="BV65" s="768"/>
      <c r="BW65" s="774"/>
      <c r="BX65" s="774"/>
      <c r="BY65" s="774"/>
      <c r="BZ65" s="774"/>
      <c r="CA65" s="775"/>
      <c r="CB65" s="775"/>
      <c r="CC65" s="774"/>
      <c r="CD65" s="774"/>
      <c r="CE65" s="774"/>
      <c r="CF65" s="774"/>
      <c r="CG65" s="775"/>
      <c r="CH65" s="743"/>
      <c r="CI65" s="774"/>
      <c r="CJ65" s="774"/>
      <c r="CK65" s="774"/>
      <c r="CL65" s="774"/>
      <c r="CM65" s="775"/>
      <c r="CN65" s="743"/>
      <c r="CO65" s="743"/>
      <c r="CP65" s="6"/>
    </row>
    <row r="66" spans="1:94" ht="12.75" hidden="1" customHeight="1" outlineLevel="1">
      <c r="A66" s="769" t="s">
        <v>305</v>
      </c>
      <c r="B66" s="738"/>
      <c r="C66" s="739"/>
      <c r="D66" s="740"/>
      <c r="E66" s="740"/>
      <c r="F66" s="740"/>
      <c r="G66" s="741"/>
      <c r="H66" s="738"/>
      <c r="I66" s="739"/>
      <c r="J66" s="740"/>
      <c r="K66" s="740"/>
      <c r="L66" s="740"/>
      <c r="M66" s="741"/>
      <c r="N66" s="738"/>
      <c r="O66" s="739"/>
      <c r="P66" s="740"/>
      <c r="Q66" s="740"/>
      <c r="R66" s="740"/>
      <c r="S66" s="741"/>
      <c r="T66" s="742"/>
      <c r="U66" s="739"/>
      <c r="V66" s="740"/>
      <c r="W66" s="740"/>
      <c r="X66" s="740"/>
      <c r="Y66" s="741"/>
      <c r="Z66" s="742"/>
      <c r="AA66" s="739"/>
      <c r="AB66" s="740"/>
      <c r="AC66" s="740"/>
      <c r="AD66" s="740"/>
      <c r="AE66" s="741"/>
      <c r="AF66" s="742"/>
      <c r="AG66" s="739"/>
      <c r="AH66" s="740"/>
      <c r="AI66" s="740"/>
      <c r="AJ66" s="740"/>
      <c r="AK66" s="741"/>
      <c r="AL66" s="742"/>
      <c r="AM66" s="739"/>
      <c r="AN66" s="740"/>
      <c r="AO66" s="740"/>
      <c r="AP66" s="740"/>
      <c r="AQ66" s="741"/>
      <c r="AR66" s="742"/>
      <c r="AS66" s="739"/>
      <c r="AT66" s="740"/>
      <c r="AU66" s="740"/>
      <c r="AV66" s="740"/>
      <c r="AW66" s="741"/>
      <c r="AX66" s="742"/>
      <c r="AY66" s="739"/>
      <c r="AZ66" s="740"/>
      <c r="BA66" s="740"/>
      <c r="BB66" s="740"/>
      <c r="BC66" s="741"/>
      <c r="BD66" s="742"/>
      <c r="BE66" s="739"/>
      <c r="BF66" s="740"/>
      <c r="BG66" s="740"/>
      <c r="BH66" s="740"/>
      <c r="BI66" s="741"/>
      <c r="BJ66" s="742"/>
      <c r="BK66" s="739"/>
      <c r="BL66" s="740"/>
      <c r="BM66" s="740"/>
      <c r="BN66" s="740"/>
      <c r="BO66" s="741"/>
      <c r="BP66" s="742"/>
      <c r="BQ66" s="739"/>
      <c r="BR66" s="740"/>
      <c r="BS66" s="740"/>
      <c r="BT66" s="740"/>
      <c r="BU66" s="741"/>
      <c r="BV66" s="742"/>
      <c r="BW66" s="739"/>
      <c r="BX66" s="740"/>
      <c r="BY66" s="740"/>
      <c r="BZ66" s="740"/>
      <c r="CA66" s="741"/>
      <c r="CB66" s="2125"/>
      <c r="CC66" s="739"/>
      <c r="CD66" s="740"/>
      <c r="CE66" s="740"/>
      <c r="CF66" s="740"/>
      <c r="CG66" s="741"/>
      <c r="CH66" s="743"/>
      <c r="CI66" s="739"/>
      <c r="CJ66" s="740"/>
      <c r="CK66" s="740"/>
      <c r="CL66" s="740"/>
      <c r="CM66" s="741"/>
      <c r="CN66" s="743"/>
      <c r="CO66" s="743"/>
      <c r="CP66" s="6"/>
    </row>
    <row r="67" spans="1:94" ht="12.75" hidden="1" customHeight="1" outlineLevel="1">
      <c r="A67" s="776" t="s">
        <v>306</v>
      </c>
      <c r="B67" s="743"/>
      <c r="C67" s="777">
        <f>C15/C31</f>
        <v>5.4055765779479277</v>
      </c>
      <c r="D67" s="778">
        <f>D15/D31</f>
        <v>5.3979388286003909</v>
      </c>
      <c r="E67" s="778">
        <f>E15/E31</f>
        <v>4.1287652171973477</v>
      </c>
      <c r="F67" s="778">
        <f>F15/F31</f>
        <v>4.5439053070083064</v>
      </c>
      <c r="G67" s="779">
        <f>G15/G31</f>
        <v>4.5439053070083064</v>
      </c>
      <c r="H67" s="743"/>
      <c r="I67" s="777">
        <f>I15/I31</f>
        <v>1.8583479678609967</v>
      </c>
      <c r="J67" s="778">
        <f>J15/J31</f>
        <v>1.7272170651266174</v>
      </c>
      <c r="K67" s="778">
        <f>K15/K31</f>
        <v>1.7344992280211209</v>
      </c>
      <c r="L67" s="778">
        <f>L15/L31</f>
        <v>3.6545966311793894</v>
      </c>
      <c r="M67" s="779">
        <f>M15/M31</f>
        <v>3.6545966311793894</v>
      </c>
      <c r="N67" s="743"/>
      <c r="O67" s="777">
        <f>O15/O31</f>
        <v>3.4341191903989716</v>
      </c>
      <c r="P67" s="778">
        <f>P15/P31</f>
        <v>3.8745780683773576</v>
      </c>
      <c r="Q67" s="778">
        <f>Q15/Q31</f>
        <v>4.0561205171868053</v>
      </c>
      <c r="R67" s="778">
        <f>R15/R31</f>
        <v>5.5967988211824808</v>
      </c>
      <c r="S67" s="779">
        <f>S15/S31</f>
        <v>5.5967988211824808</v>
      </c>
      <c r="T67" s="780"/>
      <c r="U67" s="777">
        <f>U15/U31</f>
        <v>2.2876268692810151</v>
      </c>
      <c r="V67" s="778">
        <f>V15/V31</f>
        <v>2.3534266858869888</v>
      </c>
      <c r="W67" s="778">
        <f>W15/W31</f>
        <v>2.1329924308300781</v>
      </c>
      <c r="X67" s="778">
        <f>X15/X31</f>
        <v>2.2263852506256399</v>
      </c>
      <c r="Y67" s="779">
        <f>Y15/Y31</f>
        <v>2.2263852506256399</v>
      </c>
      <c r="Z67" s="780"/>
      <c r="AA67" s="777">
        <f>AA15/AA31</f>
        <v>4.3769350355849737</v>
      </c>
      <c r="AB67" s="778">
        <f>AB15/AB31</f>
        <v>4.3869191534722898</v>
      </c>
      <c r="AC67" s="778">
        <f>AC15/AC31</f>
        <v>4.5724519001882022</v>
      </c>
      <c r="AD67" s="778">
        <f>AD15/AD31</f>
        <v>3.9245377650373401</v>
      </c>
      <c r="AE67" s="781">
        <f>AE15/AE31</f>
        <v>3.9245377650373401</v>
      </c>
      <c r="AF67" s="780"/>
      <c r="AG67" s="777">
        <f>AG15/AG31</f>
        <v>4.0739699548461017</v>
      </c>
      <c r="AH67" s="778">
        <f>AH15/AH31</f>
        <v>4.1898910720178639</v>
      </c>
      <c r="AI67" s="778">
        <f>AI15/AI31</f>
        <v>2.1394750542427778</v>
      </c>
      <c r="AJ67" s="778">
        <f>AJ15/AJ31</f>
        <v>2.8012326656394455</v>
      </c>
      <c r="AK67" s="781">
        <f>AK15/AK31</f>
        <v>2.8012326656394455</v>
      </c>
      <c r="AL67" s="780"/>
      <c r="AM67" s="782">
        <f>AM15/AM31</f>
        <v>3.0223060719184773</v>
      </c>
      <c r="AN67" s="780">
        <f>AN15/AN31</f>
        <v>3.0851435000956031</v>
      </c>
      <c r="AO67" s="778">
        <f>AO15/AO31</f>
        <v>3.7236759638451007</v>
      </c>
      <c r="AP67" s="780">
        <f>AP15/AP31</f>
        <v>3.8358925143953937</v>
      </c>
      <c r="AQ67" s="781">
        <f>AQ15/AQ31</f>
        <v>3.8358925143953937</v>
      </c>
      <c r="AR67" s="780"/>
      <c r="AS67" s="782">
        <f>AS15/AS31</f>
        <v>4.0947680157946689</v>
      </c>
      <c r="AT67" s="780">
        <f>AT15/AT31</f>
        <v>3.7467921300256628</v>
      </c>
      <c r="AU67" s="780">
        <f>AU15/AU31</f>
        <v>3.470216606498195</v>
      </c>
      <c r="AV67" s="780">
        <f>AV15/AV31</f>
        <v>3.2314923619271445</v>
      </c>
      <c r="AW67" s="781">
        <f>AW15/AW31</f>
        <v>3.2314923619271445</v>
      </c>
      <c r="AX67" s="780"/>
      <c r="AY67" s="782">
        <f>AY15/AY31</f>
        <v>3.9375</v>
      </c>
      <c r="AZ67" s="780">
        <f>AZ15/AZ31</f>
        <v>3.89247311827957</v>
      </c>
      <c r="BA67" s="780">
        <f>BA15/BA31</f>
        <v>4.0773739742086752</v>
      </c>
      <c r="BB67" s="780">
        <f>BB15/BB31</f>
        <v>3.776639344262295</v>
      </c>
      <c r="BC67" s="781">
        <f>BC15/BC31</f>
        <v>3.776639344262295</v>
      </c>
      <c r="BD67" s="780"/>
      <c r="BE67" s="782">
        <f>BE15/BE31</f>
        <v>3.5892291446673705</v>
      </c>
      <c r="BF67" s="780">
        <f>BF15/BF31</f>
        <v>3.0785525154457192</v>
      </c>
      <c r="BG67" s="780">
        <f>BG15/BG31</f>
        <v>3.0668983492615118</v>
      </c>
      <c r="BH67" s="780">
        <f>BH15/BH31</f>
        <v>3.8465608465608465</v>
      </c>
      <c r="BI67" s="781">
        <f>BI15/BI31</f>
        <v>3.8465608465608465</v>
      </c>
      <c r="BJ67" s="780"/>
      <c r="BK67" s="782">
        <f>BK15/BK31</f>
        <v>3.3379247015610654</v>
      </c>
      <c r="BL67" s="780">
        <f>BL15/BL31</f>
        <v>3.2013479359730415</v>
      </c>
      <c r="BM67" s="780">
        <f>BM15/BM31</f>
        <v>3.2199838839645447</v>
      </c>
      <c r="BN67" s="780">
        <f>BN15/BN31</f>
        <v>3.3008709422011084</v>
      </c>
      <c r="BO67" s="781">
        <f>BO15/BO31</f>
        <v>3.3008709422011084</v>
      </c>
      <c r="BP67" s="780"/>
      <c r="BQ67" s="782">
        <f>BQ15/BQ31</f>
        <v>3.230712711241734</v>
      </c>
      <c r="BR67" s="780">
        <f>BR15/BR31</f>
        <v>3.2112419435169426</v>
      </c>
      <c r="BS67" s="780">
        <f>BS15/BS31</f>
        <v>3.2667231532262848</v>
      </c>
      <c r="BT67" s="780">
        <f>BT15/BT31</f>
        <v>3.189362531382903</v>
      </c>
      <c r="BU67" s="781">
        <f>BU15/BU31</f>
        <v>3.189362531382903</v>
      </c>
      <c r="BV67" s="780"/>
      <c r="BW67" s="782">
        <f>BW15/BW31</f>
        <v>3.4136275490997119</v>
      </c>
      <c r="BX67" s="780">
        <f>BX15/BX31</f>
        <v>3.4189180086051585</v>
      </c>
      <c r="BY67" s="780">
        <f>BY15/BY31</f>
        <v>3.4839543634335048</v>
      </c>
      <c r="BZ67" s="780">
        <f>BZ15/BZ31</f>
        <v>3.4274656714310718</v>
      </c>
      <c r="CA67" s="781">
        <f>CA15/CA31</f>
        <v>3.4274656714310718</v>
      </c>
      <c r="CB67" s="780"/>
      <c r="CC67" s="782">
        <f>CC15/CC31</f>
        <v>3.3646197980869226</v>
      </c>
      <c r="CD67" s="780">
        <f>CD15/CD31</f>
        <v>3.4298995476648573</v>
      </c>
      <c r="CE67" s="780">
        <f>CE15/CE31</f>
        <v>3.5403672516166909</v>
      </c>
      <c r="CF67" s="780">
        <f>CF15/CF31</f>
        <v>3.5471124622516563</v>
      </c>
      <c r="CG67" s="781">
        <f>CG15/CG31</f>
        <v>3.5471124622516563</v>
      </c>
      <c r="CH67" s="743"/>
      <c r="CI67" s="782">
        <f>CI15/CI31</f>
        <v>3.6571426936373594</v>
      </c>
      <c r="CJ67" s="780">
        <f>CJ15/CJ31</f>
        <v>3.6837106901172172</v>
      </c>
      <c r="CK67" s="780">
        <f>CK15/CK31</f>
        <v>3.7402624577033379</v>
      </c>
      <c r="CL67" s="780">
        <f>CL15/CL31</f>
        <v>3.7124991231765176</v>
      </c>
      <c r="CM67" s="781">
        <f>CM15/CM31</f>
        <v>3.7124991231765176</v>
      </c>
      <c r="CN67" s="743"/>
      <c r="CO67" s="743"/>
      <c r="CP67" s="6"/>
    </row>
    <row r="68" spans="1:94" ht="12.75" hidden="1" customHeight="1" outlineLevel="1">
      <c r="A68" s="783" t="s">
        <v>307</v>
      </c>
      <c r="B68" s="743"/>
      <c r="C68" s="777">
        <f>(C9+C10+C11)/C31</f>
        <v>4.6663372323237189</v>
      </c>
      <c r="D68" s="778">
        <f>(D9+D10+D11)/D31</f>
        <v>4.6786873323063203</v>
      </c>
      <c r="E68" s="778">
        <f>(E9+E10+E11)/E31</f>
        <v>3.3971041660489885</v>
      </c>
      <c r="F68" s="778">
        <f>(F9+F10+F11)/F31</f>
        <v>3.80102071593089</v>
      </c>
      <c r="G68" s="784">
        <f>(G9+G10+G11)/G31</f>
        <v>3.80102071593089</v>
      </c>
      <c r="H68" s="743"/>
      <c r="I68" s="777">
        <f>(I9+I10+I11)/I31</f>
        <v>1.6506852861233245</v>
      </c>
      <c r="J68" s="778">
        <f>(J9+J10+J11)/J31</f>
        <v>1.5420757342232507</v>
      </c>
      <c r="K68" s="778">
        <f>(K9+K10+K11)/K31</f>
        <v>1.545963773319819</v>
      </c>
      <c r="L68" s="778">
        <f>(L9+L10+L11)/L31</f>
        <v>2.8934275400162561</v>
      </c>
      <c r="M68" s="784">
        <f>(M9+M10+M11)/M31</f>
        <v>2.8934275400162561</v>
      </c>
      <c r="N68" s="743"/>
      <c r="O68" s="777">
        <f>(O9+O10+O11)/O31</f>
        <v>2.751975046084016</v>
      </c>
      <c r="P68" s="778">
        <f>(P9+P10+P11)/P31</f>
        <v>3.1368506335047308</v>
      </c>
      <c r="Q68" s="778">
        <f>(Q9+Q10+Q11)/Q31</f>
        <v>3.3100921350486137</v>
      </c>
      <c r="R68" s="778">
        <f>(R9+R10+R11)/R31</f>
        <v>4.8503401226403637</v>
      </c>
      <c r="S68" s="784">
        <f>(S9+S10+S11)/S31</f>
        <v>4.8503401226403637</v>
      </c>
      <c r="T68" s="768"/>
      <c r="U68" s="777">
        <f>(U9+U10+U11)/U31</f>
        <v>2.0691295700947894</v>
      </c>
      <c r="V68" s="778">
        <f>(V9+V10+V11)/V31</f>
        <v>2.1392217714964725</v>
      </c>
      <c r="W68" s="778">
        <f>(W9+W10+W11)/W31</f>
        <v>1.8824555527134035</v>
      </c>
      <c r="X68" s="778">
        <f>(X9+X10+X11)/X31</f>
        <v>1.9443700833903512</v>
      </c>
      <c r="Y68" s="784">
        <f>(Y9+Y10+Y11)/Y31</f>
        <v>1.9443700833903512</v>
      </c>
      <c r="Z68" s="768"/>
      <c r="AA68" s="777">
        <f>(AA9+AA10+AA11)/AA31</f>
        <v>3.6443099712346334</v>
      </c>
      <c r="AB68" s="778">
        <f>(AB9+AB10+AB11)/AB31</f>
        <v>3.6427433836272614</v>
      </c>
      <c r="AC68" s="778">
        <f>(AC9+AC10+AC11)/AC31</f>
        <v>3.8224128213008628</v>
      </c>
      <c r="AD68" s="778">
        <f>(AD9+AD10+AD11)/AD31</f>
        <v>3.3244184386557043</v>
      </c>
      <c r="AE68" s="785">
        <f>(AE9+AE10+AE11)/AE31</f>
        <v>3.3244184386557043</v>
      </c>
      <c r="AF68" s="768"/>
      <c r="AG68" s="777">
        <f>(AG9+AG10+AG11)/AG31</f>
        <v>3.4815776471788284</v>
      </c>
      <c r="AH68" s="778">
        <f>(AH9+AH10+AH11)/AH31</f>
        <v>3.6007123969562103</v>
      </c>
      <c r="AI68" s="778">
        <f>(AI9+AI10+AI11)/AI31</f>
        <v>1.6431305030734895</v>
      </c>
      <c r="AJ68" s="778">
        <f>(AJ9+AJ10+AJ11)/AJ31</f>
        <v>2.2203389830508473</v>
      </c>
      <c r="AK68" s="785">
        <f>(AK9+AK10+AK11)/AK31</f>
        <v>2.2203389830508473</v>
      </c>
      <c r="AL68" s="768"/>
      <c r="AM68" s="782">
        <f>(AM9+AM10+AM11)/AM31</f>
        <v>2.4237254489806572</v>
      </c>
      <c r="AN68" s="780">
        <f>(AN9+AN10+AN11)/AN31</f>
        <v>2.4797106902629764</v>
      </c>
      <c r="AO68" s="778">
        <f>(AO9+AO10+AO11)/AO31</f>
        <v>2.9605143297008545</v>
      </c>
      <c r="AP68" s="780">
        <f>(AP9+AP10+AP11)/AP31</f>
        <v>3.1036468330134359</v>
      </c>
      <c r="AQ68" s="785">
        <f>(AQ9+AQ10+AQ11)/AQ31</f>
        <v>3.1036468330134359</v>
      </c>
      <c r="AR68" s="768"/>
      <c r="AS68" s="782">
        <f>(AS9+AS10+AS11)/AS31</f>
        <v>3.2596248766041462</v>
      </c>
      <c r="AT68" s="780">
        <f>(AT9+AT10+AT11)/AT31</f>
        <v>3.0094097519247218</v>
      </c>
      <c r="AU68" s="780">
        <f>(AU9+AU10+AU11)/AU31</f>
        <v>2.6741877256317688</v>
      </c>
      <c r="AV68" s="780">
        <f>(AV9+AV10+AV11)/AV31</f>
        <v>1.6709753231492361</v>
      </c>
      <c r="AW68" s="785">
        <f>(AW9+AW10+AW11)/AW31</f>
        <v>1.6709753231492361</v>
      </c>
      <c r="AX68" s="768"/>
      <c r="AY68" s="782">
        <f>(AY9+AY10+AY11)/AY31</f>
        <v>2.9450431034482758</v>
      </c>
      <c r="AZ68" s="780">
        <f>(AZ9+AZ10+AZ11)/AZ31</f>
        <v>2.9817204301075271</v>
      </c>
      <c r="BA68" s="780">
        <f>(BA9+BA10+BA11)/BA31</f>
        <v>3.1172332942555685</v>
      </c>
      <c r="BB68" s="780">
        <f>(BB9+BB10+BB11)/BB31</f>
        <v>2.9211065573770494</v>
      </c>
      <c r="BC68" s="785">
        <f>(BC9+BC10+BC11)/BC31</f>
        <v>2.9211065573770494</v>
      </c>
      <c r="BD68" s="768"/>
      <c r="BE68" s="782">
        <f>(BE9+BE10+BE11)/BE31</f>
        <v>2.6906019007391762</v>
      </c>
      <c r="BF68" s="780">
        <f>(BF9+BF10+BF11)/BF31</f>
        <v>2.4192409532215358</v>
      </c>
      <c r="BG68" s="780">
        <f>(BG9+BG10+BG11)/BG31</f>
        <v>2.4231103388357949</v>
      </c>
      <c r="BH68" s="780">
        <f>(BH9+BH10+BH11)/BH31</f>
        <v>3.0899470899470898</v>
      </c>
      <c r="BI68" s="785">
        <f>(BI9+BI10+BI11)/BI31</f>
        <v>3.0899470899470898</v>
      </c>
      <c r="BJ68" s="768"/>
      <c r="BK68" s="782">
        <f>(BK9+BK10+BK11)/BK31</f>
        <v>2.6574839302112028</v>
      </c>
      <c r="BL68" s="780">
        <f>(BL9+BL10+BL11)/BL31</f>
        <v>2.582982308340354</v>
      </c>
      <c r="BM68" s="780">
        <f>(BM9+BM10+BM11)/BM31</f>
        <v>2.6116035455277999</v>
      </c>
      <c r="BN68" s="780">
        <f>(BN9+BN10+BN11)/BN31</f>
        <v>2.6935866983372923</v>
      </c>
      <c r="BO68" s="785">
        <f>(BO9+BO10+BO11)/BO31</f>
        <v>2.6935866983372923</v>
      </c>
      <c r="BP68" s="768"/>
      <c r="BQ68" s="782">
        <f>(BQ9+BQ10+BQ11)/BQ31</f>
        <v>2.6730345334313004</v>
      </c>
      <c r="BR68" s="780">
        <f>(BR9+BR10+BR11)/BR31</f>
        <v>2.6253421865332314</v>
      </c>
      <c r="BS68" s="780">
        <f>(BS9+BS10+BS11)/BS31</f>
        <v>2.6736663329704644</v>
      </c>
      <c r="BT68" s="780">
        <f>(BT9+BT10+BT11)/BT31</f>
        <v>2.627971278974683</v>
      </c>
      <c r="BU68" s="785">
        <f>(BU9+BU10+BU11)/BU31</f>
        <v>2.627971278974683</v>
      </c>
      <c r="BV68" s="768"/>
      <c r="BW68" s="782">
        <f>(BW9+BW10+BW11)/BW31</f>
        <v>2.8340388930999896</v>
      </c>
      <c r="BX68" s="780">
        <f>(BX9+BX10+BX11)/BX31</f>
        <v>2.8100286798732474</v>
      </c>
      <c r="BY68" s="780">
        <f>(BY9+BY10+BY11)/BY31</f>
        <v>2.8656391331943047</v>
      </c>
      <c r="BZ68" s="780">
        <f>(BZ9+BZ10+BZ11)/BZ31</f>
        <v>2.8430219687626406</v>
      </c>
      <c r="CA68" s="785">
        <f>(CA9+CA10+CA11)/CA31</f>
        <v>2.8430219687626406</v>
      </c>
      <c r="CB68" s="780"/>
      <c r="CC68" s="782">
        <f>(CC9+CC10+CC11)/CC31</f>
        <v>2.7629107267620752</v>
      </c>
      <c r="CD68" s="780">
        <f>(CD9+CD10+CD11)/CD31</f>
        <v>2.7971941980712689</v>
      </c>
      <c r="CE68" s="780">
        <f>(CE9+CE10+CE11)/CE31</f>
        <v>2.8966502649581183</v>
      </c>
      <c r="CF68" s="780">
        <f>(CF9+CF10+CF11)/CF31</f>
        <v>2.9395522490464514</v>
      </c>
      <c r="CG68" s="785">
        <f>(CG9+CG10+CG11)/CG31</f>
        <v>2.9395522490464514</v>
      </c>
      <c r="CH68" s="743"/>
      <c r="CI68" s="782">
        <f>(CI9+CI10+CI11)/CI31</f>
        <v>3.0316956695729766</v>
      </c>
      <c r="CJ68" s="780">
        <f>(CJ9+CJ10+CJ11)/CJ31</f>
        <v>3.0255248569290121</v>
      </c>
      <c r="CK68" s="780">
        <f>(CK9+CK10+CK11)/CK31</f>
        <v>3.0693494473985008</v>
      </c>
      <c r="CL68" s="780">
        <f>(CL9+CL10+CL11)/CL31</f>
        <v>3.0802438208103728</v>
      </c>
      <c r="CM68" s="785">
        <f>(CM9+CM10+CM11)/CM31</f>
        <v>3.0802438208103728</v>
      </c>
      <c r="CN68" s="743"/>
      <c r="CO68" s="743"/>
      <c r="CP68" s="6"/>
    </row>
    <row r="69" spans="1:94" ht="12.75" hidden="1" customHeight="1" outlineLevel="1">
      <c r="A69" s="783" t="s">
        <v>308</v>
      </c>
      <c r="B69" s="743"/>
      <c r="C69" s="777">
        <f>(C9+C10)/C31</f>
        <v>4.1605894592416997</v>
      </c>
      <c r="D69" s="778">
        <f>(D9+D10)/D31</f>
        <v>4.1902147486366736</v>
      </c>
      <c r="E69" s="778">
        <f>(E9+E10)/E31</f>
        <v>2.8881409243646949</v>
      </c>
      <c r="F69" s="778">
        <f>(F9+F10)/F31</f>
        <v>3.2760917125789071</v>
      </c>
      <c r="G69" s="784">
        <f>(G9+G10)/G31</f>
        <v>3.2760917125789071</v>
      </c>
      <c r="H69" s="743"/>
      <c r="I69" s="777">
        <f>(I9+I10)/I31</f>
        <v>1.5086003591775492</v>
      </c>
      <c r="J69" s="778">
        <f>(J9+J10)/J31</f>
        <v>1.4155912069485272</v>
      </c>
      <c r="K69" s="778">
        <f>(K9+K10)/K31</f>
        <v>1.414307748865701</v>
      </c>
      <c r="L69" s="778">
        <f>(L9+L10)/L31</f>
        <v>2.3483777493717137</v>
      </c>
      <c r="M69" s="784">
        <f>(M9+M10)/M31</f>
        <v>2.3483777493717137</v>
      </c>
      <c r="N69" s="743"/>
      <c r="O69" s="777">
        <f>(O9+O10)/O31</f>
        <v>2.2698209860005725</v>
      </c>
      <c r="P69" s="778">
        <f>(P9+P10)/P31</f>
        <v>2.6207501464475063</v>
      </c>
      <c r="Q69" s="778">
        <f>(Q9+Q10)/Q31</f>
        <v>2.793906498528008</v>
      </c>
      <c r="R69" s="778">
        <f>(R9+R10)/R31</f>
        <v>4.3235570412007975</v>
      </c>
      <c r="S69" s="784">
        <f>(S9+S10)/S31</f>
        <v>4.3235570412007975</v>
      </c>
      <c r="T69" s="780"/>
      <c r="U69" s="777">
        <f>(U9+U10)/U31</f>
        <v>1.9148081404605617</v>
      </c>
      <c r="V69" s="778">
        <f>(V9+V10)/V31</f>
        <v>1.9883448494037137</v>
      </c>
      <c r="W69" s="778">
        <f>(W9+W10)/W31</f>
        <v>1.7090229438702254</v>
      </c>
      <c r="X69" s="778">
        <f>(X9+X10)/X31</f>
        <v>1.7532025742109958</v>
      </c>
      <c r="Y69" s="784">
        <f>(Y9+Y10)/Y31</f>
        <v>1.7532025742109958</v>
      </c>
      <c r="Z69" s="780"/>
      <c r="AA69" s="777">
        <f>(AA9+AA10)/AA31</f>
        <v>3.1460954817031017</v>
      </c>
      <c r="AB69" s="778">
        <f>(AB9+AB10)/AB31</f>
        <v>3.1441098774658438</v>
      </c>
      <c r="AC69" s="778">
        <f>(AC9+AC10)/AC31</f>
        <v>3.3223106364046959</v>
      </c>
      <c r="AD69" s="778">
        <f>(AD9+AD10)/AD31</f>
        <v>2.9195380097296764</v>
      </c>
      <c r="AE69" s="785">
        <f>(AE9+AE10)/AE31</f>
        <v>2.9195380097296764</v>
      </c>
      <c r="AF69" s="780"/>
      <c r="AG69" s="777">
        <f>(AG9+AG10)/AG31</f>
        <v>3.0792159480018038</v>
      </c>
      <c r="AH69" s="778">
        <f>(AH9+AH10)/AH31</f>
        <v>3.2068419192019322</v>
      </c>
      <c r="AI69" s="778">
        <f>(AI9+AI10)/AI31</f>
        <v>1.309335286934552</v>
      </c>
      <c r="AJ69" s="778">
        <f>(AJ9+AJ10)/AJ31</f>
        <v>1.8112480739599384</v>
      </c>
      <c r="AK69" s="785">
        <f>(AK9+AK10)/AK31</f>
        <v>1.8112480739599384</v>
      </c>
      <c r="AL69" s="780"/>
      <c r="AM69" s="782">
        <f>(AM9+AM10)/AM31</f>
        <v>1.9935636061952733</v>
      </c>
      <c r="AN69" s="780">
        <f>(AN9+AN10)/AN31</f>
        <v>2.0443942156045223</v>
      </c>
      <c r="AO69" s="778">
        <f>(AO9+AO10)/AO31</f>
        <v>2.4162919822751867</v>
      </c>
      <c r="AP69" s="780">
        <f>(AP9+AP10)/AP31</f>
        <v>2.5671785028790786</v>
      </c>
      <c r="AQ69" s="785">
        <f>(AQ9+AQ10)/AQ31</f>
        <v>2.5671785028790786</v>
      </c>
      <c r="AR69" s="780"/>
      <c r="AS69" s="782">
        <f>(AS9+AS10)/AS31</f>
        <v>2.7068114511352417</v>
      </c>
      <c r="AT69" s="780">
        <f>(AT9+AT10)/AT31</f>
        <v>2.5235243798118048</v>
      </c>
      <c r="AU69" s="780">
        <f>(AU9+AU10)/AU31</f>
        <v>2.157942238267148</v>
      </c>
      <c r="AV69" s="780">
        <f>(AV9+AV10)/AV31</f>
        <v>1.3031727379553466</v>
      </c>
      <c r="AW69" s="785">
        <f>(AW9+AW10)/AW31</f>
        <v>1.3031727379553466</v>
      </c>
      <c r="AX69" s="780"/>
      <c r="AY69" s="782">
        <f>(AY9+AY10)/AY31</f>
        <v>2.2823275862068964</v>
      </c>
      <c r="AZ69" s="780">
        <f>(AZ9+AZ10)/AZ31</f>
        <v>2.3623655913978494</v>
      </c>
      <c r="BA69" s="780">
        <f>(BA9+BA10)/BA31</f>
        <v>2.4325908558030482</v>
      </c>
      <c r="BB69" s="780">
        <f>(BB9+BB10)/BB31</f>
        <v>2.300204918032787</v>
      </c>
      <c r="BC69" s="785">
        <f>(BC9+BC10)/BC31</f>
        <v>2.300204918032787</v>
      </c>
      <c r="BD69" s="780"/>
      <c r="BE69" s="782">
        <f>(BE9+BE10)/BE31</f>
        <v>2.0390707497360085</v>
      </c>
      <c r="BF69" s="780">
        <f>(BF9+BF10)/BF31</f>
        <v>1.8879082082965579</v>
      </c>
      <c r="BG69" s="780">
        <f>(BG9+BG10)/BG31</f>
        <v>1.9105125977410946</v>
      </c>
      <c r="BH69" s="780">
        <f>(BH9+BH10)/BH31</f>
        <v>2.4222222222222221</v>
      </c>
      <c r="BI69" s="785">
        <f>(BI9+BI10)/BI31</f>
        <v>2.4222222222222221</v>
      </c>
      <c r="BJ69" s="780"/>
      <c r="BK69" s="782">
        <f>(BK9+BK10)/BK31</f>
        <v>2.0578512396694215</v>
      </c>
      <c r="BL69" s="780">
        <f>(BL9+BL10)/BL31</f>
        <v>2.0126368997472621</v>
      </c>
      <c r="BM69" s="780">
        <f>(BM9+BM10)/BM31</f>
        <v>2.0652699435938757</v>
      </c>
      <c r="BN69" s="780">
        <f>(BN9+BN10)/BN31</f>
        <v>2.1203483768804432</v>
      </c>
      <c r="BO69" s="785">
        <f>(BO9+BO10)/BO31</f>
        <v>2.1203483768804432</v>
      </c>
      <c r="BP69" s="780"/>
      <c r="BQ69" s="782">
        <f>(BQ9+BQ10)/BQ31</f>
        <v>2.1212343864805292</v>
      </c>
      <c r="BR69" s="780">
        <f>(BR9+BR10)/BR31</f>
        <v>2.0843398961439519</v>
      </c>
      <c r="BS69" s="780">
        <f>(BS9+BS10)/BS31</f>
        <v>2.1413552617586862</v>
      </c>
      <c r="BT69" s="780">
        <f>(BT9+BT10)/BT31</f>
        <v>2.0985188914514703</v>
      </c>
      <c r="BU69" s="785">
        <f>(BU9+BU10)/BU31</f>
        <v>2.0985188914514703</v>
      </c>
      <c r="BV69" s="780"/>
      <c r="BW69" s="782">
        <f>(BW9+BW10)/BW31</f>
        <v>2.2440591001860111</v>
      </c>
      <c r="BX69" s="780">
        <f>(BX9+BX10)/BX31</f>
        <v>2.2312223531173183</v>
      </c>
      <c r="BY69" s="780">
        <f>(BY9+BY10)/BY31</f>
        <v>2.2944429002129425</v>
      </c>
      <c r="BZ69" s="780">
        <f>(BZ9+BZ10)/BZ31</f>
        <v>2.2757275896578779</v>
      </c>
      <c r="CA69" s="785">
        <f>(CA9+CA10)/CA31</f>
        <v>2.2757275896578779</v>
      </c>
      <c r="CB69" s="780"/>
      <c r="CC69" s="782">
        <f>(CC9+CC10)/CC31</f>
        <v>2.1354598001276739</v>
      </c>
      <c r="CD69" s="780">
        <f>(CD9+CD10)/CD31</f>
        <v>2.1799335677955152</v>
      </c>
      <c r="CE69" s="780">
        <f>(CE9+CE10)/CE31</f>
        <v>2.2868637060750583</v>
      </c>
      <c r="CF69" s="780">
        <f>(CF9+CF10)/CF31</f>
        <v>2.3348067401538795</v>
      </c>
      <c r="CG69" s="785">
        <f>(CG9+CG10)/CG31</f>
        <v>2.3348067401538795</v>
      </c>
      <c r="CH69" s="743"/>
      <c r="CI69" s="782">
        <f>(CI9+CI10)/CI31</f>
        <v>2.3654080179471642</v>
      </c>
      <c r="CJ69" s="780">
        <f>(CJ9+CJ10)/CJ31</f>
        <v>2.3681930842296155</v>
      </c>
      <c r="CK69" s="780">
        <f>(CK9+CK10)/CK31</f>
        <v>2.4193709363742038</v>
      </c>
      <c r="CL69" s="780">
        <f>(CL9+CL10)/CL31</f>
        <v>2.436585028657229</v>
      </c>
      <c r="CM69" s="785">
        <f>(CM9+CM10)/CM31</f>
        <v>2.436585028657229</v>
      </c>
      <c r="CN69" s="743"/>
      <c r="CO69" s="743"/>
      <c r="CP69" s="6"/>
    </row>
    <row r="70" spans="1:94" ht="12.75" hidden="1" customHeight="1" outlineLevel="1">
      <c r="A70" s="786" t="s">
        <v>309</v>
      </c>
      <c r="B70" s="743"/>
      <c r="C70" s="787">
        <f>(C15-C12)/C31</f>
        <v>4.8682553639496851</v>
      </c>
      <c r="D70" s="788">
        <f>(D15-D12)/D31</f>
        <v>4.8737084014926957</v>
      </c>
      <c r="E70" s="788">
        <f>(E15-E12)/E31</f>
        <v>3.6003060629172934</v>
      </c>
      <c r="F70" s="788">
        <f>(F15-F12)/F31</f>
        <v>4.0105968905271618</v>
      </c>
      <c r="G70" s="789">
        <f>(G15-G12)/G31</f>
        <v>4.0105968905271618</v>
      </c>
      <c r="H70" s="743"/>
      <c r="I70" s="787">
        <f>(I15-I12)/I31</f>
        <v>1.7074122249416002</v>
      </c>
      <c r="J70" s="788">
        <f>(J15-J12)/J31</f>
        <v>1.5925742648866055</v>
      </c>
      <c r="K70" s="788">
        <f>(K15-K12)/K31</f>
        <v>1.5985270071885067</v>
      </c>
      <c r="L70" s="788">
        <f>(L15-L12)/L31</f>
        <v>3.1110368726276363</v>
      </c>
      <c r="M70" s="789">
        <f>(M15-M12)/M31</f>
        <v>3.1110368726276363</v>
      </c>
      <c r="N70" s="743"/>
      <c r="O70" s="787">
        <f>(O15-O12)/O31</f>
        <v>2.9444734655523583</v>
      </c>
      <c r="P70" s="788">
        <f>(P15-P12)/P31</f>
        <v>3.3429020520661843</v>
      </c>
      <c r="Q70" s="788">
        <f>(Q15-Q12)/Q31</f>
        <v>3.5161775492526979</v>
      </c>
      <c r="R70" s="788">
        <f>(R15-R12)/R31</f>
        <v>5.0606565318026764</v>
      </c>
      <c r="S70" s="789">
        <f>(S15-S12)/S31</f>
        <v>5.0606565318026764</v>
      </c>
      <c r="T70" s="768"/>
      <c r="U70" s="787">
        <f>(U15-U12)/U31</f>
        <v>2.1307418922839729</v>
      </c>
      <c r="V70" s="788">
        <f>(V15-V12)/V31</f>
        <v>2.199458885401679</v>
      </c>
      <c r="W70" s="788">
        <f>(W15-W12)/W31</f>
        <v>1.9516979502176481</v>
      </c>
      <c r="X70" s="788">
        <f>(X15-X12)/X31</f>
        <v>2.0206930814054611</v>
      </c>
      <c r="Y70" s="789">
        <f>(Y15-Y12)/Y31</f>
        <v>2.0206930814054611</v>
      </c>
      <c r="Z70" s="768"/>
      <c r="AA70" s="787">
        <f>(AA15-AA12)/AA31</f>
        <v>3.8432204642302734</v>
      </c>
      <c r="AB70" s="788">
        <f>(AB15-AB12)/AB31</f>
        <v>3.8418211676314433</v>
      </c>
      <c r="AC70" s="788">
        <f>(AC15-AC12)/AC31</f>
        <v>4.0220769704496151</v>
      </c>
      <c r="AD70" s="788">
        <f>(AD15-AD12)/AD31</f>
        <v>3.4860656155527248</v>
      </c>
      <c r="AE70" s="790">
        <f>(AE15-AE12)/AE31</f>
        <v>3.4860656155527248</v>
      </c>
      <c r="AF70" s="768"/>
      <c r="AG70" s="787">
        <f>(AG15-AG12)/AG31</f>
        <v>3.6422192295244575</v>
      </c>
      <c r="AH70" s="788">
        <f>(AH15-AH12)/AH31</f>
        <v>3.7579638871330592</v>
      </c>
      <c r="AI70" s="788">
        <f>(AI15-AI12)/AI31</f>
        <v>1.7763971430385643</v>
      </c>
      <c r="AJ70" s="788">
        <f>(AJ15-AJ12)/AJ31</f>
        <v>2.3836671802773499</v>
      </c>
      <c r="AK70" s="790">
        <f>(AK15-AK12)/AK31</f>
        <v>2.3836671802773499</v>
      </c>
      <c r="AL70" s="768"/>
      <c r="AM70" s="791">
        <f>(AM15-AM12)/AM31</f>
        <v>2.5768599869310886</v>
      </c>
      <c r="AN70" s="792">
        <f>(AN15-AN12)/AN31</f>
        <v>2.6346802402755563</v>
      </c>
      <c r="AO70" s="788">
        <f>(AO15-AO12)/AO31</f>
        <v>3.1542535911278815</v>
      </c>
      <c r="AP70" s="792">
        <f>(AP15-AP12)/AP31</f>
        <v>3.2946257197696736</v>
      </c>
      <c r="AQ70" s="790">
        <f>(AQ15-AQ12)/AQ31</f>
        <v>3.2946257197696736</v>
      </c>
      <c r="AR70" s="768"/>
      <c r="AS70" s="791">
        <f>(AS15-AS12)/AS31</f>
        <v>3.5281342546890424</v>
      </c>
      <c r="AT70" s="792">
        <f>(AT15-AT12)/AT31</f>
        <v>3.2489307100085543</v>
      </c>
      <c r="AU70" s="792">
        <f>(AU15-AU12)/AU31</f>
        <v>2.9440433212996391</v>
      </c>
      <c r="AV70" s="792">
        <f>(AV15-AV12)/AV31</f>
        <v>2.8942420681551115</v>
      </c>
      <c r="AW70" s="790">
        <f>(AW15-AW12)/AW31</f>
        <v>2.8942420681551115</v>
      </c>
      <c r="AX70" s="768"/>
      <c r="AY70" s="791">
        <f>(AY15-AY12)/AY31</f>
        <v>3.334051724137931</v>
      </c>
      <c r="AZ70" s="792">
        <f>(AZ15-AZ12)/AZ31</f>
        <v>3.2946236559139783</v>
      </c>
      <c r="BA70" s="792">
        <f>(BA15-BA12)/BA31</f>
        <v>3.4384525205158263</v>
      </c>
      <c r="BB70" s="792">
        <f>(BB15-BB12)/BB31</f>
        <v>3.2223360655737703</v>
      </c>
      <c r="BC70" s="790">
        <f>(BC15-BC12)/BC31</f>
        <v>3.2223360655737703</v>
      </c>
      <c r="BD70" s="768"/>
      <c r="BE70" s="791">
        <f>(BE15-BE12)/BE31</f>
        <v>3.0042238648363253</v>
      </c>
      <c r="BF70" s="792">
        <f>(BF15-BF12)/BF31</f>
        <v>2.5887025595763458</v>
      </c>
      <c r="BG70" s="792">
        <f>(BG15-BG12)/BG31</f>
        <v>2.5951346655082537</v>
      </c>
      <c r="BH70" s="792">
        <f>(BH15-BH12)/BH31</f>
        <v>3.2825396825396824</v>
      </c>
      <c r="BI70" s="790">
        <f>(BI15-BI12)/BI31</f>
        <v>3.2825396825396824</v>
      </c>
      <c r="BJ70" s="768"/>
      <c r="BK70" s="791">
        <f>(BK15-BK12)/BK31</f>
        <v>2.831955922865014</v>
      </c>
      <c r="BL70" s="792">
        <f>(BL15-BL12)/BL31</f>
        <v>2.7396798652064027</v>
      </c>
      <c r="BM70" s="792">
        <f>(BM15-BM12)/BM31</f>
        <v>2.7639000805801772</v>
      </c>
      <c r="BN70" s="792">
        <f>(BN15-BN12)/BN31</f>
        <v>2.8456057007125892</v>
      </c>
      <c r="BO70" s="790">
        <f>(BO15-BO12)/BO31</f>
        <v>2.8456057007125892</v>
      </c>
      <c r="BP70" s="768"/>
      <c r="BQ70" s="791">
        <f>(BQ15-BQ12)/BQ31</f>
        <v>2.7839823659074212</v>
      </c>
      <c r="BR70" s="792">
        <f>(BR15-BR12)/BR31</f>
        <v>2.7759935242931411</v>
      </c>
      <c r="BS70" s="792">
        <f>(BS15-BS12)/BS31</f>
        <v>2.8240852904335343</v>
      </c>
      <c r="BT70" s="792">
        <f>(BT15-BT12)/BT31</f>
        <v>2.7702997009792121</v>
      </c>
      <c r="BU70" s="790">
        <f>(BU15-BU12)/BU31</f>
        <v>2.7702997009792121</v>
      </c>
      <c r="BV70" s="768"/>
      <c r="BW70" s="791">
        <f>(BW15-BW12)/BW31</f>
        <v>2.9486139197433086</v>
      </c>
      <c r="BX70" s="792">
        <f>(BX15-BX12)/BX31</f>
        <v>2.9655822357723829</v>
      </c>
      <c r="BY70" s="792">
        <f>(BY15-BY12)/BY31</f>
        <v>3.0213614384907768</v>
      </c>
      <c r="BZ70" s="792">
        <f>(BZ15-BZ12)/BZ31</f>
        <v>2.9901546646330424</v>
      </c>
      <c r="CA70" s="790">
        <f>(CA15-CA12)/CA31</f>
        <v>2.9901546646330424</v>
      </c>
      <c r="CB70" s="780"/>
      <c r="CC70" s="791">
        <f>(CC15-CC12)/CC31</f>
        <v>2.8807404313235621</v>
      </c>
      <c r="CD70" s="792">
        <f>(CD15-CD12)/CD31</f>
        <v>2.9574882113651046</v>
      </c>
      <c r="CE70" s="792">
        <f>(CE15-CE12)/CE31</f>
        <v>3.0572374174308918</v>
      </c>
      <c r="CF70" s="792">
        <f>(CF15-CF12)/CF31</f>
        <v>3.0910645463440463</v>
      </c>
      <c r="CG70" s="790">
        <f>(CG15-CG12)/CG31</f>
        <v>3.0910645463440463</v>
      </c>
      <c r="CH70" s="743"/>
      <c r="CI70" s="791">
        <f>(CI15-CI12)/CI31</f>
        <v>3.1528202986513651</v>
      </c>
      <c r="CJ70" s="792">
        <f>(CJ15-CJ12)/CJ31</f>
        <v>3.1906562147185977</v>
      </c>
      <c r="CK70" s="792">
        <f>(CK15-CK12)/CK31</f>
        <v>3.2348892296619658</v>
      </c>
      <c r="CL70" s="792">
        <f>(CL15-CL12)/CL31</f>
        <v>3.2362019306613639</v>
      </c>
      <c r="CM70" s="790">
        <f>(CM15-CM12)/CM31</f>
        <v>3.2362019306613639</v>
      </c>
      <c r="CN70" s="743"/>
      <c r="CO70" s="743"/>
      <c r="CP70" s="6"/>
    </row>
    <row r="71" spans="1:94" ht="12.75" hidden="1" customHeight="1" outlineLevel="1">
      <c r="A71" s="793"/>
      <c r="B71" s="743"/>
      <c r="C71" s="767"/>
      <c r="D71" s="767"/>
      <c r="E71" s="767"/>
      <c r="F71" s="767"/>
      <c r="G71" s="767"/>
      <c r="H71" s="743"/>
      <c r="I71" s="767"/>
      <c r="J71" s="767"/>
      <c r="K71" s="767"/>
      <c r="L71" s="767"/>
      <c r="M71" s="767"/>
      <c r="N71" s="743"/>
      <c r="O71" s="767"/>
      <c r="P71" s="767"/>
      <c r="Q71" s="767"/>
      <c r="R71" s="767"/>
      <c r="S71" s="767"/>
      <c r="T71" s="768"/>
      <c r="U71" s="767"/>
      <c r="V71" s="767"/>
      <c r="W71" s="767"/>
      <c r="X71" s="767"/>
      <c r="Y71" s="767"/>
      <c r="Z71" s="768"/>
      <c r="AA71" s="767"/>
      <c r="AB71" s="767"/>
      <c r="AC71" s="767"/>
      <c r="AD71" s="767"/>
      <c r="AE71" s="767"/>
      <c r="AF71" s="768"/>
      <c r="AG71" s="767"/>
      <c r="AH71" s="767"/>
      <c r="AI71" s="767"/>
      <c r="AJ71" s="767"/>
      <c r="AK71" s="767"/>
      <c r="AL71" s="768"/>
      <c r="AM71" s="767"/>
      <c r="AN71" s="767"/>
      <c r="AO71" s="767"/>
      <c r="AP71" s="767"/>
      <c r="AQ71" s="767"/>
      <c r="AR71" s="768"/>
      <c r="AS71" s="767"/>
      <c r="AT71" s="767"/>
      <c r="AU71" s="767"/>
      <c r="AV71" s="767"/>
      <c r="AW71" s="767"/>
      <c r="AX71" s="768"/>
      <c r="AY71" s="767"/>
      <c r="AZ71" s="767"/>
      <c r="BA71" s="767"/>
      <c r="BB71" s="767"/>
      <c r="BC71" s="767"/>
      <c r="BD71" s="768"/>
      <c r="BE71" s="767"/>
      <c r="BF71" s="767"/>
      <c r="BG71" s="767"/>
      <c r="BH71" s="767"/>
      <c r="BI71" s="768"/>
      <c r="BJ71" s="768"/>
      <c r="BK71" s="767"/>
      <c r="BL71" s="767"/>
      <c r="BM71" s="767"/>
      <c r="BN71" s="767"/>
      <c r="BO71" s="768"/>
      <c r="BP71" s="768"/>
      <c r="BQ71" s="767"/>
      <c r="BR71" s="767"/>
      <c r="BS71" s="767"/>
      <c r="BT71" s="767"/>
      <c r="BU71" s="768"/>
      <c r="BV71" s="768"/>
      <c r="BW71" s="767"/>
      <c r="BX71" s="767"/>
      <c r="BY71" s="767"/>
      <c r="BZ71" s="767"/>
      <c r="CA71" s="768"/>
      <c r="CB71" s="768"/>
      <c r="CC71" s="767"/>
      <c r="CD71" s="767"/>
      <c r="CE71" s="767"/>
      <c r="CF71" s="767"/>
      <c r="CG71" s="768"/>
      <c r="CH71" s="743"/>
      <c r="CI71" s="767"/>
      <c r="CJ71" s="767"/>
      <c r="CK71" s="767"/>
      <c r="CL71" s="767"/>
      <c r="CM71" s="768"/>
      <c r="CN71" s="743"/>
      <c r="CO71" s="743"/>
      <c r="CP71" s="6"/>
    </row>
    <row r="72" spans="1:94" ht="12.75" customHeight="1" collapsed="1">
      <c r="A72" s="769" t="s">
        <v>310</v>
      </c>
      <c r="B72" s="738"/>
      <c r="C72" s="739"/>
      <c r="D72" s="740"/>
      <c r="E72" s="740"/>
      <c r="F72" s="740"/>
      <c r="G72" s="741"/>
      <c r="H72" s="738"/>
      <c r="I72" s="739"/>
      <c r="J72" s="740"/>
      <c r="K72" s="740"/>
      <c r="L72" s="740"/>
      <c r="M72" s="741"/>
      <c r="N72" s="738"/>
      <c r="O72" s="739"/>
      <c r="P72" s="740"/>
      <c r="Q72" s="740"/>
      <c r="R72" s="740"/>
      <c r="S72" s="741"/>
      <c r="T72" s="742"/>
      <c r="U72" s="739"/>
      <c r="V72" s="740"/>
      <c r="W72" s="740"/>
      <c r="X72" s="740"/>
      <c r="Y72" s="741"/>
      <c r="Z72" s="742"/>
      <c r="AA72" s="739"/>
      <c r="AB72" s="740"/>
      <c r="AC72" s="740"/>
      <c r="AD72" s="740"/>
      <c r="AE72" s="741"/>
      <c r="AF72" s="742"/>
      <c r="AG72" s="739"/>
      <c r="AH72" s="740"/>
      <c r="AI72" s="740"/>
      <c r="AJ72" s="740"/>
      <c r="AK72" s="741"/>
      <c r="AL72" s="742"/>
      <c r="AM72" s="739"/>
      <c r="AN72" s="740"/>
      <c r="AO72" s="740"/>
      <c r="AP72" s="740"/>
      <c r="AQ72" s="741"/>
      <c r="AR72" s="742"/>
      <c r="AS72" s="739"/>
      <c r="AT72" s="740"/>
      <c r="AU72" s="740"/>
      <c r="AV72" s="740"/>
      <c r="AW72" s="741"/>
      <c r="AX72" s="742"/>
      <c r="AY72" s="739"/>
      <c r="AZ72" s="740"/>
      <c r="BA72" s="740"/>
      <c r="BB72" s="740"/>
      <c r="BC72" s="741"/>
      <c r="BD72" s="742"/>
      <c r="BE72" s="739"/>
      <c r="BF72" s="740"/>
      <c r="BG72" s="740"/>
      <c r="BH72" s="740"/>
      <c r="BI72" s="741"/>
      <c r="BJ72" s="742"/>
      <c r="BK72" s="739"/>
      <c r="BL72" s="740"/>
      <c r="BM72" s="740"/>
      <c r="BN72" s="740"/>
      <c r="BO72" s="741"/>
      <c r="BP72" s="742"/>
      <c r="BQ72" s="739"/>
      <c r="BR72" s="740"/>
      <c r="BS72" s="740"/>
      <c r="BT72" s="740"/>
      <c r="BU72" s="741"/>
      <c r="BV72" s="742"/>
      <c r="BW72" s="739"/>
      <c r="BX72" s="740"/>
      <c r="BY72" s="740"/>
      <c r="BZ72" s="740"/>
      <c r="CA72" s="741"/>
      <c r="CB72" s="2125"/>
      <c r="CC72" s="739"/>
      <c r="CD72" s="740"/>
      <c r="CE72" s="740"/>
      <c r="CF72" s="740"/>
      <c r="CG72" s="741"/>
      <c r="CH72" s="743"/>
      <c r="CI72" s="739"/>
      <c r="CJ72" s="740"/>
      <c r="CK72" s="740"/>
      <c r="CL72" s="740"/>
      <c r="CM72" s="741"/>
      <c r="CN72" s="743"/>
      <c r="CO72" s="743"/>
      <c r="CP72" s="6"/>
    </row>
    <row r="73" spans="1:94" ht="12.75" customHeight="1">
      <c r="A73" s="794" t="s">
        <v>311</v>
      </c>
      <c r="B73" s="495"/>
      <c r="C73" s="722">
        <f>(365/4)/(IS!C10/C11)</f>
        <v>50.95031545741324</v>
      </c>
      <c r="D73" s="795">
        <f>(365/4)/(IS!D10/D11)</f>
        <v>50.950315457413247</v>
      </c>
      <c r="E73" s="795">
        <f>(365/4)/(IS!E10/E11)</f>
        <v>50.950315457413247</v>
      </c>
      <c r="F73" s="795">
        <f>(365/4)/(IS!F10/F11)</f>
        <v>50.95031545741324</v>
      </c>
      <c r="G73" s="771">
        <f>(365)/(IS!G10/G11)</f>
        <v>56.925299146448914</v>
      </c>
      <c r="H73" s="495"/>
      <c r="I73" s="722">
        <f>(365/4)/(IS!I10/I11)</f>
        <v>50.950315457413247</v>
      </c>
      <c r="J73" s="795">
        <f>(365/4)/(IS!J10/J11)</f>
        <v>50.95031545741324</v>
      </c>
      <c r="K73" s="795">
        <f>(365/4)/(IS!K10/K11)</f>
        <v>50.95031545741324</v>
      </c>
      <c r="L73" s="795">
        <f>(365/4)/(IS!L10/L11)</f>
        <v>50.950315457413247</v>
      </c>
      <c r="M73" s="771">
        <f>(365)/(IS!M10/M11)</f>
        <v>55.151685433628188</v>
      </c>
      <c r="N73" s="495"/>
      <c r="O73" s="722">
        <f>(365/4)/(IS!O10/O11)</f>
        <v>50.950315457413247</v>
      </c>
      <c r="P73" s="795">
        <f>(365/4)/(IS!P10/P11)</f>
        <v>50.950315457413247</v>
      </c>
      <c r="Q73" s="795">
        <f>(365/4)/(IS!Q10/Q11)</f>
        <v>50.950315457413247</v>
      </c>
      <c r="R73" s="795">
        <f>(365/4)/(IS!R10/R11)</f>
        <v>50.95031545741324</v>
      </c>
      <c r="S73" s="771">
        <f>(365)/(IS!S10/S11)</f>
        <v>53.741098611406308</v>
      </c>
      <c r="T73" s="705"/>
      <c r="U73" s="722">
        <f>(365/4)/(IS!U10/U11)</f>
        <v>50.950315457413247</v>
      </c>
      <c r="V73" s="795">
        <f>(365/4)/(IS!V10/V11)</f>
        <v>50.950315457413247</v>
      </c>
      <c r="W73" s="795">
        <f>(365/4)/(IS!W10/W11)</f>
        <v>50.950315457413247</v>
      </c>
      <c r="X73" s="795">
        <f>(365/4)/(IS!X10/X11)</f>
        <v>50.950315457413247</v>
      </c>
      <c r="Y73" s="771">
        <f>(365)/(IS!Y10/Y11)</f>
        <v>62.380378760849361</v>
      </c>
      <c r="Z73" s="705"/>
      <c r="AA73" s="722">
        <f>(365/4)/(IS!AA10/AA11)</f>
        <v>50.950315457413247</v>
      </c>
      <c r="AB73" s="795">
        <f>(365/4)/(IS!AB10/AB11)</f>
        <v>50.950315457413247</v>
      </c>
      <c r="AC73" s="795">
        <f>(365/4)/(IS!AC10/AC11)</f>
        <v>50.95031545741324</v>
      </c>
      <c r="AD73" s="795">
        <f>(365/4)/(IS!AD10/AD11)</f>
        <v>50.950315457413247</v>
      </c>
      <c r="AE73" s="771">
        <f>(365)/(IS!AE10/AE11)</f>
        <v>53.93652729993233</v>
      </c>
      <c r="AF73" s="705"/>
      <c r="AG73" s="722">
        <f>(365/4)/(IS!AG10/AG11)</f>
        <v>50.950315457413247</v>
      </c>
      <c r="AH73" s="795">
        <f>(365/4)/(IS!AH10/AH11)</f>
        <v>50.950315457413247</v>
      </c>
      <c r="AI73" s="795">
        <f>(365/4)/(IS!AI10/AI11)</f>
        <v>50.950315457413247</v>
      </c>
      <c r="AJ73" s="795">
        <f>(365/4)/(IS!AJ10/AJ11)</f>
        <v>50.950315457413247</v>
      </c>
      <c r="AK73" s="771">
        <f>(365)/(IS!AK10/AK11)</f>
        <v>54.703640982218459</v>
      </c>
      <c r="AL73" s="705"/>
      <c r="AM73" s="722">
        <f>(365/4)/(IS!AM10/AM11)</f>
        <v>50.354146100691018</v>
      </c>
      <c r="AN73" s="795">
        <f>(365/4)/(IS!AN10/AN11)</f>
        <v>50.354146100691011</v>
      </c>
      <c r="AO73" s="795">
        <f>(365/4)/(IS!AO10/AO11)</f>
        <v>50.354146100691018</v>
      </c>
      <c r="AP73" s="795">
        <f>(365/4)/(IS!AP10/AP11)</f>
        <v>50.354146100691018</v>
      </c>
      <c r="AQ73" s="771">
        <f>(365)/(IS!AQ10/AQ11)</f>
        <v>52.397277863379564</v>
      </c>
      <c r="AR73" s="705"/>
      <c r="AS73" s="722">
        <f>(365/4)/(IS!AS10/AS11)</f>
        <v>50.694444444444443</v>
      </c>
      <c r="AT73" s="795">
        <f>(365/4)/(IS!AT10/AT11)</f>
        <v>52.459514170040485</v>
      </c>
      <c r="AU73" s="795">
        <f>(365/4)/(IS!AU10/AU11)</f>
        <v>51.729435084241821</v>
      </c>
      <c r="AV73" s="795">
        <f>(365/4)/(IS!AV10/AV11)</f>
        <v>54.767497603068072</v>
      </c>
      <c r="AW73" s="771">
        <f>(365)/(IS!AW10/AW11)</f>
        <v>56.445158102766804</v>
      </c>
      <c r="AX73" s="705"/>
      <c r="AY73" s="722">
        <f>(365/4)/(IS!AY10/AY11)</f>
        <v>54.696637426900587</v>
      </c>
      <c r="AZ73" s="795">
        <f>(365/4)/(IS!AZ10/AZ11)</f>
        <v>54.579439252336449</v>
      </c>
      <c r="BA73" s="795">
        <f>(365/4)/(IS!BA10/BA11)</f>
        <v>52.554240631163708</v>
      </c>
      <c r="BB73" s="795">
        <f>(365/4)/(IS!BB10/BB11)</f>
        <v>53.427536231884062</v>
      </c>
      <c r="BC73" s="771">
        <f>(365)/(IS!BC10/BC11)</f>
        <v>54.777117384843983</v>
      </c>
      <c r="BD73" s="705"/>
      <c r="BE73" s="722">
        <f>(365/4)/(IS!BE10/BE11)</f>
        <v>54.76775291828794</v>
      </c>
      <c r="BF73" s="795">
        <f>(365/4)/(IS!BF10/BF11)</f>
        <v>53.908243375858689</v>
      </c>
      <c r="BG73" s="795">
        <f>(365/4)/(IS!BG10/BG11)</f>
        <v>51.568486590038312</v>
      </c>
      <c r="BH73" s="795">
        <f>(365/4)/(IS!BH10/BH11)</f>
        <v>51.826057605760582</v>
      </c>
      <c r="BI73" s="771">
        <f>(365)/(IS!BI10/BI11)</f>
        <v>54.810804378867203</v>
      </c>
      <c r="BJ73" s="705"/>
      <c r="BK73" s="722">
        <f>(365/4)/(IS!BK10/BK11)</f>
        <v>55.844657919400184</v>
      </c>
      <c r="BL73" s="795">
        <f>(365/4)/(IS!BL10/BL11)</f>
        <v>56.058303085299457</v>
      </c>
      <c r="BM73" s="795">
        <f>(365/4)/(IS!BM10/BM11)</f>
        <v>55.536355475763017</v>
      </c>
      <c r="BN73" s="795">
        <f>(365/4)/(IS!BN10/BN11)</f>
        <v>55.563498738435662</v>
      </c>
      <c r="BO73" s="771">
        <f>(365)/(IS!BO10/BO11)</f>
        <v>59.092128801431123</v>
      </c>
      <c r="BP73" s="705"/>
      <c r="BQ73" s="722">
        <f>(365/4)/(IS!BQ10/BQ11)</f>
        <v>56.588563170933114</v>
      </c>
      <c r="BR73" s="2031">
        <f>BL73-0.75</f>
        <v>55.308303085299457</v>
      </c>
      <c r="BS73" s="2031">
        <f t="shared" ref="BS73:BT74" si="49">BM73-0.75</f>
        <v>54.786355475763017</v>
      </c>
      <c r="BT73" s="2031">
        <f t="shared" si="49"/>
        <v>54.813498738435662</v>
      </c>
      <c r="BU73" s="771">
        <f>(365)/(IS!BU10/BU11)</f>
        <v>57.489220586969253</v>
      </c>
      <c r="BV73" s="705"/>
      <c r="BW73" s="2033">
        <f>BQ73+2</f>
        <v>58.588563170933114</v>
      </c>
      <c r="BX73" s="2031">
        <f t="shared" ref="BX73:BZ74" si="50">BR73+2</f>
        <v>57.308303085299457</v>
      </c>
      <c r="BY73" s="2031">
        <f t="shared" si="50"/>
        <v>56.786355475763017</v>
      </c>
      <c r="BZ73" s="2031">
        <f t="shared" si="50"/>
        <v>56.813498738435662</v>
      </c>
      <c r="CA73" s="771">
        <f>(365)/(IS!CA10/CA11)</f>
        <v>59.847741761498213</v>
      </c>
      <c r="CB73" s="705"/>
      <c r="CC73" s="2033">
        <f>BW73+2</f>
        <v>60.588563170933114</v>
      </c>
      <c r="CD73" s="2031">
        <f t="shared" ref="CD73:CD74" si="51">BX73+2</f>
        <v>59.308303085299457</v>
      </c>
      <c r="CE73" s="2031">
        <f t="shared" ref="CE73:CE74" si="52">BY73+2</f>
        <v>58.786355475763017</v>
      </c>
      <c r="CF73" s="2031">
        <f t="shared" ref="CF73:CF74" si="53">BZ73+2</f>
        <v>58.813498738435662</v>
      </c>
      <c r="CG73" s="771">
        <f>(365)/(IS!CG10/CG11)</f>
        <v>62.073506271612636</v>
      </c>
      <c r="CH73" s="495"/>
      <c r="CI73" s="2033">
        <f>CC73+2</f>
        <v>62.588563170933114</v>
      </c>
      <c r="CJ73" s="2031">
        <f t="shared" ref="CJ73:CJ74" si="54">CD73+2</f>
        <v>61.308303085299457</v>
      </c>
      <c r="CK73" s="2031">
        <f t="shared" ref="CK73:CK74" si="55">CE73+2</f>
        <v>60.786355475763017</v>
      </c>
      <c r="CL73" s="2031">
        <f t="shared" ref="CL73:CL74" si="56">CF73+2</f>
        <v>60.813498738435662</v>
      </c>
      <c r="CM73" s="771">
        <f>(365)/(IS!CM10/CM11)</f>
        <v>64.323866457376297</v>
      </c>
      <c r="CN73" s="495"/>
      <c r="CO73" s="495"/>
      <c r="CP73" s="64"/>
    </row>
    <row r="74" spans="1:94" ht="12.75" customHeight="1">
      <c r="A74" s="794" t="s">
        <v>312</v>
      </c>
      <c r="B74" s="495"/>
      <c r="C74" s="706">
        <f>(365/4)/(IS!C11/C12)</f>
        <v>114.43144640700413</v>
      </c>
      <c r="D74" s="705">
        <f>(365/4)/(IS!D11/D12)</f>
        <v>114.43144640700412</v>
      </c>
      <c r="E74" s="705">
        <f>(365/4)/(IS!E11/E12)</f>
        <v>114.43144640700413</v>
      </c>
      <c r="F74" s="705">
        <f>(365/4)/(IS!F11/F12)</f>
        <v>114.43144640700412</v>
      </c>
      <c r="G74" s="710">
        <f>(365)/(IS!G11/G12)</f>
        <v>124.19408527944695</v>
      </c>
      <c r="H74" s="495"/>
      <c r="I74" s="706">
        <f>(365/4)/(IS!I11/I12)</f>
        <v>114.43144640700413</v>
      </c>
      <c r="J74" s="705">
        <f>(365/4)/(IS!J11/J12)</f>
        <v>114.43144640700412</v>
      </c>
      <c r="K74" s="705">
        <f>(365/4)/(IS!K11/K12)</f>
        <v>114.43144640700413</v>
      </c>
      <c r="L74" s="705">
        <f>(365/4)/(IS!L11/L12)</f>
        <v>114.43144640700412</v>
      </c>
      <c r="M74" s="710">
        <f>(365)/(IS!M11/M12)</f>
        <v>119.01016620486054</v>
      </c>
      <c r="N74" s="495"/>
      <c r="O74" s="706">
        <f>(365/4)/(IS!O11/O12)</f>
        <v>114.43144640700412</v>
      </c>
      <c r="P74" s="705">
        <f>(365/4)/(IS!P11/P12)</f>
        <v>114.43144640700412</v>
      </c>
      <c r="Q74" s="705">
        <f>(365/4)/(IS!Q11/Q12)</f>
        <v>114.43144640700412</v>
      </c>
      <c r="R74" s="705">
        <f>(365/4)/(IS!R11/R12)</f>
        <v>114.43144640700412</v>
      </c>
      <c r="S74" s="710">
        <f>(365)/(IS!S11/S12)</f>
        <v>119.61541339038685</v>
      </c>
      <c r="T74" s="705"/>
      <c r="U74" s="706">
        <f>(365/4)/(IS!U11/U12)</f>
        <v>114.43144640700412</v>
      </c>
      <c r="V74" s="705">
        <f>(365/4)/(IS!V11/V12)</f>
        <v>114.43144640700412</v>
      </c>
      <c r="W74" s="705">
        <f>(365/4)/(IS!W11/W12)</f>
        <v>114.43144640700412</v>
      </c>
      <c r="X74" s="705">
        <f>(365/4)/(IS!X11/X12)</f>
        <v>114.43144640700412</v>
      </c>
      <c r="Y74" s="710">
        <f>(365)/(IS!Y11/Y12)</f>
        <v>144.51232259152002</v>
      </c>
      <c r="Z74" s="705"/>
      <c r="AA74" s="706">
        <f>(365/4)/(IS!AA11/AA12)</f>
        <v>114.43144640700413</v>
      </c>
      <c r="AB74" s="705">
        <f>(365/4)/(IS!AB11/AB12)</f>
        <v>114.4314464070041</v>
      </c>
      <c r="AC74" s="705">
        <f>(365/4)/(IS!AC11/AC12)</f>
        <v>114.43144640700412</v>
      </c>
      <c r="AD74" s="705">
        <f>(365/4)/(IS!AD11/AD12)</f>
        <v>114.43144640700412</v>
      </c>
      <c r="AE74" s="710">
        <f>(365)/(IS!AE11/AE12)</f>
        <v>120.65053433638354</v>
      </c>
      <c r="AF74" s="705"/>
      <c r="AG74" s="706">
        <f>(365/4)/(IS!AG11/AG12)</f>
        <v>114.43144640700413</v>
      </c>
      <c r="AH74" s="705">
        <f>(365/4)/(IS!AH11/AH12)</f>
        <v>114.43144640700413</v>
      </c>
      <c r="AI74" s="705">
        <f>(365/4)/(IS!AI11/AI12)</f>
        <v>114.43144640700413</v>
      </c>
      <c r="AJ74" s="705">
        <f>(365/4)/(IS!AJ11/AJ12)</f>
        <v>114.43144640700413</v>
      </c>
      <c r="AK74" s="710">
        <f>(365)/(IS!AK11/AK12)</f>
        <v>117.38437493695552</v>
      </c>
      <c r="AL74" s="705"/>
      <c r="AM74" s="706">
        <f>(365/4)/(IS!AM11/AM12)</f>
        <v>111.03344271632265</v>
      </c>
      <c r="AN74" s="705">
        <f>(365/4)/(IS!AN11/AN12)</f>
        <v>111.03344271632265</v>
      </c>
      <c r="AO74" s="705">
        <f>(365/4)/(IS!AO11/AO12)</f>
        <v>111.03344271632265</v>
      </c>
      <c r="AP74" s="705">
        <f>(365/4)/(IS!AP11/AP12)</f>
        <v>111.03344271632265</v>
      </c>
      <c r="AQ74" s="710">
        <f>(365)/(IS!AQ11/AQ12)</f>
        <v>113.06019332161688</v>
      </c>
      <c r="AR74" s="705"/>
      <c r="AS74" s="706">
        <f>(365/4)/(IS!AS11/AS12)</f>
        <v>113.19186915968639</v>
      </c>
      <c r="AT74" s="705">
        <f>(365/4)/(IS!AT11/AT12)</f>
        <v>113.96459227467811</v>
      </c>
      <c r="AU74" s="705">
        <f>(365/4)/(IS!AU11/AU12)</f>
        <v>112.94851380042464</v>
      </c>
      <c r="AV74" s="705">
        <f>(365/4)/(IS!AV11/AV12)</f>
        <v>108.66701244813278</v>
      </c>
      <c r="AW74" s="710">
        <f>(365)/(IS!AW11/AW12)</f>
        <v>111.33891542472574</v>
      </c>
      <c r="AX74" s="705"/>
      <c r="AY74" s="706">
        <f>(365/4)/(IS!AY11/AY12)</f>
        <v>106.13925220638788</v>
      </c>
      <c r="AZ74" s="705">
        <f>(365/4)/(IS!AZ11/AZ12)</f>
        <v>113.80178951547602</v>
      </c>
      <c r="BA74" s="705">
        <f>(365/4)/(IS!BA11/BA12)</f>
        <v>105.42222947678141</v>
      </c>
      <c r="BB74" s="705">
        <f>(365/4)/(IS!BB11/BB12)</f>
        <v>104.97672559164205</v>
      </c>
      <c r="BC74" s="710">
        <f>(365)/(IS!BC11/BC12)</f>
        <v>105.63834254823446</v>
      </c>
      <c r="BD74" s="705"/>
      <c r="BE74" s="706">
        <f>(365/4)/(IS!BE11/BE12)</f>
        <v>108.9963346269944</v>
      </c>
      <c r="BF74" s="705">
        <f>(365/4)/(IS!BF11/BF12)</f>
        <v>109.48840014787623</v>
      </c>
      <c r="BG74" s="705">
        <f>(365/4)/(IS!BG11/BG12)</f>
        <v>103.89146789452494</v>
      </c>
      <c r="BH74" s="705">
        <f>(365/4)/(IS!BH11/BH12)</f>
        <v>98.099280738060386</v>
      </c>
      <c r="BI74" s="710">
        <f>(365)/(IS!BI11/BI12)</f>
        <v>102.44262565275612</v>
      </c>
      <c r="BJ74" s="705"/>
      <c r="BK74" s="706">
        <f>(365/4)/(IS!BK11/BK12)</f>
        <v>104.91504132645289</v>
      </c>
      <c r="BL74" s="705">
        <f>(365/4)/(IS!BL11/BL12)</f>
        <v>103.0858763794088</v>
      </c>
      <c r="BM74" s="705">
        <f>(365/4)/(IS!BM11/BM12)</f>
        <v>103.17943902828833</v>
      </c>
      <c r="BN74" s="705">
        <f>(365/4)/(IS!BN11/BN12)</f>
        <v>100.52524590666467</v>
      </c>
      <c r="BO74" s="710">
        <f>(365)/(IS!BO11/BO12)</f>
        <v>105.63362559265559</v>
      </c>
      <c r="BP74" s="705"/>
      <c r="BQ74" s="706">
        <f>(365/4)/(IS!BQ11/BQ12)</f>
        <v>106.28596825980672</v>
      </c>
      <c r="BR74" s="2032">
        <f>BL74-0.75</f>
        <v>102.3358763794088</v>
      </c>
      <c r="BS74" s="2032">
        <f t="shared" si="49"/>
        <v>102.42943902828833</v>
      </c>
      <c r="BT74" s="2032">
        <f t="shared" si="49"/>
        <v>99.775245906664665</v>
      </c>
      <c r="BU74" s="710">
        <f>(365)/(IS!BU11/BU12)</f>
        <v>104.27646443295818</v>
      </c>
      <c r="BV74" s="705"/>
      <c r="BW74" s="2034">
        <f>BQ74+2</f>
        <v>108.28596825980672</v>
      </c>
      <c r="BX74" s="2032">
        <f t="shared" si="50"/>
        <v>104.3358763794088</v>
      </c>
      <c r="BY74" s="2032">
        <f t="shared" si="50"/>
        <v>104.42943902828833</v>
      </c>
      <c r="BZ74" s="2032">
        <f t="shared" si="50"/>
        <v>101.77524590666467</v>
      </c>
      <c r="CA74" s="710">
        <f>(365)/(IS!CA11/CA12)</f>
        <v>106.8260910027391</v>
      </c>
      <c r="CB74" s="705"/>
      <c r="CC74" s="2034">
        <f>BW74+2</f>
        <v>110.28596825980672</v>
      </c>
      <c r="CD74" s="2032">
        <f t="shared" si="51"/>
        <v>106.3358763794088</v>
      </c>
      <c r="CE74" s="2032">
        <f t="shared" si="52"/>
        <v>106.42943902828833</v>
      </c>
      <c r="CF74" s="2032">
        <f t="shared" si="53"/>
        <v>103.77524590666467</v>
      </c>
      <c r="CG74" s="710">
        <f>(365)/(IS!CG11/CG12)</f>
        <v>109.13271406458838</v>
      </c>
      <c r="CH74" s="495"/>
      <c r="CI74" s="2034">
        <f>CC74+2</f>
        <v>112.28596825980672</v>
      </c>
      <c r="CJ74" s="2032">
        <f t="shared" si="54"/>
        <v>108.3358763794088</v>
      </c>
      <c r="CK74" s="2032">
        <f t="shared" si="55"/>
        <v>108.42943902828833</v>
      </c>
      <c r="CL74" s="2032">
        <f t="shared" si="56"/>
        <v>105.77524590666467</v>
      </c>
      <c r="CM74" s="710">
        <f>(365)/(IS!CM11/CM12)</f>
        <v>111.47337438716789</v>
      </c>
      <c r="CN74" s="495"/>
      <c r="CO74" s="495"/>
      <c r="CP74" s="64"/>
    </row>
    <row r="75" spans="1:94" ht="12.75" customHeight="1">
      <c r="A75" s="794" t="s">
        <v>313</v>
      </c>
      <c r="B75" s="495"/>
      <c r="C75" s="706">
        <f>(365/4)/(IS!C11/C25)</f>
        <v>64.394079620177607</v>
      </c>
      <c r="D75" s="705">
        <f>(365/4)/(IS!D11/D25)</f>
        <v>64.394079620177607</v>
      </c>
      <c r="E75" s="705">
        <f>(365/4)/(IS!E11/E25)</f>
        <v>64.394079620177607</v>
      </c>
      <c r="F75" s="705">
        <f>(365/4)/(IS!F11/F25)</f>
        <v>64.394079620177607</v>
      </c>
      <c r="G75" s="710">
        <f>(365)/(IS!G11/G25)</f>
        <v>69.887815517031967</v>
      </c>
      <c r="H75" s="495"/>
      <c r="I75" s="706">
        <f>(365/4)/(IS!I11/I25)</f>
        <v>64.394079620177607</v>
      </c>
      <c r="J75" s="705">
        <f>(365/4)/(IS!J11/J25)</f>
        <v>64.394079620177607</v>
      </c>
      <c r="K75" s="705">
        <f>(365/4)/(IS!K11/K25)</f>
        <v>64.394079620177607</v>
      </c>
      <c r="L75" s="705">
        <f>(365/4)/(IS!L11/L25)</f>
        <v>64.394079620177607</v>
      </c>
      <c r="M75" s="710">
        <f>(365)/(IS!M11/M25)</f>
        <v>66.970665484284993</v>
      </c>
      <c r="N75" s="495"/>
      <c r="O75" s="706">
        <f>(365/4)/(IS!O11/O25)</f>
        <v>64.394079620177592</v>
      </c>
      <c r="P75" s="705">
        <f>(365/4)/(IS!P11/P25)</f>
        <v>64.394079620177607</v>
      </c>
      <c r="Q75" s="705">
        <f>(365/4)/(IS!Q11/Q25)</f>
        <v>64.394079620177607</v>
      </c>
      <c r="R75" s="705">
        <f>(365/4)/(IS!R11/R25)</f>
        <v>64.394079620177592</v>
      </c>
      <c r="S75" s="710">
        <f>(365)/(IS!S11/S25)</f>
        <v>67.311256612671556</v>
      </c>
      <c r="T75" s="705"/>
      <c r="U75" s="706">
        <f>(365/4)/(IS!U11/U25)</f>
        <v>64.394079620177607</v>
      </c>
      <c r="V75" s="705">
        <f>(365/4)/(IS!V11/V25)</f>
        <v>64.394079620177607</v>
      </c>
      <c r="W75" s="705">
        <f>(365/4)/(IS!W11/W25)</f>
        <v>64.394079620177607</v>
      </c>
      <c r="X75" s="705">
        <f>(365/4)/(IS!X11/X25)</f>
        <v>64.394079620177607</v>
      </c>
      <c r="Y75" s="710">
        <f>(365)/(IS!Y11/Y25)</f>
        <v>81.321509945412558</v>
      </c>
      <c r="Z75" s="705"/>
      <c r="AA75" s="706">
        <f>(365/4)/(IS!AA11/AA25)</f>
        <v>64.394079620177607</v>
      </c>
      <c r="AB75" s="705">
        <f>(365/4)/(IS!AB11/AB25)</f>
        <v>64.394079620177592</v>
      </c>
      <c r="AC75" s="705">
        <f>(365/4)/(IS!AC11/AC25)</f>
        <v>64.394079620177592</v>
      </c>
      <c r="AD75" s="705">
        <f>(365/4)/(IS!AD11/AD25)</f>
        <v>64.394079620177607</v>
      </c>
      <c r="AE75" s="710">
        <f>(365)/(IS!AE11/AE25)</f>
        <v>67.893750871950161</v>
      </c>
      <c r="AF75" s="705"/>
      <c r="AG75" s="706">
        <f>(365/4)/(IS!AG11/AG25)</f>
        <v>64.394079620177607</v>
      </c>
      <c r="AH75" s="705">
        <f>(365/4)/(IS!AH11/AH25)</f>
        <v>64.394079620177607</v>
      </c>
      <c r="AI75" s="705">
        <f>(365/4)/(IS!AI11/AI25)</f>
        <v>64.394079620177592</v>
      </c>
      <c r="AJ75" s="705">
        <f>(365/4)/(IS!AJ11/AJ25)</f>
        <v>64.394079620177607</v>
      </c>
      <c r="AK75" s="710">
        <f>(365)/(IS!AK11/AK25)</f>
        <v>66.055782944227744</v>
      </c>
      <c r="AL75" s="705"/>
      <c r="AM75" s="706">
        <f>(365/4)/(IS!AM11/AM25)</f>
        <v>59.257209676619013</v>
      </c>
      <c r="AN75" s="705">
        <f>(365/4)/(IS!AN11/AN25)</f>
        <v>59.257209676619013</v>
      </c>
      <c r="AO75" s="705">
        <f>(365/4)/(IS!AO11/AO25)</f>
        <v>59.257209676619006</v>
      </c>
      <c r="AP75" s="705">
        <f>(365/4)/(IS!AP11/AP25)</f>
        <v>59.257209676619006</v>
      </c>
      <c r="AQ75" s="710">
        <f>(365)/(IS!AQ11/AQ25)</f>
        <v>60.338862038664324</v>
      </c>
      <c r="AR75" s="705"/>
      <c r="AS75" s="706">
        <f>(365/4)/(IS!AS11/AS25)</f>
        <v>59.159513498093936</v>
      </c>
      <c r="AT75" s="705">
        <f>(365/4)/(IS!AT11/AT25)</f>
        <v>63.444206008583691</v>
      </c>
      <c r="AU75" s="705">
        <f>(365/4)/(IS!AU11/AU25)</f>
        <v>56.183651804670909</v>
      </c>
      <c r="AV75" s="705">
        <f>(365/4)/(IS!AV11/AV25)</f>
        <v>57.173236514522827</v>
      </c>
      <c r="AW75" s="710">
        <f>(365)/(IS!AW11/AW25)</f>
        <v>58.579011251336539</v>
      </c>
      <c r="AX75" s="705"/>
      <c r="AY75" s="706">
        <f>(365/4)/(IS!AY11/AY25)</f>
        <v>48.710335387574439</v>
      </c>
      <c r="AZ75" s="705">
        <f>(365/4)/(IS!AZ11/AZ25)</f>
        <v>53.421343639459067</v>
      </c>
      <c r="BA75" s="705">
        <f>(365/4)/(IS!BA11/BA25)</f>
        <v>47.971950294021632</v>
      </c>
      <c r="BB75" s="705">
        <f>(365/4)/(IS!BB11/BB25)</f>
        <v>54.137719852251628</v>
      </c>
      <c r="BC75" s="710">
        <f>(365)/(IS!BC11/BC25)</f>
        <v>54.478923421363064</v>
      </c>
      <c r="BD75" s="705"/>
      <c r="BE75" s="706">
        <f>(365/4)/(IS!BE11/BE25)</f>
        <v>49.186071582578698</v>
      </c>
      <c r="BF75" s="705">
        <f>(365/4)/(IS!BF11/BF25)</f>
        <v>43.40080726582481</v>
      </c>
      <c r="BG75" s="705">
        <f>(365/4)/(IS!BG11/BG25)</f>
        <v>49.936782910628011</v>
      </c>
      <c r="BH75" s="705">
        <f>(365/4)/(IS!BH11/BH25)</f>
        <v>47.301154126982212</v>
      </c>
      <c r="BI75" s="710">
        <f>(365)/(IS!BI11/BI25)</f>
        <v>49.395412369152574</v>
      </c>
      <c r="BJ75" s="705"/>
      <c r="BK75" s="706">
        <f>(365/4)/(IS!BK11/BK25)</f>
        <v>51.029457487276545</v>
      </c>
      <c r="BL75" s="705">
        <f>(365/4)/(IS!BL11/BL25)</f>
        <v>49.849921971794402</v>
      </c>
      <c r="BM75" s="705">
        <f>(365/4)/(IS!BM11/BM25)</f>
        <v>52.683494486175483</v>
      </c>
      <c r="BN75" s="705">
        <f>(365/4)/(IS!BN11/BN25)</f>
        <v>53.322086959187352</v>
      </c>
      <c r="BO75" s="710">
        <f>(365)/(IS!BO11/BO25)</f>
        <v>56.031749227408625</v>
      </c>
      <c r="BP75" s="705"/>
      <c r="BQ75" s="706">
        <f>(365/4)/(IS!BQ11/BQ25)</f>
        <v>51.045234756354553</v>
      </c>
      <c r="BR75" s="2032">
        <f>BL75+0.75</f>
        <v>50.599921971794402</v>
      </c>
      <c r="BS75" s="2032">
        <f t="shared" ref="BS75:BT75" si="57">BM75+0.75</f>
        <v>53.433494486175483</v>
      </c>
      <c r="BT75" s="2032">
        <f t="shared" si="57"/>
        <v>54.072086959187352</v>
      </c>
      <c r="BU75" s="710">
        <f>(365)/(IS!BU11/BU25)</f>
        <v>56.511472373518757</v>
      </c>
      <c r="BV75" s="705"/>
      <c r="BW75" s="2034">
        <f>BQ75-2</f>
        <v>49.045234756354553</v>
      </c>
      <c r="BX75" s="2032">
        <f t="shared" ref="BX75:BZ75" si="58">BR75-2</f>
        <v>48.599921971794402</v>
      </c>
      <c r="BY75" s="2032">
        <f t="shared" si="58"/>
        <v>51.433494486175483</v>
      </c>
      <c r="BZ75" s="2032">
        <f t="shared" si="58"/>
        <v>52.072086959187352</v>
      </c>
      <c r="CA75" s="710">
        <f>(365)/(IS!CA11/CA25)</f>
        <v>54.656291425776125</v>
      </c>
      <c r="CB75" s="705"/>
      <c r="CC75" s="2034">
        <f>BW75-2</f>
        <v>47.045234756354553</v>
      </c>
      <c r="CD75" s="2032">
        <f t="shared" ref="CD75" si="59">BX75-2</f>
        <v>46.599921971794402</v>
      </c>
      <c r="CE75" s="2032">
        <f t="shared" ref="CE75" si="60">BY75-2</f>
        <v>49.433494486175483</v>
      </c>
      <c r="CF75" s="2032">
        <f t="shared" ref="CF75" si="61">BZ75-2</f>
        <v>50.072086959187352</v>
      </c>
      <c r="CG75" s="710">
        <f>(365)/(IS!CG11/CG25)</f>
        <v>52.657092748775234</v>
      </c>
      <c r="CH75" s="495"/>
      <c r="CI75" s="2034">
        <f>CC75-2</f>
        <v>45.045234756354553</v>
      </c>
      <c r="CJ75" s="2032">
        <f t="shared" ref="CJ75" si="62">CD75-2</f>
        <v>44.599921971794402</v>
      </c>
      <c r="CK75" s="2032">
        <f t="shared" ref="CK75" si="63">CE75-2</f>
        <v>47.433494486175483</v>
      </c>
      <c r="CL75" s="2032">
        <f t="shared" ref="CL75" si="64">CF75-2</f>
        <v>48.072086959187352</v>
      </c>
      <c r="CM75" s="710">
        <f>(365)/(IS!CM11/CM25)</f>
        <v>50.661737547767203</v>
      </c>
      <c r="CN75" s="495"/>
      <c r="CO75" s="495"/>
      <c r="CP75" s="64"/>
    </row>
    <row r="76" spans="1:94" ht="12.75" customHeight="1">
      <c r="A76" s="796" t="s">
        <v>314</v>
      </c>
      <c r="B76" s="495"/>
      <c r="C76" s="756">
        <f>C73+C74-C75</f>
        <v>100.98768224423976</v>
      </c>
      <c r="D76" s="754">
        <f>D73+D74-D75</f>
        <v>100.98768224423976</v>
      </c>
      <c r="E76" s="754">
        <f>E73+E74-E75</f>
        <v>100.98768224423976</v>
      </c>
      <c r="F76" s="754">
        <f>F73+F74-F75</f>
        <v>100.98768224423974</v>
      </c>
      <c r="G76" s="755">
        <f>G73+G74-G75</f>
        <v>111.23156890886391</v>
      </c>
      <c r="H76" s="495"/>
      <c r="I76" s="756">
        <f>I73+I74-I75</f>
        <v>100.98768224423976</v>
      </c>
      <c r="J76" s="754">
        <f>J73+J74-J75</f>
        <v>100.98768224423974</v>
      </c>
      <c r="K76" s="754">
        <f>K73+K74-K75</f>
        <v>100.98768224423976</v>
      </c>
      <c r="L76" s="754">
        <f>L73+L74-L75</f>
        <v>100.98768224423976</v>
      </c>
      <c r="M76" s="755">
        <f>M73+M74-M75</f>
        <v>107.19118615420372</v>
      </c>
      <c r="N76" s="495"/>
      <c r="O76" s="756">
        <f>O73+O74-O75</f>
        <v>100.98768224423978</v>
      </c>
      <c r="P76" s="754">
        <f>P73+P74-P75</f>
        <v>100.98768224423976</v>
      </c>
      <c r="Q76" s="754">
        <f>Q73+Q74-Q75</f>
        <v>100.98768224423976</v>
      </c>
      <c r="R76" s="754">
        <f>R73+R74-R75</f>
        <v>100.98768224423975</v>
      </c>
      <c r="S76" s="755">
        <f>S73+S74-S75</f>
        <v>106.04525538912161</v>
      </c>
      <c r="T76" s="705"/>
      <c r="U76" s="756">
        <f>U73+U74-U75</f>
        <v>100.98768224423976</v>
      </c>
      <c r="V76" s="754">
        <f>V73+V74-V75</f>
        <v>100.98768224423976</v>
      </c>
      <c r="W76" s="754">
        <f>W73+W74-W75</f>
        <v>100.98768224423976</v>
      </c>
      <c r="X76" s="754">
        <f>X73+X74-X75</f>
        <v>100.98768224423976</v>
      </c>
      <c r="Y76" s="755">
        <f>Y73+Y74-Y75</f>
        <v>125.57119140695683</v>
      </c>
      <c r="Z76" s="705"/>
      <c r="AA76" s="756">
        <f>AA73+AA74-AA75</f>
        <v>100.98768224423976</v>
      </c>
      <c r="AB76" s="754">
        <f>AB73+AB74-AB75</f>
        <v>100.98768224423975</v>
      </c>
      <c r="AC76" s="754">
        <f>AC73+AC74-AC75</f>
        <v>100.98768224423975</v>
      </c>
      <c r="AD76" s="754">
        <f>AD73+AD74-AD75</f>
        <v>100.98768224423976</v>
      </c>
      <c r="AE76" s="755">
        <f>AE73+AE74-AE75</f>
        <v>106.69331076436571</v>
      </c>
      <c r="AF76" s="705"/>
      <c r="AG76" s="756">
        <f>AG73+AG74-AG75</f>
        <v>100.98768224423976</v>
      </c>
      <c r="AH76" s="754">
        <f>AH73+AH74-AH75</f>
        <v>100.98768224423976</v>
      </c>
      <c r="AI76" s="754">
        <f>AI73+AI74-AI75</f>
        <v>100.98768224423978</v>
      </c>
      <c r="AJ76" s="754">
        <f>AJ73+AJ74-AJ75</f>
        <v>100.98768224423976</v>
      </c>
      <c r="AK76" s="755">
        <f>AK73+AK74-AK75</f>
        <v>106.03223297494624</v>
      </c>
      <c r="AL76" s="705"/>
      <c r="AM76" s="756">
        <f>AM73+AM74-AM75</f>
        <v>102.13037914039465</v>
      </c>
      <c r="AN76" s="754">
        <f>AN73+AN74-AN75</f>
        <v>102.13037914039465</v>
      </c>
      <c r="AO76" s="754">
        <f>AO73+AO74-AO75</f>
        <v>102.13037914039467</v>
      </c>
      <c r="AP76" s="754">
        <f>AP73+AP74-AP75</f>
        <v>102.13037914039467</v>
      </c>
      <c r="AQ76" s="755">
        <f>AQ73+AQ74-AQ75</f>
        <v>105.11860914633212</v>
      </c>
      <c r="AR76" s="705"/>
      <c r="AS76" s="756">
        <f>AS73+AS74-AS75</f>
        <v>104.7268001060369</v>
      </c>
      <c r="AT76" s="754">
        <f>AT73+AT74-AT75</f>
        <v>102.97990043613491</v>
      </c>
      <c r="AU76" s="754">
        <f>AU73+AU74-AU75</f>
        <v>108.49429707999553</v>
      </c>
      <c r="AV76" s="754">
        <f>AV73+AV74-AV75</f>
        <v>106.26127353667802</v>
      </c>
      <c r="AW76" s="755">
        <f>AW73+AW74-AW75</f>
        <v>109.20506227615601</v>
      </c>
      <c r="AX76" s="705"/>
      <c r="AY76" s="756">
        <f>AY73+AY74-AY75</f>
        <v>112.12555424571403</v>
      </c>
      <c r="AZ76" s="754">
        <f>AZ73+AZ74-AZ75</f>
        <v>114.95988512835341</v>
      </c>
      <c r="BA76" s="754">
        <f>BA73+BA74-BA75</f>
        <v>110.00451981392348</v>
      </c>
      <c r="BB76" s="754">
        <f>BB73+BB74-BB75</f>
        <v>104.26654197127448</v>
      </c>
      <c r="BC76" s="755">
        <f>BC73+BC74-BC75</f>
        <v>105.93653651171537</v>
      </c>
      <c r="BD76" s="705"/>
      <c r="BE76" s="756">
        <f>BE73+BE74-BE75</f>
        <v>114.57801596270363</v>
      </c>
      <c r="BF76" s="754">
        <f>BF73+BF74-BF75</f>
        <v>119.99583625791011</v>
      </c>
      <c r="BG76" s="754">
        <f>BG73+BG74-BG75</f>
        <v>105.52317157393523</v>
      </c>
      <c r="BH76" s="754">
        <f>BH73+BH74-BH75</f>
        <v>102.62418421683874</v>
      </c>
      <c r="BI76" s="755">
        <f>BI73+BI74-BI75</f>
        <v>107.85801766247076</v>
      </c>
      <c r="BJ76" s="705"/>
      <c r="BK76" s="756">
        <f>BK73+BK74-BK75</f>
        <v>109.73024175857654</v>
      </c>
      <c r="BL76" s="754">
        <f>BL73+BL74-BL75</f>
        <v>109.29425749291386</v>
      </c>
      <c r="BM76" s="754">
        <f>BM73+BM74-BM75</f>
        <v>106.03230001787588</v>
      </c>
      <c r="BN76" s="754">
        <f>BN73+BN74-BN75</f>
        <v>102.76665768591297</v>
      </c>
      <c r="BO76" s="755">
        <f>BO73+BO74-BO75</f>
        <v>108.6940051666781</v>
      </c>
      <c r="BP76" s="705"/>
      <c r="BQ76" s="756">
        <f>BQ73+BQ74-BQ75</f>
        <v>111.82929667438529</v>
      </c>
      <c r="BR76" s="754">
        <f>BR73+BR74-BR75</f>
        <v>107.04425749291386</v>
      </c>
      <c r="BS76" s="754">
        <f>BS73+BS74-BS75</f>
        <v>103.78230001787588</v>
      </c>
      <c r="BT76" s="754">
        <f>BT73+BT74-BT75</f>
        <v>100.51665768591297</v>
      </c>
      <c r="BU76" s="755">
        <f>BU73+BU74-BU75</f>
        <v>105.25421264640869</v>
      </c>
      <c r="BV76" s="705"/>
      <c r="BW76" s="756">
        <f>BW73+BW74-BW75</f>
        <v>117.82929667438529</v>
      </c>
      <c r="BX76" s="754">
        <f>BX73+BX74-BX75</f>
        <v>113.04425749291386</v>
      </c>
      <c r="BY76" s="754">
        <f>BY73+BY74-BY75</f>
        <v>109.78230001787588</v>
      </c>
      <c r="BZ76" s="754">
        <f>BZ73+BZ74-BZ75</f>
        <v>106.51665768591297</v>
      </c>
      <c r="CA76" s="755">
        <f>CA73+CA74-CA75</f>
        <v>112.0175413384612</v>
      </c>
      <c r="CB76" s="705"/>
      <c r="CC76" s="756">
        <f>CC73+CC74-CC75</f>
        <v>123.82929667438529</v>
      </c>
      <c r="CD76" s="754">
        <f>CD73+CD74-CD75</f>
        <v>119.04425749291386</v>
      </c>
      <c r="CE76" s="754">
        <f>CE73+CE74-CE75</f>
        <v>115.78230001787588</v>
      </c>
      <c r="CF76" s="754">
        <f>CF73+CF74-CF75</f>
        <v>112.51665768591297</v>
      </c>
      <c r="CG76" s="755">
        <f>CG73+CG74-CG75</f>
        <v>118.5491275874258</v>
      </c>
      <c r="CH76" s="495"/>
      <c r="CI76" s="756">
        <f>CI73+CI74-CI75</f>
        <v>129.82929667438529</v>
      </c>
      <c r="CJ76" s="754">
        <f>CJ73+CJ74-CJ75</f>
        <v>125.04425749291386</v>
      </c>
      <c r="CK76" s="754">
        <f>CK73+CK74-CK75</f>
        <v>121.78230001787588</v>
      </c>
      <c r="CL76" s="754">
        <f>CL73+CL74-CL75</f>
        <v>118.51665768591297</v>
      </c>
      <c r="CM76" s="755">
        <f>CM73+CM74-CM75</f>
        <v>125.135503296777</v>
      </c>
      <c r="CN76" s="495"/>
      <c r="CO76" s="495"/>
      <c r="CP76" s="64"/>
    </row>
    <row r="77" spans="1:94" ht="4.5" customHeight="1">
      <c r="A77" s="797"/>
      <c r="B77" s="743"/>
      <c r="C77" s="767"/>
      <c r="D77" s="767"/>
      <c r="E77" s="767"/>
      <c r="F77" s="767"/>
      <c r="G77" s="767"/>
      <c r="H77" s="743"/>
      <c r="I77" s="767"/>
      <c r="J77" s="767"/>
      <c r="K77" s="767"/>
      <c r="L77" s="767"/>
      <c r="M77" s="767"/>
      <c r="N77" s="743"/>
      <c r="O77" s="767"/>
      <c r="P77" s="767"/>
      <c r="Q77" s="767"/>
      <c r="R77" s="767"/>
      <c r="S77" s="767"/>
      <c r="T77" s="768"/>
      <c r="U77" s="767"/>
      <c r="V77" s="767"/>
      <c r="W77" s="767"/>
      <c r="X77" s="767"/>
      <c r="Y77" s="767"/>
      <c r="Z77" s="768"/>
      <c r="AA77" s="767"/>
      <c r="AB77" s="767"/>
      <c r="AC77" s="767"/>
      <c r="AD77" s="767"/>
      <c r="AE77" s="767"/>
      <c r="AF77" s="768"/>
      <c r="AG77" s="767"/>
      <c r="AH77" s="767"/>
      <c r="AI77" s="767"/>
      <c r="AJ77" s="767"/>
      <c r="AK77" s="767"/>
      <c r="AL77" s="768"/>
      <c r="AM77" s="767"/>
      <c r="AN77" s="767"/>
      <c r="AO77" s="767"/>
      <c r="AP77" s="767"/>
      <c r="AQ77" s="767"/>
      <c r="AR77" s="768"/>
      <c r="AS77" s="767"/>
      <c r="AT77" s="767"/>
      <c r="AU77" s="767"/>
      <c r="AV77" s="767"/>
      <c r="AW77" s="767"/>
      <c r="AX77" s="768"/>
      <c r="AY77" s="767"/>
      <c r="AZ77" s="767"/>
      <c r="BA77" s="767"/>
      <c r="BB77" s="767"/>
      <c r="BC77" s="768"/>
      <c r="BD77" s="768"/>
      <c r="BE77" s="767"/>
      <c r="BF77" s="767"/>
      <c r="BG77" s="767"/>
      <c r="BH77" s="767"/>
      <c r="BI77" s="768"/>
      <c r="BJ77" s="768"/>
      <c r="BK77" s="767"/>
      <c r="BL77" s="767"/>
      <c r="BM77" s="767"/>
      <c r="BN77" s="767"/>
      <c r="BO77" s="768"/>
      <c r="BP77" s="768"/>
      <c r="BQ77" s="767"/>
      <c r="BR77" s="767"/>
      <c r="BS77" s="767"/>
      <c r="BT77" s="767"/>
      <c r="BU77" s="768"/>
      <c r="BV77" s="768"/>
      <c r="BW77" s="767"/>
      <c r="BX77" s="767"/>
      <c r="BY77" s="767"/>
      <c r="BZ77" s="767"/>
      <c r="CA77" s="768"/>
      <c r="CB77" s="768"/>
      <c r="CC77" s="767"/>
      <c r="CD77" s="767"/>
      <c r="CE77" s="767"/>
      <c r="CF77" s="767"/>
      <c r="CG77" s="768"/>
      <c r="CH77" s="743"/>
      <c r="CI77" s="767"/>
      <c r="CJ77" s="767"/>
      <c r="CK77" s="767"/>
      <c r="CL77" s="767"/>
      <c r="CM77" s="768"/>
      <c r="CN77" s="743"/>
      <c r="CO77" s="743"/>
      <c r="CP77" s="6"/>
    </row>
    <row r="78" spans="1:94" ht="12.75" customHeight="1" collapsed="1">
      <c r="A78" s="769" t="s">
        <v>529</v>
      </c>
      <c r="B78" s="738"/>
      <c r="C78" s="739"/>
      <c r="D78" s="740"/>
      <c r="E78" s="740"/>
      <c r="F78" s="740"/>
      <c r="G78" s="741"/>
      <c r="H78" s="738"/>
      <c r="I78" s="739"/>
      <c r="J78" s="740"/>
      <c r="K78" s="740"/>
      <c r="L78" s="740"/>
      <c r="M78" s="741"/>
      <c r="N78" s="738"/>
      <c r="O78" s="739"/>
      <c r="P78" s="740"/>
      <c r="Q78" s="740"/>
      <c r="R78" s="740"/>
      <c r="S78" s="741"/>
      <c r="T78" s="742"/>
      <c r="U78" s="739"/>
      <c r="V78" s="740"/>
      <c r="W78" s="740"/>
      <c r="X78" s="740"/>
      <c r="Y78" s="741"/>
      <c r="Z78" s="742"/>
      <c r="AA78" s="739"/>
      <c r="AB78" s="740"/>
      <c r="AC78" s="740"/>
      <c r="AD78" s="740"/>
      <c r="AE78" s="741"/>
      <c r="AF78" s="742"/>
      <c r="AG78" s="739"/>
      <c r="AH78" s="740"/>
      <c r="AI78" s="740"/>
      <c r="AJ78" s="740"/>
      <c r="AK78" s="741"/>
      <c r="AL78" s="742"/>
      <c r="AM78" s="739"/>
      <c r="AN78" s="740"/>
      <c r="AO78" s="740"/>
      <c r="AP78" s="740"/>
      <c r="AQ78" s="741"/>
      <c r="AR78" s="742"/>
      <c r="AS78" s="739"/>
      <c r="AT78" s="740"/>
      <c r="AU78" s="740"/>
      <c r="AV78" s="740"/>
      <c r="AW78" s="741"/>
      <c r="AX78" s="742"/>
      <c r="AY78" s="739"/>
      <c r="AZ78" s="740"/>
      <c r="BA78" s="740"/>
      <c r="BB78" s="740"/>
      <c r="BC78" s="741"/>
      <c r="BD78" s="742"/>
      <c r="BE78" s="739"/>
      <c r="BF78" s="740"/>
      <c r="BG78" s="740"/>
      <c r="BH78" s="740"/>
      <c r="BI78" s="741"/>
      <c r="BJ78" s="742"/>
      <c r="BK78" s="739"/>
      <c r="BL78" s="740"/>
      <c r="BM78" s="740"/>
      <c r="BN78" s="740"/>
      <c r="BO78" s="741"/>
      <c r="BP78" s="742"/>
      <c r="BQ78" s="739"/>
      <c r="BR78" s="740"/>
      <c r="BS78" s="740"/>
      <c r="BT78" s="740"/>
      <c r="BU78" s="741"/>
      <c r="BV78" s="742"/>
      <c r="BW78" s="739"/>
      <c r="BX78" s="740"/>
      <c r="BY78" s="740"/>
      <c r="BZ78" s="740"/>
      <c r="CA78" s="741"/>
      <c r="CB78" s="2125"/>
      <c r="CC78" s="739"/>
      <c r="CD78" s="740"/>
      <c r="CE78" s="740"/>
      <c r="CF78" s="740"/>
      <c r="CG78" s="741"/>
      <c r="CH78" s="743"/>
      <c r="CI78" s="739"/>
      <c r="CJ78" s="740"/>
      <c r="CK78" s="740"/>
      <c r="CL78" s="740"/>
      <c r="CM78" s="741"/>
      <c r="CN78" s="743"/>
      <c r="CO78" s="743"/>
      <c r="CP78" s="6"/>
    </row>
    <row r="79" spans="1:94" ht="12.75" customHeight="1">
      <c r="A79" s="1913" t="s">
        <v>437</v>
      </c>
      <c r="B79" s="1460"/>
      <c r="C79" s="1914">
        <f>CF!C72</f>
        <v>-171.99999999999983</v>
      </c>
      <c r="D79" s="1915">
        <f>CF!D72</f>
        <v>-39.999999999999673</v>
      </c>
      <c r="E79" s="1915">
        <f>CF!E72</f>
        <v>-564.00000000000057</v>
      </c>
      <c r="F79" s="1915">
        <f>CF!F72</f>
        <v>340</v>
      </c>
      <c r="G79" s="1916">
        <f>CF!G72</f>
        <v>-436.00000000000023</v>
      </c>
      <c r="H79" s="1460"/>
      <c r="I79" s="1914">
        <f>CF!I72</f>
        <v>-440.99999999999972</v>
      </c>
      <c r="J79" s="1915">
        <f>CF!J72</f>
        <v>325.00000000000011</v>
      </c>
      <c r="K79" s="1915">
        <f>CF!K72</f>
        <v>-69.999999999999844</v>
      </c>
      <c r="L79" s="1915">
        <f>CF!L72</f>
        <v>-235.00000000000026</v>
      </c>
      <c r="M79" s="1916">
        <f>CF!M72</f>
        <v>-420.99999999999977</v>
      </c>
      <c r="N79" s="1460"/>
      <c r="O79" s="1914">
        <f>CF!O72</f>
        <v>-42.999999999999773</v>
      </c>
      <c r="P79" s="1915">
        <f>CF!P72</f>
        <v>37.999999999999659</v>
      </c>
      <c r="Q79" s="1915">
        <f>CF!Q72</f>
        <v>79.000000000000114</v>
      </c>
      <c r="R79" s="1915">
        <f>CF!R72</f>
        <v>1000.0000000000003</v>
      </c>
      <c r="S79" s="1916">
        <f>CF!S72</f>
        <v>1074.0000000000002</v>
      </c>
      <c r="T79" s="1917"/>
      <c r="U79" s="1914">
        <f>CF!U72</f>
        <v>1.9999999999999716</v>
      </c>
      <c r="V79" s="1915">
        <f>CF!V72</f>
        <v>164.99999999999983</v>
      </c>
      <c r="W79" s="1915">
        <f>CF!W72</f>
        <v>-329</v>
      </c>
      <c r="X79" s="1915">
        <f>CF!X72</f>
        <v>332</v>
      </c>
      <c r="Y79" s="1916">
        <f>CF!Y72</f>
        <v>169.99999999999977</v>
      </c>
      <c r="Z79" s="1917"/>
      <c r="AA79" s="1914">
        <f>CF!AA72</f>
        <v>-11</v>
      </c>
      <c r="AB79" s="1915">
        <f>CF!AB72</f>
        <v>337.00000000000006</v>
      </c>
      <c r="AC79" s="1915">
        <f>CF!AC72</f>
        <v>126.00000000000011</v>
      </c>
      <c r="AD79" s="1915">
        <f>CF!AD72</f>
        <v>426</v>
      </c>
      <c r="AE79" s="1916">
        <f>CF!AE72</f>
        <v>878.00000000000023</v>
      </c>
      <c r="AF79" s="1917"/>
      <c r="AG79" s="1914">
        <f>CF!AG72</f>
        <v>134.99999999999994</v>
      </c>
      <c r="AH79" s="1915">
        <f>CF!AH72</f>
        <v>233.99999999999991</v>
      </c>
      <c r="AI79" s="1915">
        <f>CF!AI72</f>
        <v>-1972.9999999999998</v>
      </c>
      <c r="AJ79" s="1915">
        <f>CF!AJ72</f>
        <v>427.99999999999983</v>
      </c>
      <c r="AK79" s="1916">
        <f>CF!AK72</f>
        <v>-1176.0000000000005</v>
      </c>
      <c r="AL79" s="1917"/>
      <c r="AM79" s="1914">
        <f>CF!AM72</f>
        <v>99.000000000000483</v>
      </c>
      <c r="AN79" s="1915">
        <f>CF!AN72</f>
        <v>68.999999999999929</v>
      </c>
      <c r="AO79" s="1915">
        <f>CF!AO72</f>
        <v>-188.99999999999983</v>
      </c>
      <c r="AP79" s="1915">
        <f>CF!AP72</f>
        <v>345.00000000000011</v>
      </c>
      <c r="AQ79" s="1916">
        <f>CF!AQ72</f>
        <v>324.00000000000074</v>
      </c>
      <c r="AR79" s="1917"/>
      <c r="AS79" s="1914">
        <f>CF!AS72</f>
        <v>67</v>
      </c>
      <c r="AT79" s="1915">
        <f>CF!AT72</f>
        <v>208</v>
      </c>
      <c r="AU79" s="1915">
        <f>CF!AU72</f>
        <v>-559.00000000000045</v>
      </c>
      <c r="AV79" s="1915">
        <f>CF!AV72</f>
        <v>-1875.8378188448175</v>
      </c>
      <c r="AW79" s="1916">
        <f>CF!AW72</f>
        <v>-2159.8378188448178</v>
      </c>
      <c r="AX79" s="1917"/>
      <c r="AY79" s="1914">
        <f>CF!AY72</f>
        <v>-910</v>
      </c>
      <c r="AZ79" s="1915">
        <f>CF!AZ72</f>
        <v>79</v>
      </c>
      <c r="BA79" s="1915">
        <f>CF!BA72</f>
        <v>-122</v>
      </c>
      <c r="BB79" s="1915">
        <f>CF!BB72</f>
        <v>-72</v>
      </c>
      <c r="BC79" s="1916">
        <f>CF!BC72</f>
        <v>-1025</v>
      </c>
      <c r="BD79" s="1917"/>
      <c r="BE79" s="1914">
        <f>CF!BE72</f>
        <v>-72</v>
      </c>
      <c r="BF79" s="1915">
        <f>CF!BF72</f>
        <v>208</v>
      </c>
      <c r="BG79" s="1915">
        <f>CF!BG72</f>
        <v>60</v>
      </c>
      <c r="BH79" s="1915">
        <f>CF!BH72</f>
        <v>90</v>
      </c>
      <c r="BI79" s="1916">
        <f>CF!BI72</f>
        <v>286</v>
      </c>
      <c r="BJ79" s="1917"/>
      <c r="BK79" s="1914">
        <f>CF!BK72</f>
        <v>-48</v>
      </c>
      <c r="BL79" s="1915">
        <f>CF!BL72</f>
        <v>148</v>
      </c>
      <c r="BM79" s="1915">
        <f>CF!BM72</f>
        <v>174</v>
      </c>
      <c r="BN79" s="1915">
        <f>CF!BN72</f>
        <v>115</v>
      </c>
      <c r="BO79" s="1916">
        <f>CF!BO72</f>
        <v>389</v>
      </c>
      <c r="BP79" s="1917"/>
      <c r="BQ79" s="1914">
        <f>CF!BQ72</f>
        <v>209</v>
      </c>
      <c r="BR79" s="1915">
        <f>CF!BR72</f>
        <v>45.338783510740967</v>
      </c>
      <c r="BS79" s="1915">
        <f>CF!BS72</f>
        <v>69.675220047526636</v>
      </c>
      <c r="BT79" s="1915">
        <f>CF!BT72</f>
        <v>136.8697967376194</v>
      </c>
      <c r="BU79" s="1916">
        <f>CF!BU72</f>
        <v>460.88380029588689</v>
      </c>
      <c r="BV79" s="1917"/>
      <c r="BW79" s="1914">
        <f>CF!BW72</f>
        <v>17.839585780897437</v>
      </c>
      <c r="BX79" s="1915">
        <f>CF!BX72</f>
        <v>88.732303525154151</v>
      </c>
      <c r="BY79" s="1915">
        <f>CF!BY72</f>
        <v>113.0827889870867</v>
      </c>
      <c r="BZ79" s="1915">
        <f>CF!BZ72</f>
        <v>192.25230323166181</v>
      </c>
      <c r="CA79" s="1916">
        <f>CF!CA72</f>
        <v>411.90698152480002</v>
      </c>
      <c r="CB79" s="1917"/>
      <c r="CC79" s="1914">
        <f>CF!CC72</f>
        <v>-457.97061720827958</v>
      </c>
      <c r="CD79" s="1915">
        <f>CF!CD72</f>
        <v>174.45999610934962</v>
      </c>
      <c r="CE79" s="1915">
        <f>CF!CE72</f>
        <v>205.96064929319652</v>
      </c>
      <c r="CF79" s="1915">
        <f>CF!CF72</f>
        <v>299.260712508148</v>
      </c>
      <c r="CG79" s="1916">
        <f>CF!CG72</f>
        <v>221.71074070241457</v>
      </c>
      <c r="CH79" s="495"/>
      <c r="CI79" s="1914">
        <f>CF!CI72</f>
        <v>-237.05708484482352</v>
      </c>
      <c r="CJ79" s="1915">
        <f>CF!CJ72</f>
        <v>130.9526103746488</v>
      </c>
      <c r="CK79" s="1915">
        <f>CF!CK72</f>
        <v>160.8418482614463</v>
      </c>
      <c r="CL79" s="1915">
        <f>CF!CL72</f>
        <v>263.17121124890491</v>
      </c>
      <c r="CM79" s="1916">
        <f>CF!CM72</f>
        <v>317.9085850401766</v>
      </c>
      <c r="CN79" s="495"/>
      <c r="CO79" s="495"/>
      <c r="CP79" s="64"/>
    </row>
    <row r="80" spans="1:94" ht="12.75" customHeight="1">
      <c r="A80" s="1913" t="s">
        <v>530</v>
      </c>
      <c r="B80" s="1460"/>
      <c r="C80" s="1918">
        <f>CF!C33</f>
        <v>111.10555555555555</v>
      </c>
      <c r="D80" s="1917">
        <f>CF!D33</f>
        <v>83.744326018634794</v>
      </c>
      <c r="E80" s="1917">
        <f>CF!E33</f>
        <v>106.81926597058491</v>
      </c>
      <c r="F80" s="1917">
        <f>CF!F33</f>
        <v>143.15191496550068</v>
      </c>
      <c r="G80" s="1919">
        <f>CF!G33</f>
        <v>444.82106251027591</v>
      </c>
      <c r="H80" s="1460"/>
      <c r="I80" s="1918">
        <f>CF!I33</f>
        <v>404.08480648346517</v>
      </c>
      <c r="J80" s="1917">
        <f>CF!J33</f>
        <v>166.71892650583465</v>
      </c>
      <c r="K80" s="1917">
        <f>CF!K33</f>
        <v>116.2335590149688</v>
      </c>
      <c r="L80" s="1917">
        <f>CF!L33</f>
        <v>182.58705671536472</v>
      </c>
      <c r="M80" s="1919">
        <f>CF!M33</f>
        <v>869.6243487196333</v>
      </c>
      <c r="N80" s="1460"/>
      <c r="O80" s="1918">
        <f>CF!O33</f>
        <v>687.01611281927057</v>
      </c>
      <c r="P80" s="1917">
        <f>CF!P33</f>
        <v>130.08586800908569</v>
      </c>
      <c r="Q80" s="1917">
        <f>CF!Q33</f>
        <v>115.87835982592792</v>
      </c>
      <c r="R80" s="1917">
        <f>CF!R33</f>
        <v>239.90262266827915</v>
      </c>
      <c r="S80" s="1919">
        <f>CF!S33</f>
        <v>1172.8829633225632</v>
      </c>
      <c r="T80" s="1917"/>
      <c r="U80" s="1918">
        <f>CF!U33</f>
        <v>65.292801699894568</v>
      </c>
      <c r="V80" s="1917">
        <f>CF!V33</f>
        <v>94.06435880349396</v>
      </c>
      <c r="W80" s="1917">
        <f>CF!W33</f>
        <v>145.67730255106608</v>
      </c>
      <c r="X80" s="1917">
        <f>CF!X33</f>
        <v>6.8135469363978984</v>
      </c>
      <c r="Y80" s="1919">
        <f>CF!Y33</f>
        <v>311.84800999085246</v>
      </c>
      <c r="Z80" s="1917"/>
      <c r="AA80" s="1918">
        <f>CF!AA33</f>
        <v>136.25894018346526</v>
      </c>
      <c r="AB80" s="1917">
        <f>CF!AB33</f>
        <v>-99.184780584469252</v>
      </c>
      <c r="AC80" s="1917">
        <f>CF!AC33</f>
        <v>78.286450659203837</v>
      </c>
      <c r="AD80" s="1917">
        <f>CF!AD33</f>
        <v>217.90236504342718</v>
      </c>
      <c r="AE80" s="1919">
        <f>CF!AE33</f>
        <v>333.26297530162702</v>
      </c>
      <c r="AF80" s="1917"/>
      <c r="AG80" s="1918">
        <f>CF!AG33</f>
        <v>160.27714561134053</v>
      </c>
      <c r="AH80" s="1917">
        <f>CF!AH33</f>
        <v>64.969836588156312</v>
      </c>
      <c r="AI80" s="1917">
        <f>CF!AI33</f>
        <v>207.39678385747015</v>
      </c>
      <c r="AJ80" s="1917">
        <f>CF!AJ33</f>
        <v>220.72764720069353</v>
      </c>
      <c r="AK80" s="1919">
        <f>CF!AK33</f>
        <v>653.37141325766049</v>
      </c>
      <c r="AL80" s="1917"/>
      <c r="AM80" s="1918">
        <f>CF!AM33</f>
        <v>126.92290597552019</v>
      </c>
      <c r="AN80" s="1917">
        <f>CF!AN33</f>
        <v>47.81774676807467</v>
      </c>
      <c r="AO80" s="1917">
        <f>CF!AO33</f>
        <v>147.59276387978881</v>
      </c>
      <c r="AP80" s="1917">
        <f>CF!AP33</f>
        <v>70.196313106346139</v>
      </c>
      <c r="AQ80" s="1919">
        <f>CF!AQ33</f>
        <v>392.52972972972992</v>
      </c>
      <c r="AR80" s="1917"/>
      <c r="AS80" s="1918">
        <f>CF!AS33</f>
        <v>194</v>
      </c>
      <c r="AT80" s="1917">
        <f>CF!AT33</f>
        <v>325</v>
      </c>
      <c r="AU80" s="1917">
        <f>CF!AU33</f>
        <v>21.802548000000002</v>
      </c>
      <c r="AV80" s="1917">
        <f>CF!AV33</f>
        <v>-1766.1997692908037</v>
      </c>
      <c r="AW80" s="1919">
        <f>CF!AW33</f>
        <v>-1225.3972212908038</v>
      </c>
      <c r="AX80" s="1917"/>
      <c r="AY80" s="1918">
        <f>CF!AY33</f>
        <v>-20</v>
      </c>
      <c r="AZ80" s="1917">
        <f>CF!AZ33</f>
        <v>183</v>
      </c>
      <c r="BA80" s="1917">
        <f>CF!BA33</f>
        <v>91</v>
      </c>
      <c r="BB80" s="1917">
        <f>CF!BB33</f>
        <v>237</v>
      </c>
      <c r="BC80" s="1919">
        <f>CF!BC33</f>
        <v>491</v>
      </c>
      <c r="BD80" s="1917"/>
      <c r="BE80" s="1918">
        <f>CF!BE33</f>
        <v>104</v>
      </c>
      <c r="BF80" s="1917">
        <f>CF!BF33</f>
        <v>256</v>
      </c>
      <c r="BG80" s="1917">
        <f>CF!BG33</f>
        <v>199</v>
      </c>
      <c r="BH80" s="1917">
        <f>CF!BH33</f>
        <v>234</v>
      </c>
      <c r="BI80" s="1919">
        <f>CF!BI33</f>
        <v>793</v>
      </c>
      <c r="BJ80" s="1917"/>
      <c r="BK80" s="1918">
        <f>CF!BK33</f>
        <v>116</v>
      </c>
      <c r="BL80" s="1917">
        <f>CF!BL33</f>
        <v>257</v>
      </c>
      <c r="BM80" s="1917">
        <f>CF!BM33</f>
        <v>228</v>
      </c>
      <c r="BN80" s="1917">
        <f>CF!BN33</f>
        <v>288</v>
      </c>
      <c r="BO80" s="1919">
        <f>CF!BO33</f>
        <v>889</v>
      </c>
      <c r="BP80" s="1917"/>
      <c r="BQ80" s="1918">
        <f>CF!BQ33</f>
        <v>215</v>
      </c>
      <c r="BR80" s="1917">
        <f>CF!BR33</f>
        <v>250.80819867937456</v>
      </c>
      <c r="BS80" s="1917">
        <f>CF!BS33</f>
        <v>274.65958335349171</v>
      </c>
      <c r="BT80" s="1917">
        <f>CF!BT33</f>
        <v>344.72021238462082</v>
      </c>
      <c r="BU80" s="1919">
        <f>CF!BU33</f>
        <v>1085.1879944174871</v>
      </c>
      <c r="BV80" s="1917"/>
      <c r="BW80" s="1918">
        <f>CF!BW33</f>
        <v>201.32940836830849</v>
      </c>
      <c r="BX80" s="1917">
        <f>CF!BX33</f>
        <v>273.37314762895642</v>
      </c>
      <c r="BY80" s="1917">
        <f>CF!BY33</f>
        <v>297.79526480662082</v>
      </c>
      <c r="BZ80" s="1917">
        <f>CF!BZ33</f>
        <v>378.83981749474077</v>
      </c>
      <c r="CA80" s="1919">
        <f>CF!CA33</f>
        <v>1151.3376382986264</v>
      </c>
      <c r="CB80" s="1917"/>
      <c r="CC80" s="1918">
        <f>CF!CC33</f>
        <v>238.82104267262844</v>
      </c>
      <c r="CD80" s="1917">
        <f>CF!CD33</f>
        <v>363.51158309276406</v>
      </c>
      <c r="CE80" s="1917">
        <f>CF!CE33</f>
        <v>395.33797184034432</v>
      </c>
      <c r="CF80" s="1917">
        <f>CF!CF33</f>
        <v>490.44256627373142</v>
      </c>
      <c r="CG80" s="1919">
        <f>CF!CG33</f>
        <v>1488.1131638794682</v>
      </c>
      <c r="CH80" s="495"/>
      <c r="CI80" s="1918">
        <f>CF!CI33</f>
        <v>351.39415893667064</v>
      </c>
      <c r="CJ80" s="1917">
        <f>CF!CJ33</f>
        <v>322.72214862387369</v>
      </c>
      <c r="CK80" s="1917">
        <f>CF!CK33</f>
        <v>353.21679623970141</v>
      </c>
      <c r="CL80" s="1917">
        <f>CF!CL33</f>
        <v>457.18061388832461</v>
      </c>
      <c r="CM80" s="1919">
        <f>CF!CM33</f>
        <v>1484.5137176885703</v>
      </c>
      <c r="CN80" s="495"/>
      <c r="CO80" s="495"/>
      <c r="CP80" s="64"/>
    </row>
    <row r="81" spans="1:94" ht="12.75" customHeight="1">
      <c r="A81" s="1913" t="s">
        <v>250</v>
      </c>
      <c r="B81" s="1460"/>
      <c r="C81" s="1918">
        <f>CF!C81</f>
        <v>98.355555555555554</v>
      </c>
      <c r="D81" s="1917">
        <f>CF!D81</f>
        <v>70.994326018634794</v>
      </c>
      <c r="E81" s="1917">
        <f>CF!E81</f>
        <v>94.069265970584908</v>
      </c>
      <c r="F81" s="1917">
        <f>CF!F81</f>
        <v>130.40191496550068</v>
      </c>
      <c r="G81" s="1919">
        <f>CF!G81</f>
        <v>393.82106251027591</v>
      </c>
      <c r="H81" s="1460"/>
      <c r="I81" s="1918">
        <f>CF!I81</f>
        <v>389.08480648346517</v>
      </c>
      <c r="J81" s="1917">
        <f>CF!J81</f>
        <v>151.71892650583465</v>
      </c>
      <c r="K81" s="1917">
        <f>CF!K81</f>
        <v>101.2335590149688</v>
      </c>
      <c r="L81" s="1917">
        <f>CF!L81</f>
        <v>167.58705671536472</v>
      </c>
      <c r="M81" s="1919">
        <f>CF!M81</f>
        <v>809.6243487196333</v>
      </c>
      <c r="N81" s="1460"/>
      <c r="O81" s="1918">
        <f>CF!O81</f>
        <v>674.26611281927057</v>
      </c>
      <c r="P81" s="1917">
        <f>CF!P81</f>
        <v>117.33586800908569</v>
      </c>
      <c r="Q81" s="1917">
        <f>CF!Q81</f>
        <v>103.12835982592792</v>
      </c>
      <c r="R81" s="1917">
        <f>CF!R81</f>
        <v>227.15262266827915</v>
      </c>
      <c r="S81" s="1919">
        <f>CF!S81</f>
        <v>1121.8829633225632</v>
      </c>
      <c r="T81" s="1917"/>
      <c r="U81" s="1918">
        <f>CF!U81</f>
        <v>54.042801699894568</v>
      </c>
      <c r="V81" s="1917">
        <f>CF!V81</f>
        <v>82.81435880349396</v>
      </c>
      <c r="W81" s="1917">
        <f>CF!W81</f>
        <v>134.42730255106608</v>
      </c>
      <c r="X81" s="1917">
        <f>CF!X81</f>
        <v>-4.4364530636021016</v>
      </c>
      <c r="Y81" s="1919">
        <f>CF!Y81</f>
        <v>266.84800999085246</v>
      </c>
      <c r="Z81" s="1917"/>
      <c r="AA81" s="1918">
        <f>CF!AA81</f>
        <v>120.25894018346526</v>
      </c>
      <c r="AB81" s="1917">
        <f>CF!AB81</f>
        <v>-115.18478058446925</v>
      </c>
      <c r="AC81" s="1917">
        <f>CF!AC81</f>
        <v>62.286450659203837</v>
      </c>
      <c r="AD81" s="1917">
        <f>CF!AD81</f>
        <v>201.90236504342718</v>
      </c>
      <c r="AE81" s="1919">
        <f>CF!AE81</f>
        <v>269.26297530162702</v>
      </c>
      <c r="AF81" s="1917"/>
      <c r="AG81" s="1918">
        <f>CF!AG81</f>
        <v>138.27714561134053</v>
      </c>
      <c r="AH81" s="1917">
        <f>CF!AH81</f>
        <v>42.969836588156312</v>
      </c>
      <c r="AI81" s="1917">
        <f>CF!AI81</f>
        <v>185.39678385747015</v>
      </c>
      <c r="AJ81" s="1917">
        <f>CF!AJ81</f>
        <v>198.72764720069353</v>
      </c>
      <c r="AK81" s="1919">
        <f>CF!AK81</f>
        <v>565.37141325766049</v>
      </c>
      <c r="AL81" s="1917"/>
      <c r="AM81" s="1918">
        <f>CF!AM81</f>
        <v>100.17290597552019</v>
      </c>
      <c r="AN81" s="1917">
        <f>CF!AN81</f>
        <v>21.06774676807467</v>
      </c>
      <c r="AO81" s="1917">
        <f>CF!AO81</f>
        <v>120.84276387978881</v>
      </c>
      <c r="AP81" s="1917">
        <f>CF!AP81</f>
        <v>43.446313106346139</v>
      </c>
      <c r="AQ81" s="1919">
        <f>CF!AQ81</f>
        <v>285.52972972972992</v>
      </c>
      <c r="AR81" s="1917"/>
      <c r="AS81" s="1918">
        <f>CF!AS81</f>
        <v>149</v>
      </c>
      <c r="AT81" s="1917">
        <f>CF!AT81</f>
        <v>272</v>
      </c>
      <c r="AU81" s="1917">
        <f>CF!AU81</f>
        <v>-24.197451999999998</v>
      </c>
      <c r="AV81" s="1917">
        <f>CF!AV81</f>
        <v>7.2501811551824318</v>
      </c>
      <c r="AW81" s="1919">
        <f>CF!AW81</f>
        <v>404.05272915518242</v>
      </c>
      <c r="AX81" s="1917"/>
      <c r="AY81" s="1918">
        <f>CF!AY81</f>
        <v>-52</v>
      </c>
      <c r="AZ81" s="1917">
        <f>CF!AZ81</f>
        <v>163</v>
      </c>
      <c r="BA81" s="1917">
        <f>CF!BA81</f>
        <v>72</v>
      </c>
      <c r="BB81" s="1917">
        <f>CF!BB81</f>
        <v>210</v>
      </c>
      <c r="BC81" s="1919">
        <f>CF!BC81</f>
        <v>393</v>
      </c>
      <c r="BD81" s="1917"/>
      <c r="BE81" s="1918">
        <f>CF!BE81</f>
        <v>66</v>
      </c>
      <c r="BF81" s="1917">
        <f>CF!BF81</f>
        <v>231</v>
      </c>
      <c r="BG81" s="1917">
        <f>CF!BG81</f>
        <v>175</v>
      </c>
      <c r="BH81" s="1917">
        <f>CF!BH81</f>
        <v>182</v>
      </c>
      <c r="BI81" s="1919">
        <f>CF!BI81</f>
        <v>654</v>
      </c>
      <c r="BJ81" s="1917"/>
      <c r="BK81" s="1918">
        <f>CF!BK81</f>
        <v>84</v>
      </c>
      <c r="BL81" s="1917">
        <f>CF!BL81</f>
        <v>214</v>
      </c>
      <c r="BM81" s="1917">
        <f>CF!BM81</f>
        <v>185</v>
      </c>
      <c r="BN81" s="1917">
        <f>CF!BN81</f>
        <v>230</v>
      </c>
      <c r="BO81" s="1919">
        <f>CF!BO81</f>
        <v>713</v>
      </c>
      <c r="BP81" s="1917"/>
      <c r="BQ81" s="1918">
        <f>CF!BQ81</f>
        <v>155</v>
      </c>
      <c r="BR81" s="1917">
        <f>CF!BR81</f>
        <v>203.09145017740764</v>
      </c>
      <c r="BS81" s="1917">
        <f>CF!BS81</f>
        <v>227.42788671419331</v>
      </c>
      <c r="BT81" s="1917">
        <f>CF!BT81</f>
        <v>294.62246340428607</v>
      </c>
      <c r="BU81" s="1919">
        <f>CF!BU81</f>
        <v>880.14180029588692</v>
      </c>
      <c r="BV81" s="1917"/>
      <c r="BW81" s="1918">
        <f>CF!BW81</f>
        <v>170.30734778089743</v>
      </c>
      <c r="BX81" s="1917">
        <f>CF!BX81</f>
        <v>241.20006552515414</v>
      </c>
      <c r="BY81" s="1917">
        <f>CF!BY81</f>
        <v>265.55055098708669</v>
      </c>
      <c r="BZ81" s="1917">
        <f>CF!BZ81</f>
        <v>344.72006523166181</v>
      </c>
      <c r="CA81" s="1919">
        <f>CF!CA81</f>
        <v>1021.7780295248</v>
      </c>
      <c r="CB81" s="1917"/>
      <c r="CC81" s="1918">
        <f>CF!CC81</f>
        <v>207.34261086372047</v>
      </c>
      <c r="CD81" s="1917">
        <f>CF!CD81</f>
        <v>330.77322418134963</v>
      </c>
      <c r="CE81" s="1917">
        <f>CF!CE81</f>
        <v>362.27387736519654</v>
      </c>
      <c r="CF81" s="1917">
        <f>CF!CF81</f>
        <v>455.57394058014802</v>
      </c>
      <c r="CG81" s="1919">
        <f>CF!CG81</f>
        <v>1355.9636529904146</v>
      </c>
      <c r="CH81" s="495"/>
      <c r="CI81" s="1918">
        <f>CF!CI81</f>
        <v>320.90419557760845</v>
      </c>
      <c r="CJ81" s="1917">
        <f>CF!CJ81</f>
        <v>290.9138907970808</v>
      </c>
      <c r="CK81" s="1917">
        <f>CF!CK81</f>
        <v>320.8031286838783</v>
      </c>
      <c r="CL81" s="1917">
        <f>CF!CL81</f>
        <v>423.13249167133694</v>
      </c>
      <c r="CM81" s="1919">
        <f>CF!CM81</f>
        <v>1355.7537067299045</v>
      </c>
      <c r="CN81" s="1982"/>
      <c r="CO81" s="1982"/>
      <c r="CP81" s="64"/>
    </row>
    <row r="82" spans="1:94" ht="12.75" customHeight="1">
      <c r="A82" s="1920" t="s">
        <v>531</v>
      </c>
      <c r="B82" s="1924"/>
      <c r="C82" s="1921">
        <f>CF!C82</f>
        <v>0.2353003721424774</v>
      </c>
      <c r="D82" s="1922">
        <f>CF!D82</f>
        <v>0.17189909447611329</v>
      </c>
      <c r="E82" s="1922">
        <f>CF!E82</f>
        <v>0.23112841761814473</v>
      </c>
      <c r="F82" s="1922">
        <f>CF!F82</f>
        <v>0.32118698267364698</v>
      </c>
      <c r="G82" s="1923">
        <f>CF!G82</f>
        <v>0.97000261702038404</v>
      </c>
      <c r="H82" s="1924"/>
      <c r="I82" s="1921">
        <f>CF!I82</f>
        <v>1.0185466138310606</v>
      </c>
      <c r="J82" s="1922">
        <f>CF!J82</f>
        <v>0.41005115271847203</v>
      </c>
      <c r="K82" s="1922">
        <f>CF!K82</f>
        <v>0.27213322315851829</v>
      </c>
      <c r="L82" s="1922">
        <f>CF!L82</f>
        <v>0.45171713400367852</v>
      </c>
      <c r="M82" s="1923">
        <f>CF!M82</f>
        <v>2.1822758725596585</v>
      </c>
      <c r="N82" s="1924"/>
      <c r="O82" s="1921">
        <f>CF!O82</f>
        <v>1.9155287296002006</v>
      </c>
      <c r="P82" s="1922">
        <f>CF!P82</f>
        <v>0.3410926395612956</v>
      </c>
      <c r="Q82" s="1922">
        <f>CF!Q82</f>
        <v>0.29892278210413886</v>
      </c>
      <c r="R82" s="1922">
        <f>CF!R82</f>
        <v>0.65651047013953512</v>
      </c>
      <c r="S82" s="1923">
        <f>CF!S82</f>
        <v>3.2424363101808185</v>
      </c>
      <c r="T82" s="1922"/>
      <c r="U82" s="1921">
        <f>CF!U82</f>
        <v>0.15266328163812024</v>
      </c>
      <c r="V82" s="1922">
        <f>CF!V82</f>
        <v>0.2339388666765366</v>
      </c>
      <c r="W82" s="1922">
        <f>CF!W82</f>
        <v>0.38189574588371045</v>
      </c>
      <c r="X82" s="1922">
        <f>CF!X82</f>
        <v>-1.2567855704255245E-2</v>
      </c>
      <c r="Y82" s="1923">
        <f>CF!Y82</f>
        <v>0.75594337107890219</v>
      </c>
      <c r="Z82" s="1922"/>
      <c r="AA82" s="1921">
        <f>CF!AA82</f>
        <v>0.33875757798159228</v>
      </c>
      <c r="AB82" s="1922">
        <f>CF!AB82</f>
        <v>-0.32446417066047678</v>
      </c>
      <c r="AC82" s="1922">
        <f>CF!AC82</f>
        <v>0.17447185058600514</v>
      </c>
      <c r="AD82" s="1922">
        <f>CF!AD82</f>
        <v>0.57522041322913731</v>
      </c>
      <c r="AE82" s="1923">
        <f>CF!AE82</f>
        <v>0.75955705303702969</v>
      </c>
      <c r="AF82" s="1922"/>
      <c r="AG82" s="1921">
        <f>CF!AG82</f>
        <v>0.39283280003221743</v>
      </c>
      <c r="AH82" s="1922">
        <f>CF!AH82</f>
        <v>0.1213837191755828</v>
      </c>
      <c r="AI82" s="1922">
        <f>CF!AI82</f>
        <v>0.52520335370388149</v>
      </c>
      <c r="AJ82" s="1922">
        <f>CF!AJ82</f>
        <v>0.56296783909544912</v>
      </c>
      <c r="AK82" s="1923">
        <f>CF!AK82</f>
        <v>1.6016187344409645</v>
      </c>
      <c r="AL82" s="1922"/>
      <c r="AM82" s="1921">
        <f>CF!AM82</f>
        <v>0.28458211924863691</v>
      </c>
      <c r="AN82" s="1922">
        <f>CF!AN82</f>
        <v>6.0366036584741177E-2</v>
      </c>
      <c r="AO82" s="1922">
        <f>CF!AO82</f>
        <v>0.35231126495565251</v>
      </c>
      <c r="AP82" s="1922">
        <f>CF!AP82</f>
        <v>0.12930450329269685</v>
      </c>
      <c r="AQ82" s="1923">
        <f>CF!AQ82</f>
        <v>0.82762240501370987</v>
      </c>
      <c r="AR82" s="1922"/>
      <c r="AS82" s="1921">
        <f>CF!AS82</f>
        <v>0.44082840236686388</v>
      </c>
      <c r="AT82" s="1922">
        <f>CF!AT82</f>
        <v>0.80712166172106825</v>
      </c>
      <c r="AU82" s="1922">
        <f>CF!AU82</f>
        <v>-7.1590094674556209E-2</v>
      </c>
      <c r="AV82" s="1922">
        <f>CF!AV82</f>
        <v>2.1450240104090034E-2</v>
      </c>
      <c r="AW82" s="1923">
        <f>CF!AW82</f>
        <v>1.1963071181500591</v>
      </c>
      <c r="AX82" s="1922"/>
      <c r="AY82" s="1921">
        <f>CF!AY82</f>
        <v>-0.15384615384615385</v>
      </c>
      <c r="AZ82" s="1922">
        <f>CF!AZ82</f>
        <v>0.48367952522255192</v>
      </c>
      <c r="BA82" s="1922">
        <f>CF!BA82</f>
        <v>0.21428571428571427</v>
      </c>
      <c r="BB82" s="1922">
        <f>CF!BB82</f>
        <v>0.62724014336917555</v>
      </c>
      <c r="BC82" s="1923">
        <f>CF!BC82</f>
        <v>1.173134328358209</v>
      </c>
      <c r="BD82" s="1922"/>
      <c r="BE82" s="1921">
        <f>CF!BE82</f>
        <v>0.19879518072289157</v>
      </c>
      <c r="BF82" s="1922">
        <f>CF!BF82</f>
        <v>0.70426829268292679</v>
      </c>
      <c r="BG82" s="1922">
        <f>CF!BG82</f>
        <v>0.53353658536585369</v>
      </c>
      <c r="BH82" s="1922">
        <f>CF!BH82</f>
        <v>0.55487804878048785</v>
      </c>
      <c r="BI82" s="1923">
        <f>CF!BI82</f>
        <v>1.9878419452887539</v>
      </c>
      <c r="BJ82" s="1922"/>
      <c r="BK82" s="1921">
        <f>CF!BK82</f>
        <v>0.25766871165644173</v>
      </c>
      <c r="BL82" s="1922">
        <f>CF!BL82</f>
        <v>0.65846153846153843</v>
      </c>
      <c r="BM82" s="1922">
        <f>CF!BM82</f>
        <v>0.56748466257668717</v>
      </c>
      <c r="BN82" s="1922">
        <f>CF!BN82</f>
        <v>0.70552147239263807</v>
      </c>
      <c r="BO82" s="1923">
        <f>CF!BO82</f>
        <v>2.1887950882578666</v>
      </c>
      <c r="BP82" s="1922"/>
      <c r="BQ82" s="1921">
        <f>CF!BQ82</f>
        <v>0.47987616099071206</v>
      </c>
      <c r="BR82" s="1922">
        <f>CF!BR82</f>
        <v>0.62409151621767356</v>
      </c>
      <c r="BS82" s="1922">
        <f>CF!BS82</f>
        <v>0.70224869142233015</v>
      </c>
      <c r="BT82" s="1922">
        <f>CF!BT82</f>
        <v>0.91405777940005484</v>
      </c>
      <c r="BU82" s="1923">
        <f>CF!BU82</f>
        <v>2.7194254527172985</v>
      </c>
      <c r="BV82" s="1922"/>
      <c r="BW82" s="1921">
        <f>CF!BW82</f>
        <v>0.5307718044968267</v>
      </c>
      <c r="BX82" s="1922">
        <f>CF!BX82</f>
        <v>0.75507442453495832</v>
      </c>
      <c r="BY82" s="1922">
        <f>CF!BY82</f>
        <v>0.83496627769256659</v>
      </c>
      <c r="BZ82" s="1922">
        <f>CF!BZ82</f>
        <v>1.0886029024468749</v>
      </c>
      <c r="CA82" s="1923">
        <f>CF!CA82</f>
        <v>3.205561957463535</v>
      </c>
      <c r="CB82" s="1917"/>
      <c r="CC82" s="1921">
        <f>CF!CC82</f>
        <v>0.65757423105443391</v>
      </c>
      <c r="CD82" s="1922">
        <f>CF!CD82</f>
        <v>1.0534459727566607</v>
      </c>
      <c r="CE82" s="1922">
        <f>CF!CE82</f>
        <v>1.1585568108000803</v>
      </c>
      <c r="CF82" s="1922">
        <f>CF!CF82</f>
        <v>1.4628863188343082</v>
      </c>
      <c r="CG82" s="1923">
        <f>CF!CG82</f>
        <v>4.3272395113327136</v>
      </c>
      <c r="CH82" s="495"/>
      <c r="CI82" s="1921">
        <f>CF!CI82</f>
        <v>1.0345983484046488</v>
      </c>
      <c r="CJ82" s="1922">
        <f>CF!CJ82</f>
        <v>0.94162746035951106</v>
      </c>
      <c r="CK82" s="1922">
        <f>CF!CK82</f>
        <v>1.0424264190664208</v>
      </c>
      <c r="CL82" s="1922">
        <f>CF!CL82</f>
        <v>1.3802238640033329</v>
      </c>
      <c r="CM82" s="1923">
        <f>CF!CM82</f>
        <v>4.3966756914613176</v>
      </c>
      <c r="CN82" s="1982"/>
      <c r="CO82" s="1982"/>
      <c r="CP82" s="64"/>
    </row>
    <row r="83" spans="1:94" ht="4.5" customHeight="1">
      <c r="A83" s="797"/>
      <c r="B83" s="743"/>
      <c r="C83" s="767"/>
      <c r="D83" s="767"/>
      <c r="E83" s="767"/>
      <c r="F83" s="767"/>
      <c r="G83" s="767"/>
      <c r="H83" s="743"/>
      <c r="I83" s="767"/>
      <c r="J83" s="767"/>
      <c r="K83" s="767"/>
      <c r="L83" s="767"/>
      <c r="M83" s="767"/>
      <c r="N83" s="743"/>
      <c r="O83" s="767"/>
      <c r="P83" s="767"/>
      <c r="Q83" s="767"/>
      <c r="R83" s="767"/>
      <c r="S83" s="767"/>
      <c r="T83" s="768"/>
      <c r="U83" s="767"/>
      <c r="V83" s="767"/>
      <c r="W83" s="767"/>
      <c r="X83" s="767"/>
      <c r="Y83" s="767"/>
      <c r="Z83" s="768"/>
      <c r="AA83" s="767"/>
      <c r="AB83" s="767"/>
      <c r="AC83" s="767"/>
      <c r="AD83" s="767"/>
      <c r="AE83" s="767"/>
      <c r="AF83" s="768"/>
      <c r="AG83" s="767"/>
      <c r="AH83" s="767"/>
      <c r="AI83" s="767"/>
      <c r="AJ83" s="767"/>
      <c r="AK83" s="767"/>
      <c r="AL83" s="768"/>
      <c r="AM83" s="767"/>
      <c r="AN83" s="767"/>
      <c r="AO83" s="767"/>
      <c r="AP83" s="767"/>
      <c r="AQ83" s="767"/>
      <c r="AR83" s="768"/>
      <c r="AS83" s="767"/>
      <c r="AT83" s="767"/>
      <c r="AU83" s="767"/>
      <c r="AV83" s="767"/>
      <c r="AW83" s="767"/>
      <c r="AX83" s="768"/>
      <c r="AY83" s="767"/>
      <c r="AZ83" s="767"/>
      <c r="BA83" s="767"/>
      <c r="BB83" s="767"/>
      <c r="BC83" s="767"/>
      <c r="BD83" s="768"/>
      <c r="BE83" s="767"/>
      <c r="BF83" s="767"/>
      <c r="BG83" s="767"/>
      <c r="BH83" s="767"/>
      <c r="BI83" s="768"/>
      <c r="BJ83" s="768"/>
      <c r="BK83" s="767"/>
      <c r="BL83" s="767"/>
      <c r="BM83" s="767"/>
      <c r="BN83" s="767"/>
      <c r="BO83" s="768"/>
      <c r="BP83" s="768"/>
      <c r="BQ83" s="767"/>
      <c r="BR83" s="767"/>
      <c r="BS83" s="767"/>
      <c r="BT83" s="767"/>
      <c r="BU83" s="768"/>
      <c r="BV83" s="768"/>
      <c r="BW83" s="767"/>
      <c r="BX83" s="767"/>
      <c r="BY83" s="767"/>
      <c r="BZ83" s="767"/>
      <c r="CA83" s="768"/>
      <c r="CB83" s="768"/>
      <c r="CC83" s="767"/>
      <c r="CD83" s="767"/>
      <c r="CE83" s="767"/>
      <c r="CF83" s="767"/>
      <c r="CG83" s="768"/>
      <c r="CH83" s="743"/>
      <c r="CI83" s="767"/>
      <c r="CJ83" s="767"/>
      <c r="CK83" s="767"/>
      <c r="CL83" s="767"/>
      <c r="CM83" s="768"/>
      <c r="CN83" s="743"/>
      <c r="CO83" s="743"/>
      <c r="CP83" s="6"/>
    </row>
    <row r="84" spans="1:94" ht="12.75" customHeight="1">
      <c r="A84" s="769" t="s">
        <v>315</v>
      </c>
      <c r="B84" s="738"/>
      <c r="C84" s="739"/>
      <c r="D84" s="740"/>
      <c r="E84" s="740"/>
      <c r="F84" s="740"/>
      <c r="G84" s="741"/>
      <c r="H84" s="738"/>
      <c r="I84" s="739"/>
      <c r="J84" s="740"/>
      <c r="K84" s="740"/>
      <c r="L84" s="740"/>
      <c r="M84" s="741"/>
      <c r="N84" s="738"/>
      <c r="O84" s="739"/>
      <c r="P84" s="740"/>
      <c r="Q84" s="740"/>
      <c r="R84" s="740"/>
      <c r="S84" s="741"/>
      <c r="T84" s="742"/>
      <c r="U84" s="739"/>
      <c r="V84" s="740"/>
      <c r="W84" s="740"/>
      <c r="X84" s="740"/>
      <c r="Y84" s="741"/>
      <c r="Z84" s="742"/>
      <c r="AA84" s="739"/>
      <c r="AB84" s="740"/>
      <c r="AC84" s="740"/>
      <c r="AD84" s="740"/>
      <c r="AE84" s="741"/>
      <c r="AF84" s="742"/>
      <c r="AG84" s="739"/>
      <c r="AH84" s="740"/>
      <c r="AI84" s="740"/>
      <c r="AJ84" s="740"/>
      <c r="AK84" s="741"/>
      <c r="AL84" s="742"/>
      <c r="AM84" s="739"/>
      <c r="AN84" s="740"/>
      <c r="AO84" s="740"/>
      <c r="AP84" s="740"/>
      <c r="AQ84" s="741"/>
      <c r="AR84" s="742"/>
      <c r="AS84" s="739"/>
      <c r="AT84" s="740"/>
      <c r="AU84" s="740"/>
      <c r="AV84" s="740"/>
      <c r="AW84" s="741"/>
      <c r="AX84" s="742"/>
      <c r="AY84" s="739"/>
      <c r="AZ84" s="740"/>
      <c r="BA84" s="740"/>
      <c r="BB84" s="740"/>
      <c r="BC84" s="741"/>
      <c r="BD84" s="742"/>
      <c r="BE84" s="739"/>
      <c r="BF84" s="740"/>
      <c r="BG84" s="740"/>
      <c r="BH84" s="740"/>
      <c r="BI84" s="741"/>
      <c r="BJ84" s="742"/>
      <c r="BK84" s="739"/>
      <c r="BL84" s="740"/>
      <c r="BM84" s="740"/>
      <c r="BN84" s="740"/>
      <c r="BO84" s="741"/>
      <c r="BP84" s="742"/>
      <c r="BQ84" s="739"/>
      <c r="BR84" s="740"/>
      <c r="BS84" s="740"/>
      <c r="BT84" s="740"/>
      <c r="BU84" s="741"/>
      <c r="BV84" s="742"/>
      <c r="BW84" s="739"/>
      <c r="BX84" s="740"/>
      <c r="BY84" s="740"/>
      <c r="BZ84" s="740"/>
      <c r="CA84" s="741"/>
      <c r="CB84" s="2125"/>
      <c r="CC84" s="739"/>
      <c r="CD84" s="740"/>
      <c r="CE84" s="740"/>
      <c r="CF84" s="740"/>
      <c r="CG84" s="741"/>
      <c r="CH84" s="743"/>
      <c r="CI84" s="739"/>
      <c r="CJ84" s="740"/>
      <c r="CK84" s="740"/>
      <c r="CL84" s="740"/>
      <c r="CM84" s="741"/>
      <c r="CN84" s="743"/>
      <c r="CO84" s="743"/>
      <c r="CP84" s="6"/>
    </row>
    <row r="85" spans="1:94" ht="12.75" customHeight="1">
      <c r="A85" s="798" t="s">
        <v>316</v>
      </c>
      <c r="B85" s="743"/>
      <c r="C85" s="759">
        <f>C30/(IS!C15*4)</f>
        <v>9.2470277410832219E-2</v>
      </c>
      <c r="D85" s="760">
        <f>D30/(IS!D15*4)</f>
        <v>9.2470277410832233E-2</v>
      </c>
      <c r="E85" s="760">
        <f>E30/(IS!E15*4)</f>
        <v>9.2470277410832233E-2</v>
      </c>
      <c r="F85" s="760">
        <f>F30/(IS!F15*4)</f>
        <v>9.2470277410832233E-2</v>
      </c>
      <c r="G85" s="761">
        <f>G30/(IS!G15)</f>
        <v>9.9719381376117355E-2</v>
      </c>
      <c r="H85" s="743"/>
      <c r="I85" s="759">
        <f>I30/(IS!I15*4)</f>
        <v>9.2470277410832233E-2</v>
      </c>
      <c r="J85" s="760">
        <f>J30/(IS!J15*4)</f>
        <v>9.2470277410832233E-2</v>
      </c>
      <c r="K85" s="760">
        <f>K30/(IS!K15*4)</f>
        <v>9.2470277410832233E-2</v>
      </c>
      <c r="L85" s="760">
        <f>L30/(IS!L15*4)</f>
        <v>9.2470277410832233E-2</v>
      </c>
      <c r="M85" s="761">
        <f>M30/(IS!M15)</f>
        <v>9.4905069028932587E-2</v>
      </c>
      <c r="N85" s="743"/>
      <c r="O85" s="759">
        <f>O30/(IS!O15*4)</f>
        <v>9.2470277410832247E-2</v>
      </c>
      <c r="P85" s="760">
        <f>P30/(IS!P15*4)</f>
        <v>9.2470277410832233E-2</v>
      </c>
      <c r="Q85" s="760">
        <f>Q30/(IS!Q15*4)</f>
        <v>9.2470277410832233E-2</v>
      </c>
      <c r="R85" s="760">
        <f>R30/(IS!R15*4)</f>
        <v>9.2470277410832233E-2</v>
      </c>
      <c r="S85" s="761">
        <f>S30/(IS!S15)</f>
        <v>9.6268642305550725E-2</v>
      </c>
      <c r="T85" s="768"/>
      <c r="U85" s="759">
        <f>U30/(IS!U15*4)</f>
        <v>9.2470277410832233E-2</v>
      </c>
      <c r="V85" s="760">
        <f>V30/(IS!V15*4)</f>
        <v>9.2470277410832233E-2</v>
      </c>
      <c r="W85" s="760">
        <f>W30/(IS!W15*4)</f>
        <v>9.2470277410832233E-2</v>
      </c>
      <c r="X85" s="760">
        <f>X30/(IS!X15*4)</f>
        <v>9.2470277410832233E-2</v>
      </c>
      <c r="Y85" s="761">
        <f>Y30/(IS!Y15)</f>
        <v>0.11372877795137236</v>
      </c>
      <c r="Z85" s="768"/>
      <c r="AA85" s="759">
        <f>AA30/(IS!AA15*4)</f>
        <v>9.2470277410832233E-2</v>
      </c>
      <c r="AB85" s="760">
        <f>AB30/(IS!AB15*4)</f>
        <v>9.2470277410832233E-2</v>
      </c>
      <c r="AC85" s="760">
        <f>AC30/(IS!AC15*4)</f>
        <v>9.2470277410832219E-2</v>
      </c>
      <c r="AD85" s="760">
        <f>AD30/(IS!AD15*4)</f>
        <v>9.2470277410832233E-2</v>
      </c>
      <c r="AE85" s="761">
        <f>AE30/(IS!AE15)</f>
        <v>9.5420088555832991E-2</v>
      </c>
      <c r="AF85" s="768"/>
      <c r="AG85" s="759">
        <f>AG30/(IS!AG15*4)</f>
        <v>9.2470277410832233E-2</v>
      </c>
      <c r="AH85" s="760">
        <f>AH30/(IS!AH15*4)</f>
        <v>9.2470277410832233E-2</v>
      </c>
      <c r="AI85" s="760">
        <f>AI30/(IS!AI15*4)</f>
        <v>9.2470277410832233E-2</v>
      </c>
      <c r="AJ85" s="760">
        <f>AJ30/(IS!AJ15*4)</f>
        <v>9.2470277410832233E-2</v>
      </c>
      <c r="AK85" s="761">
        <f>AK30/(IS!AK15)</f>
        <v>9.6219931271477668E-2</v>
      </c>
      <c r="AL85" s="768"/>
      <c r="AM85" s="759">
        <f>AM30/(IS!AM15*4)</f>
        <v>7.3178391959799E-2</v>
      </c>
      <c r="AN85" s="760">
        <f>AN30/(IS!AN15*4)</f>
        <v>7.3178391959799E-2</v>
      </c>
      <c r="AO85" s="760">
        <f>AO30/(IS!AO15*4)</f>
        <v>7.3178391959799E-2</v>
      </c>
      <c r="AP85" s="760">
        <f>AP30/(IS!AP15*4)</f>
        <v>7.3178391959799E-2</v>
      </c>
      <c r="AQ85" s="761">
        <f>AQ30/(IS!AQ15)</f>
        <v>7.3687539531941806E-2</v>
      </c>
      <c r="AR85" s="768"/>
      <c r="AS85" s="759">
        <f>AS30/(IS!AS15*4)</f>
        <v>7.3619631901840496E-2</v>
      </c>
      <c r="AT85" s="760">
        <f t="shared" ref="AT85:AU88" si="65">AS85</f>
        <v>7.3619631901840496E-2</v>
      </c>
      <c r="AU85" s="760">
        <f t="shared" si="65"/>
        <v>7.3619631901840496E-2</v>
      </c>
      <c r="AV85" s="760">
        <f>AV30/(IS!AV15*4)</f>
        <v>8.6978086337638719E-2</v>
      </c>
      <c r="AW85" s="761">
        <f>AW30/(IS!AW15)</f>
        <v>8.7974843456528562E-2</v>
      </c>
      <c r="AX85" s="768"/>
      <c r="AY85" s="759">
        <f>AY30/(IS!AY15*4)</f>
        <v>6.1798804281421163E-2</v>
      </c>
      <c r="AZ85" s="760">
        <f>AZ30/(IS!AZ15*4)</f>
        <v>5.9831137635549023E-2</v>
      </c>
      <c r="BA85" s="760">
        <f>BA30/(IS!BA15*4)</f>
        <v>4.7271106549074161E-2</v>
      </c>
      <c r="BB85" s="760">
        <f>BB30/(IS!BB15*4)</f>
        <v>6.7119714476429282E-2</v>
      </c>
      <c r="BC85" s="761">
        <f>BC30/(IS!BC15)</f>
        <v>6.6669419073876149E-2</v>
      </c>
      <c r="BD85" s="768"/>
      <c r="BE85" s="759">
        <v>6.2E-2</v>
      </c>
      <c r="BF85" s="760">
        <f>BF30/(IS!BF15*4)</f>
        <v>5.704852766246693E-2</v>
      </c>
      <c r="BG85" s="760">
        <f>BG30/(IS!BG15*4)</f>
        <v>5.0169675645536517E-2</v>
      </c>
      <c r="BH85" s="760">
        <f>BH30/(IS!BH15*4)</f>
        <v>5.3246613891555397E-2</v>
      </c>
      <c r="BI85" s="761">
        <f>BI30/(IS!BI15)</f>
        <v>5.5046859087549839E-2</v>
      </c>
      <c r="BJ85" s="768"/>
      <c r="BK85" s="759">
        <f>BK30/(IS!BK15*4)</f>
        <v>4.2369416273885387E-2</v>
      </c>
      <c r="BL85" s="760">
        <f>BL30/(IS!BL15*4)</f>
        <v>4.0367829337595862E-2</v>
      </c>
      <c r="BM85" s="760">
        <f>BM30/(IS!BM15*4)</f>
        <v>4.0157947759123853E-2</v>
      </c>
      <c r="BN85" s="760">
        <f>BN30/(IS!BN15*4)</f>
        <v>4.943307635416587E-2</v>
      </c>
      <c r="BO85" s="761">
        <f>BO30/(IS!BO15)</f>
        <v>5.1747316765824718E-2</v>
      </c>
      <c r="BP85" s="768"/>
      <c r="BQ85" s="759">
        <f>BQ30/(IS!BQ15*4)</f>
        <v>4.8287779031727082E-2</v>
      </c>
      <c r="BR85" s="2030">
        <f t="shared" ref="BR85:BT88" si="66">BL85</f>
        <v>4.0367829337595862E-2</v>
      </c>
      <c r="BS85" s="2030">
        <f t="shared" si="66"/>
        <v>4.0157947759123853E-2</v>
      </c>
      <c r="BT85" s="2030">
        <f t="shared" si="66"/>
        <v>4.943307635416587E-2</v>
      </c>
      <c r="BU85" s="761">
        <f>BU30/(IS!BU15)</f>
        <v>5.0949031073066059E-2</v>
      </c>
      <c r="BV85" s="768"/>
      <c r="BW85" s="2029">
        <f t="shared" ref="BW85:BZ88" si="67">BQ85</f>
        <v>4.8287779031727082E-2</v>
      </c>
      <c r="BX85" s="2030">
        <f t="shared" si="67"/>
        <v>4.0367829337595862E-2</v>
      </c>
      <c r="BY85" s="2030">
        <f t="shared" si="67"/>
        <v>4.0157947759123853E-2</v>
      </c>
      <c r="BZ85" s="2030">
        <f t="shared" si="67"/>
        <v>4.943307635416587E-2</v>
      </c>
      <c r="CA85" s="761">
        <f>CA30/(IS!CA15)</f>
        <v>5.1168238418876459E-2</v>
      </c>
      <c r="CB85" s="760"/>
      <c r="CC85" s="2029">
        <f t="shared" ref="CC85:CF88" si="68">BW85</f>
        <v>4.8287779031727082E-2</v>
      </c>
      <c r="CD85" s="2030">
        <f t="shared" si="68"/>
        <v>4.0367829337595862E-2</v>
      </c>
      <c r="CE85" s="2030">
        <f t="shared" si="68"/>
        <v>4.0157947759123853E-2</v>
      </c>
      <c r="CF85" s="2030">
        <f t="shared" si="68"/>
        <v>4.943307635416587E-2</v>
      </c>
      <c r="CG85" s="761">
        <f>CG30/(IS!CG15)</f>
        <v>5.1250945462048447E-2</v>
      </c>
      <c r="CH85" s="743"/>
      <c r="CI85" s="2029">
        <f t="shared" ref="CI85:CI88" si="69">CC85</f>
        <v>4.8287779031727082E-2</v>
      </c>
      <c r="CJ85" s="2030">
        <f t="shared" ref="CJ85:CJ88" si="70">CD85</f>
        <v>4.0367829337595862E-2</v>
      </c>
      <c r="CK85" s="2030">
        <f t="shared" ref="CK85:CK88" si="71">CE85</f>
        <v>4.0157947759123853E-2</v>
      </c>
      <c r="CL85" s="2030">
        <f t="shared" ref="CL85:CL88" si="72">CF85</f>
        <v>4.943307635416587E-2</v>
      </c>
      <c r="CM85" s="761">
        <f>CM30/(IS!CM15)</f>
        <v>5.1349392105197088E-2</v>
      </c>
      <c r="CN85" s="1982"/>
      <c r="CO85" s="1982"/>
      <c r="CP85" s="6"/>
    </row>
    <row r="86" spans="1:94" ht="12.75" customHeight="1">
      <c r="A86" s="798" t="s">
        <v>317</v>
      </c>
      <c r="B86" s="743"/>
      <c r="C86" s="759">
        <f>C13/(IS!C10*4)</f>
        <v>5.573080967402734E-2</v>
      </c>
      <c r="D86" s="760">
        <f>D13/(IS!D10*4)</f>
        <v>5.573080967402734E-2</v>
      </c>
      <c r="E86" s="760">
        <f>E13/(IS!E10*4)</f>
        <v>5.573080967402734E-2</v>
      </c>
      <c r="F86" s="760">
        <f>F13/(IS!F10*4)</f>
        <v>5.573080967402734E-2</v>
      </c>
      <c r="G86" s="762">
        <f>G13/(IS!G10)</f>
        <v>6.226640569123737E-2</v>
      </c>
      <c r="H86" s="743"/>
      <c r="I86" s="759">
        <f>I13/(IS!I10*4)</f>
        <v>5.573080967402734E-2</v>
      </c>
      <c r="J86" s="760">
        <f>J13/(IS!J10*4)</f>
        <v>5.573080967402734E-2</v>
      </c>
      <c r="K86" s="760">
        <f>K13/(IS!K10*4)</f>
        <v>5.573080967402734E-2</v>
      </c>
      <c r="L86" s="760">
        <f>L13/(IS!L10*4)</f>
        <v>5.573080967402734E-2</v>
      </c>
      <c r="M86" s="762">
        <f>M13/(IS!M10)</f>
        <v>6.0326379856714789E-2</v>
      </c>
      <c r="N86" s="743"/>
      <c r="O86" s="759">
        <f>O13/(IS!O10*4)</f>
        <v>5.573080967402734E-2</v>
      </c>
      <c r="P86" s="760">
        <f>P13/(IS!P10*4)</f>
        <v>5.573080967402734E-2</v>
      </c>
      <c r="Q86" s="760">
        <f>Q13/(IS!Q10*4)</f>
        <v>5.573080967402734E-2</v>
      </c>
      <c r="R86" s="760">
        <f>R13/(IS!R10*4)</f>
        <v>5.573080967402734E-2</v>
      </c>
      <c r="S86" s="762">
        <f>S13/(IS!S10)</f>
        <v>5.8783442487001208E-2</v>
      </c>
      <c r="T86" s="768"/>
      <c r="U86" s="759">
        <f>U13/(IS!U10*4)</f>
        <v>5.5730809674027347E-2</v>
      </c>
      <c r="V86" s="760">
        <f>V13/(IS!V10*4)</f>
        <v>5.573080967402734E-2</v>
      </c>
      <c r="W86" s="760">
        <f>W13/(IS!W10*4)</f>
        <v>5.573080967402734E-2</v>
      </c>
      <c r="X86" s="760">
        <f>X13/(IS!X10*4)</f>
        <v>5.5730809674027347E-2</v>
      </c>
      <c r="Y86" s="762">
        <f>Y13/(IS!Y10)</f>
        <v>6.823331680881288E-2</v>
      </c>
      <c r="Z86" s="768"/>
      <c r="AA86" s="759">
        <f>AA13/(IS!AA10*4)</f>
        <v>5.573080967402734E-2</v>
      </c>
      <c r="AB86" s="760">
        <f>AB13/(IS!AB10*4)</f>
        <v>5.573080967402734E-2</v>
      </c>
      <c r="AC86" s="760">
        <f>AC13/(IS!AC10*4)</f>
        <v>5.573080967402734E-2</v>
      </c>
      <c r="AD86" s="760">
        <f>AD13/(IS!AD10*4)</f>
        <v>5.573080967402734E-2</v>
      </c>
      <c r="AE86" s="762">
        <f>AE13/(IS!AE10)</f>
        <v>5.8997207582414439E-2</v>
      </c>
      <c r="AF86" s="768"/>
      <c r="AG86" s="759">
        <f>AG13/(IS!AG10*4)</f>
        <v>5.573080967402734E-2</v>
      </c>
      <c r="AH86" s="760">
        <f>AH13/(IS!AH10*4)</f>
        <v>5.573080967402734E-2</v>
      </c>
      <c r="AI86" s="760">
        <f>AI13/(IS!AI10*4)</f>
        <v>5.573080967402734E-2</v>
      </c>
      <c r="AJ86" s="760">
        <f>AJ13/(IS!AJ10*4)</f>
        <v>5.573080967402734E-2</v>
      </c>
      <c r="AK86" s="762">
        <f>AK13/(IS!AK10)</f>
        <v>5.9836296923511147E-2</v>
      </c>
      <c r="AL86" s="768"/>
      <c r="AM86" s="759">
        <f>AM13/(IS!AM10*4)</f>
        <v>4.9111549851924979E-2</v>
      </c>
      <c r="AN86" s="760">
        <f>AN13/(IS!AN10*4)</f>
        <v>4.9111549851924972E-2</v>
      </c>
      <c r="AO86" s="760">
        <f>AO13/(IS!AO10*4)</f>
        <v>4.9111549851924972E-2</v>
      </c>
      <c r="AP86" s="760">
        <f>AP13/(IS!AP10*4)</f>
        <v>4.9111549851924972E-2</v>
      </c>
      <c r="AQ86" s="762">
        <f>AQ13/(IS!AQ10)</f>
        <v>5.1104262968669746E-2</v>
      </c>
      <c r="AR86" s="768"/>
      <c r="AS86" s="759">
        <f>AS13/(IS!AS10*4)</f>
        <v>6.7460317460317457E-2</v>
      </c>
      <c r="AT86" s="760">
        <f t="shared" si="65"/>
        <v>6.7460317460317457E-2</v>
      </c>
      <c r="AU86" s="760">
        <f t="shared" si="65"/>
        <v>6.7460317460317457E-2</v>
      </c>
      <c r="AV86" s="760">
        <f>AV13/(IS!AV10*4)</f>
        <v>0.49904122722914668</v>
      </c>
      <c r="AW86" s="762">
        <f>AW13/(IS!AW10)</f>
        <v>0.51432806324110669</v>
      </c>
      <c r="AX86" s="768"/>
      <c r="AY86" s="759">
        <f>AY13/(IS!AY10*4)</f>
        <v>8.7962962962962965E-2</v>
      </c>
      <c r="AZ86" s="760">
        <f>AZ13/(IS!AZ10*4)</f>
        <v>7.5545171339563857E-2</v>
      </c>
      <c r="BA86" s="760">
        <f>BA13/(IS!BA10*4)</f>
        <v>6.7554240631163706E-2</v>
      </c>
      <c r="BB86" s="760">
        <f>BB13/(IS!BB10*4)</f>
        <v>7.101449275362319E-2</v>
      </c>
      <c r="BC86" s="762">
        <f>BC13/(IS!BC10)</f>
        <v>7.280832095096583E-2</v>
      </c>
      <c r="BD86" s="768"/>
      <c r="BE86" s="759">
        <f>+AY86</f>
        <v>8.7962962962962965E-2</v>
      </c>
      <c r="BF86" s="760">
        <f>BF13/(IS!BF10*4)</f>
        <v>4.7105004906771344E-2</v>
      </c>
      <c r="BG86" s="760">
        <f>BG13/(IS!BG10*4)</f>
        <v>4.7413793103448273E-2</v>
      </c>
      <c r="BH86" s="760">
        <f>BH13/(IS!BH10*4)</f>
        <v>4.0954095409540953E-2</v>
      </c>
      <c r="BI86" s="762">
        <f>BI13/(IS!BI10)</f>
        <v>4.3312708234174206E-2</v>
      </c>
      <c r="BJ86" s="768"/>
      <c r="BK86" s="759">
        <f>BK13/(IS!BK10*4)</f>
        <v>4.4517338331771322E-2</v>
      </c>
      <c r="BL86" s="760">
        <f>BL13/(IS!BL10*4)</f>
        <v>4.2196007259528129E-2</v>
      </c>
      <c r="BM86" s="760">
        <f>BM13/(IS!BM10*4)</f>
        <v>4.2414721723518851E-2</v>
      </c>
      <c r="BN86" s="760">
        <f>BN13/(IS!BN10*4)</f>
        <v>4.0370058873002525E-2</v>
      </c>
      <c r="BO86" s="762">
        <f>BO13/(IS!BO10)</f>
        <v>4.2933810375670838E-2</v>
      </c>
      <c r="BP86" s="768"/>
      <c r="BQ86" s="759">
        <f>BQ13/(IS!BQ10*4)</f>
        <v>3.1172584640792735E-2</v>
      </c>
      <c r="BR86" s="2030">
        <f t="shared" si="66"/>
        <v>4.2196007259528129E-2</v>
      </c>
      <c r="BS86" s="2030">
        <f t="shared" si="66"/>
        <v>4.2414721723518851E-2</v>
      </c>
      <c r="BT86" s="2030">
        <f t="shared" si="66"/>
        <v>4.0370058873002525E-2</v>
      </c>
      <c r="BU86" s="762">
        <f>BU13/(IS!BU10)</f>
        <v>4.2340723965346598E-2</v>
      </c>
      <c r="BV86" s="768"/>
      <c r="BW86" s="2029">
        <f t="shared" si="67"/>
        <v>3.1172584640792735E-2</v>
      </c>
      <c r="BX86" s="2030">
        <f t="shared" si="67"/>
        <v>4.2196007259528129E-2</v>
      </c>
      <c r="BY86" s="2030">
        <f t="shared" si="67"/>
        <v>4.2414721723518851E-2</v>
      </c>
      <c r="BZ86" s="2030">
        <f t="shared" si="67"/>
        <v>4.0370058873002525E-2</v>
      </c>
      <c r="CA86" s="762">
        <f>CA13/(IS!CA10)</f>
        <v>4.2526105801919498E-2</v>
      </c>
      <c r="CB86" s="760"/>
      <c r="CC86" s="2029">
        <f t="shared" si="68"/>
        <v>3.1172584640792735E-2</v>
      </c>
      <c r="CD86" s="2030">
        <f t="shared" si="68"/>
        <v>4.2196007259528129E-2</v>
      </c>
      <c r="CE86" s="2030">
        <f t="shared" si="68"/>
        <v>4.2414721723518851E-2</v>
      </c>
      <c r="CF86" s="2030">
        <f t="shared" si="68"/>
        <v>4.0370058873002525E-2</v>
      </c>
      <c r="CG86" s="762">
        <f>CG13/(IS!CG10)</f>
        <v>4.2607754280753855E-2</v>
      </c>
      <c r="CH86" s="743"/>
      <c r="CI86" s="2029">
        <f t="shared" si="69"/>
        <v>3.1172584640792735E-2</v>
      </c>
      <c r="CJ86" s="2030">
        <f t="shared" si="70"/>
        <v>4.2196007259528129E-2</v>
      </c>
      <c r="CK86" s="2030">
        <f t="shared" si="71"/>
        <v>4.2414721723518851E-2</v>
      </c>
      <c r="CL86" s="2030">
        <f t="shared" si="72"/>
        <v>4.0370058873002525E-2</v>
      </c>
      <c r="CM86" s="762">
        <f>CM13/(IS!CM10)</f>
        <v>4.2700359783480392E-2</v>
      </c>
      <c r="CN86" s="743"/>
      <c r="CO86" s="743"/>
      <c r="CP86" s="6"/>
    </row>
    <row r="87" spans="1:94" ht="12.75" customHeight="1">
      <c r="A87" s="798" t="s">
        <v>318</v>
      </c>
      <c r="B87" s="743" t="s">
        <v>113</v>
      </c>
      <c r="C87" s="759">
        <f>C26/(IS!C15*4)</f>
        <v>8.0250990752972262E-2</v>
      </c>
      <c r="D87" s="760">
        <f>D26/(IS!D15*4)</f>
        <v>8.0250990752972262E-2</v>
      </c>
      <c r="E87" s="760">
        <f>E26/(IS!E15*4)</f>
        <v>8.0250990752972262E-2</v>
      </c>
      <c r="F87" s="760">
        <f>F26/(IS!F15*4)</f>
        <v>8.0250990752972262E-2</v>
      </c>
      <c r="G87" s="762">
        <f>G26/(IS!G15)</f>
        <v>8.6542177408559004E-2</v>
      </c>
      <c r="H87" s="743"/>
      <c r="I87" s="759">
        <f>I26/(IS!I15*4)</f>
        <v>8.0250990752972262E-2</v>
      </c>
      <c r="J87" s="760">
        <f>J26/(IS!J15*4)</f>
        <v>8.0250990752972262E-2</v>
      </c>
      <c r="K87" s="760">
        <f>K26/(IS!K15*4)</f>
        <v>8.0250990752972262E-2</v>
      </c>
      <c r="L87" s="760">
        <f>L26/(IS!L15*4)</f>
        <v>8.0250990752972262E-2</v>
      </c>
      <c r="M87" s="762">
        <f>M26/(IS!M15)</f>
        <v>8.2364042050109346E-2</v>
      </c>
      <c r="N87" s="743"/>
      <c r="O87" s="759">
        <f>O26/(IS!O15*4)</f>
        <v>8.0250990752972262E-2</v>
      </c>
      <c r="P87" s="760">
        <f>P26/(IS!P15*4)</f>
        <v>8.0250990752972262E-2</v>
      </c>
      <c r="Q87" s="760">
        <f>Q26/(IS!Q15*4)</f>
        <v>8.0250990752972262E-2</v>
      </c>
      <c r="R87" s="760">
        <f>R26/(IS!R15*4)</f>
        <v>8.0250990752972262E-2</v>
      </c>
      <c r="S87" s="762">
        <f>S26/(IS!S15)</f>
        <v>8.3547428858031514E-2</v>
      </c>
      <c r="T87" s="768"/>
      <c r="U87" s="759">
        <f>U26/(IS!U15*4)</f>
        <v>8.0250990752972262E-2</v>
      </c>
      <c r="V87" s="760">
        <f>V26/(IS!V15*4)</f>
        <v>8.0250990752972262E-2</v>
      </c>
      <c r="W87" s="760">
        <f>W26/(IS!W15*4)</f>
        <v>8.0250990752972262E-2</v>
      </c>
      <c r="X87" s="760">
        <f>X26/(IS!X15*4)</f>
        <v>8.0250990752972262E-2</v>
      </c>
      <c r="Y87" s="762">
        <f>Y26/(IS!Y15)</f>
        <v>9.8700332293512438E-2</v>
      </c>
      <c r="Z87" s="768"/>
      <c r="AA87" s="759">
        <f>AA26/(IS!AA15*4)</f>
        <v>8.0250990752972262E-2</v>
      </c>
      <c r="AB87" s="760">
        <f>AB26/(IS!AB15*4)</f>
        <v>8.0250990752972262E-2</v>
      </c>
      <c r="AC87" s="760">
        <f>AC26/(IS!AC15*4)</f>
        <v>8.0250990752972262E-2</v>
      </c>
      <c r="AD87" s="760">
        <f>AD26/(IS!AD15*4)</f>
        <v>8.0250990752972262E-2</v>
      </c>
      <c r="AE87" s="762">
        <f>AE26/(IS!AE15)</f>
        <v>8.2811005425240766E-2</v>
      </c>
      <c r="AF87" s="768"/>
      <c r="AG87" s="759">
        <f>AG26/(IS!AG15*4)</f>
        <v>8.0250990752972262E-2</v>
      </c>
      <c r="AH87" s="760">
        <f>AH26/(IS!AH15*4)</f>
        <v>8.0250990752972262E-2</v>
      </c>
      <c r="AI87" s="760">
        <f>AI26/(IS!AI15*4)</f>
        <v>8.0250990752972262E-2</v>
      </c>
      <c r="AJ87" s="760">
        <f>AJ26/(IS!AJ15*4)</f>
        <v>8.0250990752972262E-2</v>
      </c>
      <c r="AK87" s="762">
        <f>AK26/(IS!AK15)</f>
        <v>8.3505154639175252E-2</v>
      </c>
      <c r="AL87" s="768"/>
      <c r="AM87" s="759">
        <f>AM26/(IS!AM15*4)</f>
        <v>8.1344221105527637E-2</v>
      </c>
      <c r="AN87" s="760">
        <f>AN26/(IS!AN15*4)</f>
        <v>8.1344221105527623E-2</v>
      </c>
      <c r="AO87" s="760">
        <f>AO26/(IS!AO15*4)</f>
        <v>8.1344221105527637E-2</v>
      </c>
      <c r="AP87" s="760">
        <f>AP26/(IS!AP15*4)</f>
        <v>8.1344221105527637E-2</v>
      </c>
      <c r="AQ87" s="762">
        <f>AQ26/(IS!AQ15)</f>
        <v>8.1910183428209993E-2</v>
      </c>
      <c r="AR87" s="768"/>
      <c r="AS87" s="759">
        <f>AS26/(IS!AS15*4)</f>
        <v>6.6257668711656448E-2</v>
      </c>
      <c r="AT87" s="760">
        <f t="shared" si="65"/>
        <v>6.6257668711656448E-2</v>
      </c>
      <c r="AU87" s="760">
        <f t="shared" si="65"/>
        <v>6.6257668711656448E-2</v>
      </c>
      <c r="AV87" s="760">
        <f>AV26/(IS!AV15*4)</f>
        <v>6.8619389913431236E-2</v>
      </c>
      <c r="AW87" s="762">
        <f>AW26/(IS!AW15)</f>
        <v>6.9405758851517341E-2</v>
      </c>
      <c r="AX87" s="768"/>
      <c r="AY87" s="759">
        <f>AY26/(IS!AY15*4)</f>
        <v>5.3853243730952731E-2</v>
      </c>
      <c r="AZ87" s="760">
        <f>AZ26/(IS!AZ15*4)</f>
        <v>6.5499350674706303E-2</v>
      </c>
      <c r="BA87" s="760">
        <f>BA26/(IS!BA15*4)</f>
        <v>5.7093674143686976E-2</v>
      </c>
      <c r="BB87" s="760">
        <f>BB26/(IS!BB15*4)</f>
        <v>6.804338027197647E-2</v>
      </c>
      <c r="BC87" s="762">
        <f>BC26/(IS!BC15)</f>
        <v>6.7586888143700133E-2</v>
      </c>
      <c r="BD87" s="768"/>
      <c r="BE87" s="759">
        <v>5.3999999999999999E-2</v>
      </c>
      <c r="BF87" s="760">
        <f>BF26/(IS!BF15*4)</f>
        <v>6.4027868812662356E-2</v>
      </c>
      <c r="BG87" s="760">
        <f>BG26/(IS!BG15*4)</f>
        <v>6.2787198861779234E-2</v>
      </c>
      <c r="BH87" s="760">
        <f>BH26/(IS!BH15*4)</f>
        <v>6.800518622019304E-2</v>
      </c>
      <c r="BI87" s="762">
        <f>BI26/(IS!BI15)</f>
        <v>7.0304412421598989E-2</v>
      </c>
      <c r="BJ87" s="768"/>
      <c r="BK87" s="759">
        <f>BK26/(IS!BK15*4)</f>
        <v>5.5998738991359008E-2</v>
      </c>
      <c r="BL87" s="760">
        <f>BL26/(IS!BL15*4)</f>
        <v>6.9990265254392822E-2</v>
      </c>
      <c r="BM87" s="760">
        <f>BM26/(IS!BM15*4)</f>
        <v>6.5505872231194945E-2</v>
      </c>
      <c r="BN87" s="760">
        <f>BN26/(IS!BN15*4)</f>
        <v>7.5378613667125852E-2</v>
      </c>
      <c r="BO87" s="762">
        <f>BO26/(IS!BO15)</f>
        <v>7.8907510648439899E-2</v>
      </c>
      <c r="BP87" s="768"/>
      <c r="BQ87" s="759">
        <f>BQ26/(IS!BQ15*4)</f>
        <v>5.8635160252811458E-2</v>
      </c>
      <c r="BR87" s="2030">
        <f t="shared" si="66"/>
        <v>6.9990265254392822E-2</v>
      </c>
      <c r="BS87" s="2030">
        <f t="shared" si="66"/>
        <v>6.5505872231194945E-2</v>
      </c>
      <c r="BT87" s="2030">
        <f t="shared" si="66"/>
        <v>7.5378613667125852E-2</v>
      </c>
      <c r="BU87" s="762">
        <f>BU26/(IS!BU15)</f>
        <v>7.7690235227437746E-2</v>
      </c>
      <c r="BV87" s="768"/>
      <c r="BW87" s="2029">
        <f t="shared" si="67"/>
        <v>5.8635160252811458E-2</v>
      </c>
      <c r="BX87" s="2030">
        <f t="shared" si="67"/>
        <v>6.9990265254392822E-2</v>
      </c>
      <c r="BY87" s="2030">
        <f t="shared" si="67"/>
        <v>6.5505872231194945E-2</v>
      </c>
      <c r="BZ87" s="2030">
        <f t="shared" si="67"/>
        <v>7.5378613667125852E-2</v>
      </c>
      <c r="CA87" s="762">
        <f>CA26/(IS!CA15)</f>
        <v>7.8024496152540895E-2</v>
      </c>
      <c r="CB87" s="760"/>
      <c r="CC87" s="2029">
        <f t="shared" si="68"/>
        <v>5.8635160252811458E-2</v>
      </c>
      <c r="CD87" s="2030">
        <f t="shared" si="68"/>
        <v>6.9990265254392822E-2</v>
      </c>
      <c r="CE87" s="2030">
        <f t="shared" si="68"/>
        <v>6.5505872231194945E-2</v>
      </c>
      <c r="CF87" s="2030">
        <f t="shared" si="68"/>
        <v>7.5378613667125852E-2</v>
      </c>
      <c r="CG87" s="762">
        <f>CG26/(IS!CG15)</f>
        <v>7.8150612969753425E-2</v>
      </c>
      <c r="CH87" s="743"/>
      <c r="CI87" s="2029">
        <f t="shared" si="69"/>
        <v>5.8635160252811458E-2</v>
      </c>
      <c r="CJ87" s="2030">
        <f t="shared" si="70"/>
        <v>6.9990265254392822E-2</v>
      </c>
      <c r="CK87" s="2030">
        <f t="shared" si="71"/>
        <v>6.5505872231194945E-2</v>
      </c>
      <c r="CL87" s="2030">
        <f t="shared" si="72"/>
        <v>7.5378613667125852E-2</v>
      </c>
      <c r="CM87" s="762">
        <f>CM26/(IS!CM15)</f>
        <v>7.8300730502952456E-2</v>
      </c>
      <c r="CN87" s="743"/>
      <c r="CO87" s="743"/>
      <c r="CP87" s="6"/>
    </row>
    <row r="88" spans="1:94" ht="12.75" customHeight="1">
      <c r="A88" s="799" t="s">
        <v>319</v>
      </c>
      <c r="B88" s="743"/>
      <c r="C88" s="763">
        <f>C27/(IS!C15*4)</f>
        <v>5.7833859095688757E-2</v>
      </c>
      <c r="D88" s="764">
        <f>D27/(IS!D15*4)</f>
        <v>5.7833859095688743E-2</v>
      </c>
      <c r="E88" s="764">
        <f>E27/(IS!E15*4)</f>
        <v>5.783385909568875E-2</v>
      </c>
      <c r="F88" s="764">
        <f>F27/(IS!F15*4)</f>
        <v>5.783385909568875E-2</v>
      </c>
      <c r="G88" s="765">
        <f>G27/(IS!G15)</f>
        <v>6.236767978961464E-2</v>
      </c>
      <c r="H88" s="743"/>
      <c r="I88" s="763">
        <f>I27/(IS!I15*4)</f>
        <v>5.783385909568875E-2</v>
      </c>
      <c r="J88" s="764">
        <f>J27/(IS!J15*4)</f>
        <v>5.7833859095688743E-2</v>
      </c>
      <c r="K88" s="764">
        <f>K27/(IS!K15*4)</f>
        <v>5.783385909568875E-2</v>
      </c>
      <c r="L88" s="764">
        <f>L27/(IS!L15*4)</f>
        <v>5.783385909568875E-2</v>
      </c>
      <c r="M88" s="765">
        <f>M27/(IS!M15)</f>
        <v>5.9356655385603245E-2</v>
      </c>
      <c r="N88" s="743"/>
      <c r="O88" s="763">
        <f>O27/(IS!O15*4)</f>
        <v>5.783385909568875E-2</v>
      </c>
      <c r="P88" s="764">
        <f>P27/(IS!P15*4)</f>
        <v>5.783385909568875E-2</v>
      </c>
      <c r="Q88" s="764">
        <f>Q27/(IS!Q15*4)</f>
        <v>5.783385909568875E-2</v>
      </c>
      <c r="R88" s="764">
        <f>R27/(IS!R15*4)</f>
        <v>5.7833859095688743E-2</v>
      </c>
      <c r="S88" s="765">
        <f>S27/(IS!S15)</f>
        <v>6.0209477578362681E-2</v>
      </c>
      <c r="T88" s="768"/>
      <c r="U88" s="763">
        <f>U27/(IS!U15*4)</f>
        <v>5.783385909568875E-2</v>
      </c>
      <c r="V88" s="764">
        <f>V27/(IS!V15*4)</f>
        <v>5.783385909568875E-2</v>
      </c>
      <c r="W88" s="764">
        <f>W27/(IS!W15*4)</f>
        <v>5.7833859095688757E-2</v>
      </c>
      <c r="X88" s="764">
        <f>X27/(IS!X15*4)</f>
        <v>5.7833859095688757E-2</v>
      </c>
      <c r="Y88" s="765">
        <f>Y27/(IS!Y15)</f>
        <v>7.1129602974393705E-2</v>
      </c>
      <c r="Z88" s="768"/>
      <c r="AA88" s="763">
        <f>AA27/(IS!AA15*4)</f>
        <v>5.7833859095688757E-2</v>
      </c>
      <c r="AB88" s="764">
        <f>AB27/(IS!AB15*4)</f>
        <v>5.783385909568875E-2</v>
      </c>
      <c r="AC88" s="764">
        <f>AC27/(IS!AC15*4)</f>
        <v>5.7833859095688743E-2</v>
      </c>
      <c r="AD88" s="764">
        <f>AD27/(IS!AD15*4)</f>
        <v>5.783385909568875E-2</v>
      </c>
      <c r="AE88" s="765">
        <f>AE27/(IS!AE15)</f>
        <v>5.9678765014602772E-2</v>
      </c>
      <c r="AF88" s="768"/>
      <c r="AG88" s="763">
        <f>AG27/(IS!AG15*4)</f>
        <v>5.7833859095688757E-2</v>
      </c>
      <c r="AH88" s="764">
        <f>AH27/(IS!AH15*4)</f>
        <v>5.7833859095688743E-2</v>
      </c>
      <c r="AI88" s="764">
        <f>AI27/(IS!AI15*4)</f>
        <v>5.7833859095688743E-2</v>
      </c>
      <c r="AJ88" s="764">
        <f>AJ27/(IS!AJ15*4)</f>
        <v>7.2655217965653898E-2</v>
      </c>
      <c r="AK88" s="765">
        <f>AK27/(IS!AK15)</f>
        <v>7.560137457044673E-2</v>
      </c>
      <c r="AL88" s="768"/>
      <c r="AM88" s="763">
        <f>AM27/(IS!AM15*4)</f>
        <v>6.1451135241855873E-2</v>
      </c>
      <c r="AN88" s="764">
        <f>AN27/(IS!AN15*4)</f>
        <v>6.1451135241855873E-2</v>
      </c>
      <c r="AO88" s="764">
        <f>AO27/(IS!AO15*4)</f>
        <v>6.1451135241855873E-2</v>
      </c>
      <c r="AP88" s="764">
        <f>AP27/(IS!AP15*4)</f>
        <v>7.8203517587939697E-2</v>
      </c>
      <c r="AQ88" s="765">
        <f>AQ27/(IS!AQ15)</f>
        <v>7.8747628083491464E-2</v>
      </c>
      <c r="AR88" s="768"/>
      <c r="AS88" s="763">
        <f>AS27/(IS!AS15*4)</f>
        <v>7.8834355828220862E-2</v>
      </c>
      <c r="AT88" s="764">
        <f t="shared" si="65"/>
        <v>7.8834355828220862E-2</v>
      </c>
      <c r="AU88" s="764">
        <f t="shared" si="65"/>
        <v>7.8834355828220862E-2</v>
      </c>
      <c r="AV88" s="764">
        <f>AV27/(IS!AV15*4)</f>
        <v>7.8250181480228595E-2</v>
      </c>
      <c r="AW88" s="765">
        <f>AW27/(IS!AW15)</f>
        <v>7.9146917988572416E-2</v>
      </c>
      <c r="AX88" s="768"/>
      <c r="AY88" s="763">
        <f>AY27/(IS!AY15*4)</f>
        <v>8.180984566778611E-2</v>
      </c>
      <c r="AZ88" s="764">
        <f>AZ27/(IS!AZ15*4)</f>
        <v>8.5338096311756761E-2</v>
      </c>
      <c r="BA88" s="764">
        <f>BA27/(IS!BA15*4)</f>
        <v>8.1343137892887357E-2</v>
      </c>
      <c r="BB88" s="764">
        <f>BB27/(IS!BB15*4)</f>
        <v>7.9435258417058507E-2</v>
      </c>
      <c r="BC88" s="765">
        <f>BC27/(IS!BC15)</f>
        <v>7.8902340004862598E-2</v>
      </c>
      <c r="BD88" s="768"/>
      <c r="BE88" s="763">
        <v>0.08</v>
      </c>
      <c r="BF88" s="764">
        <f>BF27/(IS!BF15*4)</f>
        <v>8.4662442648022737E-2</v>
      </c>
      <c r="BG88" s="764">
        <f>BG27/(IS!BG15*4)</f>
        <v>8.3816404222183769E-2</v>
      </c>
      <c r="BH88" s="2099">
        <f>BH27/(IS!BH15*4)</f>
        <v>7.7844234439284787E-2</v>
      </c>
      <c r="BI88" s="765">
        <f>BI27/(IS!BI15)</f>
        <v>8.0476114644298408E-2</v>
      </c>
      <c r="BJ88" s="768"/>
      <c r="BK88" s="763">
        <f>BK27/(IS!BK15*4)</f>
        <v>8.8590597663578532E-2</v>
      </c>
      <c r="BL88" s="764">
        <f>BL27/(IS!BL15*4)</f>
        <v>8.741522755839104E-2</v>
      </c>
      <c r="BM88" s="764">
        <f>BM27/(IS!BM15*4)</f>
        <v>8.5727250180824693E-2</v>
      </c>
      <c r="BN88" s="2099">
        <f>BN27/(IS!BN15*4)</f>
        <v>7.9475277453382689E-2</v>
      </c>
      <c r="BO88" s="765">
        <f>BO27/(IS!BO15)</f>
        <v>8.3195962314115982E-2</v>
      </c>
      <c r="BP88" s="768"/>
      <c r="BQ88" s="763">
        <f>BQ27/(IS!BQ15*4)</f>
        <v>8.5166906973540624E-2</v>
      </c>
      <c r="BR88" s="2036">
        <f t="shared" si="66"/>
        <v>8.741522755839104E-2</v>
      </c>
      <c r="BS88" s="2036">
        <f t="shared" si="66"/>
        <v>8.5727250180824693E-2</v>
      </c>
      <c r="BT88" s="2036">
        <f t="shared" si="66"/>
        <v>7.9475277453382689E-2</v>
      </c>
      <c r="BU88" s="765">
        <f>BU27/(IS!BU15)</f>
        <v>8.1912530620233265E-2</v>
      </c>
      <c r="BV88" s="768"/>
      <c r="BW88" s="2035">
        <f t="shared" si="67"/>
        <v>8.5166906973540624E-2</v>
      </c>
      <c r="BX88" s="2036">
        <f t="shared" si="67"/>
        <v>8.741522755839104E-2</v>
      </c>
      <c r="BY88" s="2036">
        <f t="shared" si="67"/>
        <v>8.5727250180824693E-2</v>
      </c>
      <c r="BZ88" s="2036">
        <f t="shared" si="67"/>
        <v>7.9475277453382689E-2</v>
      </c>
      <c r="CA88" s="765">
        <f>CA27/(IS!CA15)</f>
        <v>8.2264957899961591E-2</v>
      </c>
      <c r="CB88" s="760"/>
      <c r="CC88" s="2035">
        <f t="shared" si="68"/>
        <v>8.5166906973540624E-2</v>
      </c>
      <c r="CD88" s="2036">
        <f t="shared" si="68"/>
        <v>8.741522755839104E-2</v>
      </c>
      <c r="CE88" s="2036">
        <f t="shared" si="68"/>
        <v>8.5727250180824693E-2</v>
      </c>
      <c r="CF88" s="2036">
        <f t="shared" si="68"/>
        <v>7.9475277453382689E-2</v>
      </c>
      <c r="CG88" s="765">
        <f>CG27/(IS!CG15)</f>
        <v>8.2397928892022632E-2</v>
      </c>
      <c r="CH88" s="743"/>
      <c r="CI88" s="2035">
        <f t="shared" si="69"/>
        <v>8.5166906973540624E-2</v>
      </c>
      <c r="CJ88" s="2036">
        <f t="shared" si="70"/>
        <v>8.741522755839104E-2</v>
      </c>
      <c r="CK88" s="2036">
        <f t="shared" si="71"/>
        <v>8.5727250180824693E-2</v>
      </c>
      <c r="CL88" s="2036">
        <f t="shared" si="72"/>
        <v>7.9475277453382689E-2</v>
      </c>
      <c r="CM88" s="765">
        <f>CM27/(IS!CM15)</f>
        <v>8.255620498680856E-2</v>
      </c>
      <c r="CN88" s="743"/>
      <c r="CO88" s="743"/>
      <c r="CP88" s="6"/>
    </row>
    <row r="89" spans="1:94" ht="4.5" customHeight="1">
      <c r="A89" s="793"/>
      <c r="B89" s="743"/>
      <c r="C89" s="767"/>
      <c r="D89" s="767"/>
      <c r="E89" s="767"/>
      <c r="F89" s="767"/>
      <c r="G89" s="767"/>
      <c r="H89" s="743"/>
      <c r="I89" s="767"/>
      <c r="J89" s="767"/>
      <c r="K89" s="767"/>
      <c r="L89" s="767"/>
      <c r="M89" s="767"/>
      <c r="N89" s="743"/>
      <c r="O89" s="767"/>
      <c r="P89" s="767"/>
      <c r="Q89" s="767"/>
      <c r="R89" s="767"/>
      <c r="S89" s="767"/>
      <c r="T89" s="768"/>
      <c r="U89" s="767"/>
      <c r="V89" s="767"/>
      <c r="W89" s="767"/>
      <c r="X89" s="767"/>
      <c r="Y89" s="767"/>
      <c r="Z89" s="768"/>
      <c r="AA89" s="767"/>
      <c r="AB89" s="767"/>
      <c r="AC89" s="767"/>
      <c r="AD89" s="767"/>
      <c r="AE89" s="767"/>
      <c r="AF89" s="768"/>
      <c r="AG89" s="767"/>
      <c r="AH89" s="767"/>
      <c r="AI89" s="767"/>
      <c r="AJ89" s="767"/>
      <c r="AK89" s="767"/>
      <c r="AL89" s="768"/>
      <c r="AM89" s="767"/>
      <c r="AN89" s="767"/>
      <c r="AO89" s="767"/>
      <c r="AP89" s="767"/>
      <c r="AQ89" s="767"/>
      <c r="AR89" s="768"/>
      <c r="AS89" s="767"/>
      <c r="AT89" s="767"/>
      <c r="AU89" s="767"/>
      <c r="AV89" s="767"/>
      <c r="AW89" s="768"/>
      <c r="AX89" s="768"/>
      <c r="AY89" s="767"/>
      <c r="AZ89" s="767"/>
      <c r="BA89" s="767"/>
      <c r="BB89" s="767"/>
      <c r="BC89" s="768"/>
      <c r="BD89" s="768"/>
      <c r="BE89" s="767"/>
      <c r="BF89" s="767"/>
      <c r="BG89" s="767"/>
      <c r="BH89" s="767"/>
      <c r="BI89" s="768"/>
      <c r="BJ89" s="768"/>
      <c r="BK89" s="767"/>
      <c r="BL89" s="767"/>
      <c r="BM89" s="767"/>
      <c r="BN89" s="767"/>
      <c r="BO89" s="768"/>
      <c r="BP89" s="768"/>
      <c r="BQ89" s="767"/>
      <c r="BR89" s="767"/>
      <c r="BS89" s="767"/>
      <c r="BT89" s="767"/>
      <c r="BU89" s="768"/>
      <c r="BV89" s="768"/>
      <c r="BW89" s="767"/>
      <c r="BX89" s="767"/>
      <c r="BY89" s="767"/>
      <c r="BZ89" s="767"/>
      <c r="CA89" s="768"/>
      <c r="CB89" s="768"/>
      <c r="CC89" s="767"/>
      <c r="CD89" s="767"/>
      <c r="CE89" s="767"/>
      <c r="CF89" s="767"/>
      <c r="CG89" s="768"/>
      <c r="CH89" s="743"/>
      <c r="CI89" s="767"/>
      <c r="CJ89" s="767"/>
      <c r="CK89" s="767"/>
      <c r="CL89" s="767"/>
      <c r="CM89" s="768"/>
      <c r="CN89" s="743"/>
      <c r="CO89" s="743"/>
      <c r="CP89" s="6"/>
    </row>
    <row r="90" spans="1:94" ht="12.75" customHeight="1">
      <c r="A90" s="769" t="s">
        <v>320</v>
      </c>
      <c r="B90" s="738"/>
      <c r="C90" s="739"/>
      <c r="D90" s="740"/>
      <c r="E90" s="740"/>
      <c r="F90" s="740"/>
      <c r="G90" s="741"/>
      <c r="H90" s="738"/>
      <c r="I90" s="739"/>
      <c r="J90" s="740"/>
      <c r="K90" s="740"/>
      <c r="L90" s="740"/>
      <c r="M90" s="741"/>
      <c r="N90" s="738"/>
      <c r="O90" s="739"/>
      <c r="P90" s="740"/>
      <c r="Q90" s="740"/>
      <c r="R90" s="740"/>
      <c r="S90" s="741"/>
      <c r="T90" s="742"/>
      <c r="U90" s="739"/>
      <c r="V90" s="740"/>
      <c r="W90" s="740"/>
      <c r="X90" s="740"/>
      <c r="Y90" s="741"/>
      <c r="Z90" s="742"/>
      <c r="AA90" s="739"/>
      <c r="AB90" s="740"/>
      <c r="AC90" s="740"/>
      <c r="AD90" s="740"/>
      <c r="AE90" s="741"/>
      <c r="AF90" s="742"/>
      <c r="AG90" s="739"/>
      <c r="AH90" s="740"/>
      <c r="AI90" s="740"/>
      <c r="AJ90" s="740"/>
      <c r="AK90" s="741"/>
      <c r="AL90" s="742"/>
      <c r="AM90" s="739"/>
      <c r="AN90" s="740"/>
      <c r="AO90" s="740"/>
      <c r="AP90" s="740"/>
      <c r="AQ90" s="741"/>
      <c r="AR90" s="742"/>
      <c r="AS90" s="739"/>
      <c r="AT90" s="740"/>
      <c r="AU90" s="740"/>
      <c r="AV90" s="740"/>
      <c r="AW90" s="741"/>
      <c r="AX90" s="742"/>
      <c r="AY90" s="739"/>
      <c r="AZ90" s="740"/>
      <c r="BA90" s="740"/>
      <c r="BB90" s="740"/>
      <c r="BC90" s="741"/>
      <c r="BD90" s="742"/>
      <c r="BE90" s="739"/>
      <c r="BF90" s="740"/>
      <c r="BG90" s="740"/>
      <c r="BH90" s="740"/>
      <c r="BI90" s="741"/>
      <c r="BJ90" s="742"/>
      <c r="BK90" s="739"/>
      <c r="BL90" s="740"/>
      <c r="BM90" s="740"/>
      <c r="BN90" s="740"/>
      <c r="BO90" s="741"/>
      <c r="BP90" s="742"/>
      <c r="BQ90" s="739"/>
      <c r="BR90" s="740"/>
      <c r="BS90" s="740"/>
      <c r="BT90" s="740"/>
      <c r="BU90" s="741"/>
      <c r="BV90" s="742"/>
      <c r="BW90" s="739"/>
      <c r="BX90" s="740"/>
      <c r="BY90" s="740"/>
      <c r="BZ90" s="740"/>
      <c r="CA90" s="741"/>
      <c r="CB90" s="2125"/>
      <c r="CC90" s="739"/>
      <c r="CD90" s="740"/>
      <c r="CE90" s="740"/>
      <c r="CF90" s="740"/>
      <c r="CG90" s="741"/>
      <c r="CH90" s="743"/>
      <c r="CI90" s="739"/>
      <c r="CJ90" s="740"/>
      <c r="CK90" s="740"/>
      <c r="CL90" s="740"/>
      <c r="CM90" s="741"/>
      <c r="CN90" s="743"/>
      <c r="CO90" s="743"/>
      <c r="CP90" s="6"/>
    </row>
    <row r="91" spans="1:94" ht="12.75" customHeight="1">
      <c r="A91" s="800" t="s">
        <v>321</v>
      </c>
      <c r="B91" s="744"/>
      <c r="C91" s="745">
        <f>C97-SUM(C92:C96)</f>
        <v>2949.4017388377861</v>
      </c>
      <c r="D91" s="801">
        <f>C97</f>
        <v>3023.0628499488971</v>
      </c>
      <c r="E91" s="801">
        <f>D97</f>
        <v>2996.5770004480169</v>
      </c>
      <c r="F91" s="801">
        <f>E97</f>
        <v>2573.6278948439849</v>
      </c>
      <c r="G91" s="747">
        <f>C91</f>
        <v>2949.4017388377861</v>
      </c>
      <c r="H91" s="744"/>
      <c r="I91" s="802">
        <f>F97</f>
        <v>2631.9874342112689</v>
      </c>
      <c r="J91" s="801">
        <f>I97</f>
        <v>2098.5245447360612</v>
      </c>
      <c r="K91" s="801">
        <f>J97</f>
        <v>2166.4184434473432</v>
      </c>
      <c r="L91" s="801">
        <f>K97</f>
        <v>2150.5879377993406</v>
      </c>
      <c r="M91" s="747">
        <f>I91</f>
        <v>2631.9874342112689</v>
      </c>
      <c r="N91" s="744"/>
      <c r="O91" s="802">
        <f>L97</f>
        <v>1989.4664070630824</v>
      </c>
      <c r="P91" s="801">
        <f>O97</f>
        <v>1507.1838343979875</v>
      </c>
      <c r="Q91" s="801">
        <f>P97</f>
        <v>1514.7587315071132</v>
      </c>
      <c r="R91" s="801">
        <f>Q97</f>
        <v>1550.2741194586906</v>
      </c>
      <c r="S91" s="747">
        <f>O91</f>
        <v>1989.4664070630824</v>
      </c>
      <c r="T91" s="204"/>
      <c r="U91" s="802">
        <f>R97</f>
        <v>1643.6141481525196</v>
      </c>
      <c r="V91" s="801">
        <f>U97</f>
        <v>1657.7075471553976</v>
      </c>
      <c r="W91" s="801">
        <f>V97</f>
        <v>1815.2283161777927</v>
      </c>
      <c r="X91" s="801">
        <f>W97</f>
        <v>1842.8464401148144</v>
      </c>
      <c r="Y91" s="747">
        <f>U91</f>
        <v>1643.6141481525196</v>
      </c>
      <c r="Z91" s="204"/>
      <c r="AA91" s="745">
        <f>Y97</f>
        <v>2320.2757626697153</v>
      </c>
      <c r="AB91" s="746">
        <f>AA97</f>
        <v>2238.4865375147792</v>
      </c>
      <c r="AC91" s="746">
        <f>AB97</f>
        <v>2906.9225519865313</v>
      </c>
      <c r="AD91" s="801">
        <f>AC97</f>
        <v>3010.1520548647677</v>
      </c>
      <c r="AE91" s="748">
        <f>AA91</f>
        <v>2320.2757626697153</v>
      </c>
      <c r="AF91" s="204"/>
      <c r="AG91" s="745">
        <f>AE97</f>
        <v>3303.1843419876818</v>
      </c>
      <c r="AH91" s="746">
        <f>AG97</f>
        <v>3366.2524068544117</v>
      </c>
      <c r="AI91" s="746">
        <f>AH97</f>
        <v>3638.4936266393884</v>
      </c>
      <c r="AJ91" s="801">
        <f>AI97</f>
        <v>3608.3595784124277</v>
      </c>
      <c r="AK91" s="748">
        <f>AG91</f>
        <v>3303.1843419876818</v>
      </c>
      <c r="AL91" s="204"/>
      <c r="AM91" s="745">
        <f>AK97</f>
        <v>3877.0000000000005</v>
      </c>
      <c r="AN91" s="204">
        <f>AM97</f>
        <v>4106.1418996284929</v>
      </c>
      <c r="AO91" s="746">
        <f>AN97</f>
        <v>4131.6270314357735</v>
      </c>
      <c r="AP91" s="746">
        <f>AO97</f>
        <v>3549.5059255377005</v>
      </c>
      <c r="AQ91" s="748">
        <f>AM91</f>
        <v>3877.0000000000005</v>
      </c>
      <c r="AR91" s="204"/>
      <c r="AS91" s="701">
        <f>AQ97</f>
        <v>4041.0000000000005</v>
      </c>
      <c r="AT91" s="204">
        <f>AS97</f>
        <v>4245.0000000000009</v>
      </c>
      <c r="AU91" s="204">
        <f>AT97</f>
        <v>4361.0000000000009</v>
      </c>
      <c r="AV91" s="204">
        <f>AU97</f>
        <v>4296.0000000000009</v>
      </c>
      <c r="AW91" s="748">
        <f>AS91</f>
        <v>4041.0000000000005</v>
      </c>
      <c r="AX91" s="204"/>
      <c r="AY91" s="701">
        <f>AW97</f>
        <v>5298</v>
      </c>
      <c r="AZ91" s="204">
        <f>AY97</f>
        <v>4237</v>
      </c>
      <c r="BA91" s="204">
        <f>AZ97</f>
        <v>4158</v>
      </c>
      <c r="BB91" s="204">
        <f>BA97</f>
        <v>4103</v>
      </c>
      <c r="BC91" s="748">
        <f>AY91</f>
        <v>5298</v>
      </c>
      <c r="BD91" s="204"/>
      <c r="BE91" s="701">
        <f>BC97</f>
        <v>4167</v>
      </c>
      <c r="BF91" s="204">
        <f>BE97</f>
        <v>4045</v>
      </c>
      <c r="BG91" s="204">
        <f>BF97</f>
        <v>4162</v>
      </c>
      <c r="BH91" s="204">
        <f>BG97</f>
        <v>4343</v>
      </c>
      <c r="BI91" s="748">
        <f>BE91</f>
        <v>4167</v>
      </c>
      <c r="BJ91" s="204"/>
      <c r="BK91" s="701">
        <f>BI97</f>
        <v>4243</v>
      </c>
      <c r="BL91" s="204">
        <f>BK97</f>
        <v>4297</v>
      </c>
      <c r="BM91" s="204">
        <f>BL97</f>
        <v>4372</v>
      </c>
      <c r="BN91" s="204">
        <f>BM97</f>
        <v>4608</v>
      </c>
      <c r="BO91" s="748">
        <f>BK91</f>
        <v>4243</v>
      </c>
      <c r="BP91" s="204"/>
      <c r="BQ91" s="701">
        <f>BO97</f>
        <v>4826</v>
      </c>
      <c r="BR91" s="204">
        <f>BQ97</f>
        <v>4522</v>
      </c>
      <c r="BS91" s="204">
        <f>BR97</f>
        <v>4594.92824988747</v>
      </c>
      <c r="BT91" s="204">
        <f>BS97</f>
        <v>4659.8960819828226</v>
      </c>
      <c r="BU91" s="748">
        <f>BQ91</f>
        <v>4826</v>
      </c>
      <c r="BV91" s="204"/>
      <c r="BW91" s="701">
        <f>BU97</f>
        <v>4754.901467128022</v>
      </c>
      <c r="BX91" s="204">
        <f>BW97</f>
        <v>4860.5282437756714</v>
      </c>
      <c r="BY91" s="204">
        <f>BX97</f>
        <v>4968.3272715401608</v>
      </c>
      <c r="BZ91" s="204">
        <f>BY97</f>
        <v>5070.3454695865585</v>
      </c>
      <c r="CA91" s="748">
        <f>BW91</f>
        <v>4754.901467128022</v>
      </c>
      <c r="CB91" s="204"/>
      <c r="CC91" s="701">
        <f>CA97</f>
        <v>5205.6025124162006</v>
      </c>
      <c r="CD91" s="204">
        <f>CC97</f>
        <v>5338.4286924023017</v>
      </c>
      <c r="CE91" s="204">
        <f>CD97</f>
        <v>5541.7629467448078</v>
      </c>
      <c r="CF91" s="204">
        <f>CE97</f>
        <v>5744.0746619040274</v>
      </c>
      <c r="CG91" s="748">
        <f>CC91</f>
        <v>5205.6025124162006</v>
      </c>
      <c r="CH91" s="744"/>
      <c r="CI91" s="701">
        <f>CG97</f>
        <v>5986.5746047689809</v>
      </c>
      <c r="CJ91" s="204">
        <f>CI97</f>
        <v>6223.4609482355891</v>
      </c>
      <c r="CK91" s="204">
        <f>CJ97</f>
        <v>6389.0555057522515</v>
      </c>
      <c r="CL91" s="204">
        <f>CK97</f>
        <v>6550.9051124858806</v>
      </c>
      <c r="CM91" s="748">
        <f>CI91</f>
        <v>5986.5746047689809</v>
      </c>
      <c r="CN91" s="744"/>
      <c r="CO91" s="744"/>
      <c r="CP91" s="89"/>
    </row>
    <row r="92" spans="1:94" ht="12.75" hidden="1" customHeight="1" outlineLevel="1">
      <c r="A92" s="803" t="s">
        <v>322</v>
      </c>
      <c r="B92" s="495"/>
      <c r="C92" s="1555">
        <v>0</v>
      </c>
      <c r="D92" s="750">
        <f>(D38+D39+D40)-(C38+C39+C40)</f>
        <v>-278</v>
      </c>
      <c r="E92" s="750">
        <f>(E38+E39+E40)-(D38+D39+D40)</f>
        <v>-455</v>
      </c>
      <c r="F92" s="750">
        <f>(F38+F39+F40)-(E38+E39+E40)</f>
        <v>-565</v>
      </c>
      <c r="G92" s="703">
        <f>SUM(C92:F92)</f>
        <v>-1298</v>
      </c>
      <c r="H92" s="495"/>
      <c r="I92" s="749">
        <f>(I38+I39+I40)-(G38+G39+G40)</f>
        <v>-138</v>
      </c>
      <c r="J92" s="750">
        <f>(J38+J39+J40)-(I38+I39+I40)</f>
        <v>-228</v>
      </c>
      <c r="K92" s="750">
        <f>(K38+K39+K40)-(J38+J39+J40)</f>
        <v>-118</v>
      </c>
      <c r="L92" s="750">
        <f>(L38+L39+L40)-(K38+K39+K40)</f>
        <v>-224</v>
      </c>
      <c r="M92" s="703">
        <f>SUM(I92:L92)</f>
        <v>-708</v>
      </c>
      <c r="N92" s="495"/>
      <c r="O92" s="749">
        <f>(O38+O39+O40)-(M38+M39+M40)</f>
        <v>-76</v>
      </c>
      <c r="P92" s="750">
        <f>(P38+P39+P40)-(O38+O39+O40)</f>
        <v>-17</v>
      </c>
      <c r="Q92" s="750">
        <f>(Q38+Q39+Q40)-(P38+P39+P40)</f>
        <v>42</v>
      </c>
      <c r="R92" s="750">
        <f>(R38+R39+R40)-(Q38+Q39+Q40)</f>
        <v>36</v>
      </c>
      <c r="S92" s="703">
        <f>SUM(O92:R92)</f>
        <v>-15</v>
      </c>
      <c r="T92" s="705"/>
      <c r="U92" s="749">
        <f>(U38+U39+U40)-(S38+S39+S40)</f>
        <v>21</v>
      </c>
      <c r="V92" s="750">
        <f>(V38+V39+V40)-(U38+U39+U40)</f>
        <v>-36</v>
      </c>
      <c r="W92" s="750">
        <f>(W38+W39+W40)-(V38+V39+V40)</f>
        <v>-41</v>
      </c>
      <c r="X92" s="750">
        <f>(X38+X39+X40)-(W38+W39+W40)</f>
        <v>-3</v>
      </c>
      <c r="Y92" s="703">
        <f>SUM(U92:X92)</f>
        <v>-59</v>
      </c>
      <c r="Z92" s="705"/>
      <c r="AA92" s="749">
        <f>(AA38+AA39+AA40)-(Y38+Y39+Y40)</f>
        <v>-114</v>
      </c>
      <c r="AB92" s="750">
        <f>(AB38+AB39+AB40)-(AA38+AA39+AA40)</f>
        <v>80</v>
      </c>
      <c r="AC92" s="750">
        <f>(AC38+AC39+AC40)-(AB38+AB39+AB40)</f>
        <v>-84</v>
      </c>
      <c r="AD92" s="750">
        <f>(AD38+AD39+AD40)-(AC38+AC39+AC40)</f>
        <v>-18</v>
      </c>
      <c r="AE92" s="710">
        <f>SUM(AA92:AD92)</f>
        <v>-136</v>
      </c>
      <c r="AF92" s="705"/>
      <c r="AG92" s="749">
        <f>(AG38+AG39+AG40)-(AE38+AE39+AE40)</f>
        <v>22</v>
      </c>
      <c r="AH92" s="750">
        <f>(AH38+AH39+AH40)-(AG38+AG39+AG40)</f>
        <v>-10</v>
      </c>
      <c r="AI92" s="750">
        <f>(AI38+AI39+AI40)-(AH38+AH39+AH40)</f>
        <v>43</v>
      </c>
      <c r="AJ92" s="750">
        <f>(AJ38+AJ39+AJ40)-(AI38+AI39+AI40)</f>
        <v>-3</v>
      </c>
      <c r="AK92" s="710">
        <f>SUM(AG92:AJ92)</f>
        <v>52</v>
      </c>
      <c r="AL92" s="705"/>
      <c r="AM92" s="749">
        <f>(AM38+AM39+AM40)-(AK38+AK39+AK40)</f>
        <v>-6</v>
      </c>
      <c r="AN92" s="705">
        <f>(AN38+AN39+AN40)-(AM38+AM39+AM40)</f>
        <v>-106</v>
      </c>
      <c r="AO92" s="750">
        <f>(AO38+AO39+AO40)-(AN38+AN39+AN40)</f>
        <v>-617</v>
      </c>
      <c r="AP92" s="750">
        <f>(AP38+AP39+AP40)-(AO38+AO39+AO40)</f>
        <v>63</v>
      </c>
      <c r="AQ92" s="710">
        <f>SUM(AM92:AP92)</f>
        <v>-666</v>
      </c>
      <c r="AR92" s="705"/>
      <c r="AS92" s="706">
        <f>(AS38+AS39+AS40)-(AQ38+AQ39+AQ40)</f>
        <v>-3</v>
      </c>
      <c r="AT92" s="705">
        <f>(AT38+AT39+AT40)-(AS38+AS39+AS40)</f>
        <v>-9</v>
      </c>
      <c r="AU92" s="705">
        <f>(AU38+AU39+AU40)-(AT38+AT39+AT40)</f>
        <v>-13</v>
      </c>
      <c r="AV92" s="705">
        <f>(AV38+AV39+AV40)-(AU38+AU39+AU40)</f>
        <v>69</v>
      </c>
      <c r="AW92" s="710">
        <f>SUM(AS92:AV92)</f>
        <v>44</v>
      </c>
      <c r="AX92" s="705"/>
      <c r="AY92" s="706">
        <f>(AY38+AY39+AY40)-(AW38+AW39+AW40)</f>
        <v>-16</v>
      </c>
      <c r="AZ92" s="705">
        <f>(AZ38+AZ39+AZ40)-(AY38+AY39+AY40)</f>
        <v>-119</v>
      </c>
      <c r="BA92" s="705">
        <f>(BA38+BA39+BA40)-(AZ38+AZ39+AZ40)</f>
        <v>-70</v>
      </c>
      <c r="BB92" s="705">
        <f>(BB38+BB39+BB40)-(BA38+BA39+BA40)</f>
        <v>16</v>
      </c>
      <c r="BC92" s="710">
        <f>SUM(AY92:BB92)</f>
        <v>-189</v>
      </c>
      <c r="BD92" s="705"/>
      <c r="BE92" s="706">
        <f>(BE38+BE39+BE40)-(BC38+BC39+BC40)</f>
        <v>-160</v>
      </c>
      <c r="BF92" s="705">
        <f>(BF38+BF39+BF40)-(BE38+BE39+BE40)</f>
        <v>-76</v>
      </c>
      <c r="BG92" s="705">
        <f>(BG38+BG39+BG40)-(BF38+BF39+BF40)</f>
        <v>-53</v>
      </c>
      <c r="BH92" s="705">
        <f>(BH38+BH39+BH40)-(BG38+BG39+BG40)</f>
        <v>-31</v>
      </c>
      <c r="BI92" s="710">
        <f>SUM(BE92:BH92)</f>
        <v>-320</v>
      </c>
      <c r="BJ92" s="705"/>
      <c r="BK92" s="706">
        <f>(BK38+BK39+BK40)-(BI38+BI39+BI40)</f>
        <v>6582</v>
      </c>
      <c r="BL92" s="705">
        <f>(BL38+BL39+BL40)-(BK38+BK39+BK40)</f>
        <v>3</v>
      </c>
      <c r="BM92" s="705">
        <f>(BM38+BM39+BM40)-(BL38+BL39+BL40)</f>
        <v>43</v>
      </c>
      <c r="BN92" s="705">
        <f>(BN38+BN39+BN40)-(BM38+BM39+BM40)</f>
        <v>19</v>
      </c>
      <c r="BO92" s="710">
        <f>SUM(BK92:BN92)</f>
        <v>6647</v>
      </c>
      <c r="BP92" s="705"/>
      <c r="BQ92" s="706">
        <f>(BQ38+BQ39+BQ40)-(BO38+BO39+BO40)</f>
        <v>16</v>
      </c>
      <c r="BR92" s="705">
        <f>(BR38+BR39+BR40)-(BQ38+BQ39+BQ40)</f>
        <v>-95.359701416221469</v>
      </c>
      <c r="BS92" s="705">
        <f>(BS38+BS39+BS40)-(BR38+BR39+BR40)</f>
        <v>-95.386625011160504</v>
      </c>
      <c r="BT92" s="705">
        <f>(BT38+BT39+BT40)-(BS38+BS39+BS40)</f>
        <v>-94.864337516900378</v>
      </c>
      <c r="BU92" s="710">
        <f>SUM(BQ92:BT92)</f>
        <v>-269.61066394428235</v>
      </c>
      <c r="BV92" s="705"/>
      <c r="BW92" s="706">
        <f>(BW38+BW39+BW40)-(BU38+BU39+BU40)</f>
        <v>-69.293863955244888</v>
      </c>
      <c r="BX92" s="705">
        <f>(BX38+BX39+BX40)-(BW38+BW39+BW40)</f>
        <v>-86.853165435622941</v>
      </c>
      <c r="BY92" s="705">
        <f>(BY38+BY39+BY40)-(BX38+BX39+BX40)</f>
        <v>-86.681634423905052</v>
      </c>
      <c r="BZ92" s="705">
        <f>(BZ38+BZ39+BZ40)-(BY38+BY39+BY40)</f>
        <v>-86.167673541539443</v>
      </c>
      <c r="CA92" s="710">
        <f>SUM(BW92:BZ92)</f>
        <v>-328.99633735631232</v>
      </c>
      <c r="CB92" s="705"/>
      <c r="CC92" s="706">
        <f>(CC38+CC39+CC40)-(CA38+CA39+CA40)</f>
        <v>-68.952068361967576</v>
      </c>
      <c r="CD92" s="705">
        <f>(CD38+CD39+CD40)-(CC38+CC39+CC40)</f>
        <v>-87.399400499082731</v>
      </c>
      <c r="CE92" s="705">
        <f>(CE38+CE39+CE40)-(CD38+CD39+CD40)</f>
        <v>-87.072626375153959</v>
      </c>
      <c r="CF92" s="705">
        <f>(CF38+CF39+CF40)-(CE38+CE39+CE40)</f>
        <v>-86.592888764796044</v>
      </c>
      <c r="CG92" s="710">
        <f>SUM(CC92:CF92)</f>
        <v>-330.01698400100031</v>
      </c>
      <c r="CH92" s="495"/>
      <c r="CI92" s="706">
        <f>(CI38+CI39+CI40)-(CG38+CG39+CG40)</f>
        <v>-68.117866347411109</v>
      </c>
      <c r="CJ92" s="705">
        <f>(CJ38+CJ39+CJ40)-(CI38+CI39+CI40)</f>
        <v>-87.540177717782171</v>
      </c>
      <c r="CK92" s="705">
        <f>(CK38+CK39+CK40)-(CJ38+CJ39+CJ40)</f>
        <v>-87.012326194140769</v>
      </c>
      <c r="CL92" s="705">
        <f>(CL38+CL39+CL40)-(CK38+CK39+CK40)</f>
        <v>-86.582878748208714</v>
      </c>
      <c r="CM92" s="710">
        <f>SUM(CI92:CL92)</f>
        <v>-329.25324900754276</v>
      </c>
      <c r="CN92" s="495"/>
      <c r="CO92" s="495"/>
      <c r="CP92" s="64"/>
    </row>
    <row r="93" spans="1:94" ht="12.75" hidden="1" customHeight="1" outlineLevel="1">
      <c r="A93" s="803" t="s">
        <v>251</v>
      </c>
      <c r="B93" s="495"/>
      <c r="C93" s="804">
        <f>IS!C30</f>
        <v>73.661111111111111</v>
      </c>
      <c r="D93" s="804">
        <f>IS!D30</f>
        <v>57.661111111111111</v>
      </c>
      <c r="E93" s="804">
        <f>IS!E30</f>
        <v>69.661111111111111</v>
      </c>
      <c r="F93" s="804">
        <f>IS!F30</f>
        <v>80.8611111111111</v>
      </c>
      <c r="G93" s="703">
        <f>SUM(C93:F93)</f>
        <v>281.84444444444443</v>
      </c>
      <c r="H93" s="495"/>
      <c r="I93" s="805">
        <f>IS!I30</f>
        <v>70.256944444444457</v>
      </c>
      <c r="J93" s="804">
        <f>IS!J30</f>
        <v>59.856944444444444</v>
      </c>
      <c r="K93" s="804">
        <f>IS!K30</f>
        <v>77.456944444444446</v>
      </c>
      <c r="L93" s="804">
        <f>IS!L30</f>
        <v>106.25694444444446</v>
      </c>
      <c r="M93" s="703">
        <f>SUM(I93:L93)</f>
        <v>313.82777777777778</v>
      </c>
      <c r="N93" s="495"/>
      <c r="O93" s="805">
        <f>IS!O30</f>
        <v>68.990399999999994</v>
      </c>
      <c r="P93" s="804">
        <f>IS!P30</f>
        <v>54.260000000000034</v>
      </c>
      <c r="Q93" s="804">
        <f>IS!Q30</f>
        <v>53.144400000000047</v>
      </c>
      <c r="R93" s="804">
        <f>IS!R30</f>
        <v>71.635600000000011</v>
      </c>
      <c r="S93" s="703">
        <f>SUM(O93:R93)</f>
        <v>248.0304000000001</v>
      </c>
      <c r="T93" s="705"/>
      <c r="U93" s="805">
        <f>IS!U30</f>
        <v>82.674800000000005</v>
      </c>
      <c r="V93" s="804">
        <f>IS!V30</f>
        <v>70.430800000000005</v>
      </c>
      <c r="W93" s="804">
        <f>IS!W30</f>
        <v>67.391600000000011</v>
      </c>
      <c r="X93" s="804">
        <f>IS!X30</f>
        <v>79.925600000000031</v>
      </c>
      <c r="Y93" s="703">
        <f>SUM(U93:X93)</f>
        <v>300.42280000000005</v>
      </c>
      <c r="Z93" s="705"/>
      <c r="AA93" s="805">
        <f>IS!AA30</f>
        <v>50.271199999999951</v>
      </c>
      <c r="AB93" s="804">
        <f>IS!AB30</f>
        <v>71.365600000000001</v>
      </c>
      <c r="AC93" s="804">
        <f>IS!AC30</f>
        <v>76.53400000000002</v>
      </c>
      <c r="AD93" s="804">
        <f>IS!AD30</f>
        <v>95.182400000000058</v>
      </c>
      <c r="AE93" s="710">
        <f>SUM(AA93:AD93)</f>
        <v>293.35320000000002</v>
      </c>
      <c r="AF93" s="705"/>
      <c r="AG93" s="805">
        <f>IS!AG30</f>
        <v>95.174999999999997</v>
      </c>
      <c r="AH93" s="804">
        <f>IS!AH30</f>
        <v>79.275000000000006</v>
      </c>
      <c r="AI93" s="804">
        <f>IS!AI30</f>
        <v>24.975000000000009</v>
      </c>
      <c r="AJ93" s="804">
        <f>IS!AJ30</f>
        <v>50.174999999999983</v>
      </c>
      <c r="AK93" s="710">
        <f>SUM(AG93:AJ93)</f>
        <v>249.6</v>
      </c>
      <c r="AL93" s="705"/>
      <c r="AM93" s="805">
        <f>IS!AM30</f>
        <v>72.187500000000085</v>
      </c>
      <c r="AN93" s="804">
        <f>IS!AN30</f>
        <v>53.537499999999994</v>
      </c>
      <c r="AO93" s="804">
        <f>IS!AO30</f>
        <v>81.337500000000006</v>
      </c>
      <c r="AP93" s="804">
        <f>IS!AP30</f>
        <v>110.73749999999998</v>
      </c>
      <c r="AQ93" s="710">
        <f>SUM(AM93:AP93)</f>
        <v>317.80000000000007</v>
      </c>
      <c r="AR93" s="705"/>
      <c r="AS93" s="805">
        <f>IS!AS30</f>
        <v>194.44</v>
      </c>
      <c r="AT93" s="804">
        <f>IS!AT30</f>
        <v>40.23044000000003</v>
      </c>
      <c r="AU93" s="804">
        <f>IS!AU30</f>
        <v>64.346319999999992</v>
      </c>
      <c r="AV93" s="804">
        <f>IS!AV30</f>
        <v>-26.281959999999884</v>
      </c>
      <c r="AW93" s="710">
        <f>SUM(AS93:AV93)</f>
        <v>272.73480000000018</v>
      </c>
      <c r="AX93" s="705"/>
      <c r="AY93" s="805">
        <f>IS!AY30</f>
        <v>72.469000000000051</v>
      </c>
      <c r="AZ93" s="804">
        <f>IS!AZ30</f>
        <v>176.09900000000005</v>
      </c>
      <c r="BA93" s="804">
        <f>IS!BA30</f>
        <v>105.54899999999998</v>
      </c>
      <c r="BB93" s="804">
        <f>IS!BB30</f>
        <v>140.01800000000003</v>
      </c>
      <c r="BC93" s="710">
        <f>SUM(AY93:BB93)</f>
        <v>494.1350000000001</v>
      </c>
      <c r="BD93" s="705"/>
      <c r="BE93" s="805">
        <f>IS!BE30</f>
        <v>123.33400000000006</v>
      </c>
      <c r="BF93" s="804">
        <f>IS!BF30</f>
        <v>91.1400000000001</v>
      </c>
      <c r="BG93" s="804">
        <f>IS!BG30</f>
        <v>123.82399999999996</v>
      </c>
      <c r="BH93" s="804">
        <f>IS!BH30</f>
        <v>124.09529999999995</v>
      </c>
      <c r="BI93" s="710">
        <f>SUM(BE93:BH93)</f>
        <v>462.39330000000007</v>
      </c>
      <c r="BJ93" s="705"/>
      <c r="BK93" s="805">
        <f>IS!BK30</f>
        <v>170.23099999999999</v>
      </c>
      <c r="BL93" s="804">
        <f>IS!BL30</f>
        <v>164.16599999999994</v>
      </c>
      <c r="BM93" s="804">
        <f>IS!BM30</f>
        <v>175.21609999999998</v>
      </c>
      <c r="BN93" s="804">
        <f>IS!BN30</f>
        <v>177.62099999999998</v>
      </c>
      <c r="BO93" s="710">
        <f>SUM(BK93:BN93)</f>
        <v>687.2340999999999</v>
      </c>
      <c r="BP93" s="705"/>
      <c r="BQ93" s="805">
        <f>IS!BQ30</f>
        <v>-321.26740000000007</v>
      </c>
      <c r="BR93" s="804">
        <f>IS!BR30</f>
        <v>216.28795130369159</v>
      </c>
      <c r="BS93" s="804">
        <f>IS!BS30</f>
        <v>208.354457106513</v>
      </c>
      <c r="BT93" s="804">
        <f>IS!BT30</f>
        <v>237.86972266210014</v>
      </c>
      <c r="BU93" s="710">
        <f>SUM(BQ93:BT93)</f>
        <v>341.24473107230466</v>
      </c>
      <c r="BV93" s="705"/>
      <c r="BW93" s="805">
        <f>IS!BW30</f>
        <v>225.32064060289352</v>
      </c>
      <c r="BX93" s="804">
        <f>IS!BX30</f>
        <v>245.05219320011221</v>
      </c>
      <c r="BY93" s="804">
        <f>IS!BY30</f>
        <v>239.09983247030257</v>
      </c>
      <c r="BZ93" s="804">
        <f>IS!BZ30</f>
        <v>271.82471637118323</v>
      </c>
      <c r="CA93" s="710">
        <f>SUM(BW93:BZ93)</f>
        <v>981.29738264449156</v>
      </c>
      <c r="CB93" s="705"/>
      <c r="CC93" s="805">
        <f>IS!CC30</f>
        <v>254.69824834806846</v>
      </c>
      <c r="CD93" s="804">
        <f>IS!CD30</f>
        <v>343.65365484158929</v>
      </c>
      <c r="CE93" s="804">
        <f>IS!CE30</f>
        <v>342.30434153437335</v>
      </c>
      <c r="CF93" s="804">
        <f>IS!CF30</f>
        <v>382.01283162974988</v>
      </c>
      <c r="CG93" s="710">
        <f>SUM(CC93:CF93)</f>
        <v>1322.6690763537808</v>
      </c>
      <c r="CH93" s="495"/>
      <c r="CI93" s="805">
        <f>IS!CI30</f>
        <v>360.57020981401939</v>
      </c>
      <c r="CJ93" s="804">
        <f>IS!CJ30</f>
        <v>308.70073523444461</v>
      </c>
      <c r="CK93" s="804">
        <f>IS!CK30</f>
        <v>304.42793292776958</v>
      </c>
      <c r="CL93" s="804">
        <f>IS!CL30</f>
        <v>341.83627337788027</v>
      </c>
      <c r="CM93" s="710">
        <f>SUM(CI93:CL93)</f>
        <v>1315.5351513541139</v>
      </c>
      <c r="CN93" s="495"/>
      <c r="CO93" s="495"/>
      <c r="CP93" s="64"/>
    </row>
    <row r="94" spans="1:94" ht="12.75" hidden="1" customHeight="1" outlineLevel="1">
      <c r="A94" s="803" t="s">
        <v>323</v>
      </c>
      <c r="B94" s="495"/>
      <c r="C94" s="1574">
        <f>CF!C54</f>
        <v>0</v>
      </c>
      <c r="D94" s="1574">
        <f>CF!D54</f>
        <v>0</v>
      </c>
      <c r="E94" s="1574">
        <f>CF!E54</f>
        <v>0</v>
      </c>
      <c r="F94" s="1574">
        <f>CF!F54</f>
        <v>0</v>
      </c>
      <c r="G94" s="703">
        <f>SUM(C94:F94)</f>
        <v>0</v>
      </c>
      <c r="H94" s="495"/>
      <c r="I94" s="1721">
        <f>CF!I54</f>
        <v>0</v>
      </c>
      <c r="J94" s="1574">
        <f>CF!J54</f>
        <v>0</v>
      </c>
      <c r="K94" s="1574">
        <f>CF!K54</f>
        <v>0</v>
      </c>
      <c r="L94" s="804">
        <f>CF!L54</f>
        <v>0</v>
      </c>
      <c r="M94" s="703">
        <f>SUM(I94:L94)</f>
        <v>0</v>
      </c>
      <c r="N94" s="495"/>
      <c r="O94" s="1721">
        <f>CF!O54</f>
        <v>0</v>
      </c>
      <c r="P94" s="1574">
        <f>CF!P54</f>
        <v>0</v>
      </c>
      <c r="Q94" s="1574">
        <f>CF!Q54</f>
        <v>0</v>
      </c>
      <c r="R94" s="804">
        <f>CF!R54</f>
        <v>0</v>
      </c>
      <c r="S94" s="703">
        <f>SUM(O94:R94)</f>
        <v>0</v>
      </c>
      <c r="T94" s="705"/>
      <c r="U94" s="1721">
        <f>CF!U54</f>
        <v>0</v>
      </c>
      <c r="V94" s="1574">
        <f>CF!V54</f>
        <v>0</v>
      </c>
      <c r="W94" s="1574">
        <f>CF!W54</f>
        <v>0</v>
      </c>
      <c r="X94" s="804">
        <f>CF!X54</f>
        <v>0</v>
      </c>
      <c r="Y94" s="703">
        <f>SUM(U94:X94)</f>
        <v>0</v>
      </c>
      <c r="Z94" s="705"/>
      <c r="AA94" s="1721">
        <f>CF!AA54</f>
        <v>0</v>
      </c>
      <c r="AB94" s="1574">
        <f>CF!AB54</f>
        <v>0</v>
      </c>
      <c r="AC94" s="1574">
        <f>CF!AC54</f>
        <v>0</v>
      </c>
      <c r="AD94" s="1574">
        <f>CF!AD54</f>
        <v>0</v>
      </c>
      <c r="AE94" s="710">
        <f>SUM(AA94:AD94)</f>
        <v>0</v>
      </c>
      <c r="AF94" s="705"/>
      <c r="AG94" s="1721">
        <f>CF!AG54</f>
        <v>0</v>
      </c>
      <c r="AH94" s="1574">
        <f>CF!AH54</f>
        <v>0</v>
      </c>
      <c r="AI94" s="1574">
        <f>CF!AI54</f>
        <v>0</v>
      </c>
      <c r="AJ94" s="1574">
        <f>CF!AJ54</f>
        <v>0</v>
      </c>
      <c r="AK94" s="710">
        <f>SUM(AG94:AJ94)</f>
        <v>0</v>
      </c>
      <c r="AL94" s="705"/>
      <c r="AM94" s="1721">
        <f>CF!AM54</f>
        <v>0</v>
      </c>
      <c r="AN94" s="1574">
        <f>CF!AN54</f>
        <v>0</v>
      </c>
      <c r="AO94" s="1574">
        <f>CF!AO54</f>
        <v>0</v>
      </c>
      <c r="AP94" s="1574">
        <f>CF!AP54</f>
        <v>0</v>
      </c>
      <c r="AQ94" s="710">
        <f>SUM(AM94:AP94)</f>
        <v>0</v>
      </c>
      <c r="AR94" s="705"/>
      <c r="AS94" s="1721">
        <f>CF!AS54</f>
        <v>-44</v>
      </c>
      <c r="AT94" s="1574">
        <f>CF!AT54</f>
        <v>-44</v>
      </c>
      <c r="AU94" s="1574">
        <f>CF!AU54</f>
        <v>-44</v>
      </c>
      <c r="AV94" s="1722">
        <f>CF!AV54</f>
        <v>-44.088000000000001</v>
      </c>
      <c r="AW94" s="710">
        <f>SUM(AS94:AV94)</f>
        <v>-176.08799999999999</v>
      </c>
      <c r="AX94" s="705"/>
      <c r="AY94" s="1721">
        <f>CF!AY54</f>
        <v>-34</v>
      </c>
      <c r="AZ94" s="1574">
        <f>CF!AZ54</f>
        <v>-33</v>
      </c>
      <c r="BA94" s="1574">
        <f>CF!BA54</f>
        <v>-33</v>
      </c>
      <c r="BB94" s="1722">
        <f>CF!BB54</f>
        <v>-33</v>
      </c>
      <c r="BC94" s="710">
        <f>SUM(AY94:BB94)</f>
        <v>-133</v>
      </c>
      <c r="BD94" s="705"/>
      <c r="BE94" s="1721">
        <f>CF!BE54</f>
        <v>-38</v>
      </c>
      <c r="BF94" s="1574">
        <f>CF!BF54</f>
        <v>-37</v>
      </c>
      <c r="BG94" s="1574">
        <f>CF!BG54</f>
        <v>-37</v>
      </c>
      <c r="BH94" s="1722">
        <f>CF!BH54</f>
        <v>-38</v>
      </c>
      <c r="BI94" s="710">
        <f>SUM(BE94:BH94)</f>
        <v>-150</v>
      </c>
      <c r="BJ94" s="705"/>
      <c r="BK94" s="1721">
        <f>CF!BK54</f>
        <v>-42</v>
      </c>
      <c r="BL94" s="1574">
        <f>CF!BL54</f>
        <v>-43</v>
      </c>
      <c r="BM94" s="1574">
        <f>CF!BM54</f>
        <v>-42</v>
      </c>
      <c r="BN94" s="1722">
        <f>CF!BN54</f>
        <v>-43</v>
      </c>
      <c r="BO94" s="710">
        <f>SUM(BK94:BN94)</f>
        <v>-170</v>
      </c>
      <c r="BP94" s="705"/>
      <c r="BQ94" s="1721">
        <f>CF!BQ54</f>
        <v>-48</v>
      </c>
      <c r="BR94" s="1574">
        <f>CF!BR54</f>
        <v>-48</v>
      </c>
      <c r="BS94" s="1574">
        <f>CF!BS54</f>
        <v>-48</v>
      </c>
      <c r="BT94" s="1722">
        <f>CF!BT54</f>
        <v>-48</v>
      </c>
      <c r="BU94" s="710">
        <f>SUM(BQ94:BT94)</f>
        <v>-192</v>
      </c>
      <c r="BV94" s="705"/>
      <c r="BW94" s="1721">
        <f>CF!BW54</f>
        <v>-50.400000000000006</v>
      </c>
      <c r="BX94" s="1574">
        <f>CF!BX54</f>
        <v>-50.400000000000006</v>
      </c>
      <c r="BY94" s="1574">
        <f>CF!BY54</f>
        <v>-50.400000000000006</v>
      </c>
      <c r="BZ94" s="1722">
        <f>CF!BZ54</f>
        <v>-50.400000000000006</v>
      </c>
      <c r="CA94" s="710">
        <f>SUM(BW94:BZ94)</f>
        <v>-201.60000000000002</v>
      </c>
      <c r="CB94" s="705"/>
      <c r="CC94" s="1721">
        <f>CF!CC54</f>
        <v>-52.920000000000009</v>
      </c>
      <c r="CD94" s="1574">
        <f>CF!CD54</f>
        <v>-52.920000000000009</v>
      </c>
      <c r="CE94" s="1574">
        <f>CF!CE54</f>
        <v>-52.920000000000009</v>
      </c>
      <c r="CF94" s="1722">
        <f>CF!CF54</f>
        <v>-52.920000000000009</v>
      </c>
      <c r="CG94" s="710">
        <f>SUM(CC94:CF94)</f>
        <v>-211.68000000000004</v>
      </c>
      <c r="CH94" s="495"/>
      <c r="CI94" s="1721">
        <f>CF!CI54</f>
        <v>-55.56600000000001</v>
      </c>
      <c r="CJ94" s="1574">
        <f>CF!CJ54</f>
        <v>-55.56600000000001</v>
      </c>
      <c r="CK94" s="1574">
        <f>CF!CK54</f>
        <v>-55.56600000000001</v>
      </c>
      <c r="CL94" s="1722">
        <f>CF!CL54</f>
        <v>-55.56600000000001</v>
      </c>
      <c r="CM94" s="710">
        <f>SUM(CI94:CL94)</f>
        <v>-222.26400000000004</v>
      </c>
      <c r="CN94" s="495"/>
      <c r="CO94" s="495"/>
      <c r="CP94" s="64"/>
    </row>
    <row r="95" spans="1:94" ht="12.75" hidden="1" customHeight="1" outlineLevel="1">
      <c r="A95" s="803" t="s">
        <v>324</v>
      </c>
      <c r="B95" s="495"/>
      <c r="C95" s="1555">
        <v>0</v>
      </c>
      <c r="D95" s="750">
        <f>D42-C42</f>
        <v>26.5</v>
      </c>
      <c r="E95" s="750">
        <f>E42-D42</f>
        <v>1.5</v>
      </c>
      <c r="F95" s="750">
        <f>F42-E42</f>
        <v>165.5</v>
      </c>
      <c r="G95" s="703">
        <f>SUM(C95:F95)</f>
        <v>193.5</v>
      </c>
      <c r="H95" s="495"/>
      <c r="I95" s="749">
        <f>I42-G42</f>
        <v>15.5</v>
      </c>
      <c r="J95" s="750">
        <f>J42-I42</f>
        <v>19</v>
      </c>
      <c r="K95" s="750">
        <f>K42-J42</f>
        <v>-11</v>
      </c>
      <c r="L95" s="750">
        <f>L42-K42</f>
        <v>-316.5</v>
      </c>
      <c r="M95" s="703">
        <f>SUM(I95:L95)</f>
        <v>-293</v>
      </c>
      <c r="N95" s="495"/>
      <c r="O95" s="749">
        <f>O42-M42</f>
        <v>12</v>
      </c>
      <c r="P95" s="750">
        <f>P42-O42</f>
        <v>-17</v>
      </c>
      <c r="Q95" s="750">
        <f>Q42-P42</f>
        <v>23.5</v>
      </c>
      <c r="R95" s="750">
        <f>R42-Q42</f>
        <v>-22</v>
      </c>
      <c r="S95" s="703">
        <f>SUM(O95:R95)</f>
        <v>-3.5</v>
      </c>
      <c r="T95" s="705"/>
      <c r="U95" s="749">
        <f>U42-S42</f>
        <v>-8</v>
      </c>
      <c r="V95" s="750">
        <f>V42-U42</f>
        <v>-19</v>
      </c>
      <c r="W95" s="750">
        <f>W42-V42</f>
        <v>7</v>
      </c>
      <c r="X95" s="750">
        <f>X42-W42</f>
        <v>68.5</v>
      </c>
      <c r="Y95" s="703">
        <f>SUM(U95:X95)</f>
        <v>48.5</v>
      </c>
      <c r="Z95" s="705"/>
      <c r="AA95" s="749">
        <f>AA42-Y42</f>
        <v>12.5</v>
      </c>
      <c r="AB95" s="750">
        <f>AB42-AA42</f>
        <v>170.5</v>
      </c>
      <c r="AC95" s="750">
        <f>AC42-AB42</f>
        <v>-3.5</v>
      </c>
      <c r="AD95" s="750">
        <f>AD42-AC42</f>
        <v>-77.5</v>
      </c>
      <c r="AE95" s="710">
        <f>SUM(AA95:AD95)</f>
        <v>102</v>
      </c>
      <c r="AF95" s="705"/>
      <c r="AG95" s="749">
        <f>AG42-AE42</f>
        <v>108.16216216216216</v>
      </c>
      <c r="AH95" s="750">
        <f>AH42-AG42</f>
        <v>-36.288288288288271</v>
      </c>
      <c r="AI95" s="750">
        <f>AI42-AH42</f>
        <v>-196.72072072072075</v>
      </c>
      <c r="AJ95" s="750">
        <f>AJ42-AI42</f>
        <v>-145.15315315315314</v>
      </c>
      <c r="AK95" s="710">
        <f>SUM(AG95:AJ95)</f>
        <v>-270</v>
      </c>
      <c r="AL95" s="705"/>
      <c r="AM95" s="749">
        <f>AM42-AK42</f>
        <v>184.96703296703296</v>
      </c>
      <c r="AN95" s="705">
        <f>AN42-AM42</f>
        <v>-68.571428571428569</v>
      </c>
      <c r="AO95" s="750">
        <f>AO42-AN42</f>
        <v>-18.461538461538453</v>
      </c>
      <c r="AP95" s="750">
        <f>AP42-AO42</f>
        <v>174.06593406593407</v>
      </c>
      <c r="AQ95" s="710">
        <f>SUM(AM95:AP95)</f>
        <v>272</v>
      </c>
      <c r="AR95" s="705"/>
      <c r="AS95" s="706">
        <f>AS42-AQ42</f>
        <v>-41</v>
      </c>
      <c r="AT95" s="705">
        <f>AT42-AS42</f>
        <v>93</v>
      </c>
      <c r="AU95" s="705">
        <f>AU42-AT42</f>
        <v>-82</v>
      </c>
      <c r="AV95" s="705">
        <f>AV42-AU42</f>
        <v>-364</v>
      </c>
      <c r="AW95" s="710">
        <f>SUM(AS95:AV95)</f>
        <v>-394</v>
      </c>
      <c r="AX95" s="705"/>
      <c r="AY95" s="706">
        <f>AY42-AW42</f>
        <v>73</v>
      </c>
      <c r="AZ95" s="705">
        <f>AZ42-AY42</f>
        <v>-9</v>
      </c>
      <c r="BA95" s="705">
        <f>BA42-AZ42</f>
        <v>-62</v>
      </c>
      <c r="BB95" s="705">
        <f>BB42-BA42</f>
        <v>-59</v>
      </c>
      <c r="BC95" s="710">
        <f>SUM(AY95:BB95)</f>
        <v>-57</v>
      </c>
      <c r="BD95" s="705"/>
      <c r="BE95" s="706">
        <f>BE42-BC42</f>
        <v>-47</v>
      </c>
      <c r="BF95" s="705">
        <f>BF42-BE42</f>
        <v>139</v>
      </c>
      <c r="BG95" s="705">
        <f>BG42-BF42</f>
        <v>-46</v>
      </c>
      <c r="BH95" s="705">
        <f>BH42-BG42</f>
        <v>-158</v>
      </c>
      <c r="BI95" s="710">
        <f>SUM(BE95:BH95)</f>
        <v>-112</v>
      </c>
      <c r="BJ95" s="705"/>
      <c r="BK95" s="706">
        <f>BK42-BI42</f>
        <v>14</v>
      </c>
      <c r="BL95" s="705">
        <f>BL42-BK42</f>
        <v>96</v>
      </c>
      <c r="BM95" s="705">
        <f>BM42-BL42</f>
        <v>-24</v>
      </c>
      <c r="BN95" s="705">
        <f>BN42-BM42</f>
        <v>65</v>
      </c>
      <c r="BO95" s="710">
        <f>SUM(BK95:BN95)</f>
        <v>151</v>
      </c>
      <c r="BP95" s="705"/>
      <c r="BQ95" s="706">
        <f>BQ42-BO42</f>
        <v>83</v>
      </c>
      <c r="BR95" s="705">
        <f>BR42-BQ42</f>
        <v>0</v>
      </c>
      <c r="BS95" s="705">
        <f>BS42-BR42</f>
        <v>0</v>
      </c>
      <c r="BT95" s="705">
        <f>BT42-BS42</f>
        <v>0</v>
      </c>
      <c r="BU95" s="710">
        <f>SUM(BQ95:BT95)</f>
        <v>83</v>
      </c>
      <c r="BV95" s="705"/>
      <c r="BW95" s="706">
        <f>BW42-BU42</f>
        <v>0</v>
      </c>
      <c r="BX95" s="705">
        <f>BX42-BW42</f>
        <v>0</v>
      </c>
      <c r="BY95" s="705">
        <f>BY42-BX42</f>
        <v>0</v>
      </c>
      <c r="BZ95" s="705">
        <f>BZ42-BY42</f>
        <v>0</v>
      </c>
      <c r="CA95" s="710">
        <f>SUM(BW95:BZ95)</f>
        <v>0</v>
      </c>
      <c r="CB95" s="705"/>
      <c r="CC95" s="706">
        <f>CC42-CA42</f>
        <v>0</v>
      </c>
      <c r="CD95" s="705">
        <f>CD42-CC42</f>
        <v>0</v>
      </c>
      <c r="CE95" s="705">
        <f>CE42-CD42</f>
        <v>0</v>
      </c>
      <c r="CF95" s="705">
        <f>CF42-CE42</f>
        <v>0</v>
      </c>
      <c r="CG95" s="710">
        <f>SUM(CC95:CF95)</f>
        <v>0</v>
      </c>
      <c r="CH95" s="495"/>
      <c r="CI95" s="706">
        <f>CI42-CG42</f>
        <v>0</v>
      </c>
      <c r="CJ95" s="705">
        <f>CJ42-CI42</f>
        <v>0</v>
      </c>
      <c r="CK95" s="705">
        <f>CK42-CJ42</f>
        <v>0</v>
      </c>
      <c r="CL95" s="705">
        <f>CL42-CK42</f>
        <v>0</v>
      </c>
      <c r="CM95" s="710">
        <f>SUM(CI95:CL95)</f>
        <v>0</v>
      </c>
      <c r="CN95" s="495"/>
      <c r="CO95" s="495"/>
      <c r="CP95" s="64"/>
    </row>
    <row r="96" spans="1:94" ht="12.75" hidden="1" customHeight="1" outlineLevel="1">
      <c r="A96" s="803" t="s">
        <v>325</v>
      </c>
      <c r="B96" s="495"/>
      <c r="C96" s="1555">
        <v>0</v>
      </c>
      <c r="D96" s="750">
        <f>D41-C41-D93-D94</f>
        <v>167.35303938800865</v>
      </c>
      <c r="E96" s="750">
        <f>E41-D41-E93-E94</f>
        <v>-39.110216715143068</v>
      </c>
      <c r="F96" s="750">
        <f>F41-E41-F93-F94</f>
        <v>376.99842825617247</v>
      </c>
      <c r="G96" s="703">
        <f>SUM(C96:F96)</f>
        <v>505.24125092903807</v>
      </c>
      <c r="H96" s="495"/>
      <c r="I96" s="749">
        <f>I41-G41-I93-I94</f>
        <v>-481.21983391965216</v>
      </c>
      <c r="J96" s="750">
        <f>J41-I41-J93-J94</f>
        <v>217.03695426683751</v>
      </c>
      <c r="K96" s="750">
        <f>K41-J41-K93-K94</f>
        <v>35.712549907552955</v>
      </c>
      <c r="L96" s="750">
        <f>L41-K41-L93-L94</f>
        <v>273.12152481929741</v>
      </c>
      <c r="M96" s="703">
        <f>SUM(I96:L96)</f>
        <v>44.651195074035684</v>
      </c>
      <c r="N96" s="495"/>
      <c r="O96" s="749">
        <f>O41-M41-O93-O94</f>
        <v>-487.27297266509493</v>
      </c>
      <c r="P96" s="750">
        <f>P41-O41-P93-P94</f>
        <v>-12.685102890874347</v>
      </c>
      <c r="Q96" s="750">
        <f>Q41-P41-Q93-Q94</f>
        <v>-83.129012048422652</v>
      </c>
      <c r="R96" s="750">
        <f>R41-Q41-R93-R94</f>
        <v>7.7044286938290156</v>
      </c>
      <c r="S96" s="703">
        <f>SUM(O96:R96)</f>
        <v>-575.3826589105629</v>
      </c>
      <c r="T96" s="705"/>
      <c r="U96" s="749">
        <f>U41-S41-U93-U94</f>
        <v>-81.581400997122046</v>
      </c>
      <c r="V96" s="750">
        <f>V41-U41-V93-V94</f>
        <v>142.08996902239514</v>
      </c>
      <c r="W96" s="750">
        <f>W41-V41-W93-W94</f>
        <v>-5.7734760629783466</v>
      </c>
      <c r="X96" s="750">
        <f>X41-W41-X93-X94</f>
        <v>332.00372255490083</v>
      </c>
      <c r="Y96" s="703">
        <f>SUM(U96:X96)</f>
        <v>386.73881451719558</v>
      </c>
      <c r="Z96" s="705"/>
      <c r="AA96" s="749">
        <f>AA41-Y41-AA93-AA94</f>
        <v>-30.560425154935999</v>
      </c>
      <c r="AB96" s="750">
        <f>AB41-AA41-AB93-AB94</f>
        <v>346.57041447175209</v>
      </c>
      <c r="AC96" s="750">
        <f>AC41-AB41-AC93-AC94</f>
        <v>114.1955028782364</v>
      </c>
      <c r="AD96" s="750">
        <f>AD41-AC41-AD93-AD94</f>
        <v>293.34988712291408</v>
      </c>
      <c r="AE96" s="710">
        <f>SUM(AA96:AD96)</f>
        <v>723.55537931796653</v>
      </c>
      <c r="AF96" s="705"/>
      <c r="AG96" s="749">
        <f>AG41-AE41-AG93-AG94</f>
        <v>-162.26909729543223</v>
      </c>
      <c r="AH96" s="750">
        <f>AH41-AG41-AH93-AH94</f>
        <v>239.25450807326487</v>
      </c>
      <c r="AI96" s="750">
        <f>AI41-AH41-AI93-AI94</f>
        <v>98.611672493760025</v>
      </c>
      <c r="AJ96" s="750">
        <f>AJ41-AI41-AJ93-AJ94</f>
        <v>366.61857474072599</v>
      </c>
      <c r="AK96" s="710">
        <f>SUM(AG96:AJ96)</f>
        <v>542.21565801231873</v>
      </c>
      <c r="AL96" s="705"/>
      <c r="AM96" s="749">
        <f>AM41-AK41-AM93-AM94</f>
        <v>-22.012633338540667</v>
      </c>
      <c r="AN96" s="705">
        <f>AN41-AM41-AN93-AN94</f>
        <v>146.51906037870904</v>
      </c>
      <c r="AO96" s="750">
        <f>AO41-AN41-AO93-AO94</f>
        <v>-27.997067436534422</v>
      </c>
      <c r="AP96" s="750">
        <f>AP41-AO41-AP93-AP94</f>
        <v>143.69064039636598</v>
      </c>
      <c r="AQ96" s="710">
        <f>SUM(AM96:AP96)</f>
        <v>240.19999999999993</v>
      </c>
      <c r="AR96" s="705"/>
      <c r="AS96" s="706">
        <f>AS41-AQ41-AS93-AS94</f>
        <v>97.56</v>
      </c>
      <c r="AT96" s="705">
        <f>AT41-AS41-AT93-AT94</f>
        <v>35.76955999999997</v>
      </c>
      <c r="AU96" s="705">
        <f>AU41-AT41-AU93-AU94</f>
        <v>9.6536800000000085</v>
      </c>
      <c r="AV96" s="705">
        <f>AV41-AU41-AV93-AV94</f>
        <v>1367.3699599999998</v>
      </c>
      <c r="AW96" s="710">
        <f>SUM(AS96:AV96)</f>
        <v>1510.3531999999998</v>
      </c>
      <c r="AX96" s="705"/>
      <c r="AY96" s="706">
        <f>AY41-AW41-AY93-AY94</f>
        <v>-1156.4690000000001</v>
      </c>
      <c r="AZ96" s="705">
        <f>AZ41-AY41-AZ93-AZ94</f>
        <v>-94.099000000000046</v>
      </c>
      <c r="BA96" s="705">
        <f>BA41-AZ41-BA93-BA94</f>
        <v>4.4510000000000218</v>
      </c>
      <c r="BB96" s="705">
        <f>BB41-BA41-BB93-BB94</f>
        <v>-1.8000000000029104E-2</v>
      </c>
      <c r="BC96" s="710">
        <f>SUM(AY96:BB96)</f>
        <v>-1246.1350000000002</v>
      </c>
      <c r="BD96" s="705"/>
      <c r="BE96" s="706">
        <f>BE41-BC41-BE93-BE94</f>
        <v>-0.33400000000006003</v>
      </c>
      <c r="BF96" s="705">
        <f>BF41-BE41-BF93-BF94</f>
        <v>-0.14000000000010004</v>
      </c>
      <c r="BG96" s="705">
        <f>BG41-BF41-BG93-BG94</f>
        <v>193.17600000000004</v>
      </c>
      <c r="BH96" s="705">
        <f>BH41-BG41-BH93-BH94</f>
        <v>2.904700000000048</v>
      </c>
      <c r="BI96" s="710">
        <f>SUM(BE96:BH96)</f>
        <v>195.60669999999993</v>
      </c>
      <c r="BJ96" s="705"/>
      <c r="BK96" s="706">
        <f>BK41-BI41-BK93-BK94</f>
        <v>-6670.2309999999998</v>
      </c>
      <c r="BL96" s="705">
        <f>BL41-BK41-BL93-BL94</f>
        <v>-145.16599999999994</v>
      </c>
      <c r="BM96" s="705">
        <f>BM41-BL41-BM93-BM94</f>
        <v>83.783900000000017</v>
      </c>
      <c r="BN96" s="705">
        <f>BN41-BM41-BN93-BN94</f>
        <v>-0.6209999999999809</v>
      </c>
      <c r="BO96" s="710">
        <f>SUM(BK96:BN96)</f>
        <v>-6732.2340999999997</v>
      </c>
      <c r="BP96" s="705"/>
      <c r="BQ96" s="706">
        <f>BQ41-BO41-BQ93-BQ94</f>
        <v>-33.732599999999934</v>
      </c>
      <c r="BR96" s="705">
        <f>BR41-BQ41-BR93-BR94</f>
        <v>0</v>
      </c>
      <c r="BS96" s="705">
        <f>BS41-BR41-BS93-BS94</f>
        <v>0</v>
      </c>
      <c r="BT96" s="705">
        <f>BT41-BS41-BT93-BT94</f>
        <v>0</v>
      </c>
      <c r="BU96" s="710">
        <f>SUM(BQ96:BT96)</f>
        <v>-33.732599999999934</v>
      </c>
      <c r="BV96" s="705"/>
      <c r="BW96" s="706">
        <f>BW41-BU41-BW93-BW94</f>
        <v>0</v>
      </c>
      <c r="BX96" s="705">
        <f>BX41-BW41-BX93-BX94</f>
        <v>0</v>
      </c>
      <c r="BY96" s="705">
        <f>BY41-BX41-BY93-BY94</f>
        <v>0</v>
      </c>
      <c r="BZ96" s="705">
        <f>BZ41-BY41-BZ93-BZ94</f>
        <v>8.5265128291212022E-14</v>
      </c>
      <c r="CA96" s="710">
        <f>SUM(BW96:BZ96)</f>
        <v>8.5265128291212022E-14</v>
      </c>
      <c r="CB96" s="705"/>
      <c r="CC96" s="706">
        <f>CC41-CA41-CC93-CC94</f>
        <v>0</v>
      </c>
      <c r="CD96" s="705">
        <f>CD41-CC41-CD93-CD94</f>
        <v>0</v>
      </c>
      <c r="CE96" s="705">
        <f>CE41-CD41-CE93-CE94</f>
        <v>0</v>
      </c>
      <c r="CF96" s="705">
        <f>CF41-CE41-CF93-CF94</f>
        <v>-1.2079226507921703E-13</v>
      </c>
      <c r="CG96" s="710">
        <f>SUM(CC96:CF96)</f>
        <v>-1.2079226507921703E-13</v>
      </c>
      <c r="CH96" s="495"/>
      <c r="CI96" s="706">
        <f>CI41-CG41-CI93-CI94</f>
        <v>3.765876499528531E-13</v>
      </c>
      <c r="CJ96" s="705">
        <f>CJ41-CI41-CJ93-CJ94</f>
        <v>0</v>
      </c>
      <c r="CK96" s="705">
        <f>CK41-CJ41-CK93-CK94</f>
        <v>3.1974423109204508E-13</v>
      </c>
      <c r="CL96" s="705">
        <f>CL41-CK41-CL93-CL94</f>
        <v>3.1974423109204508E-13</v>
      </c>
      <c r="CM96" s="710">
        <f>SUM(CI96:CL96)</f>
        <v>1.0160761121369433E-12</v>
      </c>
      <c r="CN96" s="495"/>
      <c r="CO96" s="495"/>
      <c r="CP96" s="64"/>
    </row>
    <row r="97" spans="1:94" ht="12.75" customHeight="1" collapsed="1">
      <c r="A97" s="806" t="s">
        <v>326</v>
      </c>
      <c r="B97" s="744"/>
      <c r="C97" s="807">
        <f>C43</f>
        <v>3023.0628499488971</v>
      </c>
      <c r="D97" s="808">
        <f>SUM(D91:D96)</f>
        <v>2996.5770004480169</v>
      </c>
      <c r="E97" s="808">
        <f>SUM(E91:E96)</f>
        <v>2573.6278948439849</v>
      </c>
      <c r="F97" s="808">
        <f>SUM(F91:F96)</f>
        <v>2631.9874342112689</v>
      </c>
      <c r="G97" s="809">
        <f>SUM(G91:G96)</f>
        <v>2631.9874342112685</v>
      </c>
      <c r="H97" s="744"/>
      <c r="I97" s="807">
        <f>SUM(I91:I96)</f>
        <v>2098.5245447360612</v>
      </c>
      <c r="J97" s="808">
        <f>SUM(J91:J96)</f>
        <v>2166.4184434473432</v>
      </c>
      <c r="K97" s="808">
        <f>SUM(K91:K96)</f>
        <v>2150.5879377993406</v>
      </c>
      <c r="L97" s="808">
        <f>SUM(L91:L96)</f>
        <v>1989.4664070630824</v>
      </c>
      <c r="M97" s="809">
        <f>SUM(M91:M96)</f>
        <v>1989.4664070630822</v>
      </c>
      <c r="N97" s="744"/>
      <c r="O97" s="807">
        <f>SUM(O91:O96)</f>
        <v>1507.1838343979875</v>
      </c>
      <c r="P97" s="808">
        <f>SUM(P91:P96)</f>
        <v>1514.7587315071132</v>
      </c>
      <c r="Q97" s="808">
        <f>SUM(Q91:Q96)</f>
        <v>1550.2741194586906</v>
      </c>
      <c r="R97" s="808">
        <f>SUM(R91:R96)</f>
        <v>1643.6141481525196</v>
      </c>
      <c r="S97" s="809">
        <f>SUM(S91:S96)</f>
        <v>1643.6141481525196</v>
      </c>
      <c r="T97" s="204"/>
      <c r="U97" s="807">
        <f>SUM(U91:U96)</f>
        <v>1657.7075471553976</v>
      </c>
      <c r="V97" s="808">
        <f>SUM(V91:V96)</f>
        <v>1815.2283161777927</v>
      </c>
      <c r="W97" s="808">
        <f>SUM(W91:W96)</f>
        <v>1842.8464401148144</v>
      </c>
      <c r="X97" s="808">
        <f>SUM(X91:X96)</f>
        <v>2320.2757626697153</v>
      </c>
      <c r="Y97" s="809">
        <f>SUM(Y91:Y96)</f>
        <v>2320.2757626697153</v>
      </c>
      <c r="Z97" s="204"/>
      <c r="AA97" s="807">
        <f>SUM(AA91:AA96)</f>
        <v>2238.4865375147792</v>
      </c>
      <c r="AB97" s="808">
        <f>SUM(AB91:AB96)</f>
        <v>2906.9225519865313</v>
      </c>
      <c r="AC97" s="808">
        <f>SUM(AC91:AC96)</f>
        <v>3010.1520548647677</v>
      </c>
      <c r="AD97" s="808">
        <f>SUM(AD91:AD96)</f>
        <v>3303.1843419876818</v>
      </c>
      <c r="AE97" s="810">
        <f>SUM(AE91:AE96)</f>
        <v>3303.1843419876818</v>
      </c>
      <c r="AF97" s="204"/>
      <c r="AG97" s="807">
        <f>SUM(AG91:AG96)</f>
        <v>3366.2524068544117</v>
      </c>
      <c r="AH97" s="808">
        <f>SUM(AH91:AH96)</f>
        <v>3638.4936266393884</v>
      </c>
      <c r="AI97" s="808">
        <f>SUM(AI91:AI96)</f>
        <v>3608.3595784124277</v>
      </c>
      <c r="AJ97" s="808">
        <f>SUM(AJ91:AJ96)</f>
        <v>3877.0000000000009</v>
      </c>
      <c r="AK97" s="810">
        <f>SUM(AK91:AK96)</f>
        <v>3877.0000000000005</v>
      </c>
      <c r="AL97" s="204"/>
      <c r="AM97" s="807">
        <f>SUM(AM91:AM96)</f>
        <v>4106.1418996284929</v>
      </c>
      <c r="AN97" s="811">
        <f>SUM(AN91:AN96)</f>
        <v>4131.6270314357735</v>
      </c>
      <c r="AO97" s="808">
        <f>SUM(AO91:AO96)</f>
        <v>3549.5059255377005</v>
      </c>
      <c r="AP97" s="808">
        <f>SUM(AP91:AP96)</f>
        <v>4041.0000000000005</v>
      </c>
      <c r="AQ97" s="810">
        <f>SUM(AQ91:AQ96)</f>
        <v>4041.0000000000005</v>
      </c>
      <c r="AR97" s="204"/>
      <c r="AS97" s="812">
        <f>SUM(AS91:AS96)</f>
        <v>4245.0000000000009</v>
      </c>
      <c r="AT97" s="811">
        <f>SUM(AT91:AT96)</f>
        <v>4361.0000000000009</v>
      </c>
      <c r="AU97" s="811">
        <f>SUM(AU91:AU96)</f>
        <v>4296.0000000000009</v>
      </c>
      <c r="AV97" s="811">
        <f>SUM(AV91:AV96)</f>
        <v>5298.0000000000009</v>
      </c>
      <c r="AW97" s="810">
        <f>SUM(AW91:AW96)</f>
        <v>5298</v>
      </c>
      <c r="AX97" s="204"/>
      <c r="AY97" s="812">
        <f>SUM(AY91:AY96)</f>
        <v>4237</v>
      </c>
      <c r="AZ97" s="811">
        <f>SUM(AZ91:AZ96)</f>
        <v>4158</v>
      </c>
      <c r="BA97" s="811">
        <f>SUM(BA91:BA96)</f>
        <v>4103</v>
      </c>
      <c r="BB97" s="811">
        <f>SUM(BB91:BB96)</f>
        <v>4167</v>
      </c>
      <c r="BC97" s="810">
        <f>SUM(BC91:BC96)</f>
        <v>4167</v>
      </c>
      <c r="BD97" s="204"/>
      <c r="BE97" s="812">
        <f>SUM(BE91:BE96)</f>
        <v>4045</v>
      </c>
      <c r="BF97" s="811">
        <f>SUM(BF91:BF96)</f>
        <v>4162</v>
      </c>
      <c r="BG97" s="811">
        <f>SUM(BG91:BG96)</f>
        <v>4343</v>
      </c>
      <c r="BH97" s="811">
        <f>SUM(BH91:BH96)</f>
        <v>4243</v>
      </c>
      <c r="BI97" s="810">
        <f>SUM(BI91:BI96)</f>
        <v>4243</v>
      </c>
      <c r="BJ97" s="204"/>
      <c r="BK97" s="812">
        <f>SUM(BK91:BK96)</f>
        <v>4297</v>
      </c>
      <c r="BL97" s="811">
        <f>SUM(BL91:BL96)</f>
        <v>4372</v>
      </c>
      <c r="BM97" s="811">
        <f>SUM(BM91:BM96)</f>
        <v>4608</v>
      </c>
      <c r="BN97" s="811">
        <f>SUM(BN91:BN96)</f>
        <v>4826</v>
      </c>
      <c r="BO97" s="810">
        <f>SUM(BO91:BO96)</f>
        <v>4826</v>
      </c>
      <c r="BP97" s="204"/>
      <c r="BQ97" s="812">
        <f>SUM(BQ91:BQ96)</f>
        <v>4522</v>
      </c>
      <c r="BR97" s="811">
        <f>SUM(BR91:BR96)</f>
        <v>4594.92824988747</v>
      </c>
      <c r="BS97" s="811">
        <f>SUM(BS91:BS96)</f>
        <v>4659.8960819828226</v>
      </c>
      <c r="BT97" s="811">
        <f>SUM(BT91:BT96)</f>
        <v>4754.901467128022</v>
      </c>
      <c r="BU97" s="810">
        <f>SUM(BU91:BU96)</f>
        <v>4754.901467128022</v>
      </c>
      <c r="BV97" s="204"/>
      <c r="BW97" s="812">
        <f>SUM(BW91:BW96)</f>
        <v>4860.5282437756714</v>
      </c>
      <c r="BX97" s="811">
        <f>SUM(BX91:BX96)</f>
        <v>4968.3272715401608</v>
      </c>
      <c r="BY97" s="811">
        <f>SUM(BY91:BY96)</f>
        <v>5070.3454695865585</v>
      </c>
      <c r="BZ97" s="811">
        <f>SUM(BZ91:BZ96)</f>
        <v>5205.6025124162024</v>
      </c>
      <c r="CA97" s="810">
        <f>SUM(CA91:CA96)</f>
        <v>5205.6025124162006</v>
      </c>
      <c r="CB97" s="204"/>
      <c r="CC97" s="812">
        <f>SUM(CC91:CC96)</f>
        <v>5338.4286924023017</v>
      </c>
      <c r="CD97" s="811">
        <f>SUM(CD91:CD96)</f>
        <v>5541.7629467448078</v>
      </c>
      <c r="CE97" s="811">
        <f>SUM(CE91:CE96)</f>
        <v>5744.0746619040274</v>
      </c>
      <c r="CF97" s="811">
        <f>SUM(CF91:CF96)</f>
        <v>5986.5746047689809</v>
      </c>
      <c r="CG97" s="810">
        <f>SUM(CG91:CG96)</f>
        <v>5986.5746047689809</v>
      </c>
      <c r="CH97" s="744"/>
      <c r="CI97" s="812">
        <f>SUM(CI91:CI96)</f>
        <v>6223.4609482355891</v>
      </c>
      <c r="CJ97" s="811">
        <f>SUM(CJ91:CJ96)</f>
        <v>6389.0555057522515</v>
      </c>
      <c r="CK97" s="811">
        <f>SUM(CK91:CK96)</f>
        <v>6550.9051124858806</v>
      </c>
      <c r="CL97" s="811">
        <f>SUM(CL91:CL96)</f>
        <v>6750.5925071155525</v>
      </c>
      <c r="CM97" s="810">
        <f>SUM(CM91:CM96)</f>
        <v>6750.5925071155525</v>
      </c>
      <c r="CN97" s="744"/>
      <c r="CO97" s="744"/>
      <c r="CP97" s="89"/>
    </row>
    <row r="98" spans="1:94" ht="11.25" customHeight="1">
      <c r="A98" s="813"/>
      <c r="B98" s="743"/>
      <c r="C98" s="1950">
        <f>C97-C43</f>
        <v>0</v>
      </c>
      <c r="D98" s="1950">
        <f>D97-D43</f>
        <v>0</v>
      </c>
      <c r="E98" s="1950">
        <f>E97-E43</f>
        <v>0</v>
      </c>
      <c r="F98" s="1950">
        <f>F97-F43</f>
        <v>0</v>
      </c>
      <c r="G98" s="1950">
        <f>G97-G43</f>
        <v>0</v>
      </c>
      <c r="H98" s="1951"/>
      <c r="I98" s="1950">
        <f>I97-I43</f>
        <v>0</v>
      </c>
      <c r="J98" s="1950">
        <f>J97-J43</f>
        <v>0</v>
      </c>
      <c r="K98" s="1950">
        <f>K97-K43</f>
        <v>0</v>
      </c>
      <c r="L98" s="1950">
        <f>L97-L43</f>
        <v>0</v>
      </c>
      <c r="M98" s="1950">
        <f>M97-M43</f>
        <v>0</v>
      </c>
      <c r="N98" s="1951"/>
      <c r="O98" s="1950">
        <f>O97-O43</f>
        <v>0</v>
      </c>
      <c r="P98" s="1950">
        <f>P97-P43</f>
        <v>0</v>
      </c>
      <c r="Q98" s="1950">
        <f>Q97-Q43</f>
        <v>0</v>
      </c>
      <c r="R98" s="1950">
        <f>R97-R43</f>
        <v>0</v>
      </c>
      <c r="S98" s="1950">
        <f>S97-S43</f>
        <v>0</v>
      </c>
      <c r="T98" s="1952"/>
      <c r="U98" s="1950">
        <f>U97-U43</f>
        <v>0</v>
      </c>
      <c r="V98" s="1950">
        <f>V97-V43</f>
        <v>0</v>
      </c>
      <c r="W98" s="1950">
        <f>W97-W43</f>
        <v>0</v>
      </c>
      <c r="X98" s="1950">
        <f>X97-X43</f>
        <v>0</v>
      </c>
      <c r="Y98" s="1950">
        <f>Y97-Y43</f>
        <v>0</v>
      </c>
      <c r="Z98" s="1952"/>
      <c r="AA98" s="1950">
        <f>AA97-AA43</f>
        <v>0</v>
      </c>
      <c r="AB98" s="1950">
        <f>AB97-AB43</f>
        <v>0</v>
      </c>
      <c r="AC98" s="1950">
        <f>AC97-AC43</f>
        <v>0</v>
      </c>
      <c r="AD98" s="1950">
        <f>AD97-AD43</f>
        <v>0</v>
      </c>
      <c r="AE98" s="1950">
        <f>AE97-AE43</f>
        <v>0</v>
      </c>
      <c r="AF98" s="1952"/>
      <c r="AG98" s="1950">
        <f>AG97-AG43</f>
        <v>0</v>
      </c>
      <c r="AH98" s="1950">
        <f>AH97-AH43</f>
        <v>0</v>
      </c>
      <c r="AI98" s="1950">
        <f>AI97-AI43</f>
        <v>0</v>
      </c>
      <c r="AJ98" s="1950">
        <f>AJ97-AJ43</f>
        <v>0</v>
      </c>
      <c r="AK98" s="1950">
        <f>AK97-AK43</f>
        <v>0</v>
      </c>
      <c r="AL98" s="1952"/>
      <c r="AM98" s="1950">
        <f>AM97-AM43</f>
        <v>0</v>
      </c>
      <c r="AN98" s="1950">
        <f>AN97-AN43</f>
        <v>0</v>
      </c>
      <c r="AO98" s="1950">
        <f>AO97-AO43</f>
        <v>0</v>
      </c>
      <c r="AP98" s="1950">
        <f>AP97-AP43</f>
        <v>0</v>
      </c>
      <c r="AQ98" s="1950">
        <f>AQ97-AQ43</f>
        <v>0</v>
      </c>
      <c r="AR98" s="1952"/>
      <c r="AS98" s="1950">
        <f>AS97-AS43</f>
        <v>0</v>
      </c>
      <c r="AT98" s="1950">
        <f>AT97-AT43</f>
        <v>0</v>
      </c>
      <c r="AU98" s="1950">
        <f>AU97-AU43</f>
        <v>0</v>
      </c>
      <c r="AV98" s="1950">
        <f>AV97-AV43</f>
        <v>0</v>
      </c>
      <c r="AW98" s="1950">
        <f>AW97-AW43</f>
        <v>0</v>
      </c>
      <c r="AX98" s="1952"/>
      <c r="AY98" s="1950">
        <f>AY97-AY43</f>
        <v>0</v>
      </c>
      <c r="AZ98" s="1950">
        <f>AZ97-AZ43</f>
        <v>0</v>
      </c>
      <c r="BA98" s="1950">
        <f>BA97-BA43</f>
        <v>0</v>
      </c>
      <c r="BB98" s="1950">
        <f>BB97-BB43</f>
        <v>0</v>
      </c>
      <c r="BC98" s="1950">
        <f>BC97-BC43</f>
        <v>0</v>
      </c>
      <c r="BD98" s="1952"/>
      <c r="BE98" s="1950">
        <f>BE97-BE43</f>
        <v>0</v>
      </c>
      <c r="BF98" s="1950">
        <f>BF97-BF43</f>
        <v>0</v>
      </c>
      <c r="BG98" s="1950">
        <f>BG97-BG43</f>
        <v>0</v>
      </c>
      <c r="BH98" s="1950">
        <f>BH97-BH43</f>
        <v>0</v>
      </c>
      <c r="BI98" s="1950">
        <f>BI97-BI43</f>
        <v>0</v>
      </c>
      <c r="BJ98" s="1952"/>
      <c r="BK98" s="1950">
        <f>BK97-BK43</f>
        <v>0</v>
      </c>
      <c r="BL98" s="1950">
        <f>BL97-BL43</f>
        <v>0</v>
      </c>
      <c r="BM98" s="1950">
        <f>BM97-BM43</f>
        <v>0</v>
      </c>
      <c r="BN98" s="1950">
        <f>BN97-BN43</f>
        <v>0</v>
      </c>
      <c r="BO98" s="1950">
        <f>BO97-BO43</f>
        <v>0</v>
      </c>
      <c r="BP98" s="1952"/>
      <c r="BQ98" s="1950">
        <f>BQ97-BQ43</f>
        <v>0</v>
      </c>
      <c r="BR98" s="1950">
        <f>BR97-BR43</f>
        <v>0</v>
      </c>
      <c r="BS98" s="1950">
        <f>BS97-BS43</f>
        <v>0</v>
      </c>
      <c r="BT98" s="1950">
        <f>BT97-BT43</f>
        <v>0</v>
      </c>
      <c r="BU98" s="1950">
        <f>BU97-BU43</f>
        <v>0</v>
      </c>
      <c r="BV98" s="1952"/>
      <c r="BW98" s="1950">
        <f>BW97-BW43</f>
        <v>0</v>
      </c>
      <c r="BX98" s="1950">
        <f>BX97-BX43</f>
        <v>0</v>
      </c>
      <c r="BY98" s="1950">
        <f>BY97-BY43</f>
        <v>0</v>
      </c>
      <c r="BZ98" s="1950">
        <f>BZ97-BZ43</f>
        <v>0</v>
      </c>
      <c r="CA98" s="1950">
        <f>CA97-CA43</f>
        <v>0</v>
      </c>
      <c r="CB98" s="1950"/>
      <c r="CC98" s="1950">
        <f>CC97-CC43</f>
        <v>0</v>
      </c>
      <c r="CD98" s="1950">
        <f>CD97-CD43</f>
        <v>0</v>
      </c>
      <c r="CE98" s="1950">
        <f>CE97-CE43</f>
        <v>0</v>
      </c>
      <c r="CF98" s="1950">
        <f>CF97-CF43</f>
        <v>0</v>
      </c>
      <c r="CG98" s="1950">
        <f>CG97-CG43</f>
        <v>0</v>
      </c>
      <c r="CH98" s="743"/>
      <c r="CI98" s="1950">
        <f>CI97-CI43</f>
        <v>0</v>
      </c>
      <c r="CJ98" s="1950">
        <f>CJ97-CJ43</f>
        <v>0</v>
      </c>
      <c r="CK98" s="1950">
        <f>CK97-CK43</f>
        <v>0</v>
      </c>
      <c r="CL98" s="1950">
        <f>CL97-CL43</f>
        <v>0</v>
      </c>
      <c r="CM98" s="1950">
        <f>CM97-CM43</f>
        <v>0</v>
      </c>
      <c r="CN98" s="743"/>
      <c r="CO98" s="743"/>
      <c r="CP98" s="6"/>
    </row>
    <row r="99" spans="1:94" ht="12.75" customHeight="1">
      <c r="A99" s="769" t="s">
        <v>327</v>
      </c>
      <c r="B99" s="738"/>
      <c r="C99" s="739"/>
      <c r="D99" s="740"/>
      <c r="E99" s="740"/>
      <c r="F99" s="740"/>
      <c r="G99" s="741"/>
      <c r="H99" s="738"/>
      <c r="I99" s="739"/>
      <c r="J99" s="740"/>
      <c r="K99" s="740"/>
      <c r="L99" s="740"/>
      <c r="M99" s="741"/>
      <c r="N99" s="738"/>
      <c r="O99" s="739"/>
      <c r="P99" s="740"/>
      <c r="Q99" s="740"/>
      <c r="R99" s="740"/>
      <c r="S99" s="741"/>
      <c r="T99" s="742"/>
      <c r="U99" s="739"/>
      <c r="V99" s="740"/>
      <c r="W99" s="740"/>
      <c r="X99" s="740"/>
      <c r="Y99" s="741"/>
      <c r="Z99" s="742"/>
      <c r="AA99" s="739"/>
      <c r="AB99" s="740"/>
      <c r="AC99" s="740"/>
      <c r="AD99" s="740"/>
      <c r="AE99" s="741"/>
      <c r="AF99" s="742"/>
      <c r="AG99" s="739"/>
      <c r="AH99" s="740"/>
      <c r="AI99" s="740"/>
      <c r="AJ99" s="740"/>
      <c r="AK99" s="741"/>
      <c r="AL99" s="742"/>
      <c r="AM99" s="739"/>
      <c r="AN99" s="740"/>
      <c r="AO99" s="740"/>
      <c r="AP99" s="740"/>
      <c r="AQ99" s="741"/>
      <c r="AR99" s="742"/>
      <c r="AS99" s="739"/>
      <c r="AT99" s="740"/>
      <c r="AU99" s="740"/>
      <c r="AV99" s="740"/>
      <c r="AW99" s="741"/>
      <c r="AX99" s="742"/>
      <c r="AY99" s="739"/>
      <c r="AZ99" s="740"/>
      <c r="BA99" s="740"/>
      <c r="BB99" s="740"/>
      <c r="BC99" s="741"/>
      <c r="BD99" s="742"/>
      <c r="BE99" s="739"/>
      <c r="BF99" s="740"/>
      <c r="BG99" s="740"/>
      <c r="BH99" s="740"/>
      <c r="BI99" s="741"/>
      <c r="BJ99" s="742"/>
      <c r="BK99" s="739"/>
      <c r="BL99" s="740"/>
      <c r="BM99" s="740"/>
      <c r="BN99" s="740"/>
      <c r="BO99" s="741"/>
      <c r="BP99" s="742"/>
      <c r="BQ99" s="739"/>
      <c r="BR99" s="740"/>
      <c r="BS99" s="740"/>
      <c r="BT99" s="740"/>
      <c r="BU99" s="741"/>
      <c r="BV99" s="742"/>
      <c r="BW99" s="739"/>
      <c r="BX99" s="740"/>
      <c r="BY99" s="740"/>
      <c r="BZ99" s="740"/>
      <c r="CA99" s="741"/>
      <c r="CB99" s="2125"/>
      <c r="CC99" s="739"/>
      <c r="CD99" s="740"/>
      <c r="CE99" s="740"/>
      <c r="CF99" s="740"/>
      <c r="CG99" s="741"/>
      <c r="CH99" s="743"/>
      <c r="CI99" s="739"/>
      <c r="CJ99" s="740"/>
      <c r="CK99" s="740"/>
      <c r="CL99" s="740"/>
      <c r="CM99" s="741"/>
      <c r="CN99" s="743"/>
      <c r="CO99" s="743"/>
      <c r="CP99" s="6"/>
    </row>
    <row r="100" spans="1:94" ht="12.75" customHeight="1">
      <c r="A100" s="814" t="s">
        <v>328</v>
      </c>
      <c r="B100" s="744"/>
      <c r="C100" s="745">
        <f>C107+C105+C104+C103+C101</f>
        <v>448.50687285223364</v>
      </c>
      <c r="D100" s="746">
        <f>C107</f>
        <v>446.75687285223364</v>
      </c>
      <c r="E100" s="746">
        <f>D107</f>
        <v>447.90979381443293</v>
      </c>
      <c r="F100" s="746">
        <f>E107</f>
        <v>453.67439862542949</v>
      </c>
      <c r="G100" s="747">
        <f>C100</f>
        <v>448.50687285223364</v>
      </c>
      <c r="H100" s="744"/>
      <c r="I100" s="745">
        <f>G107</f>
        <v>461.74484536082468</v>
      </c>
      <c r="J100" s="746">
        <f>I107</f>
        <v>461.74484536082468</v>
      </c>
      <c r="K100" s="746">
        <f>J107</f>
        <v>466.35652920962195</v>
      </c>
      <c r="L100" s="746">
        <f>K107</f>
        <v>470.39175257731955</v>
      </c>
      <c r="M100" s="747">
        <f>I100</f>
        <v>461.74484536082468</v>
      </c>
      <c r="N100" s="744"/>
      <c r="O100" s="745">
        <f>M107</f>
        <v>475.00343642611682</v>
      </c>
      <c r="P100" s="746">
        <f>O107</f>
        <v>479.03865979381442</v>
      </c>
      <c r="Q100" s="746">
        <f>P107</f>
        <v>473.2740549828178</v>
      </c>
      <c r="R100" s="746">
        <f>Q107</f>
        <v>483.65034364261163</v>
      </c>
      <c r="S100" s="747">
        <f>O100</f>
        <v>475.00343642611682</v>
      </c>
      <c r="T100" s="204"/>
      <c r="U100" s="745">
        <f>S107</f>
        <v>487.10910652920955</v>
      </c>
      <c r="V100" s="746">
        <f>U107</f>
        <v>482.49742268041234</v>
      </c>
      <c r="W100" s="746">
        <f>V107</f>
        <v>479.03865979381442</v>
      </c>
      <c r="X100" s="746">
        <f>W107</f>
        <v>551.67268041237105</v>
      </c>
      <c r="Y100" s="747">
        <f>U100</f>
        <v>487.10910652920955</v>
      </c>
      <c r="Z100" s="204"/>
      <c r="AA100" s="745">
        <f>Y107</f>
        <v>564.93127147766313</v>
      </c>
      <c r="AB100" s="746">
        <f>AA107</f>
        <v>566.08419243986248</v>
      </c>
      <c r="AC100" s="746">
        <f>AB107</f>
        <v>578.76632302405494</v>
      </c>
      <c r="AD100" s="746">
        <f>AC107</f>
        <v>576.46048109965636</v>
      </c>
      <c r="AE100" s="747">
        <f>AA100</f>
        <v>564.93127147766313</v>
      </c>
      <c r="AF100" s="204"/>
      <c r="AG100" s="745">
        <f>AE107</f>
        <v>579.91924398625429</v>
      </c>
      <c r="AH100" s="746">
        <f>AG107</f>
        <v>580.4957044673539</v>
      </c>
      <c r="AI100" s="746">
        <f>AH107</f>
        <v>574.15463917525767</v>
      </c>
      <c r="AJ100" s="746">
        <f>AI107</f>
        <v>656.58848797250857</v>
      </c>
      <c r="AK100" s="747">
        <f>AG100</f>
        <v>579.91924398625429</v>
      </c>
      <c r="AL100" s="204"/>
      <c r="AM100" s="745">
        <f>AK107</f>
        <v>671</v>
      </c>
      <c r="AN100" s="746">
        <f>AM107</f>
        <v>682.00617283950612</v>
      </c>
      <c r="AO100" s="746">
        <f>AN107</f>
        <v>672.62345679012344</v>
      </c>
      <c r="AP100" s="746">
        <f>AO107</f>
        <v>667.93209876543199</v>
      </c>
      <c r="AQ100" s="747">
        <f>AM100</f>
        <v>671</v>
      </c>
      <c r="AR100" s="204"/>
      <c r="AS100" s="701">
        <f>AQ107</f>
        <v>665</v>
      </c>
      <c r="AT100" s="746">
        <f>AS107</f>
        <v>671</v>
      </c>
      <c r="AU100" s="746">
        <f>AT107</f>
        <v>677</v>
      </c>
      <c r="AV100" s="746">
        <f>AU107</f>
        <v>680</v>
      </c>
      <c r="AW100" s="748">
        <f>AQ107</f>
        <v>665</v>
      </c>
      <c r="AX100" s="204"/>
      <c r="AY100" s="701">
        <f>AW107</f>
        <v>631</v>
      </c>
      <c r="AZ100" s="746">
        <f>AY107</f>
        <v>610</v>
      </c>
      <c r="BA100" s="746">
        <f>AZ107</f>
        <v>593</v>
      </c>
      <c r="BB100" s="746">
        <f>BA107</f>
        <v>587</v>
      </c>
      <c r="BC100" s="748">
        <f>AW107</f>
        <v>631</v>
      </c>
      <c r="BD100" s="204"/>
      <c r="BE100" s="701">
        <f>BC107</f>
        <v>603.99999999999989</v>
      </c>
      <c r="BF100" s="746">
        <f>BE107</f>
        <v>594</v>
      </c>
      <c r="BG100" s="746">
        <f>BF107</f>
        <v>610</v>
      </c>
      <c r="BH100" s="746">
        <f>BG107</f>
        <v>623</v>
      </c>
      <c r="BI100" s="748">
        <f>BC107</f>
        <v>603.99999999999989</v>
      </c>
      <c r="BJ100" s="204"/>
      <c r="BK100" s="701">
        <f>BI107</f>
        <v>639.00000000000011</v>
      </c>
      <c r="BL100" s="746">
        <f>BK107</f>
        <v>653</v>
      </c>
      <c r="BM100" s="746">
        <f>BL107</f>
        <v>675</v>
      </c>
      <c r="BN100" s="746">
        <f>BM107</f>
        <v>716</v>
      </c>
      <c r="BO100" s="748">
        <f>BI107</f>
        <v>639.00000000000011</v>
      </c>
      <c r="BP100" s="204"/>
      <c r="BQ100" s="701">
        <f>BO107</f>
        <v>757</v>
      </c>
      <c r="BR100" s="746">
        <f>BQ107</f>
        <v>792</v>
      </c>
      <c r="BS100" s="746">
        <f>BR107</f>
        <v>813.03304045810376</v>
      </c>
      <c r="BT100" s="746">
        <f>BS107</f>
        <v>833.85227516095244</v>
      </c>
      <c r="BU100" s="748">
        <f>BO107</f>
        <v>757</v>
      </c>
      <c r="BV100" s="204"/>
      <c r="BW100" s="701">
        <f>BU107</f>
        <v>855.93483556675801</v>
      </c>
      <c r="BX100" s="746">
        <f>BW107</f>
        <v>856.25798203121019</v>
      </c>
      <c r="BY100" s="746">
        <f>BX107</f>
        <v>856.59311830312481</v>
      </c>
      <c r="BZ100" s="746">
        <f>BY107</f>
        <v>856.929000738745</v>
      </c>
      <c r="CA100" s="748">
        <f>BU107</f>
        <v>855.93483556675801</v>
      </c>
      <c r="CB100" s="204"/>
      <c r="CC100" s="701">
        <f>CA107</f>
        <v>857.28441482481867</v>
      </c>
      <c r="CD100" s="746">
        <f>CC107</f>
        <v>856.25794422235435</v>
      </c>
      <c r="CE100" s="746">
        <f>CD107</f>
        <v>855.19038904046045</v>
      </c>
      <c r="CF100" s="746">
        <f>CE107</f>
        <v>854.11221204670562</v>
      </c>
      <c r="CG100" s="748">
        <f>CA107</f>
        <v>857.28441482481867</v>
      </c>
      <c r="CH100" s="744"/>
      <c r="CI100" s="701">
        <f>CG107</f>
        <v>852.97519164365383</v>
      </c>
      <c r="CJ100" s="746">
        <f>CI107</f>
        <v>848.98245834663385</v>
      </c>
      <c r="CK100" s="746">
        <f>CJ107</f>
        <v>844.81709125026816</v>
      </c>
      <c r="CL100" s="746">
        <f>CK107</f>
        <v>840.57244430843423</v>
      </c>
      <c r="CM100" s="748">
        <f>CG107</f>
        <v>852.97519164365383</v>
      </c>
      <c r="CN100" s="744"/>
      <c r="CO100" s="744"/>
      <c r="CP100" s="89"/>
    </row>
    <row r="101" spans="1:94" ht="12.75" hidden="1" customHeight="1" outlineLevel="1">
      <c r="A101" s="803" t="s">
        <v>329</v>
      </c>
      <c r="B101" s="495"/>
      <c r="C101" s="805">
        <f>-CF!C36</f>
        <v>12.75</v>
      </c>
      <c r="D101" s="804">
        <f>-CF!D36</f>
        <v>12.75</v>
      </c>
      <c r="E101" s="804">
        <f>-CF!E36</f>
        <v>12.75</v>
      </c>
      <c r="F101" s="804">
        <f>-CF!F36</f>
        <v>12.75</v>
      </c>
      <c r="G101" s="703">
        <f>SUM(C101:F101)</f>
        <v>51</v>
      </c>
      <c r="H101" s="495"/>
      <c r="I101" s="805">
        <f>-CF!I36</f>
        <v>15</v>
      </c>
      <c r="J101" s="804">
        <f>-CF!J36</f>
        <v>15</v>
      </c>
      <c r="K101" s="804">
        <f>-CF!K36</f>
        <v>15</v>
      </c>
      <c r="L101" s="804">
        <f>-CF!L36</f>
        <v>15</v>
      </c>
      <c r="M101" s="703">
        <f>SUM(I101:L101)</f>
        <v>60</v>
      </c>
      <c r="N101" s="495"/>
      <c r="O101" s="805">
        <f>-CF!O36</f>
        <v>12.75</v>
      </c>
      <c r="P101" s="804">
        <f>-CF!P36</f>
        <v>12.75</v>
      </c>
      <c r="Q101" s="804">
        <f>-CF!Q36</f>
        <v>12.75</v>
      </c>
      <c r="R101" s="804">
        <f>-CF!R36</f>
        <v>12.75</v>
      </c>
      <c r="S101" s="703">
        <f>SUM(O101:R101)</f>
        <v>51</v>
      </c>
      <c r="T101" s="705"/>
      <c r="U101" s="805">
        <f>-CF!U36</f>
        <v>11.25</v>
      </c>
      <c r="V101" s="804">
        <f>-CF!V36</f>
        <v>11.25</v>
      </c>
      <c r="W101" s="804">
        <f>-CF!W36</f>
        <v>11.25</v>
      </c>
      <c r="X101" s="804">
        <f>-CF!X36</f>
        <v>11.25</v>
      </c>
      <c r="Y101" s="703">
        <f>SUM(U101:X101)</f>
        <v>45</v>
      </c>
      <c r="Z101" s="705"/>
      <c r="AA101" s="805">
        <f>-CF!AA36</f>
        <v>16</v>
      </c>
      <c r="AB101" s="804">
        <f>-CF!AB36</f>
        <v>16</v>
      </c>
      <c r="AC101" s="804">
        <f>-CF!AC36</f>
        <v>16</v>
      </c>
      <c r="AD101" s="804">
        <f>-CF!AD36</f>
        <v>16</v>
      </c>
      <c r="AE101" s="703">
        <f>SUM(AA101:AD101)</f>
        <v>64</v>
      </c>
      <c r="AF101" s="705"/>
      <c r="AG101" s="805">
        <f>-CF!AG36</f>
        <v>22</v>
      </c>
      <c r="AH101" s="804">
        <f>-CF!AH36</f>
        <v>22</v>
      </c>
      <c r="AI101" s="804">
        <f>-CF!AI36</f>
        <v>22</v>
      </c>
      <c r="AJ101" s="804">
        <f>-CF!AJ36</f>
        <v>22</v>
      </c>
      <c r="AK101" s="703">
        <f>SUM(AG101:AJ101)</f>
        <v>88</v>
      </c>
      <c r="AL101" s="705"/>
      <c r="AM101" s="805">
        <f>-CF!AM36</f>
        <v>26.75</v>
      </c>
      <c r="AN101" s="804">
        <f>-CF!AN36</f>
        <v>26.75</v>
      </c>
      <c r="AO101" s="804">
        <f>-CF!AO36</f>
        <v>26.75</v>
      </c>
      <c r="AP101" s="804">
        <f>-CF!AP36</f>
        <v>26.75</v>
      </c>
      <c r="AQ101" s="703">
        <f>SUM(AM101:AP101)</f>
        <v>107</v>
      </c>
      <c r="AR101" s="705"/>
      <c r="AS101" s="805">
        <f>-CF!AS36</f>
        <v>45</v>
      </c>
      <c r="AT101" s="1574">
        <f>-CF!AT36</f>
        <v>53</v>
      </c>
      <c r="AU101" s="1574">
        <f>-CF!AU36</f>
        <v>46</v>
      </c>
      <c r="AV101" s="705">
        <f>AV102*IS!AV10</f>
        <v>47.550049554013874</v>
      </c>
      <c r="AW101" s="710">
        <f>SUM(AS101:AV101)</f>
        <v>191.55004955401387</v>
      </c>
      <c r="AX101" s="705"/>
      <c r="AY101" s="805">
        <f>-CF!AY36</f>
        <v>32</v>
      </c>
      <c r="AZ101" s="804">
        <f>-CF!AZ36</f>
        <v>20</v>
      </c>
      <c r="BA101" s="804">
        <f>-CF!BA36</f>
        <v>19</v>
      </c>
      <c r="BB101" s="804">
        <f>-CF!BB36</f>
        <v>27</v>
      </c>
      <c r="BC101" s="710">
        <f>SUM(AY101:BB101)</f>
        <v>98</v>
      </c>
      <c r="BD101" s="705"/>
      <c r="BE101" s="805">
        <f>-CF!BE36</f>
        <v>38</v>
      </c>
      <c r="BF101" s="804">
        <f>-CF!BF36</f>
        <v>25</v>
      </c>
      <c r="BG101" s="804">
        <f>-CF!BG36</f>
        <v>24</v>
      </c>
      <c r="BH101" s="804">
        <f>-CF!BH36</f>
        <v>52</v>
      </c>
      <c r="BI101" s="710">
        <f>SUM(BE101:BH101)</f>
        <v>139</v>
      </c>
      <c r="BJ101" s="705"/>
      <c r="BK101" s="805">
        <f>-CF!BK36</f>
        <v>32</v>
      </c>
      <c r="BL101" s="804">
        <f>-CF!BL36</f>
        <v>43</v>
      </c>
      <c r="BM101" s="804">
        <f>-CF!BM36</f>
        <v>43</v>
      </c>
      <c r="BN101" s="804">
        <f>-CF!BN36</f>
        <v>58</v>
      </c>
      <c r="BO101" s="710">
        <f>SUM(BK101:BN101)</f>
        <v>176</v>
      </c>
      <c r="BP101" s="705"/>
      <c r="BQ101" s="805">
        <f>-CF!BQ36</f>
        <v>60</v>
      </c>
      <c r="BR101" s="705">
        <f>BR102*IS!BR10</f>
        <v>47.716748501966933</v>
      </c>
      <c r="BS101" s="705">
        <f>BS102*IS!BS10</f>
        <v>47.231696639298399</v>
      </c>
      <c r="BT101" s="705">
        <f>BT102*IS!BT10</f>
        <v>50.097748980334771</v>
      </c>
      <c r="BU101" s="710">
        <f>SUM(BQ101:BT101)</f>
        <v>205.04619412160008</v>
      </c>
      <c r="BV101" s="705"/>
      <c r="BW101" s="706">
        <f>BW102*IS!BW10</f>
        <v>31.022060587411055</v>
      </c>
      <c r="BX101" s="705">
        <f>BX102*IS!BX10</f>
        <v>32.17308210380228</v>
      </c>
      <c r="BY101" s="705">
        <f>BY102*IS!BY10</f>
        <v>32.244713819534098</v>
      </c>
      <c r="BZ101" s="705">
        <f>BZ102*IS!BZ10</f>
        <v>34.119752263078986</v>
      </c>
      <c r="CA101" s="710">
        <f>SUM(BW101:BZ101)</f>
        <v>129.55960877382643</v>
      </c>
      <c r="CB101" s="705"/>
      <c r="CC101" s="706">
        <f>CC102*IS!CC10</f>
        <v>31.478431808907963</v>
      </c>
      <c r="CD101" s="705">
        <f>CD102*IS!CD10</f>
        <v>32.738358911414437</v>
      </c>
      <c r="CE101" s="705">
        <f>CE102*IS!CE10</f>
        <v>33.064094475147769</v>
      </c>
      <c r="CF101" s="705">
        <f>CF102*IS!CF10</f>
        <v>34.868625693583397</v>
      </c>
      <c r="CG101" s="710">
        <f>SUM(CC101:CF101)</f>
        <v>132.14951088905354</v>
      </c>
      <c r="CH101" s="495"/>
      <c r="CI101" s="706">
        <f>CI102*IS!CI10</f>
        <v>30.489963359062202</v>
      </c>
      <c r="CJ101" s="705">
        <f>CJ102*IS!CJ10</f>
        <v>31.808257826792882</v>
      </c>
      <c r="CK101" s="705">
        <f>CK102*IS!CK10</f>
        <v>32.413667555823132</v>
      </c>
      <c r="CL101" s="705">
        <f>CL102*IS!CL10</f>
        <v>34.048122216987686</v>
      </c>
      <c r="CM101" s="710">
        <f>SUM(CI101:CL101)</f>
        <v>128.7600109586659</v>
      </c>
      <c r="CN101" s="495"/>
      <c r="CO101" s="495"/>
      <c r="CP101" s="64"/>
    </row>
    <row r="102" spans="1:94" ht="12.75" hidden="1" customHeight="1" outlineLevel="1">
      <c r="A102" s="815" t="s">
        <v>116</v>
      </c>
      <c r="B102" s="743"/>
      <c r="C102" s="816">
        <f>C101/IS!C10</f>
        <v>2.8021978021978023E-2</v>
      </c>
      <c r="D102" s="817">
        <f>D101/IS!D10</f>
        <v>2.9789719626168224E-2</v>
      </c>
      <c r="E102" s="817">
        <f>E101/IS!E10</f>
        <v>2.7185501066098083E-2</v>
      </c>
      <c r="F102" s="817">
        <f>F101/IS!F10</f>
        <v>2.4332061068702289E-2</v>
      </c>
      <c r="G102" s="818">
        <f>G101/IS!G10</f>
        <v>2.7185501066098083E-2</v>
      </c>
      <c r="H102" s="743"/>
      <c r="I102" s="816">
        <f>I101/IS!I10</f>
        <v>2.8248587570621469E-2</v>
      </c>
      <c r="J102" s="817">
        <f>J101/IS!J10</f>
        <v>2.8301886792452831E-2</v>
      </c>
      <c r="K102" s="817">
        <f>K101/IS!K10</f>
        <v>2.7777777777777776E-2</v>
      </c>
      <c r="L102" s="817">
        <f>L101/IS!L10</f>
        <v>2.5252525252525252E-2</v>
      </c>
      <c r="M102" s="818">
        <f>M101/IS!M10</f>
        <v>2.7334851936218679E-2</v>
      </c>
      <c r="N102" s="743"/>
      <c r="O102" s="816">
        <f>O101/IS!O10</f>
        <v>2.4285714285714285E-2</v>
      </c>
      <c r="P102" s="817">
        <f>P101/IS!P10</f>
        <v>2.5602409638554216E-2</v>
      </c>
      <c r="Q102" s="817">
        <f>Q101/IS!Q10</f>
        <v>2.5705645161290324E-2</v>
      </c>
      <c r="R102" s="817">
        <f>R101/IS!R10</f>
        <v>2.34375E-2</v>
      </c>
      <c r="S102" s="818">
        <f>S101/IS!S10</f>
        <v>2.4721279689772176E-2</v>
      </c>
      <c r="T102" s="768"/>
      <c r="U102" s="816">
        <f>U101/IS!U10</f>
        <v>1.9263698630136987E-2</v>
      </c>
      <c r="V102" s="817">
        <f>V101/IS!V10</f>
        <v>1.9667832167832168E-2</v>
      </c>
      <c r="W102" s="817">
        <f>W101/IS!W10</f>
        <v>1.6002844950213372E-2</v>
      </c>
      <c r="X102" s="817">
        <f>X101/IS!X10</f>
        <v>1.3719512195121951E-2</v>
      </c>
      <c r="Y102" s="818">
        <f>Y101/IS!Y10</f>
        <v>1.6797312430011199E-2</v>
      </c>
      <c r="Z102" s="768"/>
      <c r="AA102" s="816">
        <f>AA101/IS!AA10</f>
        <v>2.1248339973439574E-2</v>
      </c>
      <c r="AB102" s="817">
        <f>AB101/IS!AB10</f>
        <v>1.8934911242603551E-2</v>
      </c>
      <c r="AC102" s="817">
        <f>AC101/IS!AC10</f>
        <v>1.9138755980861243E-2</v>
      </c>
      <c r="AD102" s="817">
        <f>AD101/IS!AD10</f>
        <v>1.8264840182648401E-2</v>
      </c>
      <c r="AE102" s="818">
        <f>AE101/IS!AE10</f>
        <v>1.9335347432024169E-2</v>
      </c>
      <c r="AF102" s="768"/>
      <c r="AG102" s="816">
        <f>AG101/IS!AG10</f>
        <v>2.5670945157526253E-2</v>
      </c>
      <c r="AH102" s="817">
        <f>AH101/IS!AH10</f>
        <v>2.5670945157526253E-2</v>
      </c>
      <c r="AI102" s="817">
        <f>AI101/IS!AI10</f>
        <v>2.5056947608200455E-2</v>
      </c>
      <c r="AJ102" s="817">
        <f>AJ101/IS!AJ10</f>
        <v>2.3133543638275498E-2</v>
      </c>
      <c r="AK102" s="818">
        <f>AK101/IS!AK10</f>
        <v>2.4837708156929157E-2</v>
      </c>
      <c r="AL102" s="768"/>
      <c r="AM102" s="816">
        <f>AM101/IS!AM10</f>
        <v>2.7922755741127347E-2</v>
      </c>
      <c r="AN102" s="817">
        <f>AN101/IS!AN10</f>
        <v>2.7520576131687242E-2</v>
      </c>
      <c r="AO102" s="817">
        <f>AO101/IS!AO10</f>
        <v>2.8128286014721345E-2</v>
      </c>
      <c r="AP102" s="817">
        <f>AP101/IS!AP10</f>
        <v>2.6406712734452123E-2</v>
      </c>
      <c r="AQ102" s="818">
        <f>AQ101/IS!AQ10</f>
        <v>2.7478171545968155E-2</v>
      </c>
      <c r="AR102" s="768"/>
      <c r="AS102" s="816">
        <f>AS101/IS!AS10</f>
        <v>4.4642857142857144E-2</v>
      </c>
      <c r="AT102" s="817">
        <f>AT101/IS!AT10</f>
        <v>5.3643724696356275E-2</v>
      </c>
      <c r="AU102" s="817">
        <f>AU101/IS!AU10</f>
        <v>4.5589692765113973E-2</v>
      </c>
      <c r="AV102" s="1653">
        <f>AU102</f>
        <v>4.5589692765113973E-2</v>
      </c>
      <c r="AW102" s="762">
        <f>AW101/IS!AW10</f>
        <v>4.7319676273224767E-2</v>
      </c>
      <c r="AX102" s="768"/>
      <c r="AY102" s="816">
        <f>AY101/IS!AY10</f>
        <v>3.1189083820662766E-2</v>
      </c>
      <c r="AZ102" s="817">
        <f>AZ101/IS!AZ10</f>
        <v>2.0768431983385256E-2</v>
      </c>
      <c r="BA102" s="817">
        <f>BA101/IS!BA10</f>
        <v>1.8737672583826429E-2</v>
      </c>
      <c r="BB102" s="817">
        <f>BB101/IS!BB10</f>
        <v>2.6086956521739129E-2</v>
      </c>
      <c r="BC102" s="762">
        <f>BC101/IS!BC10</f>
        <v>2.4269440316988609E-2</v>
      </c>
      <c r="BD102" s="768"/>
      <c r="BE102" s="816">
        <f>BE101/IS!BE10</f>
        <v>3.6964980544747082E-2</v>
      </c>
      <c r="BF102" s="817">
        <f>BF101/IS!BF10</f>
        <v>2.4533856722276742E-2</v>
      </c>
      <c r="BG102" s="817">
        <f>BG101/IS!BG10</f>
        <v>2.2988505747126436E-2</v>
      </c>
      <c r="BH102" s="817">
        <f>BH101/IS!BH10</f>
        <v>4.6804680468046804E-2</v>
      </c>
      <c r="BI102" s="762">
        <f>BI101/IS!BI10</f>
        <v>3.3079485959067109E-2</v>
      </c>
      <c r="BJ102" s="768"/>
      <c r="BK102" s="816">
        <f>BK101/IS!BK10</f>
        <v>2.9990627928772259E-2</v>
      </c>
      <c r="BL102" s="817">
        <f>BL101/IS!BL10</f>
        <v>3.9019963702359349E-2</v>
      </c>
      <c r="BM102" s="817">
        <f>BM101/IS!BM10</f>
        <v>3.859964093357271E-2</v>
      </c>
      <c r="BN102" s="760">
        <f>BN101/IS!BN10</f>
        <v>4.878048780487805E-2</v>
      </c>
      <c r="BO102" s="762">
        <f>BO101/IS!BO10</f>
        <v>3.9355992844364938E-2</v>
      </c>
      <c r="BP102" s="768"/>
      <c r="BQ102" s="816">
        <f>BQ101/IS!BQ10</f>
        <v>4.9545829892650703E-2</v>
      </c>
      <c r="BR102" s="1653">
        <v>3.7999999999999999E-2</v>
      </c>
      <c r="BS102" s="1653">
        <f>+BR102</f>
        <v>3.7999999999999999E-2</v>
      </c>
      <c r="BT102" s="1653">
        <f>+BS102</f>
        <v>3.7999999999999999E-2</v>
      </c>
      <c r="BU102" s="762">
        <f>BU101/IS!BU10</f>
        <v>4.078082454142009E-2</v>
      </c>
      <c r="BV102" s="768"/>
      <c r="BW102" s="1652">
        <v>2.4E-2</v>
      </c>
      <c r="BX102" s="1653">
        <f>+BW102</f>
        <v>2.4E-2</v>
      </c>
      <c r="BY102" s="1653">
        <f>+BX102</f>
        <v>2.4E-2</v>
      </c>
      <c r="BZ102" s="1653">
        <f>+BY102</f>
        <v>2.4E-2</v>
      </c>
      <c r="CA102" s="762">
        <f>CA101/IS!CA10</f>
        <v>2.4000000000000004E-2</v>
      </c>
      <c r="CB102" s="760"/>
      <c r="CC102" s="1652">
        <v>2.3E-2</v>
      </c>
      <c r="CD102" s="1653">
        <f>+CC102</f>
        <v>2.3E-2</v>
      </c>
      <c r="CE102" s="1653">
        <f>+CD102</f>
        <v>2.3E-2</v>
      </c>
      <c r="CF102" s="1653">
        <f>+CE102</f>
        <v>2.3E-2</v>
      </c>
      <c r="CG102" s="762">
        <f>CG101/IS!CG10</f>
        <v>2.2999999999999996E-2</v>
      </c>
      <c r="CH102" s="743"/>
      <c r="CI102" s="1652">
        <v>2.1000000000000001E-2</v>
      </c>
      <c r="CJ102" s="1653">
        <f>+CI102</f>
        <v>2.1000000000000001E-2</v>
      </c>
      <c r="CK102" s="1653">
        <f>+CJ102</f>
        <v>2.1000000000000001E-2</v>
      </c>
      <c r="CL102" s="1653">
        <f>+CK102</f>
        <v>2.1000000000000001E-2</v>
      </c>
      <c r="CM102" s="762">
        <f>CM101/IS!CM10</f>
        <v>2.0999999999999998E-2</v>
      </c>
      <c r="CN102" s="743"/>
      <c r="CO102" s="743"/>
      <c r="CP102" s="6"/>
    </row>
    <row r="103" spans="1:94" ht="12.75" hidden="1" customHeight="1" outlineLevel="1">
      <c r="A103" s="803" t="s">
        <v>330</v>
      </c>
      <c r="B103" s="495"/>
      <c r="C103" s="1555">
        <v>0</v>
      </c>
      <c r="D103" s="1554">
        <v>0</v>
      </c>
      <c r="E103" s="1554">
        <v>0</v>
      </c>
      <c r="F103" s="1554">
        <v>0</v>
      </c>
      <c r="G103" s="703">
        <f>SUM(C103:F103)</f>
        <v>0</v>
      </c>
      <c r="H103" s="495"/>
      <c r="I103" s="1555">
        <v>0</v>
      </c>
      <c r="J103" s="1554">
        <v>0</v>
      </c>
      <c r="K103" s="1554">
        <v>0</v>
      </c>
      <c r="L103" s="1554">
        <v>0</v>
      </c>
      <c r="M103" s="703">
        <f>SUM(I103:L103)</f>
        <v>0</v>
      </c>
      <c r="N103" s="495"/>
      <c r="O103" s="1555">
        <v>0</v>
      </c>
      <c r="P103" s="1554">
        <v>0</v>
      </c>
      <c r="Q103" s="1554">
        <v>0</v>
      </c>
      <c r="R103" s="1554">
        <v>0</v>
      </c>
      <c r="S103" s="703">
        <f>SUM(O103:R103)</f>
        <v>0</v>
      </c>
      <c r="T103" s="705"/>
      <c r="U103" s="1555">
        <v>0</v>
      </c>
      <c r="V103" s="1554">
        <v>0</v>
      </c>
      <c r="W103" s="1554">
        <v>0</v>
      </c>
      <c r="X103" s="1554">
        <v>0</v>
      </c>
      <c r="Y103" s="703">
        <f>SUM(U103:X103)</f>
        <v>0</v>
      </c>
      <c r="Z103" s="705"/>
      <c r="AA103" s="1555">
        <v>0</v>
      </c>
      <c r="AB103" s="1554">
        <v>0</v>
      </c>
      <c r="AC103" s="1554">
        <v>0</v>
      </c>
      <c r="AD103" s="1554">
        <v>0</v>
      </c>
      <c r="AE103" s="703">
        <f>SUM(AA103:AD103)</f>
        <v>0</v>
      </c>
      <c r="AF103" s="705"/>
      <c r="AG103" s="1555">
        <v>0</v>
      </c>
      <c r="AH103" s="1554">
        <v>0</v>
      </c>
      <c r="AI103" s="1554">
        <v>0</v>
      </c>
      <c r="AJ103" s="1554">
        <v>0</v>
      </c>
      <c r="AK103" s="703">
        <f>SUM(AG103:AJ103)</f>
        <v>0</v>
      </c>
      <c r="AL103" s="705"/>
      <c r="AM103" s="1555">
        <v>0</v>
      </c>
      <c r="AN103" s="1554">
        <v>0</v>
      </c>
      <c r="AO103" s="1554">
        <v>0</v>
      </c>
      <c r="AP103" s="1554">
        <v>0</v>
      </c>
      <c r="AQ103" s="703">
        <f>SUM(AM103:AP103)</f>
        <v>0</v>
      </c>
      <c r="AR103" s="705"/>
      <c r="AS103" s="1555">
        <v>0</v>
      </c>
      <c r="AT103" s="1554">
        <v>0</v>
      </c>
      <c r="AU103" s="1554">
        <v>0</v>
      </c>
      <c r="AV103" s="705">
        <v>0</v>
      </c>
      <c r="AW103" s="710">
        <f>SUM(AS103:AV103)</f>
        <v>0</v>
      </c>
      <c r="AX103" s="705"/>
      <c r="AY103" s="1555">
        <v>0</v>
      </c>
      <c r="AZ103" s="1554">
        <v>0</v>
      </c>
      <c r="BA103" s="1554">
        <v>0</v>
      </c>
      <c r="BB103" s="1554">
        <v>0</v>
      </c>
      <c r="BC103" s="710">
        <f>SUM(AY103:BB103)</f>
        <v>0</v>
      </c>
      <c r="BD103" s="705"/>
      <c r="BE103" s="1555">
        <v>0</v>
      </c>
      <c r="BF103" s="1554">
        <v>0</v>
      </c>
      <c r="BG103" s="1554">
        <v>0</v>
      </c>
      <c r="BH103" s="705">
        <v>0</v>
      </c>
      <c r="BI103" s="710">
        <f>SUM(BE103:BH103)</f>
        <v>0</v>
      </c>
      <c r="BJ103" s="705"/>
      <c r="BK103" s="1555">
        <v>0</v>
      </c>
      <c r="BL103" s="1554">
        <v>0</v>
      </c>
      <c r="BM103" s="1554">
        <v>0</v>
      </c>
      <c r="BN103" s="2434">
        <v>0</v>
      </c>
      <c r="BO103" s="710">
        <f>SUM(BK103:BN103)</f>
        <v>0</v>
      </c>
      <c r="BP103" s="705"/>
      <c r="BQ103" s="1555">
        <v>0</v>
      </c>
      <c r="BR103" s="705">
        <f>-BR131*CF!BR46</f>
        <v>0</v>
      </c>
      <c r="BS103" s="705">
        <f>-BS131*CF!BS46</f>
        <v>0</v>
      </c>
      <c r="BT103" s="705">
        <f>-BT131*CF!BT46</f>
        <v>0</v>
      </c>
      <c r="BU103" s="710">
        <f>SUM(BQ103:BT103)</f>
        <v>0</v>
      </c>
      <c r="BV103" s="705"/>
      <c r="BW103" s="706">
        <f>-BW131*CF!BW46</f>
        <v>0</v>
      </c>
      <c r="BX103" s="705">
        <f>-BX131*CF!BX46</f>
        <v>0</v>
      </c>
      <c r="BY103" s="705">
        <f>-BY131*CF!BY46</f>
        <v>0</v>
      </c>
      <c r="BZ103" s="705">
        <f>-BZ131*CF!BZ46</f>
        <v>0</v>
      </c>
      <c r="CA103" s="710">
        <f>SUM(BW103:BZ103)</f>
        <v>0</v>
      </c>
      <c r="CB103" s="705"/>
      <c r="CC103" s="706">
        <f>-CC131*CF!CC46</f>
        <v>0</v>
      </c>
      <c r="CD103" s="705">
        <f>-CD131*CF!CD46</f>
        <v>0</v>
      </c>
      <c r="CE103" s="705">
        <f>-CE131*CF!CE46</f>
        <v>0</v>
      </c>
      <c r="CF103" s="705">
        <f>-CF131*CF!CF46</f>
        <v>0</v>
      </c>
      <c r="CG103" s="710">
        <f>SUM(CC103:CF103)</f>
        <v>0</v>
      </c>
      <c r="CH103" s="495"/>
      <c r="CI103" s="706">
        <f>-CI131*CF!CI46</f>
        <v>0</v>
      </c>
      <c r="CJ103" s="705">
        <f>-CJ131*CF!CJ46</f>
        <v>0</v>
      </c>
      <c r="CK103" s="705">
        <f>-CK131*CF!CK46</f>
        <v>0</v>
      </c>
      <c r="CL103" s="705">
        <f>-CL131*CF!CL46</f>
        <v>0</v>
      </c>
      <c r="CM103" s="710">
        <f>SUM(CI103:CL103)</f>
        <v>0</v>
      </c>
      <c r="CN103" s="495"/>
      <c r="CO103" s="495"/>
      <c r="CP103" s="64"/>
    </row>
    <row r="104" spans="1:94" ht="12.75" hidden="1" customHeight="1" outlineLevel="1">
      <c r="A104" s="803" t="s">
        <v>138</v>
      </c>
      <c r="B104" s="495"/>
      <c r="C104" s="1555">
        <v>0</v>
      </c>
      <c r="D104" s="705">
        <f>D107-D105-D101-D100</f>
        <v>-0.59707903780071092</v>
      </c>
      <c r="E104" s="705">
        <f>E107-E105-E101-E100</f>
        <v>4.0146048109965591</v>
      </c>
      <c r="F104" s="705">
        <f>F107-F105-F101-F100</f>
        <v>6.3204467353951941</v>
      </c>
      <c r="G104" s="703">
        <f>SUM(C104:F104)</f>
        <v>9.7379725085910422</v>
      </c>
      <c r="H104" s="495"/>
      <c r="I104" s="706">
        <f>I107-I105-I101-I100</f>
        <v>-4.75</v>
      </c>
      <c r="J104" s="705">
        <f>J107-J105-J101-J100</f>
        <v>-0.13831615120273</v>
      </c>
      <c r="K104" s="705">
        <f>K107-K105-K101-K100</f>
        <v>-0.71477663230240296</v>
      </c>
      <c r="L104" s="705">
        <f>L107-L105-L101-L100</f>
        <v>-0.13831615120273</v>
      </c>
      <c r="M104" s="703">
        <f>SUM(I104:L104)</f>
        <v>-5.741408934707863</v>
      </c>
      <c r="N104" s="495"/>
      <c r="O104" s="706">
        <f>O107-O105-O101-O100</f>
        <v>1.535223367697597</v>
      </c>
      <c r="P104" s="705">
        <f>P107-P105-P101-P100</f>
        <v>-8.2646048109966159</v>
      </c>
      <c r="Q104" s="705">
        <f>Q107-Q105-Q101-Q100</f>
        <v>7.8762886597938291</v>
      </c>
      <c r="R104" s="705">
        <f>R107-R105-R101-R100</f>
        <v>0.95876288659792408</v>
      </c>
      <c r="S104" s="703">
        <f>SUM(O104:R104)</f>
        <v>2.1056701030927343</v>
      </c>
      <c r="T104" s="705"/>
      <c r="U104" s="706">
        <f>U107-U105-U101-U100</f>
        <v>-1.3616838487972132</v>
      </c>
      <c r="V104" s="705">
        <f>V107-V105-V101-V100</f>
        <v>-0.20876288659792408</v>
      </c>
      <c r="W104" s="705">
        <f>W107-W105-W101-W100</f>
        <v>75.884020618556633</v>
      </c>
      <c r="X104" s="705">
        <f>X107-X105-X101-X100</f>
        <v>16.50859106529208</v>
      </c>
      <c r="Y104" s="703">
        <f>SUM(U104:X104)</f>
        <v>90.822164948453576</v>
      </c>
      <c r="Z104" s="705"/>
      <c r="AA104" s="706">
        <f>AA107-AA105-AA101-AA100</f>
        <v>1.9029209621993459</v>
      </c>
      <c r="AB104" s="705">
        <f>AB107-AB105-AB101-AB100</f>
        <v>13.432130584192464</v>
      </c>
      <c r="AC104" s="705">
        <f>AC107-AC105-AC101-AC100</f>
        <v>-1.5558419243985782</v>
      </c>
      <c r="AD104" s="705">
        <f>AD107-AD105-AD101-AD100</f>
        <v>4.2087628865979241</v>
      </c>
      <c r="AE104" s="703">
        <f>SUM(AA104:AD104)</f>
        <v>17.987972508591156</v>
      </c>
      <c r="AF104" s="705"/>
      <c r="AG104" s="706">
        <f>AG107-AG105-AG101-AG100</f>
        <v>0.57646048109961612</v>
      </c>
      <c r="AH104" s="705">
        <f>AH107-AH105-AH101-AH100</f>
        <v>-6.341065292096232</v>
      </c>
      <c r="AI104" s="705">
        <f>AI107-AI105-AI101-AI100</f>
        <v>82.433848797250903</v>
      </c>
      <c r="AJ104" s="705">
        <f>AJ107-AJ105-AJ101-AJ100</f>
        <v>14.411512027491426</v>
      </c>
      <c r="AK104" s="703">
        <f>SUM(AG104:AJ104)</f>
        <v>91.080756013745713</v>
      </c>
      <c r="AL104" s="705"/>
      <c r="AM104" s="706">
        <f>AM107-AM105-AM101-AM100</f>
        <v>8.7561728395061209</v>
      </c>
      <c r="AN104" s="705">
        <f>AN107-AN105-AN101-AN100</f>
        <v>-11.63271604938268</v>
      </c>
      <c r="AO104" s="705">
        <f>AO107-AO105-AO101-AO100</f>
        <v>-6.9413580246914535</v>
      </c>
      <c r="AP104" s="705">
        <f>AP107-AP105-AP101-AP100</f>
        <v>-5.1820987654319879</v>
      </c>
      <c r="AQ104" s="703">
        <f>SUM(AM104:AP104)</f>
        <v>-15</v>
      </c>
      <c r="AR104" s="705"/>
      <c r="AS104" s="706">
        <f>AS107-AS105-AS101-AS100</f>
        <v>-14.242105263157896</v>
      </c>
      <c r="AT104" s="705">
        <f>AT107-AT105-AT101-AT100</f>
        <v>-21.984210526315792</v>
      </c>
      <c r="AU104" s="705">
        <f>AU107-AU105-AU101-AU100</f>
        <v>-17.726315789473688</v>
      </c>
      <c r="AV104" s="705">
        <f>AV107-AV105-AV101-AV100</f>
        <v>-70.424724844817661</v>
      </c>
      <c r="AW104" s="710">
        <f>SUM(AS104:AV104)</f>
        <v>-124.37735642376504</v>
      </c>
      <c r="AX104" s="705"/>
      <c r="AY104" s="706">
        <f>AY107-AY105-AY101-AY100</f>
        <v>-22.220000000000027</v>
      </c>
      <c r="AZ104" s="705">
        <f>AZ107-AZ105-AZ101-AZ100</f>
        <v>-8.1100000000000136</v>
      </c>
      <c r="BA104" s="705">
        <f>BA107-BA105-BA101-BA100</f>
        <v>5.4199999999999591</v>
      </c>
      <c r="BB104" s="705">
        <f>BB107-BB105-BB101-BB100</f>
        <v>21.049999999999955</v>
      </c>
      <c r="BC104" s="710">
        <f>SUM(AY104:BB104)</f>
        <v>-3.8600000000001273</v>
      </c>
      <c r="BD104" s="705"/>
      <c r="BE104" s="706">
        <f>BE107-BE105-BE101-BE100</f>
        <v>-23.327999999999861</v>
      </c>
      <c r="BF104" s="705">
        <f>BF107-BF105-BF101-BF100</f>
        <v>21.57000000000005</v>
      </c>
      <c r="BG104" s="705">
        <f>BG107-BG105-BG101-BG100</f>
        <v>20.32000000000005</v>
      </c>
      <c r="BH104" s="705">
        <f>BH107-BH105-BH101-BH100</f>
        <v>-2.6699999999999591</v>
      </c>
      <c r="BI104" s="710">
        <f>SUM(BE104:BH104)</f>
        <v>15.89200000000028</v>
      </c>
      <c r="BJ104" s="705"/>
      <c r="BK104" s="706">
        <f>BK107-BK105-BK101-BK100</f>
        <v>7.6079999999998336</v>
      </c>
      <c r="BL104" s="705">
        <f>BL107-BL105-BL101-BL100</f>
        <v>5.4479999999999791</v>
      </c>
      <c r="BM104" s="705">
        <f>BM107-BM105-BM101-BM100</f>
        <v>21.672500000000014</v>
      </c>
      <c r="BN104" s="705">
        <f>BN107-BN105-BN101-BN100</f>
        <v>8.2662500000000136</v>
      </c>
      <c r="BO104" s="710">
        <f>SUM(BK104:BN104)</f>
        <v>42.99474999999984</v>
      </c>
      <c r="BP104" s="705"/>
      <c r="BQ104" s="706">
        <f>BQ107-BQ105-BQ101-BQ100</f>
        <v>0.73374999999998636</v>
      </c>
      <c r="BR104" s="705">
        <f>-CF!BR37-CF!BR20-CF!BR41</f>
        <v>0</v>
      </c>
      <c r="BS104" s="705">
        <f>-CF!BS37-CF!BS20-CF!BS41</f>
        <v>0</v>
      </c>
      <c r="BT104" s="705">
        <f>-CF!BT37-CF!BT20-CF!BT41</f>
        <v>0</v>
      </c>
      <c r="BU104" s="710">
        <f>SUM(BQ104:BT104)</f>
        <v>0.73374999999998636</v>
      </c>
      <c r="BV104" s="705"/>
      <c r="BW104" s="706">
        <f>-CF!BW37-CF!BW20-CF!BW41</f>
        <v>0</v>
      </c>
      <c r="BX104" s="705">
        <f>-CF!BX37-CF!BX20-CF!BX41</f>
        <v>0</v>
      </c>
      <c r="BY104" s="705">
        <f>-CF!BY37-CF!BY20-CF!BY41</f>
        <v>0</v>
      </c>
      <c r="BZ104" s="705">
        <f>-CF!BZ37-CF!BZ20-CF!BZ41</f>
        <v>0</v>
      </c>
      <c r="CA104" s="710">
        <f>SUM(BW104:BZ104)</f>
        <v>0</v>
      </c>
      <c r="CB104" s="705"/>
      <c r="CC104" s="706">
        <f>-CF!CC37-CF!CC20-CF!CC41</f>
        <v>0</v>
      </c>
      <c r="CD104" s="705">
        <f>-CF!CD37-CF!CD20-CF!CD41</f>
        <v>0</v>
      </c>
      <c r="CE104" s="705">
        <f>-CF!CE37-CF!CE20-CF!CE41</f>
        <v>0</v>
      </c>
      <c r="CF104" s="705">
        <f>-CF!CF37-CF!CF20-CF!CF41</f>
        <v>0</v>
      </c>
      <c r="CG104" s="710">
        <f>SUM(CC104:CF104)</f>
        <v>0</v>
      </c>
      <c r="CH104" s="495"/>
      <c r="CI104" s="706">
        <f>-CF!CI37-CF!CI20-CF!CI41</f>
        <v>0</v>
      </c>
      <c r="CJ104" s="705">
        <f>-CF!CJ37-CF!CJ20-CF!CJ41</f>
        <v>0</v>
      </c>
      <c r="CK104" s="705">
        <f>-CF!CK37-CF!CK20-CF!CK41</f>
        <v>0</v>
      </c>
      <c r="CL104" s="705">
        <f>-CF!CL37-CF!CL20-CF!CL41</f>
        <v>0</v>
      </c>
      <c r="CM104" s="710">
        <f>SUM(CI104:CL104)</f>
        <v>0</v>
      </c>
      <c r="CN104" s="495"/>
      <c r="CO104" s="495"/>
      <c r="CP104" s="64"/>
    </row>
    <row r="105" spans="1:94" ht="12.75" hidden="1" customHeight="1" outlineLevel="1">
      <c r="A105" s="803" t="s">
        <v>331</v>
      </c>
      <c r="B105" s="495"/>
      <c r="C105" s="749">
        <v>-11</v>
      </c>
      <c r="D105" s="750">
        <v>-11</v>
      </c>
      <c r="E105" s="750">
        <v>-11</v>
      </c>
      <c r="F105" s="750">
        <v>-11</v>
      </c>
      <c r="G105" s="703">
        <f>SUM(C105:F105)</f>
        <v>-44</v>
      </c>
      <c r="H105" s="495"/>
      <c r="I105" s="749">
        <v>-10.25</v>
      </c>
      <c r="J105" s="750">
        <v>-10.25</v>
      </c>
      <c r="K105" s="750">
        <v>-10.25</v>
      </c>
      <c r="L105" s="750">
        <v>-10.25</v>
      </c>
      <c r="M105" s="703">
        <f>SUM(I105:L105)</f>
        <v>-41</v>
      </c>
      <c r="N105" s="495"/>
      <c r="O105" s="749">
        <v>-10.25</v>
      </c>
      <c r="P105" s="750">
        <v>-10.25</v>
      </c>
      <c r="Q105" s="750">
        <v>-10.25</v>
      </c>
      <c r="R105" s="750">
        <v>-10.25</v>
      </c>
      <c r="S105" s="703">
        <f>SUM(O105:R105)</f>
        <v>-41</v>
      </c>
      <c r="T105" s="705"/>
      <c r="U105" s="749">
        <v>-14.5</v>
      </c>
      <c r="V105" s="750">
        <v>-14.5</v>
      </c>
      <c r="W105" s="750">
        <v>-14.5</v>
      </c>
      <c r="X105" s="750">
        <v>-14.5</v>
      </c>
      <c r="Y105" s="703">
        <f>SUM(U105:X105)</f>
        <v>-58</v>
      </c>
      <c r="Z105" s="705"/>
      <c r="AA105" s="749">
        <v>-16.75</v>
      </c>
      <c r="AB105" s="750">
        <v>-16.75</v>
      </c>
      <c r="AC105" s="750">
        <v>-16.75</v>
      </c>
      <c r="AD105" s="750">
        <v>-16.75</v>
      </c>
      <c r="AE105" s="703">
        <f>SUM(AA105:AD105)</f>
        <v>-67</v>
      </c>
      <c r="AF105" s="705"/>
      <c r="AG105" s="749">
        <v>-22</v>
      </c>
      <c r="AH105" s="750">
        <v>-22</v>
      </c>
      <c r="AI105" s="750">
        <v>-22</v>
      </c>
      <c r="AJ105" s="750">
        <v>-22</v>
      </c>
      <c r="AK105" s="703">
        <f>SUM(AG105:AJ105)</f>
        <v>-88</v>
      </c>
      <c r="AL105" s="705"/>
      <c r="AM105" s="749">
        <v>-24.5</v>
      </c>
      <c r="AN105" s="750">
        <v>-24.5</v>
      </c>
      <c r="AO105" s="750">
        <v>-24.5</v>
      </c>
      <c r="AP105" s="750">
        <v>-24.5</v>
      </c>
      <c r="AQ105" s="703">
        <f>SUM(AM105:AP105)</f>
        <v>-98</v>
      </c>
      <c r="AR105" s="705"/>
      <c r="AS105" s="749">
        <v>-24.757894736842104</v>
      </c>
      <c r="AT105" s="750">
        <v>-25.015789473684212</v>
      </c>
      <c r="AU105" s="750">
        <v>-25.273684210526319</v>
      </c>
      <c r="AV105" s="705">
        <f>(-AV106*IS!AV10)/4</f>
        <v>-26.125324709196185</v>
      </c>
      <c r="AW105" s="710">
        <f>SUM(AS105:AV105)</f>
        <v>-101.1726931302488</v>
      </c>
      <c r="AX105" s="705"/>
      <c r="AY105" s="706">
        <f>(-AY106*IS!AY10)/4</f>
        <v>-30.779999999999998</v>
      </c>
      <c r="AZ105" s="705">
        <f>(-AZ106*IS!AZ10)/4</f>
        <v>-28.89</v>
      </c>
      <c r="BA105" s="705">
        <f>(-BA106*IS!BA10)/4</f>
        <v>-30.419999999999998</v>
      </c>
      <c r="BB105" s="705">
        <f>(-BB106*IS!BB10)/4</f>
        <v>-31.049999999999997</v>
      </c>
      <c r="BC105" s="710">
        <f>SUM(AY105:BB105)</f>
        <v>-121.14</v>
      </c>
      <c r="BD105" s="705"/>
      <c r="BE105" s="706">
        <f>(-BE106*IS!BE10)/4</f>
        <v>-24.672000000000001</v>
      </c>
      <c r="BF105" s="705">
        <f>(-BF106*IS!BF10)/4</f>
        <v>-30.57</v>
      </c>
      <c r="BG105" s="705">
        <f>(-BG106*IS!BG10)/4</f>
        <v>-31.32</v>
      </c>
      <c r="BH105" s="705">
        <f>(-BH106*IS!BH10)/4</f>
        <v>-33.33</v>
      </c>
      <c r="BI105" s="710">
        <f>SUM(BE105:BH105)</f>
        <v>-119.89200000000001</v>
      </c>
      <c r="BJ105" s="705"/>
      <c r="BK105" s="706">
        <f>(-BK106*IS!BK10)/4</f>
        <v>-25.608000000000001</v>
      </c>
      <c r="BL105" s="705">
        <f>(-BL106*IS!BL10)/4</f>
        <v>-26.448</v>
      </c>
      <c r="BM105" s="705">
        <f>(-BM106*IS!BM10)/4</f>
        <v>-23.672500000000003</v>
      </c>
      <c r="BN105" s="705">
        <f>(-BN106*IS!BN10)/4</f>
        <v>-25.266250000000003</v>
      </c>
      <c r="BO105" s="710">
        <f>SUM(BK105:BN105)</f>
        <v>-100.99475</v>
      </c>
      <c r="BP105" s="705"/>
      <c r="BQ105" s="706">
        <f>(-BQ106*IS!BQ10)/4</f>
        <v>-25.733750000000001</v>
      </c>
      <c r="BR105" s="705">
        <f>(-BR106*IS!BR10)/4</f>
        <v>-26.683708043863088</v>
      </c>
      <c r="BS105" s="705">
        <f>(-BS106*IS!BS10)/4</f>
        <v>-26.412461936449763</v>
      </c>
      <c r="BT105" s="705">
        <f>(-BT106*IS!BT10)/4</f>
        <v>-28.015188574529319</v>
      </c>
      <c r="BU105" s="710">
        <f>SUM(BQ105:BT105)</f>
        <v>-106.84510855484217</v>
      </c>
      <c r="BV105" s="705"/>
      <c r="BW105" s="706">
        <f>(-BW106*IS!BW10)/4</f>
        <v>-30.698914122958854</v>
      </c>
      <c r="BX105" s="705">
        <f>(-BX106*IS!BX10)/4</f>
        <v>-31.837945831887669</v>
      </c>
      <c r="BY105" s="705">
        <f>(-BY106*IS!BY10)/4</f>
        <v>-31.908831383913952</v>
      </c>
      <c r="BZ105" s="705">
        <f>(-BZ106*IS!BZ10)/4</f>
        <v>-33.76433817700525</v>
      </c>
      <c r="CA105" s="710">
        <f>SUM(BW105:BZ105)</f>
        <v>-128.21002951576571</v>
      </c>
      <c r="CB105" s="705"/>
      <c r="CC105" s="706">
        <f>(-CC106*IS!CC10)/4</f>
        <v>-32.504902411372356</v>
      </c>
      <c r="CD105" s="705">
        <f>(-CD106*IS!CD10)/4</f>
        <v>-33.805914093308388</v>
      </c>
      <c r="CE105" s="705">
        <f>(-CE106*IS!CE10)/4</f>
        <v>-34.142271468902592</v>
      </c>
      <c r="CF105" s="705">
        <f>(-CF106*IS!CF10)/4</f>
        <v>-36.005646096635026</v>
      </c>
      <c r="CG105" s="710">
        <f>SUM(CC105:CF105)</f>
        <v>-136.45873407021836</v>
      </c>
      <c r="CH105" s="495"/>
      <c r="CI105" s="706">
        <f>(-CI106*IS!CI10)/4</f>
        <v>-34.482696656082254</v>
      </c>
      <c r="CJ105" s="705">
        <f>(-CJ106*IS!CJ10)/4</f>
        <v>-35.973624923158617</v>
      </c>
      <c r="CK105" s="705">
        <f>(-CK106*IS!CK10)/4</f>
        <v>-36.658314497657116</v>
      </c>
      <c r="CL105" s="705">
        <f>(-CL106*IS!CL10)/4</f>
        <v>-38.506804888259879</v>
      </c>
      <c r="CM105" s="710">
        <f>SUM(CI105:CL105)</f>
        <v>-145.62144096515786</v>
      </c>
      <c r="CN105" s="495"/>
      <c r="CO105" s="495"/>
      <c r="CP105" s="64"/>
    </row>
    <row r="106" spans="1:94" ht="12.75" hidden="1" customHeight="1" outlineLevel="1">
      <c r="A106" s="815" t="s">
        <v>332</v>
      </c>
      <c r="B106" s="743"/>
      <c r="C106" s="759">
        <f>(-C105/IS!C10)*4</f>
        <v>9.6703296703296707E-2</v>
      </c>
      <c r="D106" s="760">
        <f>(-D105/IS!D10)*4</f>
        <v>0.10280373831775701</v>
      </c>
      <c r="E106" s="760">
        <f>(-E105/IS!E10)*4</f>
        <v>9.3816631130063971E-2</v>
      </c>
      <c r="F106" s="760">
        <f>(-F105/IS!F10)*4</f>
        <v>8.3969465648854963E-2</v>
      </c>
      <c r="G106" s="762">
        <f>-G105/IS!G10</f>
        <v>2.3454157782515993E-2</v>
      </c>
      <c r="H106" s="743"/>
      <c r="I106" s="759">
        <f>(-I105/IS!I10)*4</f>
        <v>7.7212806026365349E-2</v>
      </c>
      <c r="J106" s="760">
        <f>(-J105/IS!J10)*4</f>
        <v>7.7358490566037733E-2</v>
      </c>
      <c r="K106" s="760">
        <f>(-K105/IS!K10)*4</f>
        <v>7.5925925925925924E-2</v>
      </c>
      <c r="L106" s="760">
        <f>(-L105/IS!L10)*4</f>
        <v>6.9023569023569029E-2</v>
      </c>
      <c r="M106" s="762">
        <f>-M105/IS!M10</f>
        <v>1.867881548974943E-2</v>
      </c>
      <c r="N106" s="743"/>
      <c r="O106" s="759">
        <f>(-O105/IS!O10)*4</f>
        <v>7.8095238095238093E-2</v>
      </c>
      <c r="P106" s="760">
        <f>(-P105/IS!P10)*4</f>
        <v>8.2329317269076302E-2</v>
      </c>
      <c r="Q106" s="760">
        <f>(-Q105/IS!Q10)*4</f>
        <v>8.2661290322580641E-2</v>
      </c>
      <c r="R106" s="760">
        <f>(-R105/IS!R10)*4</f>
        <v>7.5367647058823525E-2</v>
      </c>
      <c r="S106" s="762">
        <f>-S105/IS!S10</f>
        <v>1.9873969946679594E-2</v>
      </c>
      <c r="T106" s="768"/>
      <c r="U106" s="759">
        <f>(-U105/IS!U10)*4</f>
        <v>9.9315068493150679E-2</v>
      </c>
      <c r="V106" s="760">
        <f>(-V105/IS!V10)*4</f>
        <v>0.10139860139860139</v>
      </c>
      <c r="W106" s="760">
        <f>(-W105/IS!W10)*4</f>
        <v>8.2503556187766711E-2</v>
      </c>
      <c r="X106" s="760">
        <f>(-X105/IS!X10)*4</f>
        <v>7.0731707317073164E-2</v>
      </c>
      <c r="Y106" s="762">
        <f>-Y105/IS!Y10</f>
        <v>2.1649869354236656E-2</v>
      </c>
      <c r="Z106" s="768"/>
      <c r="AA106" s="759">
        <f>(-AA105/IS!AA10)*4</f>
        <v>8.8977423638778225E-2</v>
      </c>
      <c r="AB106" s="760">
        <f>(-AB105/IS!AB10)*4</f>
        <v>7.9289940828402364E-2</v>
      </c>
      <c r="AC106" s="760">
        <f>(-AC105/IS!AC10)*4</f>
        <v>8.0143540669856461E-2</v>
      </c>
      <c r="AD106" s="760">
        <f>(-AD105/IS!AD10)*4</f>
        <v>7.6484018264840178E-2</v>
      </c>
      <c r="AE106" s="762">
        <f>-AE105/IS!AE10</f>
        <v>2.0241691842900301E-2</v>
      </c>
      <c r="AF106" s="768"/>
      <c r="AG106" s="759">
        <f>(-AG105/IS!AG10)*4</f>
        <v>0.10268378063010501</v>
      </c>
      <c r="AH106" s="760">
        <f>(-AH105/IS!AH10)*4</f>
        <v>0.10268378063010501</v>
      </c>
      <c r="AI106" s="760">
        <f>(-AI105/IS!AI10)*4</f>
        <v>0.10022779043280182</v>
      </c>
      <c r="AJ106" s="760">
        <f>(-AJ105/IS!AJ10)*4</f>
        <v>9.2534174553101992E-2</v>
      </c>
      <c r="AK106" s="762">
        <f>-AK105/IS!AK10</f>
        <v>2.4837708156929157E-2</v>
      </c>
      <c r="AL106" s="768"/>
      <c r="AM106" s="759">
        <f>(-AM105/IS!AM10)*4</f>
        <v>0.1022964509394572</v>
      </c>
      <c r="AN106" s="760">
        <f>(-AN105/IS!AN10)*4</f>
        <v>0.10082304526748971</v>
      </c>
      <c r="AO106" s="760">
        <f>(-AO105/IS!AO10)*4</f>
        <v>0.10304942166140904</v>
      </c>
      <c r="AP106" s="760">
        <f>(-AP105/IS!AP10)*4</f>
        <v>9.6742349457058244E-2</v>
      </c>
      <c r="AQ106" s="762">
        <f>-AQ105/IS!AQ10</f>
        <v>2.5166923472008218E-2</v>
      </c>
      <c r="AR106" s="768"/>
      <c r="AS106" s="759">
        <f>(-AS105/IS!AS10)*4</f>
        <v>9.8245614035087719E-2</v>
      </c>
      <c r="AT106" s="760">
        <f>(-AT105/IS!AT10)*4</f>
        <v>0.10127849989345834</v>
      </c>
      <c r="AU106" s="760">
        <f>(-AU105/IS!AU10)*4</f>
        <v>0.10019299984351365</v>
      </c>
      <c r="AV106" s="1653">
        <f>AU106</f>
        <v>0.10019299984351365</v>
      </c>
      <c r="AW106" s="762">
        <f>-AW105/IS!AW10</f>
        <v>2.499325423178083E-2</v>
      </c>
      <c r="AX106" s="768"/>
      <c r="AY106" s="1652">
        <v>0.12</v>
      </c>
      <c r="AZ106" s="1653">
        <v>0.12</v>
      </c>
      <c r="BA106" s="1653">
        <v>0.12</v>
      </c>
      <c r="BB106" s="1653">
        <v>0.12</v>
      </c>
      <c r="BC106" s="762">
        <f>-BC105/IS!BC10</f>
        <v>0.03</v>
      </c>
      <c r="BD106" s="768"/>
      <c r="BE106" s="1652">
        <v>9.6000000000000002E-2</v>
      </c>
      <c r="BF106" s="1653">
        <v>0.12</v>
      </c>
      <c r="BG106" s="1653">
        <v>0.12</v>
      </c>
      <c r="BH106" s="1653">
        <v>0.12</v>
      </c>
      <c r="BI106" s="762">
        <f>-BI105/IS!BI10</f>
        <v>2.8532127558305573E-2</v>
      </c>
      <c r="BJ106" s="768"/>
      <c r="BK106" s="1652">
        <v>9.6000000000000002E-2</v>
      </c>
      <c r="BL106" s="1653">
        <f>BK106</f>
        <v>9.6000000000000002E-2</v>
      </c>
      <c r="BM106" s="1653">
        <v>8.5000000000000006E-2</v>
      </c>
      <c r="BN106" s="1653">
        <v>8.5000000000000006E-2</v>
      </c>
      <c r="BO106" s="762">
        <f>-BO105/IS!BO10</f>
        <v>2.2583799194991056E-2</v>
      </c>
      <c r="BP106" s="768"/>
      <c r="BQ106" s="1652">
        <f>BN106</f>
        <v>8.5000000000000006E-2</v>
      </c>
      <c r="BR106" s="1653">
        <f>BQ106</f>
        <v>8.5000000000000006E-2</v>
      </c>
      <c r="BS106" s="1653">
        <f>BR106</f>
        <v>8.5000000000000006E-2</v>
      </c>
      <c r="BT106" s="1653">
        <f>BS106</f>
        <v>8.5000000000000006E-2</v>
      </c>
      <c r="BU106" s="762">
        <f>-BU105/IS!BU10</f>
        <v>2.1249999999999998E-2</v>
      </c>
      <c r="BV106" s="768"/>
      <c r="BW106" s="1652">
        <v>9.5000000000000001E-2</v>
      </c>
      <c r="BX106" s="1653">
        <f>BW106</f>
        <v>9.5000000000000001E-2</v>
      </c>
      <c r="BY106" s="1653">
        <f>BX106</f>
        <v>9.5000000000000001E-2</v>
      </c>
      <c r="BZ106" s="1653">
        <f>BY106</f>
        <v>9.5000000000000001E-2</v>
      </c>
      <c r="CA106" s="762">
        <f>-CA105/IS!CA10</f>
        <v>2.375E-2</v>
      </c>
      <c r="CB106" s="760"/>
      <c r="CC106" s="1652">
        <v>9.5000000000000001E-2</v>
      </c>
      <c r="CD106" s="1653">
        <f>CC106</f>
        <v>9.5000000000000001E-2</v>
      </c>
      <c r="CE106" s="1653">
        <f>CD106</f>
        <v>9.5000000000000001E-2</v>
      </c>
      <c r="CF106" s="1653">
        <f>CE106</f>
        <v>9.5000000000000001E-2</v>
      </c>
      <c r="CG106" s="762">
        <f>-CG105/IS!CG10</f>
        <v>2.375E-2</v>
      </c>
      <c r="CH106" s="743"/>
      <c r="CI106" s="1652">
        <v>9.5000000000000001E-2</v>
      </c>
      <c r="CJ106" s="1653">
        <f>CI106</f>
        <v>9.5000000000000001E-2</v>
      </c>
      <c r="CK106" s="1653">
        <f>CJ106</f>
        <v>9.5000000000000001E-2</v>
      </c>
      <c r="CL106" s="1653">
        <f>CK106</f>
        <v>9.5000000000000001E-2</v>
      </c>
      <c r="CM106" s="762">
        <f>-CM105/IS!CM10</f>
        <v>2.3749999999999997E-2</v>
      </c>
      <c r="CN106" s="743"/>
      <c r="CO106" s="743"/>
      <c r="CP106" s="6"/>
    </row>
    <row r="107" spans="1:94" ht="12.75" customHeight="1" collapsed="1">
      <c r="A107" s="770" t="s">
        <v>333</v>
      </c>
      <c r="B107" s="495"/>
      <c r="C107" s="749">
        <f>C16</f>
        <v>446.75687285223364</v>
      </c>
      <c r="D107" s="750">
        <f>D16</f>
        <v>447.90979381443293</v>
      </c>
      <c r="E107" s="750">
        <f>E16</f>
        <v>453.67439862542949</v>
      </c>
      <c r="F107" s="750">
        <f>F16</f>
        <v>461.74484536082468</v>
      </c>
      <c r="G107" s="703">
        <f>G16</f>
        <v>461.74484536082468</v>
      </c>
      <c r="H107" s="495"/>
      <c r="I107" s="749">
        <f>I16</f>
        <v>461.74484536082468</v>
      </c>
      <c r="J107" s="750">
        <f>J16</f>
        <v>466.35652920962195</v>
      </c>
      <c r="K107" s="750">
        <f>K16</f>
        <v>470.39175257731955</v>
      </c>
      <c r="L107" s="750">
        <f>L16</f>
        <v>475.00343642611682</v>
      </c>
      <c r="M107" s="703">
        <f>M16</f>
        <v>475.00343642611682</v>
      </c>
      <c r="N107" s="495"/>
      <c r="O107" s="749">
        <f>O16</f>
        <v>479.03865979381442</v>
      </c>
      <c r="P107" s="750">
        <f>P16</f>
        <v>473.2740549828178</v>
      </c>
      <c r="Q107" s="750">
        <f>Q16</f>
        <v>483.65034364261163</v>
      </c>
      <c r="R107" s="750">
        <f>R16</f>
        <v>487.10910652920955</v>
      </c>
      <c r="S107" s="703">
        <f>S16</f>
        <v>487.10910652920955</v>
      </c>
      <c r="T107" s="705"/>
      <c r="U107" s="749">
        <f>U16</f>
        <v>482.49742268041234</v>
      </c>
      <c r="V107" s="750">
        <f>V16</f>
        <v>479.03865979381442</v>
      </c>
      <c r="W107" s="750">
        <f>W16</f>
        <v>551.67268041237105</v>
      </c>
      <c r="X107" s="750">
        <f>X16</f>
        <v>564.93127147766313</v>
      </c>
      <c r="Y107" s="703">
        <f>Y16</f>
        <v>564.93127147766313</v>
      </c>
      <c r="Z107" s="705"/>
      <c r="AA107" s="749">
        <f>AA16</f>
        <v>566.08419243986248</v>
      </c>
      <c r="AB107" s="750">
        <f>AB16</f>
        <v>578.76632302405494</v>
      </c>
      <c r="AC107" s="750">
        <f>AC16</f>
        <v>576.46048109965636</v>
      </c>
      <c r="AD107" s="750">
        <f>AD16</f>
        <v>579.91924398625429</v>
      </c>
      <c r="AE107" s="703">
        <f>AE16</f>
        <v>579.91924398625429</v>
      </c>
      <c r="AF107" s="705"/>
      <c r="AG107" s="749">
        <f>AG16</f>
        <v>580.4957044673539</v>
      </c>
      <c r="AH107" s="750">
        <f>AH16</f>
        <v>574.15463917525767</v>
      </c>
      <c r="AI107" s="750">
        <f>AI16</f>
        <v>656.58848797250857</v>
      </c>
      <c r="AJ107" s="750">
        <f>AJ16</f>
        <v>671</v>
      </c>
      <c r="AK107" s="703">
        <f>AK16</f>
        <v>671</v>
      </c>
      <c r="AL107" s="705"/>
      <c r="AM107" s="749">
        <f>AM16</f>
        <v>682.00617283950612</v>
      </c>
      <c r="AN107" s="750">
        <f>AN16</f>
        <v>672.62345679012344</v>
      </c>
      <c r="AO107" s="750">
        <f>AO16</f>
        <v>667.93209876543199</v>
      </c>
      <c r="AP107" s="750">
        <f>AP16</f>
        <v>665</v>
      </c>
      <c r="AQ107" s="703">
        <f>AQ16</f>
        <v>665</v>
      </c>
      <c r="AR107" s="705"/>
      <c r="AS107" s="706">
        <f>AS16</f>
        <v>671</v>
      </c>
      <c r="AT107" s="750">
        <f>AT16</f>
        <v>677</v>
      </c>
      <c r="AU107" s="750">
        <f>AU16</f>
        <v>680</v>
      </c>
      <c r="AV107" s="705">
        <f>AV16</f>
        <v>631</v>
      </c>
      <c r="AW107" s="710">
        <f>AW100+AW101+AW103+AW104+AW105</f>
        <v>631</v>
      </c>
      <c r="AX107" s="705"/>
      <c r="AY107" s="706">
        <f>AY16</f>
        <v>610</v>
      </c>
      <c r="AZ107" s="705">
        <f>AZ16</f>
        <v>593</v>
      </c>
      <c r="BA107" s="705">
        <f>BA16</f>
        <v>587</v>
      </c>
      <c r="BB107" s="705">
        <f>BB16</f>
        <v>604</v>
      </c>
      <c r="BC107" s="710">
        <f>BC100+BC101+BC103+BC104+BC105</f>
        <v>603.99999999999989</v>
      </c>
      <c r="BD107" s="705"/>
      <c r="BE107" s="706">
        <f>BE16</f>
        <v>594</v>
      </c>
      <c r="BF107" s="705">
        <f>BF16</f>
        <v>610</v>
      </c>
      <c r="BG107" s="705">
        <f>BG16</f>
        <v>623</v>
      </c>
      <c r="BH107" s="705">
        <f>BH16</f>
        <v>639</v>
      </c>
      <c r="BI107" s="710">
        <f>BI100+BI101+BI103+BI104+BI105</f>
        <v>639.00000000000011</v>
      </c>
      <c r="BJ107" s="705"/>
      <c r="BK107" s="706">
        <f>BK16</f>
        <v>653</v>
      </c>
      <c r="BL107" s="705">
        <f>BL16</f>
        <v>675</v>
      </c>
      <c r="BM107" s="705">
        <f>BM16</f>
        <v>716</v>
      </c>
      <c r="BN107" s="705">
        <f>BN16</f>
        <v>757</v>
      </c>
      <c r="BO107" s="710">
        <f>BO100+BO101+BO103+BO104+BO105</f>
        <v>757</v>
      </c>
      <c r="BP107" s="705"/>
      <c r="BQ107" s="706">
        <f>BQ16</f>
        <v>792</v>
      </c>
      <c r="BR107" s="705">
        <f>BR100+BR101+BR103+BR104+BR105</f>
        <v>813.03304045810376</v>
      </c>
      <c r="BS107" s="705">
        <f>BS100+BS101+BS103+BS104+BS105</f>
        <v>833.85227516095244</v>
      </c>
      <c r="BT107" s="705">
        <f>BT100+BT101+BT103+BT104+BT105</f>
        <v>855.9348355667579</v>
      </c>
      <c r="BU107" s="710">
        <f>BU100+BU101+BU103+BU104+BU105</f>
        <v>855.93483556675801</v>
      </c>
      <c r="BV107" s="705"/>
      <c r="BW107" s="706">
        <f>BW100+BW101+BW103+BW104+BW105</f>
        <v>856.25798203121019</v>
      </c>
      <c r="BX107" s="705">
        <f>BX100+BX101+BX103+BX104+BX105</f>
        <v>856.59311830312481</v>
      </c>
      <c r="BY107" s="705">
        <f>BY100+BY101+BY103+BY104+BY105</f>
        <v>856.929000738745</v>
      </c>
      <c r="BZ107" s="705">
        <f>BZ100+BZ101+BZ103+BZ104+BZ105</f>
        <v>857.28441482481878</v>
      </c>
      <c r="CA107" s="710">
        <f>CA100+CA101+CA103+CA104+CA105</f>
        <v>857.28441482481867</v>
      </c>
      <c r="CB107" s="705"/>
      <c r="CC107" s="706">
        <f>CC100+CC101+CC103+CC104+CC105</f>
        <v>856.25794422235435</v>
      </c>
      <c r="CD107" s="705">
        <f>CD100+CD101+CD103+CD104+CD105</f>
        <v>855.19038904046045</v>
      </c>
      <c r="CE107" s="705">
        <f>CE100+CE101+CE103+CE104+CE105</f>
        <v>854.11221204670562</v>
      </c>
      <c r="CF107" s="705">
        <f>CF100+CF101+CF103+CF104+CF105</f>
        <v>852.97519164365394</v>
      </c>
      <c r="CG107" s="710">
        <f>CG100+CG101+CG103+CG104+CG105</f>
        <v>852.97519164365383</v>
      </c>
      <c r="CH107" s="495"/>
      <c r="CI107" s="706">
        <f>CI100+CI101+CI103+CI104+CI105</f>
        <v>848.98245834663385</v>
      </c>
      <c r="CJ107" s="705">
        <f>CJ100+CJ101+CJ103+CJ104+CJ105</f>
        <v>844.81709125026816</v>
      </c>
      <c r="CK107" s="705">
        <f>CK100+CK101+CK103+CK104+CK105</f>
        <v>840.57244430843423</v>
      </c>
      <c r="CL107" s="705">
        <f>CL100+CL101+CL103+CL104+CL105</f>
        <v>836.11376163716204</v>
      </c>
      <c r="CM107" s="710">
        <f>CM100+CM101+CM103+CM104+CM105</f>
        <v>836.11376163716193</v>
      </c>
      <c r="CN107" s="495"/>
      <c r="CO107" s="495"/>
      <c r="CP107" s="64"/>
    </row>
    <row r="108" spans="1:94" ht="12.75" customHeight="1">
      <c r="A108" s="770"/>
      <c r="B108" s="495"/>
      <c r="C108" s="706"/>
      <c r="D108" s="705"/>
      <c r="E108" s="705"/>
      <c r="F108" s="705"/>
      <c r="G108" s="819"/>
      <c r="H108" s="495"/>
      <c r="I108" s="706"/>
      <c r="J108" s="705"/>
      <c r="K108" s="705"/>
      <c r="L108" s="705"/>
      <c r="M108" s="819"/>
      <c r="N108" s="495"/>
      <c r="O108" s="706"/>
      <c r="P108" s="705"/>
      <c r="Q108" s="705"/>
      <c r="R108" s="705"/>
      <c r="S108" s="819">
        <f>S107-R107</f>
        <v>0</v>
      </c>
      <c r="T108" s="705"/>
      <c r="U108" s="706"/>
      <c r="V108" s="705"/>
      <c r="W108" s="705"/>
      <c r="X108" s="705"/>
      <c r="Y108" s="819">
        <f>Y107-X107</f>
        <v>0</v>
      </c>
      <c r="Z108" s="705"/>
      <c r="AA108" s="706"/>
      <c r="AB108" s="705"/>
      <c r="AC108" s="705"/>
      <c r="AD108" s="705"/>
      <c r="AE108" s="819">
        <f>AE107-AD107</f>
        <v>0</v>
      </c>
      <c r="AF108" s="705"/>
      <c r="AG108" s="706"/>
      <c r="AH108" s="705"/>
      <c r="AI108" s="705"/>
      <c r="AJ108" s="705"/>
      <c r="AK108" s="819">
        <f>AK107-AJ107</f>
        <v>0</v>
      </c>
      <c r="AL108" s="705"/>
      <c r="AM108" s="706"/>
      <c r="AN108" s="705"/>
      <c r="AO108" s="705"/>
      <c r="AP108" s="705"/>
      <c r="AQ108" s="819">
        <f>AQ107-AP107</f>
        <v>0</v>
      </c>
      <c r="AR108" s="705"/>
      <c r="AS108" s="706"/>
      <c r="AT108" s="705"/>
      <c r="AU108" s="705"/>
      <c r="AV108" s="705"/>
      <c r="AW108" s="819">
        <f>AW107-AV107</f>
        <v>0</v>
      </c>
      <c r="AX108" s="705"/>
      <c r="AY108" s="706"/>
      <c r="AZ108" s="705"/>
      <c r="BA108" s="705"/>
      <c r="BB108" s="705"/>
      <c r="BC108" s="819">
        <f>BC107-BB107</f>
        <v>0</v>
      </c>
      <c r="BD108" s="705"/>
      <c r="BE108" s="706"/>
      <c r="BF108" s="705"/>
      <c r="BG108" s="705"/>
      <c r="BH108" s="705"/>
      <c r="BI108" s="819">
        <f>BI107-BH107</f>
        <v>0</v>
      </c>
      <c r="BJ108" s="705"/>
      <c r="BK108" s="706"/>
      <c r="BL108" s="705"/>
      <c r="BM108" s="705"/>
      <c r="BN108" s="705"/>
      <c r="BO108" s="819">
        <f>BO107-BN107</f>
        <v>0</v>
      </c>
      <c r="BP108" s="705"/>
      <c r="BQ108" s="706"/>
      <c r="BR108" s="705"/>
      <c r="BS108" s="705"/>
      <c r="BT108" s="705"/>
      <c r="BU108" s="819">
        <f>BU107-BT107</f>
        <v>0</v>
      </c>
      <c r="BV108" s="705"/>
      <c r="BW108" s="706"/>
      <c r="BX108" s="705"/>
      <c r="BY108" s="705"/>
      <c r="BZ108" s="705"/>
      <c r="CA108" s="819">
        <f>CA107-BZ107</f>
        <v>0</v>
      </c>
      <c r="CB108" s="1246"/>
      <c r="CC108" s="706"/>
      <c r="CD108" s="705"/>
      <c r="CE108" s="705"/>
      <c r="CF108" s="705"/>
      <c r="CG108" s="819">
        <f>CG107-CF107</f>
        <v>0</v>
      </c>
      <c r="CH108" s="495"/>
      <c r="CI108" s="706"/>
      <c r="CJ108" s="705"/>
      <c r="CK108" s="705"/>
      <c r="CL108" s="705"/>
      <c r="CM108" s="819">
        <f>CM107-CL107</f>
        <v>0</v>
      </c>
      <c r="CN108" s="495"/>
      <c r="CO108" s="495"/>
      <c r="CP108" s="64"/>
    </row>
    <row r="109" spans="1:94" ht="12.75" customHeight="1">
      <c r="A109" s="770" t="s">
        <v>334</v>
      </c>
      <c r="B109" s="495"/>
      <c r="C109" s="706">
        <f>(C100+C101+C103)/-(C105*4)</f>
        <v>10.483110746641673</v>
      </c>
      <c r="D109" s="705">
        <f>(D100+D101+D103)/-(D105*4)</f>
        <v>10.443338019368946</v>
      </c>
      <c r="E109" s="705">
        <f>(E100+E101+E103)/-(E105*4)</f>
        <v>10.469540768509839</v>
      </c>
      <c r="F109" s="705">
        <f>(F100+F101+F103)/-(F105*4)</f>
        <v>10.600554514214307</v>
      </c>
      <c r="G109" s="710">
        <f>(G100+G101+G103)/-(G105)</f>
        <v>11.352428928459856</v>
      </c>
      <c r="H109" s="495"/>
      <c r="I109" s="706">
        <f>(I100+I101+I103)/-(I105*4)</f>
        <v>11.627923057581089</v>
      </c>
      <c r="J109" s="705">
        <f>(J100+J101+J103)/-(J105*4)</f>
        <v>11.627923057581089</v>
      </c>
      <c r="K109" s="705">
        <f>(K100+K101+K103)/-(K105*4)</f>
        <v>11.740403151454194</v>
      </c>
      <c r="L109" s="705">
        <f>(L100+L101+L103)/-(L105*4)</f>
        <v>11.83882323359316</v>
      </c>
      <c r="M109" s="710">
        <f>(M100+M101+M103)/-(M105)</f>
        <v>12.725484033190845</v>
      </c>
      <c r="N109" s="495"/>
      <c r="O109" s="706">
        <f>(O100+O101+O103)/-(O105*4)</f>
        <v>11.896425278685776</v>
      </c>
      <c r="P109" s="705">
        <f>(P100+P101+P103)/-(P105*4)</f>
        <v>11.994845360824742</v>
      </c>
      <c r="Q109" s="705">
        <f>(Q100+Q101+Q103)/-(Q105*4)</f>
        <v>11.85424524348336</v>
      </c>
      <c r="R109" s="705">
        <f>(R100+R101+R103)/-(R105*4)</f>
        <v>12.107325454697845</v>
      </c>
      <c r="S109" s="710">
        <f>(S100+S101+S103)/-(S105)</f>
        <v>12.829352107954071</v>
      </c>
      <c r="T109" s="705"/>
      <c r="U109" s="706">
        <f>(U100+U101+U103)/-(U105*4)</f>
        <v>8.5923983884346473</v>
      </c>
      <c r="V109" s="705">
        <f>(V100+V101+V103)/-(V105*4)</f>
        <v>8.5128865979381434</v>
      </c>
      <c r="W109" s="705">
        <f>(W100+W101+W103)/-(W105*4)</f>
        <v>8.4532527550657655</v>
      </c>
      <c r="X109" s="705">
        <f>(X100+X101+X103)/-(X105*4)</f>
        <v>9.7055634553857075</v>
      </c>
      <c r="Y109" s="710">
        <f>(Y100+Y101+Y103)/-(Y105)</f>
        <v>9.1742949401587861</v>
      </c>
      <c r="Z109" s="705"/>
      <c r="AA109" s="706">
        <f>(AA100+AA101+AA103)/-(AA105*4)</f>
        <v>8.6706159922039276</v>
      </c>
      <c r="AB109" s="705">
        <f>(AB100+AB101+AB103)/-(AB105*4)</f>
        <v>8.6878237677591414</v>
      </c>
      <c r="AC109" s="705">
        <f>(AC100+AC101+AC103)/-(AC105*4)</f>
        <v>8.8771092988664915</v>
      </c>
      <c r="AD109" s="705">
        <f>(AD100+AD101+AD103)/-(AD105*4)</f>
        <v>8.8426937477560656</v>
      </c>
      <c r="AE109" s="710">
        <f>(AE100+AE101+AE103)/-(AE105)</f>
        <v>9.3870339026516891</v>
      </c>
      <c r="AF109" s="705"/>
      <c r="AG109" s="706">
        <f>(AG100+AG101+AG103)/-(AG105*4)</f>
        <v>6.8399914089347078</v>
      </c>
      <c r="AH109" s="705">
        <f>(AH100+AH101+AH103)/-(AH105*4)</f>
        <v>6.846542096219931</v>
      </c>
      <c r="AI109" s="705">
        <f>(AI100+AI101+AI103)/-(AI105*4)</f>
        <v>6.7744845360824737</v>
      </c>
      <c r="AJ109" s="705">
        <f>(AJ100+AJ101+AJ103)/-(AJ105*4)</f>
        <v>7.7112328178694156</v>
      </c>
      <c r="AK109" s="710">
        <f>(AK100+AK101+AK103)/-(AK105)</f>
        <v>7.5899914089347078</v>
      </c>
      <c r="AL109" s="705"/>
      <c r="AM109" s="706">
        <f>(AM100+AM101+AM103)/-(AM105*4)</f>
        <v>7.1198979591836737</v>
      </c>
      <c r="AN109" s="705">
        <f>(AN100+AN101+AN103)/-(AN105*4)</f>
        <v>7.2322058453010829</v>
      </c>
      <c r="AO109" s="705">
        <f>(AO100+AO101+AO103)/-(AO105*4)</f>
        <v>7.136463844797178</v>
      </c>
      <c r="AP109" s="705">
        <f>(AP100+AP101+AP103)/-(AP105*4)</f>
        <v>7.0885928445452242</v>
      </c>
      <c r="AQ109" s="710">
        <f>(AQ100+AQ101+AQ103)/-(AQ105)</f>
        <v>7.9387755102040813</v>
      </c>
      <c r="AR109" s="705"/>
      <c r="AS109" s="706">
        <f>(AS100+AS101+AS103)/-(AS105*4)</f>
        <v>7.1694302721088441</v>
      </c>
      <c r="AT109" s="705">
        <f>(AT100+AT101+AT103)/-(AT105*4)</f>
        <v>7.2354302545760572</v>
      </c>
      <c r="AU109" s="705">
        <f>(AU100+AU101+AU103)/-(AU105*4)</f>
        <v>7.1517076218242392</v>
      </c>
      <c r="AV109" s="705">
        <f>(AV100+AV101+AV103)/-(AV105*4)</f>
        <v>6.9621148985941055</v>
      </c>
      <c r="AW109" s="710">
        <f>(AW100+AW101+AW103)/-(AW105)</f>
        <v>8.4662177416914179</v>
      </c>
      <c r="AX109" s="705"/>
      <c r="AY109" s="706">
        <f>(AY100+AY101+AY103)/-(AY105*4)</f>
        <v>5.3849902534113063</v>
      </c>
      <c r="AZ109" s="705">
        <f>(AZ100+AZ101+AZ103)/-(AZ105*4)</f>
        <v>5.4517133956386292</v>
      </c>
      <c r="BA109" s="705">
        <f>(BA100+BA101+BA103)/-(BA105*4)</f>
        <v>5.0295857988165684</v>
      </c>
      <c r="BB109" s="705">
        <f>(BB100+BB101+BB103)/-(BB105*4)</f>
        <v>4.9436392914653791</v>
      </c>
      <c r="BC109" s="710">
        <f>(BC100+BC101+BC103)/-(BC105)</f>
        <v>6.0178306092124814</v>
      </c>
      <c r="BD109" s="705"/>
      <c r="BE109" s="706">
        <f>(BE100+BE101+BE103)/-(BE105*4)</f>
        <v>6.5053501945525278</v>
      </c>
      <c r="BF109" s="705">
        <f>(BF100+BF101+BF103)/-(BF105*4)</f>
        <v>5.0621524370297681</v>
      </c>
      <c r="BG109" s="705">
        <f>(BG100+BG101+BG103)/-(BG105*4)</f>
        <v>5.0606641123882499</v>
      </c>
      <c r="BH109" s="705">
        <f>(BH100+BH101+BH103)/-(BH105*4)</f>
        <v>5.0630063006300636</v>
      </c>
      <c r="BI109" s="710">
        <f>(BI100+BI101+BI103)/-(BI105)</f>
        <v>6.1972441864344558</v>
      </c>
      <c r="BJ109" s="705"/>
      <c r="BK109" s="706">
        <f>(BK100+BK101+BK103)/-(BK105*4)</f>
        <v>6.5506872852233684</v>
      </c>
      <c r="BL109" s="705">
        <f>(BL100+BL101+BL103)/-(BL105*4)</f>
        <v>6.5789473684210522</v>
      </c>
      <c r="BM109" s="705">
        <f>(BM100+BM101+BM103)/-(BM105*4)</f>
        <v>7.5826380821628465</v>
      </c>
      <c r="BN109" s="705">
        <f>(BN100+BN101+BN103)/-(BN105*4)</f>
        <v>7.6584376391431244</v>
      </c>
      <c r="BO109" s="710">
        <f>(BO100+BO101+BO103)/-(BO105)</f>
        <v>8.0697263966691359</v>
      </c>
      <c r="BP109" s="705"/>
      <c r="BQ109" s="706">
        <f>(BQ100+BQ101+BQ103)/-(BQ105*4)</f>
        <v>7.9370476514305146</v>
      </c>
      <c r="BR109" s="705">
        <f>(BR100+BR101+BR103)/-(BR105*4)</f>
        <v>7.8673168954032517</v>
      </c>
      <c r="BS109" s="705">
        <f>(BS100+BS101+BS103)/-(BS105*4)</f>
        <v>8.1426027150295521</v>
      </c>
      <c r="BT109" s="705">
        <f>(BT100+BT101+BT103)/-(BT105*4)</f>
        <v>7.8881320197943596</v>
      </c>
      <c r="BU109" s="710">
        <f>(BU100+BU101+BU103)/-(BU105)</f>
        <v>9.0041201430180084</v>
      </c>
      <c r="BV109" s="705"/>
      <c r="BW109" s="706">
        <f>(BW100+BW101+BW103)/-(BW105*4)</f>
        <v>7.2230315101832785</v>
      </c>
      <c r="BX109" s="705">
        <f>(BX100+BX101+BX103)/-(BX105*4)</f>
        <v>6.9761964922780431</v>
      </c>
      <c r="BY109" s="705">
        <f>(BY100+BY101+BY103)/-(BY105*4)</f>
        <v>6.9638858081993602</v>
      </c>
      <c r="BZ109" s="705">
        <f>(BZ100+BZ101+BZ103)/-(BZ105*4)</f>
        <v>6.5975582605130167</v>
      </c>
      <c r="CA109" s="710">
        <f>(CA100+CA101+CA103)/-(CA105)</f>
        <v>7.6865628068465606</v>
      </c>
      <c r="CB109" s="705"/>
      <c r="CC109" s="706">
        <f>(CC100+CC101+CC103)/-(CC105*4)</f>
        <v>6.8356061755378388</v>
      </c>
      <c r="CD109" s="705">
        <f>(CD100+CD101+CD103)/-(CD105*4)</f>
        <v>6.574266123081542</v>
      </c>
      <c r="CE109" s="705">
        <f>(CE100+CE101+CE103)/-(CE105*4)</f>
        <v>6.5040669915931533</v>
      </c>
      <c r="CF109" s="705">
        <f>(CF100+CF101+CF103)/-(CF105*4)</f>
        <v>6.1725099679808988</v>
      </c>
      <c r="CG109" s="710">
        <f>(CG100+CG101+CG103)/-(CG105)</f>
        <v>7.2507922080292309</v>
      </c>
      <c r="CH109" s="495"/>
      <c r="CI109" s="706">
        <f>(CI100+CI101+CI103)/-(CI105*4)</f>
        <v>6.405133883626279</v>
      </c>
      <c r="CJ109" s="705">
        <f>(CJ100+CJ101+CJ103)/-(CJ105*4)</f>
        <v>6.1210867549130636</v>
      </c>
      <c r="CK109" s="705">
        <f>(CK100+CK101+CK103)/-(CK105*4)</f>
        <v>5.9824815381388881</v>
      </c>
      <c r="CL109" s="705">
        <f>(CL100+CL101+CL103)/-(CL105*4)</f>
        <v>5.6783506776491866</v>
      </c>
      <c r="CM109" s="710">
        <f>(CM100+CM101+CM103)/-(CM105)</f>
        <v>6.7416940533998346</v>
      </c>
      <c r="CN109" s="495"/>
      <c r="CO109" s="495"/>
      <c r="CP109" s="64"/>
    </row>
    <row r="110" spans="1:94" ht="12.75" customHeight="1">
      <c r="A110" s="770" t="s">
        <v>335</v>
      </c>
      <c r="B110" s="495"/>
      <c r="C110" s="706">
        <f>C105</f>
        <v>-11</v>
      </c>
      <c r="D110" s="705">
        <f>C110+D105</f>
        <v>-22</v>
      </c>
      <c r="E110" s="705">
        <f>D110+E105</f>
        <v>-33</v>
      </c>
      <c r="F110" s="705">
        <f>E110+F105</f>
        <v>-44</v>
      </c>
      <c r="G110" s="710">
        <f>F110</f>
        <v>-44</v>
      </c>
      <c r="H110" s="495"/>
      <c r="I110" s="706">
        <f>G110+I105</f>
        <v>-54.25</v>
      </c>
      <c r="J110" s="705">
        <f>I110+J105</f>
        <v>-64.5</v>
      </c>
      <c r="K110" s="705">
        <f>J110+K105</f>
        <v>-74.75</v>
      </c>
      <c r="L110" s="705">
        <f>K110+L105</f>
        <v>-85</v>
      </c>
      <c r="M110" s="710">
        <f>M105+G105</f>
        <v>-85</v>
      </c>
      <c r="N110" s="495"/>
      <c r="O110" s="706">
        <f>M110+O105</f>
        <v>-95.25</v>
      </c>
      <c r="P110" s="705">
        <f>O110+P105</f>
        <v>-105.5</v>
      </c>
      <c r="Q110" s="705">
        <f>P110+Q105</f>
        <v>-115.75</v>
      </c>
      <c r="R110" s="705">
        <f>Q110+R105</f>
        <v>-126</v>
      </c>
      <c r="S110" s="710">
        <f>S105+M105+G105</f>
        <v>-126</v>
      </c>
      <c r="T110" s="705"/>
      <c r="U110" s="706">
        <f>S110+U105</f>
        <v>-140.5</v>
      </c>
      <c r="V110" s="705">
        <f>U110+V105</f>
        <v>-155</v>
      </c>
      <c r="W110" s="705">
        <f>V110+W105</f>
        <v>-169.5</v>
      </c>
      <c r="X110" s="705">
        <f>W110+X105</f>
        <v>-184</v>
      </c>
      <c r="Y110" s="710">
        <f>Y105+S105+M105+G105</f>
        <v>-184</v>
      </c>
      <c r="Z110" s="705"/>
      <c r="AA110" s="706">
        <f>Y110+AA105</f>
        <v>-200.75</v>
      </c>
      <c r="AB110" s="705">
        <f>AA110+AB105</f>
        <v>-217.5</v>
      </c>
      <c r="AC110" s="705">
        <f>AB110+AC105</f>
        <v>-234.25</v>
      </c>
      <c r="AD110" s="705">
        <f>AC110+AD105</f>
        <v>-251</v>
      </c>
      <c r="AE110" s="710">
        <f>AE105+Y105+S105+M105+G105</f>
        <v>-251</v>
      </c>
      <c r="AF110" s="705"/>
      <c r="AG110" s="706">
        <f>AE110+AG105</f>
        <v>-273</v>
      </c>
      <c r="AH110" s="705">
        <f>AG110+AH105</f>
        <v>-295</v>
      </c>
      <c r="AI110" s="705">
        <f>AH110+AI105</f>
        <v>-317</v>
      </c>
      <c r="AJ110" s="705">
        <f>AI110+AJ105</f>
        <v>-339</v>
      </c>
      <c r="AK110" s="710">
        <f>AK105+AE105+Y105+S105+M105+G105</f>
        <v>-339</v>
      </c>
      <c r="AL110" s="705"/>
      <c r="AM110" s="706">
        <f>AK110+AM105</f>
        <v>-363.5</v>
      </c>
      <c r="AN110" s="705">
        <f>AM110+AN105</f>
        <v>-388</v>
      </c>
      <c r="AO110" s="705">
        <f>AN110+AO105</f>
        <v>-412.5</v>
      </c>
      <c r="AP110" s="705">
        <f>AO110+AP105</f>
        <v>-437</v>
      </c>
      <c r="AQ110" s="710">
        <f>AQ105+AK105+AE105+Y105+S105+M105+G105</f>
        <v>-437</v>
      </c>
      <c r="AR110" s="705"/>
      <c r="AS110" s="706">
        <f>AQ110+AS105</f>
        <v>-461.7578947368421</v>
      </c>
      <c r="AT110" s="705">
        <f>AS110+AT105</f>
        <v>-486.77368421052631</v>
      </c>
      <c r="AU110" s="705">
        <f>AT110+AU105</f>
        <v>-512.04736842105262</v>
      </c>
      <c r="AV110" s="705">
        <f>AU110+AV105</f>
        <v>-538.17269313024883</v>
      </c>
      <c r="AW110" s="710">
        <f>AW105+AQ105+AK105+AE105+Y105+S105+M105+G105</f>
        <v>-538.17269313024883</v>
      </c>
      <c r="AX110" s="705"/>
      <c r="AY110" s="706">
        <f>AW110+AY105</f>
        <v>-568.9526931302488</v>
      </c>
      <c r="AZ110" s="705">
        <f>AY110+AZ105</f>
        <v>-597.84269313024879</v>
      </c>
      <c r="BA110" s="705">
        <f>AZ110+BA105</f>
        <v>-628.26269313024875</v>
      </c>
      <c r="BB110" s="705">
        <f>BA110+BB105</f>
        <v>-659.3126931302487</v>
      </c>
      <c r="BC110" s="710">
        <f>BC105+AW105+AQ105+AK105+AE105+Y105+S105+M105+G105</f>
        <v>-659.31269313024882</v>
      </c>
      <c r="BD110" s="705"/>
      <c r="BE110" s="706">
        <f>BC110+BE105</f>
        <v>-683.98469313024884</v>
      </c>
      <c r="BF110" s="705">
        <f>BE110+BF105</f>
        <v>-714.55469313024889</v>
      </c>
      <c r="BG110" s="705">
        <f>BF110+BG105</f>
        <v>-745.87469313024894</v>
      </c>
      <c r="BH110" s="705">
        <f>BG110+BH105</f>
        <v>-779.20469313024898</v>
      </c>
      <c r="BI110" s="710">
        <f>BI105+BC105+AW105+AQ105+AK105+AE105+Y105+S105+M105+G105</f>
        <v>-779.20469313024887</v>
      </c>
      <c r="BJ110" s="705"/>
      <c r="BK110" s="706">
        <f>BI110+BK105</f>
        <v>-804.81269313024882</v>
      </c>
      <c r="BL110" s="705">
        <f>BK110+BL105</f>
        <v>-831.2606931302488</v>
      </c>
      <c r="BM110" s="705">
        <f>BL110+BM105</f>
        <v>-854.93319313024881</v>
      </c>
      <c r="BN110" s="705">
        <f>BM110+BN105</f>
        <v>-880.19944313024882</v>
      </c>
      <c r="BO110" s="710">
        <f>BO105+BI105+BC105+AW105+AQ105+AK105+AE105+Y105+S105+M105+G105</f>
        <v>-880.19944313024882</v>
      </c>
      <c r="BP110" s="705"/>
      <c r="BQ110" s="706">
        <f>BO110+BQ105</f>
        <v>-905.93319313024881</v>
      </c>
      <c r="BR110" s="705">
        <f>BQ110+BR105</f>
        <v>-932.61690117411194</v>
      </c>
      <c r="BS110" s="705">
        <f>BR110+BS105</f>
        <v>-959.02936311056169</v>
      </c>
      <c r="BT110" s="705">
        <f>BS110+BT105</f>
        <v>-987.04455168509105</v>
      </c>
      <c r="BU110" s="710">
        <f>BU105+BO105+BI105+BC105+AW105+AQ105+AK105+AE105+Y105+S105+M105</f>
        <v>-943.04455168509094</v>
      </c>
      <c r="BV110" s="705"/>
      <c r="BW110" s="706">
        <f>BU110+BW105</f>
        <v>-973.74346580804979</v>
      </c>
      <c r="BX110" s="705">
        <f>BW110+BX105</f>
        <v>-1005.5814116399374</v>
      </c>
      <c r="BY110" s="705">
        <f>BX110+BY105</f>
        <v>-1037.4902430238515</v>
      </c>
      <c r="BZ110" s="705">
        <f>BY110+BZ105</f>
        <v>-1071.2545812008568</v>
      </c>
      <c r="CA110" s="710">
        <f>CA105+BU105+BO105+BI105+BC105+AW105+AQ105+AK105+AE105+Y105+S105</f>
        <v>-1030.2545812008566</v>
      </c>
      <c r="CB110" s="705"/>
      <c r="CC110" s="706">
        <f>CA110+CC105</f>
        <v>-1062.7594836122289</v>
      </c>
      <c r="CD110" s="705">
        <f>CC110+CD105</f>
        <v>-1096.5653977055372</v>
      </c>
      <c r="CE110" s="705">
        <f>CD110+CE105</f>
        <v>-1130.7076691744398</v>
      </c>
      <c r="CF110" s="705">
        <f>CE110+CF105</f>
        <v>-1166.7133152710749</v>
      </c>
      <c r="CG110" s="710">
        <f>CG105+CA105+BU105+BO105+BI105+BC105+AW105+AQ105+AK105+AE105+Y105</f>
        <v>-1125.7133152710751</v>
      </c>
      <c r="CH110" s="495"/>
      <c r="CI110" s="706">
        <f>CG110+CI105</f>
        <v>-1160.1960119271573</v>
      </c>
      <c r="CJ110" s="705">
        <f>CI110+CJ105</f>
        <v>-1196.169636850316</v>
      </c>
      <c r="CK110" s="705">
        <f>CJ110+CK105</f>
        <v>-1232.8279513479731</v>
      </c>
      <c r="CL110" s="705">
        <f>CK110+CL105</f>
        <v>-1271.334756236233</v>
      </c>
      <c r="CM110" s="710">
        <f>CM105+CG105+CA105+BU105+BO105+BI105+BC105+AW105+AQ105+AK105+AE105</f>
        <v>-1213.3347562362328</v>
      </c>
      <c r="CN110" s="495"/>
      <c r="CO110" s="495"/>
      <c r="CP110" s="64"/>
    </row>
    <row r="111" spans="1:94" ht="12.75" customHeight="1">
      <c r="A111" s="112" t="s">
        <v>336</v>
      </c>
      <c r="B111" s="495"/>
      <c r="C111" s="756">
        <f>(C110)/(C105*4)</f>
        <v>0.25</v>
      </c>
      <c r="D111" s="754">
        <f>(D110)/(D105*4)</f>
        <v>0.5</v>
      </c>
      <c r="E111" s="754">
        <f>(E110)/(E105*4)</f>
        <v>0.75</v>
      </c>
      <c r="F111" s="754">
        <f>(F110)/(F105*4)</f>
        <v>1</v>
      </c>
      <c r="G111" s="755">
        <f>(G110)/(G105)</f>
        <v>1</v>
      </c>
      <c r="H111" s="495"/>
      <c r="I111" s="756">
        <f>(I110)/(I105*4)</f>
        <v>1.3231707317073171</v>
      </c>
      <c r="J111" s="754">
        <f>(J110)/(J105*4)</f>
        <v>1.5731707317073171</v>
      </c>
      <c r="K111" s="754">
        <f>(K110)/(K105*4)</f>
        <v>1.8231707317073171</v>
      </c>
      <c r="L111" s="754">
        <f>(L110)/(L105*4)</f>
        <v>2.0731707317073171</v>
      </c>
      <c r="M111" s="755">
        <f>(M110)/(M105)</f>
        <v>2.0731707317073171</v>
      </c>
      <c r="N111" s="495"/>
      <c r="O111" s="756">
        <f>(O110)/(O105*4)</f>
        <v>2.3231707317073171</v>
      </c>
      <c r="P111" s="754">
        <f>(P110)/(P105*4)</f>
        <v>2.5731707317073171</v>
      </c>
      <c r="Q111" s="754">
        <f>(Q110)/(Q105*4)</f>
        <v>2.8231707317073171</v>
      </c>
      <c r="R111" s="754">
        <f>(R110)/(R105*4)</f>
        <v>3.0731707317073171</v>
      </c>
      <c r="S111" s="755">
        <f>(S110)/(S105)</f>
        <v>3.0731707317073171</v>
      </c>
      <c r="T111" s="705"/>
      <c r="U111" s="756">
        <f>(U110)/(U105*4)</f>
        <v>2.4224137931034484</v>
      </c>
      <c r="V111" s="754">
        <f>(V110)/(V105*4)</f>
        <v>2.6724137931034484</v>
      </c>
      <c r="W111" s="754">
        <f>(W110)/(W105*4)</f>
        <v>2.9224137931034484</v>
      </c>
      <c r="X111" s="754">
        <f>(X110)/(X105*4)</f>
        <v>3.1724137931034484</v>
      </c>
      <c r="Y111" s="755">
        <f>(Y110)/(Y105)</f>
        <v>3.1724137931034484</v>
      </c>
      <c r="Z111" s="705"/>
      <c r="AA111" s="756">
        <f>(AA110)/(AA105*4)</f>
        <v>2.9962686567164178</v>
      </c>
      <c r="AB111" s="754">
        <f>(AB110)/(AB105*4)</f>
        <v>3.2462686567164178</v>
      </c>
      <c r="AC111" s="754">
        <f>(AC110)/(AC105*4)</f>
        <v>3.4962686567164178</v>
      </c>
      <c r="AD111" s="754">
        <f>(AD110)/(AD105*4)</f>
        <v>3.7462686567164178</v>
      </c>
      <c r="AE111" s="755">
        <f>(AE110)/(AE105)</f>
        <v>3.7462686567164178</v>
      </c>
      <c r="AF111" s="705"/>
      <c r="AG111" s="756">
        <f>(AG110)/(AG105*4)</f>
        <v>3.1022727272727271</v>
      </c>
      <c r="AH111" s="754">
        <f>(AH110)/(AH105*4)</f>
        <v>3.3522727272727271</v>
      </c>
      <c r="AI111" s="754">
        <f>(AI110)/(AI105*4)</f>
        <v>3.6022727272727271</v>
      </c>
      <c r="AJ111" s="754">
        <f>(AJ110)/(AJ105*4)</f>
        <v>3.8522727272727271</v>
      </c>
      <c r="AK111" s="755">
        <f>(AK110)/(AK105)</f>
        <v>3.8522727272727271</v>
      </c>
      <c r="AL111" s="705"/>
      <c r="AM111" s="756">
        <f>(AM110)/(AM105*4)</f>
        <v>3.7091836734693877</v>
      </c>
      <c r="AN111" s="754">
        <f>(AN110)/(AN105*4)</f>
        <v>3.9591836734693877</v>
      </c>
      <c r="AO111" s="754">
        <f>(AO110)/(AO105*4)</f>
        <v>4.2091836734693882</v>
      </c>
      <c r="AP111" s="754">
        <f>(AP110)/(AP105*4)</f>
        <v>4.4591836734693882</v>
      </c>
      <c r="AQ111" s="755">
        <f>(AQ110)/(AQ105)</f>
        <v>4.4591836734693882</v>
      </c>
      <c r="AR111" s="705"/>
      <c r="AS111" s="756">
        <f>(AS110)/(AS105*4)</f>
        <v>4.6627338435374153</v>
      </c>
      <c r="AT111" s="754">
        <f>(AT110)/(AT105*4)</f>
        <v>4.8646644224700184</v>
      </c>
      <c r="AU111" s="754">
        <f>(AU110)/(AU105*4)</f>
        <v>5.0650249895876707</v>
      </c>
      <c r="AV111" s="754">
        <f>(AV110)/(AV105*4)</f>
        <v>5.1499139161015917</v>
      </c>
      <c r="AW111" s="755">
        <f>(AW110)/(AW105)</f>
        <v>5.319347310814492</v>
      </c>
      <c r="AX111" s="705"/>
      <c r="AY111" s="756">
        <f>(AY110)/(AY105*4)</f>
        <v>4.6211232385497798</v>
      </c>
      <c r="AZ111" s="754">
        <f>(AZ110)/(AZ105*4)</f>
        <v>5.1734397120997642</v>
      </c>
      <c r="BA111" s="754">
        <f>(BA110)/(BA105*4)</f>
        <v>5.1632371230296581</v>
      </c>
      <c r="BB111" s="754">
        <f>(BB110)/(BB105*4)</f>
        <v>5.3084757900986217</v>
      </c>
      <c r="BC111" s="755">
        <f>(BC110)/(BC105)</f>
        <v>5.4425680463121084</v>
      </c>
      <c r="BD111" s="705"/>
      <c r="BE111" s="756">
        <f>(BE110)/(BE105*4)</f>
        <v>6.93077874848258</v>
      </c>
      <c r="BF111" s="754">
        <f>(BF110)/(BF105*4)</f>
        <v>5.8435941538293168</v>
      </c>
      <c r="BG111" s="754">
        <f>(BG110)/(BG105*4)</f>
        <v>5.9536613436322554</v>
      </c>
      <c r="BH111" s="754">
        <f>(BH110)/(BH105*4)</f>
        <v>5.8446196604429117</v>
      </c>
      <c r="BI111" s="755">
        <f>(BI110)/(BI105)</f>
        <v>6.4992217423201613</v>
      </c>
      <c r="BJ111" s="705"/>
      <c r="BK111" s="756">
        <f>(BK110)/(BK105*4)</f>
        <v>7.8570436302156432</v>
      </c>
      <c r="BL111" s="754">
        <f>(BL110)/(BL105*4)</f>
        <v>7.857500502214239</v>
      </c>
      <c r="BM111" s="754">
        <f>(BM110)/(BM105*4)</f>
        <v>9.0287590361204852</v>
      </c>
      <c r="BN111" s="754">
        <f>(BN110)/(BN105*4)</f>
        <v>8.7092410144980832</v>
      </c>
      <c r="BO111" s="755">
        <f>(BO110)/(BO105)</f>
        <v>8.7152989945541606</v>
      </c>
      <c r="BP111" s="705"/>
      <c r="BQ111" s="756">
        <f>(BQ110)/(BQ105*4)</f>
        <v>8.801021937438664</v>
      </c>
      <c r="BR111" s="754">
        <f>(BR110)/(BR105*4)</f>
        <v>8.7376996072009749</v>
      </c>
      <c r="BS111" s="754">
        <f>(BS110)/(BS105*4)</f>
        <v>9.0774325147921999</v>
      </c>
      <c r="BT111" s="754">
        <f>(BT110)/(BT105*4)</f>
        <v>8.8081198263152718</v>
      </c>
      <c r="BU111" s="755">
        <f>(BU110)/(BU105)</f>
        <v>8.8262772572413901</v>
      </c>
      <c r="BV111" s="705"/>
      <c r="BW111" s="756">
        <f>(BW110)/(BW105*4)</f>
        <v>7.9297875317991657</v>
      </c>
      <c r="BX111" s="754">
        <f>(BX110)/(BX105*4)</f>
        <v>7.89609211088601</v>
      </c>
      <c r="BY111" s="754">
        <f>(BY110)/(BY105*4)</f>
        <v>8.1285509216962151</v>
      </c>
      <c r="BZ111" s="754">
        <f>(BZ110)/(BZ105*4)</f>
        <v>7.9318493937667371</v>
      </c>
      <c r="CA111" s="755">
        <f>(CA110)/(CA105)</f>
        <v>8.0356785275848353</v>
      </c>
      <c r="CB111" s="705"/>
      <c r="CC111" s="756">
        <f>(CC110)/(CC105*4)</f>
        <v>8.1738399808301345</v>
      </c>
      <c r="CD111" s="754">
        <f>(CD110)/(CD105*4)</f>
        <v>8.1092719063806769</v>
      </c>
      <c r="CE111" s="754">
        <f>(CE110)/(CE105*4)</f>
        <v>8.2793822769254621</v>
      </c>
      <c r="CF111" s="754">
        <f>(CF110)/(CF105*4)</f>
        <v>8.1009052867691231</v>
      </c>
      <c r="CG111" s="755">
        <f>(CG110)/(CG105)</f>
        <v>8.2494779314881406</v>
      </c>
      <c r="CH111" s="495"/>
      <c r="CI111" s="756">
        <f>(CI110)/(CI105*4)</f>
        <v>8.4114362016008055</v>
      </c>
      <c r="CJ111" s="754">
        <f>(CJ110)/(CJ105*4)</f>
        <v>8.3128239050512107</v>
      </c>
      <c r="CK111" s="754">
        <f>(CK110)/(CK105*4)</f>
        <v>8.4075602509409215</v>
      </c>
      <c r="CL111" s="754">
        <f>(CL110)/(CL105*4)</f>
        <v>8.2539616044841146</v>
      </c>
      <c r="CM111" s="755">
        <f>(CM110)/(CM105)</f>
        <v>8.3321161237962311</v>
      </c>
      <c r="CN111" s="495"/>
      <c r="CO111" s="495"/>
      <c r="CP111" s="64"/>
    </row>
    <row r="112" spans="1:94" ht="4.5" customHeight="1">
      <c r="A112" s="813"/>
      <c r="B112" s="743"/>
      <c r="C112" s="767"/>
      <c r="D112" s="767"/>
      <c r="E112" s="767"/>
      <c r="F112" s="767"/>
      <c r="G112" s="767"/>
      <c r="H112" s="743"/>
      <c r="I112" s="767"/>
      <c r="J112" s="767"/>
      <c r="K112" s="767"/>
      <c r="L112" s="767"/>
      <c r="M112" s="767"/>
      <c r="N112" s="743"/>
      <c r="O112" s="767"/>
      <c r="P112" s="767"/>
      <c r="Q112" s="767"/>
      <c r="R112" s="767"/>
      <c r="S112" s="767"/>
      <c r="T112" s="768"/>
      <c r="U112" s="767"/>
      <c r="V112" s="767"/>
      <c r="W112" s="767"/>
      <c r="X112" s="767"/>
      <c r="Y112" s="767"/>
      <c r="Z112" s="768"/>
      <c r="AA112" s="767"/>
      <c r="AB112" s="767"/>
      <c r="AC112" s="767"/>
      <c r="AD112" s="767"/>
      <c r="AE112" s="767"/>
      <c r="AF112" s="768"/>
      <c r="AG112" s="767"/>
      <c r="AH112" s="767"/>
      <c r="AI112" s="767"/>
      <c r="AJ112" s="767"/>
      <c r="AK112" s="767"/>
      <c r="AL112" s="768"/>
      <c r="AM112" s="767"/>
      <c r="AN112" s="767"/>
      <c r="AO112" s="767"/>
      <c r="AP112" s="767"/>
      <c r="AQ112" s="767"/>
      <c r="AR112" s="768"/>
      <c r="AS112" s="767"/>
      <c r="AT112" s="767"/>
      <c r="AU112" s="767"/>
      <c r="AV112" s="767"/>
      <c r="AW112" s="768"/>
      <c r="AX112" s="768"/>
      <c r="AY112" s="767"/>
      <c r="AZ112" s="767"/>
      <c r="BA112" s="767"/>
      <c r="BB112" s="767"/>
      <c r="BC112" s="768"/>
      <c r="BD112" s="768"/>
      <c r="BE112" s="767"/>
      <c r="BF112" s="767"/>
      <c r="BG112" s="767"/>
      <c r="BH112" s="767"/>
      <c r="BI112" s="768"/>
      <c r="BJ112" s="768"/>
      <c r="BK112" s="767"/>
      <c r="BL112" s="767"/>
      <c r="BM112" s="767"/>
      <c r="BN112" s="767"/>
      <c r="BO112" s="768"/>
      <c r="BP112" s="768"/>
      <c r="BQ112" s="767"/>
      <c r="BR112" s="767"/>
      <c r="BS112" s="767"/>
      <c r="BT112" s="767"/>
      <c r="BU112" s="768"/>
      <c r="BV112" s="768"/>
      <c r="BW112" s="767"/>
      <c r="BX112" s="767"/>
      <c r="BY112" s="767"/>
      <c r="BZ112" s="767"/>
      <c r="CA112" s="768"/>
      <c r="CB112" s="768"/>
      <c r="CC112" s="767"/>
      <c r="CD112" s="767"/>
      <c r="CE112" s="767"/>
      <c r="CF112" s="767"/>
      <c r="CG112" s="768"/>
      <c r="CH112" s="743"/>
      <c r="CI112" s="767"/>
      <c r="CJ112" s="767"/>
      <c r="CK112" s="767"/>
      <c r="CL112" s="767"/>
      <c r="CM112" s="768"/>
      <c r="CN112" s="743"/>
      <c r="CO112" s="743"/>
      <c r="CP112" s="6"/>
    </row>
    <row r="113" spans="1:94" ht="12.75" customHeight="1">
      <c r="A113" s="769" t="s">
        <v>337</v>
      </c>
      <c r="B113" s="738"/>
      <c r="C113" s="739"/>
      <c r="D113" s="740"/>
      <c r="E113" s="740"/>
      <c r="F113" s="740"/>
      <c r="G113" s="741"/>
      <c r="H113" s="738"/>
      <c r="I113" s="739"/>
      <c r="J113" s="740"/>
      <c r="K113" s="740"/>
      <c r="L113" s="740"/>
      <c r="M113" s="741"/>
      <c r="N113" s="738"/>
      <c r="O113" s="739"/>
      <c r="P113" s="740"/>
      <c r="Q113" s="740"/>
      <c r="R113" s="740"/>
      <c r="S113" s="741"/>
      <c r="T113" s="742"/>
      <c r="U113" s="739"/>
      <c r="V113" s="740"/>
      <c r="W113" s="740"/>
      <c r="X113" s="740"/>
      <c r="Y113" s="741"/>
      <c r="Z113" s="742"/>
      <c r="AA113" s="739"/>
      <c r="AB113" s="740"/>
      <c r="AC113" s="740"/>
      <c r="AD113" s="740"/>
      <c r="AE113" s="741"/>
      <c r="AF113" s="742"/>
      <c r="AG113" s="739"/>
      <c r="AH113" s="740"/>
      <c r="AI113" s="740"/>
      <c r="AJ113" s="740"/>
      <c r="AK113" s="741"/>
      <c r="AL113" s="742"/>
      <c r="AM113" s="739"/>
      <c r="AN113" s="740"/>
      <c r="AO113" s="740"/>
      <c r="AP113" s="740"/>
      <c r="AQ113" s="741"/>
      <c r="AR113" s="742"/>
      <c r="AS113" s="739"/>
      <c r="AT113" s="740"/>
      <c r="AU113" s="740"/>
      <c r="AV113" s="740"/>
      <c r="AW113" s="741"/>
      <c r="AX113" s="742"/>
      <c r="AY113" s="739"/>
      <c r="AZ113" s="740"/>
      <c r="BA113" s="740"/>
      <c r="BB113" s="740"/>
      <c r="BC113" s="741"/>
      <c r="BD113" s="742"/>
      <c r="BE113" s="739"/>
      <c r="BF113" s="740"/>
      <c r="BG113" s="740"/>
      <c r="BH113" s="740"/>
      <c r="BI113" s="741"/>
      <c r="BJ113" s="742"/>
      <c r="BK113" s="739"/>
      <c r="BL113" s="740"/>
      <c r="BM113" s="740"/>
      <c r="BN113" s="740"/>
      <c r="BO113" s="741"/>
      <c r="BP113" s="742"/>
      <c r="BQ113" s="739"/>
      <c r="BR113" s="740"/>
      <c r="BS113" s="740"/>
      <c r="BT113" s="740"/>
      <c r="BU113" s="741"/>
      <c r="BV113" s="742"/>
      <c r="BW113" s="739"/>
      <c r="BX113" s="740"/>
      <c r="BY113" s="740"/>
      <c r="BZ113" s="740"/>
      <c r="CA113" s="741"/>
      <c r="CB113" s="2125"/>
      <c r="CC113" s="739"/>
      <c r="CD113" s="740"/>
      <c r="CE113" s="740"/>
      <c r="CF113" s="740"/>
      <c r="CG113" s="741"/>
      <c r="CH113" s="743"/>
      <c r="CI113" s="739"/>
      <c r="CJ113" s="740"/>
      <c r="CK113" s="740"/>
      <c r="CL113" s="740"/>
      <c r="CM113" s="741"/>
      <c r="CN113" s="743"/>
      <c r="CO113" s="743"/>
      <c r="CP113" s="6"/>
    </row>
    <row r="114" spans="1:94" ht="12.75" customHeight="1">
      <c r="A114" s="814" t="s">
        <v>338</v>
      </c>
      <c r="B114" s="744"/>
      <c r="C114" s="745"/>
      <c r="D114" s="746"/>
      <c r="E114" s="746"/>
      <c r="F114" s="746"/>
      <c r="G114" s="747"/>
      <c r="H114" s="744"/>
      <c r="I114" s="745">
        <f>G119</f>
        <v>173.41068139963167</v>
      </c>
      <c r="J114" s="746">
        <f>I119</f>
        <v>229.91528545119704</v>
      </c>
      <c r="K114" s="746">
        <f>J119</f>
        <v>230.88950276243094</v>
      </c>
      <c r="L114" s="746">
        <f>K119</f>
        <v>234.78637200736648</v>
      </c>
      <c r="M114" s="747">
        <f>G119</f>
        <v>173.41068139963167</v>
      </c>
      <c r="N114" s="744"/>
      <c r="O114" s="745">
        <f>M119</f>
        <v>222.12154696132592</v>
      </c>
      <c r="P114" s="746">
        <f>O119</f>
        <v>200.68876611418048</v>
      </c>
      <c r="Q114" s="746">
        <f>P119</f>
        <v>184.1270718232044</v>
      </c>
      <c r="R114" s="746">
        <f>Q119</f>
        <v>173.41068139963167</v>
      </c>
      <c r="S114" s="747">
        <f>M119</f>
        <v>222.12154696132592</v>
      </c>
      <c r="T114" s="204"/>
      <c r="U114" s="745">
        <f>S119</f>
        <v>162.69429097605894</v>
      </c>
      <c r="V114" s="746">
        <f>U119</f>
        <v>144.18416206261509</v>
      </c>
      <c r="W114" s="746">
        <f>V119</f>
        <v>122.75138121546961</v>
      </c>
      <c r="X114" s="746">
        <f>W119</f>
        <v>499.77348066298339</v>
      </c>
      <c r="Y114" s="747">
        <f>S119</f>
        <v>162.69429097605894</v>
      </c>
      <c r="Z114" s="204"/>
      <c r="AA114" s="745">
        <f>Y119</f>
        <v>481.26335174953965</v>
      </c>
      <c r="AB114" s="746">
        <f>AA119</f>
        <v>454.95948434622466</v>
      </c>
      <c r="AC114" s="746">
        <f>AB119</f>
        <v>480.28913443830567</v>
      </c>
      <c r="AD114" s="746">
        <f>AC119</f>
        <v>450.08839779005524</v>
      </c>
      <c r="AE114" s="748">
        <f>Y119</f>
        <v>481.26335174953965</v>
      </c>
      <c r="AF114" s="204"/>
      <c r="AG114" s="745">
        <f>AE119</f>
        <v>417.93922651933701</v>
      </c>
      <c r="AH114" s="746">
        <f>AG119</f>
        <v>403.32596685082871</v>
      </c>
      <c r="AI114" s="746">
        <f>AH119</f>
        <v>383.84162062615098</v>
      </c>
      <c r="AJ114" s="746">
        <f>AI119</f>
        <v>1057.025782688766</v>
      </c>
      <c r="AK114" s="748">
        <f>AE119</f>
        <v>417.93922651933701</v>
      </c>
      <c r="AL114" s="204"/>
      <c r="AM114" s="745">
        <f>AK119</f>
        <v>1058</v>
      </c>
      <c r="AN114" s="746">
        <f>AM119</f>
        <v>1045.6593886462881</v>
      </c>
      <c r="AO114" s="746">
        <f>AN119</f>
        <v>973.27510917030565</v>
      </c>
      <c r="AP114" s="746">
        <f>AO119</f>
        <v>924.36681222707421</v>
      </c>
      <c r="AQ114" s="748">
        <f>AK119</f>
        <v>1058</v>
      </c>
      <c r="AR114" s="204"/>
      <c r="AS114" s="701">
        <f>AQ119</f>
        <v>895.99999999999989</v>
      </c>
      <c r="AT114" s="204">
        <f>AS119</f>
        <v>841</v>
      </c>
      <c r="AU114" s="204">
        <f>AT119</f>
        <v>809</v>
      </c>
      <c r="AV114" s="746">
        <f>AU119</f>
        <v>744</v>
      </c>
      <c r="AW114" s="748">
        <f>AQ119</f>
        <v>895.99999999999989</v>
      </c>
      <c r="AX114" s="204"/>
      <c r="AY114" s="701">
        <f>AW119</f>
        <v>649</v>
      </c>
      <c r="AZ114" s="204">
        <f>AY119</f>
        <v>559</v>
      </c>
      <c r="BA114" s="204">
        <f>AZ119</f>
        <v>516</v>
      </c>
      <c r="BB114" s="204">
        <f>BA119</f>
        <v>484</v>
      </c>
      <c r="BC114" s="748">
        <f>AW119</f>
        <v>649</v>
      </c>
      <c r="BD114" s="204"/>
      <c r="BE114" s="701">
        <f>BC119</f>
        <v>445.00000000000006</v>
      </c>
      <c r="BF114" s="204">
        <f>BE119</f>
        <v>513</v>
      </c>
      <c r="BG114" s="204">
        <f>BF119</f>
        <v>490</v>
      </c>
      <c r="BH114" s="204">
        <f>BG119</f>
        <v>442</v>
      </c>
      <c r="BI114" s="748">
        <f>BC119</f>
        <v>445.00000000000006</v>
      </c>
      <c r="BJ114" s="204"/>
      <c r="BK114" s="701">
        <f>BI119</f>
        <v>407.99999999999994</v>
      </c>
      <c r="BL114" s="204">
        <f>BK119</f>
        <v>411</v>
      </c>
      <c r="BM114" s="204">
        <f>BL119</f>
        <v>373</v>
      </c>
      <c r="BN114" s="204">
        <f>BM119</f>
        <v>375</v>
      </c>
      <c r="BO114" s="748">
        <f>BI119</f>
        <v>407.99999999999994</v>
      </c>
      <c r="BP114" s="204"/>
      <c r="BQ114" s="701">
        <f>BO119</f>
        <v>361</v>
      </c>
      <c r="BR114" s="204">
        <f>BQ119</f>
        <v>341</v>
      </c>
      <c r="BS114" s="204">
        <f>BR119</f>
        <v>319.02518161093627</v>
      </c>
      <c r="BT114" s="204">
        <f>BS119</f>
        <v>297.27374236915409</v>
      </c>
      <c r="BU114" s="748">
        <f>BO119</f>
        <v>361</v>
      </c>
      <c r="BV114" s="204"/>
      <c r="BW114" s="701">
        <f>BU119</f>
        <v>274.20241060189471</v>
      </c>
      <c r="BX114" s="204">
        <f>BW119</f>
        <v>259.01452677264137</v>
      </c>
      <c r="BY114" s="204">
        <f>BX119</f>
        <v>243.26312199265485</v>
      </c>
      <c r="BZ114" s="204">
        <f>BY119</f>
        <v>227.47664751850795</v>
      </c>
      <c r="CA114" s="748">
        <f>BU119</f>
        <v>274.20241060189471</v>
      </c>
      <c r="CB114" s="204"/>
      <c r="CC114" s="701">
        <f>CA119</f>
        <v>210.77218547304221</v>
      </c>
      <c r="CD114" s="204">
        <f>CC119</f>
        <v>198.45453824346953</v>
      </c>
      <c r="CE114" s="204">
        <f>CD119</f>
        <v>185.64387606074214</v>
      </c>
      <c r="CF114" s="204">
        <f>CE119</f>
        <v>172.70575213568432</v>
      </c>
      <c r="CG114" s="748">
        <f>CA119</f>
        <v>210.77218547304221</v>
      </c>
      <c r="CH114" s="744"/>
      <c r="CI114" s="701">
        <f>CG119</f>
        <v>159.06150729906471</v>
      </c>
      <c r="CJ114" s="204">
        <f>CI119</f>
        <v>145.99438014518091</v>
      </c>
      <c r="CK114" s="204">
        <f>CJ119</f>
        <v>132.36226964798396</v>
      </c>
      <c r="CL114" s="204">
        <f>CK119</f>
        <v>118.47069783834549</v>
      </c>
      <c r="CM114" s="748">
        <f>CG119</f>
        <v>159.06150729906471</v>
      </c>
      <c r="CN114" s="744"/>
      <c r="CO114" s="744"/>
      <c r="CP114" s="89"/>
    </row>
    <row r="115" spans="1:94" ht="12.75" hidden="1" customHeight="1" outlineLevel="1">
      <c r="A115" s="803" t="s">
        <v>330</v>
      </c>
      <c r="B115" s="495"/>
      <c r="C115" s="706"/>
      <c r="D115" s="705"/>
      <c r="E115" s="705"/>
      <c r="F115" s="705">
        <f>F119+F118-F116</f>
        <v>186.85512584407613</v>
      </c>
      <c r="G115" s="703"/>
      <c r="H115" s="495"/>
      <c r="I115" s="706"/>
      <c r="J115" s="705"/>
      <c r="K115" s="705"/>
      <c r="L115" s="705"/>
      <c r="M115" s="703">
        <f>SUM(I115:L115)</f>
        <v>0</v>
      </c>
      <c r="N115" s="495"/>
      <c r="O115" s="706"/>
      <c r="P115" s="705"/>
      <c r="Q115" s="705"/>
      <c r="R115" s="705"/>
      <c r="S115" s="703">
        <f>SUM(O115:R115)</f>
        <v>0</v>
      </c>
      <c r="T115" s="705"/>
      <c r="U115" s="706"/>
      <c r="V115" s="705"/>
      <c r="W115" s="705"/>
      <c r="X115" s="705"/>
      <c r="Y115" s="703">
        <f>SUM(U115:X115)</f>
        <v>0</v>
      </c>
      <c r="Z115" s="705"/>
      <c r="AA115" s="706"/>
      <c r="AB115" s="705"/>
      <c r="AC115" s="705"/>
      <c r="AD115" s="705"/>
      <c r="AE115" s="710">
        <f>SUM(AA115:AD115)</f>
        <v>0</v>
      </c>
      <c r="AF115" s="705"/>
      <c r="AG115" s="706"/>
      <c r="AH115" s="705"/>
      <c r="AI115" s="705"/>
      <c r="AJ115" s="705"/>
      <c r="AK115" s="710">
        <f>SUM(AG115:AJ115)</f>
        <v>0</v>
      </c>
      <c r="AL115" s="705"/>
      <c r="AM115" s="706"/>
      <c r="AN115" s="705"/>
      <c r="AO115" s="705"/>
      <c r="AP115" s="705"/>
      <c r="AQ115" s="710">
        <f>SUM(AM115:AP115)</f>
        <v>0</v>
      </c>
      <c r="AR115" s="705"/>
      <c r="AS115" s="706"/>
      <c r="AT115" s="705"/>
      <c r="AU115" s="705"/>
      <c r="AV115" s="705"/>
      <c r="AW115" s="710">
        <f>SUM(AS115:AV115)</f>
        <v>0</v>
      </c>
      <c r="AX115" s="705"/>
      <c r="AY115" s="706">
        <f>-AY130*CF!AY46</f>
        <v>0</v>
      </c>
      <c r="AZ115" s="705">
        <f>-AZ130*CF!AZ46</f>
        <v>0</v>
      </c>
      <c r="BA115" s="705">
        <f>-BA130*CF!BA46</f>
        <v>0</v>
      </c>
      <c r="BB115" s="705">
        <f>-BB130*CF!BB46</f>
        <v>0</v>
      </c>
      <c r="BC115" s="710">
        <f>SUM(AY115:BB115)</f>
        <v>0</v>
      </c>
      <c r="BD115" s="705"/>
      <c r="BE115" s="706">
        <f>-BE130*CF!BE46</f>
        <v>0</v>
      </c>
      <c r="BF115" s="705">
        <f>-BF130*CF!BF46</f>
        <v>0</v>
      </c>
      <c r="BG115" s="705">
        <f>-BG130*CF!BG46</f>
        <v>0</v>
      </c>
      <c r="BH115" s="705">
        <f>-BH130*CF!BH46</f>
        <v>0</v>
      </c>
      <c r="BI115" s="710">
        <f>SUM(BE115:BH115)</f>
        <v>0</v>
      </c>
      <c r="BJ115" s="705"/>
      <c r="BK115" s="706">
        <f>-BK130*CF!BK46</f>
        <v>0</v>
      </c>
      <c r="BL115" s="705">
        <f>-BL130*CF!BL46</f>
        <v>0</v>
      </c>
      <c r="BM115" s="705">
        <f>-BM130*CF!BM46</f>
        <v>0</v>
      </c>
      <c r="BN115" s="705">
        <f>-BN130*CF!BN46</f>
        <v>0</v>
      </c>
      <c r="BO115" s="710">
        <f>SUM(BK115:BN115)</f>
        <v>0</v>
      </c>
      <c r="BP115" s="705"/>
      <c r="BQ115" s="706">
        <f>-BQ130*CF!BQ46</f>
        <v>0.89999999999999991</v>
      </c>
      <c r="BR115" s="705">
        <f>-BR130*CF!BR46</f>
        <v>0</v>
      </c>
      <c r="BS115" s="705">
        <f>-BS130*CF!BS46</f>
        <v>0</v>
      </c>
      <c r="BT115" s="705">
        <f>-BT130*CF!BT46</f>
        <v>0</v>
      </c>
      <c r="BU115" s="710">
        <f>SUM(BQ115:BT115)</f>
        <v>0.89999999999999991</v>
      </c>
      <c r="BV115" s="705"/>
      <c r="BW115" s="706">
        <f>-BW130*CF!BW46</f>
        <v>0</v>
      </c>
      <c r="BX115" s="705">
        <f>-BX130*CF!BX46</f>
        <v>0</v>
      </c>
      <c r="BY115" s="705">
        <f>-BY130*CF!BY46</f>
        <v>0</v>
      </c>
      <c r="BZ115" s="705">
        <f>-BZ130*CF!BZ46</f>
        <v>0</v>
      </c>
      <c r="CA115" s="710">
        <f>SUM(BW115:BZ115)</f>
        <v>0</v>
      </c>
      <c r="CB115" s="705"/>
      <c r="CC115" s="706">
        <f>-CC130*CF!CC46</f>
        <v>0</v>
      </c>
      <c r="CD115" s="705">
        <f>-CD130*CF!CD46</f>
        <v>0</v>
      </c>
      <c r="CE115" s="705">
        <f>-CE130*CF!CE46</f>
        <v>0</v>
      </c>
      <c r="CF115" s="705">
        <f>-CF130*CF!CF46</f>
        <v>0</v>
      </c>
      <c r="CG115" s="710">
        <f>SUM(CC115:CF115)</f>
        <v>0</v>
      </c>
      <c r="CH115" s="495"/>
      <c r="CI115" s="706">
        <f>-CI130*CF!CI46</f>
        <v>0</v>
      </c>
      <c r="CJ115" s="705">
        <f>-CJ130*CF!CJ46</f>
        <v>0</v>
      </c>
      <c r="CK115" s="705">
        <f>-CK130*CF!CK46</f>
        <v>0</v>
      </c>
      <c r="CL115" s="705">
        <f>-CL130*CF!CL46</f>
        <v>0</v>
      </c>
      <c r="CM115" s="710">
        <f>SUM(CI115:CL115)</f>
        <v>0</v>
      </c>
      <c r="CN115" s="495"/>
      <c r="CO115" s="495"/>
      <c r="CP115" s="64"/>
    </row>
    <row r="116" spans="1:94" ht="12.75" hidden="1" customHeight="1" outlineLevel="1">
      <c r="A116" s="803" t="s">
        <v>339</v>
      </c>
      <c r="B116" s="495"/>
      <c r="C116" s="704"/>
      <c r="D116" s="702"/>
      <c r="E116" s="702"/>
      <c r="F116" s="1554">
        <v>-13.444444444444446</v>
      </c>
      <c r="G116" s="703"/>
      <c r="H116" s="495"/>
      <c r="I116" s="1555">
        <v>-12.527777777777779</v>
      </c>
      <c r="J116" s="1554">
        <v>-12.527777777777779</v>
      </c>
      <c r="K116" s="1554">
        <v>-12.527777777777779</v>
      </c>
      <c r="L116" s="1554">
        <v>-12.527777777777779</v>
      </c>
      <c r="M116" s="703">
        <f>SUM(I116:L116)</f>
        <v>-50.111111111111114</v>
      </c>
      <c r="N116" s="495"/>
      <c r="O116" s="1555">
        <v>-14</v>
      </c>
      <c r="P116" s="1554">
        <v>-12</v>
      </c>
      <c r="Q116" s="1554">
        <v>-13</v>
      </c>
      <c r="R116" s="1554">
        <v>-11</v>
      </c>
      <c r="S116" s="703">
        <f>SUM(O116:R116)</f>
        <v>-50</v>
      </c>
      <c r="T116" s="705"/>
      <c r="U116" s="1555">
        <v>-9</v>
      </c>
      <c r="V116" s="1554">
        <v>-5</v>
      </c>
      <c r="W116" s="1554">
        <v>-29</v>
      </c>
      <c r="X116" s="1554">
        <v>-36</v>
      </c>
      <c r="Y116" s="703">
        <f>SUM(U116:X116)</f>
        <v>-79</v>
      </c>
      <c r="Z116" s="705"/>
      <c r="AA116" s="1555">
        <v>-27.5</v>
      </c>
      <c r="AB116" s="1554">
        <v>-28.5</v>
      </c>
      <c r="AC116" s="1554">
        <v>-27.5</v>
      </c>
      <c r="AD116" s="1554">
        <v>-27.5</v>
      </c>
      <c r="AE116" s="710">
        <f>SUM(AA116:AD116)</f>
        <v>-111</v>
      </c>
      <c r="AF116" s="705"/>
      <c r="AG116" s="1555">
        <v>-19.25</v>
      </c>
      <c r="AH116" s="1554">
        <v>-18.25</v>
      </c>
      <c r="AI116" s="1554">
        <v>-41.25</v>
      </c>
      <c r="AJ116" s="1554">
        <v>-51.25</v>
      </c>
      <c r="AK116" s="710">
        <f>SUM(AG116:AJ116)</f>
        <v>-130</v>
      </c>
      <c r="AL116" s="705"/>
      <c r="AM116" s="1555">
        <v>-50.5</v>
      </c>
      <c r="AN116" s="1554">
        <v>-46.166666666666671</v>
      </c>
      <c r="AO116" s="1554">
        <v>-45.166666666666671</v>
      </c>
      <c r="AP116" s="1554">
        <v>-49.166666666666671</v>
      </c>
      <c r="AQ116" s="710">
        <f>SUM(AM116:AP116)</f>
        <v>-191</v>
      </c>
      <c r="AR116" s="705"/>
      <c r="AS116" s="1555">
        <v>-48</v>
      </c>
      <c r="AT116" s="1554">
        <v>-48</v>
      </c>
      <c r="AU116" s="1554">
        <v>-48</v>
      </c>
      <c r="AV116" s="705">
        <f>-AV117*IS!AV10/4</f>
        <v>-44.327500000000001</v>
      </c>
      <c r="AW116" s="710">
        <f>SUM(AS116:AV116)</f>
        <v>-188.32749999999999</v>
      </c>
      <c r="AX116" s="705"/>
      <c r="AY116" s="706">
        <f>-(CF!AY12+BS!AY105)</f>
        <v>-37.22</v>
      </c>
      <c r="AZ116" s="705">
        <f>-(CF!AZ12+BS!AZ105)</f>
        <v>-34.11</v>
      </c>
      <c r="BA116" s="705">
        <f>-(CF!BA12+BS!BA105)</f>
        <v>-31.580000000000002</v>
      </c>
      <c r="BB116" s="705">
        <f>-(CF!BB12+BS!BB105)</f>
        <v>-28.950000000000003</v>
      </c>
      <c r="BC116" s="710">
        <f>SUM(AY116:BB116)</f>
        <v>-131.86000000000001</v>
      </c>
      <c r="BD116" s="705"/>
      <c r="BE116" s="706">
        <f>-(CF!BE12+BS!BE105)</f>
        <v>-41.328000000000003</v>
      </c>
      <c r="BF116" s="705">
        <f>-(CF!BF12+BS!BF105)</f>
        <v>-33.43</v>
      </c>
      <c r="BG116" s="705">
        <f>-(CF!BG12+BS!BG105)</f>
        <v>-28.68</v>
      </c>
      <c r="BH116" s="705">
        <f>-(CF!BH12+BS!BH105)</f>
        <v>-22.67</v>
      </c>
      <c r="BI116" s="710">
        <f>SUM(BE116:BH116)</f>
        <v>-126.10800000000002</v>
      </c>
      <c r="BJ116" s="705"/>
      <c r="BK116" s="706">
        <f>-(CF!BK12+BS!BK105)</f>
        <v>-29.391999999999999</v>
      </c>
      <c r="BL116" s="705">
        <f>-(CF!BL12+BS!BL105)</f>
        <v>-27.552</v>
      </c>
      <c r="BM116" s="705">
        <f>-(CF!BM12+BS!BM105)</f>
        <v>-27.327499999999997</v>
      </c>
      <c r="BN116" s="705">
        <f>-(CF!BN12+BS!BN105)</f>
        <v>-26.733749999999997</v>
      </c>
      <c r="BO116" s="710">
        <f>SUM(BK116:BN116)</f>
        <v>-111.00525</v>
      </c>
      <c r="BP116" s="705"/>
      <c r="BQ116" s="706">
        <f>-(CF!BQ12+BS!BQ105)</f>
        <v>-25.266249999999999</v>
      </c>
      <c r="BR116" s="705">
        <f>MAX((-BR117*IS!BR10/4),-BR114)</f>
        <v>-21.974818389063721</v>
      </c>
      <c r="BS116" s="705">
        <f>MAX((-BS117*IS!BS10/4),-BS114)</f>
        <v>-21.751439241782158</v>
      </c>
      <c r="BT116" s="705">
        <f>MAX((-BT117*IS!BT10/4),-BT114)</f>
        <v>-23.071331767259437</v>
      </c>
      <c r="BU116" s="710">
        <f>SUM(BQ116:BT116)</f>
        <v>-92.063839398105316</v>
      </c>
      <c r="BV116" s="705"/>
      <c r="BW116" s="706">
        <f>MAX((-BW117*IS!BW10/4),-BW114)</f>
        <v>-15.187883829253328</v>
      </c>
      <c r="BX116" s="705">
        <f>MAX((-BX117*IS!BX10/4),-BX114)</f>
        <v>-15.751404779986531</v>
      </c>
      <c r="BY116" s="705">
        <f>MAX((-BY117*IS!BY10/4),-BY114)</f>
        <v>-15.786474474146901</v>
      </c>
      <c r="BZ116" s="705">
        <f>MAX((-BZ117*IS!BZ10/4),-BZ114)</f>
        <v>-16.704462045465753</v>
      </c>
      <c r="CA116" s="710">
        <f>SUM(BW116:BZ116)</f>
        <v>-63.430225128852513</v>
      </c>
      <c r="CB116" s="705"/>
      <c r="CC116" s="706">
        <f>MAX((-CC117*IS!CC10/4),-CC114)</f>
        <v>-12.31764722957268</v>
      </c>
      <c r="CD116" s="705">
        <f>MAX((-CD117*IS!CD10/4),-CD114)</f>
        <v>-12.810662182727388</v>
      </c>
      <c r="CE116" s="705">
        <f>MAX((-CE117*IS!CE10/4),-CE114)</f>
        <v>-12.938123925057823</v>
      </c>
      <c r="CF116" s="705">
        <f>MAX((-CF117*IS!CF10/4),-CF114)</f>
        <v>-13.644244836619588</v>
      </c>
      <c r="CG116" s="710">
        <f>SUM(CC116:CF116)</f>
        <v>-51.710678173977485</v>
      </c>
      <c r="CH116" s="495"/>
      <c r="CI116" s="706">
        <f>MAX((-CI117*IS!CI10/4),-CI114)</f>
        <v>-13.067127153883799</v>
      </c>
      <c r="CJ116" s="705">
        <f>MAX((-CJ117*IS!CJ10/4),-CJ114)</f>
        <v>-13.632110497196948</v>
      </c>
      <c r="CK116" s="705">
        <f>MAX((-CK117*IS!CK10/4),-CK114)</f>
        <v>-13.891571809638483</v>
      </c>
      <c r="CL116" s="705">
        <f>MAX((-CL117*IS!CL10/4),-CL114)</f>
        <v>-14.592052378709006</v>
      </c>
      <c r="CM116" s="710">
        <f>SUM(CI116:CL116)</f>
        <v>-55.182861839428234</v>
      </c>
      <c r="CN116" s="495"/>
      <c r="CO116" s="495"/>
      <c r="CP116" s="64"/>
    </row>
    <row r="117" spans="1:94" ht="12.75" hidden="1" customHeight="1" outlineLevel="1">
      <c r="A117" s="820" t="s">
        <v>340</v>
      </c>
      <c r="B117" s="743"/>
      <c r="C117" s="821"/>
      <c r="D117" s="822"/>
      <c r="E117" s="822"/>
      <c r="F117" s="760">
        <f>(-F116/IS!F10)*4</f>
        <v>0.10262934690415608</v>
      </c>
      <c r="G117" s="762"/>
      <c r="H117" s="823"/>
      <c r="I117" s="759">
        <f>(-I116/IS!I10)*4</f>
        <v>9.4371207365557652E-2</v>
      </c>
      <c r="J117" s="760">
        <f>(-J116/IS!J10)*4</f>
        <v>9.4549266247379457E-2</v>
      </c>
      <c r="K117" s="760">
        <f>(-K116/IS!K10)*4</f>
        <v>9.2798353909465031E-2</v>
      </c>
      <c r="L117" s="760">
        <f>(-L116/IS!L10)*4</f>
        <v>8.4362139917695478E-2</v>
      </c>
      <c r="M117" s="762">
        <f>(-M116/IS!M10)</f>
        <v>2.2829663376360415E-2</v>
      </c>
      <c r="N117" s="823"/>
      <c r="O117" s="759">
        <f>(-O116/IS!O10)*4</f>
        <v>0.10666666666666667</v>
      </c>
      <c r="P117" s="760">
        <f>(-P116/IS!P10)*4</f>
        <v>9.6385542168674704E-2</v>
      </c>
      <c r="Q117" s="760">
        <f>(-Q116/IS!Q10)*4</f>
        <v>0.10483870967741936</v>
      </c>
      <c r="R117" s="760">
        <f>(-R116/IS!R10)*4</f>
        <v>8.0882352941176475E-2</v>
      </c>
      <c r="S117" s="762">
        <f>(-S116/IS!S10)</f>
        <v>2.4236548715462918E-2</v>
      </c>
      <c r="T117" s="824"/>
      <c r="U117" s="759">
        <f>(-U116/IS!U10)*4</f>
        <v>6.1643835616438353E-2</v>
      </c>
      <c r="V117" s="760">
        <f>(-V116/IS!V10)*4</f>
        <v>3.4965034965034968E-2</v>
      </c>
      <c r="W117" s="760">
        <f>(-W116/IS!W10)*4</f>
        <v>0.16500711237553342</v>
      </c>
      <c r="X117" s="760">
        <f>(-X116/IS!X10)*4</f>
        <v>0.17560975609756097</v>
      </c>
      <c r="Y117" s="762">
        <f>(-Y116/IS!Y10)</f>
        <v>2.9488615154908547E-2</v>
      </c>
      <c r="Z117" s="824"/>
      <c r="AA117" s="759">
        <f>(-AA116/IS!AA10)*4</f>
        <v>0.14608233731739709</v>
      </c>
      <c r="AB117" s="760">
        <f>(-AB116/IS!AB10)*4</f>
        <v>0.13491124260355031</v>
      </c>
      <c r="AC117" s="760">
        <f>(-AC116/IS!AC10)*4</f>
        <v>0.13157894736842105</v>
      </c>
      <c r="AD117" s="760">
        <f>(-AD116/IS!AD10)*4</f>
        <v>0.12557077625570776</v>
      </c>
      <c r="AE117" s="762">
        <f>(-AE116/IS!AE10)</f>
        <v>3.3534743202416915E-2</v>
      </c>
      <c r="AF117" s="824"/>
      <c r="AG117" s="759">
        <f>(-AG116/IS!AG10)*4</f>
        <v>8.9848308051341891E-2</v>
      </c>
      <c r="AH117" s="760">
        <f>(-AH116/IS!AH10)*4</f>
        <v>8.518086347724621E-2</v>
      </c>
      <c r="AI117" s="760">
        <f>(-AI116/IS!AI10)*4</f>
        <v>0.18792710706150342</v>
      </c>
      <c r="AJ117" s="760">
        <f>(-AJ116/IS!AJ10)*4</f>
        <v>0.21556256572029442</v>
      </c>
      <c r="AK117" s="762">
        <f>(-AK116/IS!AK10)</f>
        <v>3.6692068868190798E-2</v>
      </c>
      <c r="AL117" s="824"/>
      <c r="AM117" s="759">
        <f>(-AM116/IS!AM10)*4</f>
        <v>0.21085594989561587</v>
      </c>
      <c r="AN117" s="760">
        <f>(-AN116/IS!AN10)*4</f>
        <v>0.1899862825788752</v>
      </c>
      <c r="AO117" s="760">
        <f>(-AO116/IS!AO10)*4</f>
        <v>0.18997546442341398</v>
      </c>
      <c r="AP117" s="760">
        <f>(-AP116/IS!AP10)*4</f>
        <v>0.19414281013491283</v>
      </c>
      <c r="AQ117" s="762">
        <f>(-AQ116/IS!AQ10)</f>
        <v>4.9049820236260915E-2</v>
      </c>
      <c r="AR117" s="824"/>
      <c r="AS117" s="759">
        <f>(-AS116/IS!AS10)*4</f>
        <v>0.19047619047619047</v>
      </c>
      <c r="AT117" s="760">
        <f>(-AT116/IS!AT10)*4</f>
        <v>0.19433198380566802</v>
      </c>
      <c r="AU117" s="760">
        <f>(-AU116/IS!AU10)*4</f>
        <v>0.19028741328047571</v>
      </c>
      <c r="AV117" s="1653">
        <v>0.17</v>
      </c>
      <c r="AW117" s="762">
        <f>(-AW116/IS!AW10)</f>
        <v>4.65235918972332E-2</v>
      </c>
      <c r="AX117" s="768"/>
      <c r="AY117" s="759">
        <f>(-AY116/IS!AY10)*4</f>
        <v>0.14510721247563352</v>
      </c>
      <c r="AZ117" s="760">
        <f>(-AZ116/IS!AZ10)*4</f>
        <v>0.14168224299065421</v>
      </c>
      <c r="BA117" s="760">
        <f>(-BA116/IS!BA10)*4</f>
        <v>0.1245759368836292</v>
      </c>
      <c r="BB117" s="760">
        <f>(-BB116/IS!BB10)*4</f>
        <v>0.1118840579710145</v>
      </c>
      <c r="BC117" s="762">
        <f>(-BC116/IS!BC10)</f>
        <v>3.2654779593858346E-2</v>
      </c>
      <c r="BD117" s="768"/>
      <c r="BE117" s="759">
        <f>(-BE116/IS!BE10)*4</f>
        <v>0.16080933852140078</v>
      </c>
      <c r="BF117" s="760">
        <f>(-BF116/IS!BF10)*4</f>
        <v>0.13122669283611382</v>
      </c>
      <c r="BG117" s="760">
        <f>(-BG116/IS!BG10)*4</f>
        <v>0.10988505747126437</v>
      </c>
      <c r="BH117" s="760">
        <f>(-BH116/IS!BH10)*4</f>
        <v>8.1620162016201619E-2</v>
      </c>
      <c r="BI117" s="762">
        <f>(-BI116/IS!BI10)</f>
        <v>3.0011423131841984E-2</v>
      </c>
      <c r="BJ117" s="768"/>
      <c r="BK117" s="759">
        <f>(-BK116/IS!BK10)*4</f>
        <v>0.11018556701030928</v>
      </c>
      <c r="BL117" s="760">
        <f>(-BL116/IS!BL10)*4</f>
        <v>0.10000725952813067</v>
      </c>
      <c r="BM117" s="760">
        <f>(-BM116/IS!BM10)*4</f>
        <v>9.8123877917414712E-2</v>
      </c>
      <c r="BN117" s="760">
        <f>(-BN116/IS!BN10)*4</f>
        <v>8.9936921783010923E-2</v>
      </c>
      <c r="BO117" s="762">
        <f>(-BO116/IS!BO10)</f>
        <v>2.4822283094812166E-2</v>
      </c>
      <c r="BP117" s="768"/>
      <c r="BQ117" s="759">
        <f>(-BQ116/IS!BQ10)*4</f>
        <v>8.3455821635012389E-2</v>
      </c>
      <c r="BR117" s="1653">
        <v>7.0000000000000007E-2</v>
      </c>
      <c r="BS117" s="1653">
        <v>7.0000000000000007E-2</v>
      </c>
      <c r="BT117" s="1653">
        <v>7.0000000000000007E-2</v>
      </c>
      <c r="BU117" s="762">
        <f>(-BU116/IS!BU10)</f>
        <v>1.8310211985095845E-2</v>
      </c>
      <c r="BV117" s="768"/>
      <c r="BW117" s="1652">
        <v>4.7E-2</v>
      </c>
      <c r="BX117" s="1653">
        <v>4.7E-2</v>
      </c>
      <c r="BY117" s="1653">
        <v>4.7E-2</v>
      </c>
      <c r="BZ117" s="1653">
        <v>4.7E-2</v>
      </c>
      <c r="CA117" s="762">
        <f>(-CA116/IS!CA10)</f>
        <v>1.175E-2</v>
      </c>
      <c r="CB117" s="760"/>
      <c r="CC117" s="1652">
        <v>3.5999999999999997E-2</v>
      </c>
      <c r="CD117" s="1653">
        <v>3.5999999999999997E-2</v>
      </c>
      <c r="CE117" s="1653">
        <v>3.5999999999999997E-2</v>
      </c>
      <c r="CF117" s="1653">
        <v>3.5999999999999997E-2</v>
      </c>
      <c r="CG117" s="762">
        <f>(-CG116/IS!CG10)</f>
        <v>9.0000000000000011E-3</v>
      </c>
      <c r="CH117" s="743"/>
      <c r="CI117" s="1652">
        <v>3.5999999999999997E-2</v>
      </c>
      <c r="CJ117" s="1653">
        <v>3.5999999999999997E-2</v>
      </c>
      <c r="CK117" s="1653">
        <v>3.5999999999999997E-2</v>
      </c>
      <c r="CL117" s="1653">
        <v>3.5999999999999997E-2</v>
      </c>
      <c r="CM117" s="762">
        <f>(-CM116/IS!CM10)</f>
        <v>8.9999999999999976E-3</v>
      </c>
      <c r="CN117" s="743"/>
      <c r="CO117" s="743"/>
      <c r="CP117" s="149"/>
    </row>
    <row r="118" spans="1:94" ht="12.75" hidden="1" customHeight="1" outlineLevel="1">
      <c r="A118" s="803" t="s">
        <v>138</v>
      </c>
      <c r="B118" s="495"/>
      <c r="C118" s="704"/>
      <c r="D118" s="750"/>
      <c r="E118" s="750"/>
      <c r="F118" s="1554">
        <v>0</v>
      </c>
      <c r="G118" s="703"/>
      <c r="H118" s="495"/>
      <c r="I118" s="749">
        <f>I119-I116-I115-I114</f>
        <v>69.032381829343137</v>
      </c>
      <c r="J118" s="750">
        <f>J119-J116-J115-J114</f>
        <v>13.501995089011672</v>
      </c>
      <c r="K118" s="750">
        <f>K119-K116-K115-K114</f>
        <v>16.424647022713316</v>
      </c>
      <c r="L118" s="750">
        <f>L119-L116-L115-L114</f>
        <v>-0.13704726826276215</v>
      </c>
      <c r="M118" s="703">
        <f>SUM(I118:L118)</f>
        <v>98.821976672805363</v>
      </c>
      <c r="N118" s="495"/>
      <c r="O118" s="749">
        <f>O119-O116-O115-O114</f>
        <v>-7.4327808471454375</v>
      </c>
      <c r="P118" s="750">
        <f>P119-P116-P115-P114</f>
        <v>-4.561694290976078</v>
      </c>
      <c r="Q118" s="750">
        <f>Q119-Q116-Q115-Q114</f>
        <v>2.283609576427267</v>
      </c>
      <c r="R118" s="750">
        <f>R119-R116-R115-R114</f>
        <v>0.28360957642726703</v>
      </c>
      <c r="S118" s="703">
        <f>SUM(O118:R118)</f>
        <v>-9.4272559852669815</v>
      </c>
      <c r="T118" s="705"/>
      <c r="U118" s="749">
        <f>U119-U116-U115-U114</f>
        <v>-9.5101289134438503</v>
      </c>
      <c r="V118" s="750">
        <f>V119-V116-V115-V114</f>
        <v>-16.43278084714548</v>
      </c>
      <c r="W118" s="750">
        <f>W119-W116-W115-W114</f>
        <v>406.02209944751377</v>
      </c>
      <c r="X118" s="750">
        <f>X119-X116-X115-X114</f>
        <v>17.489871086556263</v>
      </c>
      <c r="Y118" s="703">
        <f>SUM(U118:X118)</f>
        <v>397.56906077348071</v>
      </c>
      <c r="Z118" s="705"/>
      <c r="AA118" s="749">
        <f>AA119-AA116-AA115-AA114</f>
        <v>1.196132596685004</v>
      </c>
      <c r="AB118" s="750">
        <f>AB119-AB116-AB115-AB114</f>
        <v>53.82965009208101</v>
      </c>
      <c r="AC118" s="750">
        <f>AC119-AC116-AC115-AC114</f>
        <v>-2.7007366482504267</v>
      </c>
      <c r="AD118" s="750">
        <f>AD119-AD116-AD115-AD114</f>
        <v>-4.6491712707182273</v>
      </c>
      <c r="AE118" s="710">
        <f>SUM(AA118:AD118)</f>
        <v>47.67587476979736</v>
      </c>
      <c r="AF118" s="705"/>
      <c r="AG118" s="749">
        <f>AG119-AG116-AG115-AG114</f>
        <v>4.6367403314916942</v>
      </c>
      <c r="AH118" s="750">
        <f>AH119-AH116-AH115-AH114</f>
        <v>-1.2343462246777221</v>
      </c>
      <c r="AI118" s="750">
        <f>AI119-AI116-AI115-AI114</f>
        <v>714.43416206261497</v>
      </c>
      <c r="AJ118" s="750">
        <f>AJ119-AJ116-AJ115-AJ114</f>
        <v>52.224217311234042</v>
      </c>
      <c r="AK118" s="710">
        <f>SUM(AG118:AJ118)</f>
        <v>770.06077348066299</v>
      </c>
      <c r="AL118" s="705"/>
      <c r="AM118" s="749">
        <f>AM119-AM116-AM115-AM114</f>
        <v>38.159388646288107</v>
      </c>
      <c r="AN118" s="750">
        <f>AN119-AN116-AN115-AN114</f>
        <v>-26.217612809315824</v>
      </c>
      <c r="AO118" s="750">
        <f>AO119-AO116-AO115-AO114</f>
        <v>-3.7416302765648197</v>
      </c>
      <c r="AP118" s="750">
        <f>AP119-AP116-AP115-AP114</f>
        <v>20.799854439592423</v>
      </c>
      <c r="AQ118" s="710">
        <f>SUM(AM118:AP118)</f>
        <v>28.999999999999886</v>
      </c>
      <c r="AR118" s="705"/>
      <c r="AS118" s="749">
        <f>AS119-AS116-AS115-AS114</f>
        <v>-6.9999999999998863</v>
      </c>
      <c r="AT118" s="750">
        <f>AT119-AT116-AT115-AT114</f>
        <v>16</v>
      </c>
      <c r="AU118" s="750">
        <f>AU119-AU116-AU115-AU114</f>
        <v>-17</v>
      </c>
      <c r="AV118" s="705">
        <f>AV119-AV116-AV115-AV114</f>
        <v>-50.672500000000014</v>
      </c>
      <c r="AW118" s="710">
        <f>SUM(AS118:AV118)</f>
        <v>-58.6724999999999</v>
      </c>
      <c r="AX118" s="705"/>
      <c r="AY118" s="749">
        <f>AY119-AY116-AY115-AY114</f>
        <v>-52.779999999999973</v>
      </c>
      <c r="AZ118" s="750">
        <f>AZ119-AZ116-AZ115-AZ114</f>
        <v>-8.8899999999999864</v>
      </c>
      <c r="BA118" s="750">
        <f>BA119-BA116-BA115-BA114</f>
        <v>-0.41999999999995907</v>
      </c>
      <c r="BB118" s="750">
        <f>BB119-BB116-BB115-BB114</f>
        <v>-10.050000000000011</v>
      </c>
      <c r="BC118" s="710">
        <f>SUM(AY118:BB118)</f>
        <v>-72.13999999999993</v>
      </c>
      <c r="BD118" s="705"/>
      <c r="BE118" s="749">
        <f>BE119-BE116-BE115-BE114</f>
        <v>109.32799999999992</v>
      </c>
      <c r="BF118" s="750">
        <f>BF119-BF116-BF115-BF114</f>
        <v>10.42999999999995</v>
      </c>
      <c r="BG118" s="750">
        <f>BG119-BG116-BG115-BG114</f>
        <v>-19.319999999999993</v>
      </c>
      <c r="BH118" s="705">
        <f>BH119-BH116-BH115-BH114</f>
        <v>-11.329999999999984</v>
      </c>
      <c r="BI118" s="710">
        <f>SUM(BE118:BH118)</f>
        <v>89.10799999999989</v>
      </c>
      <c r="BJ118" s="705"/>
      <c r="BK118" s="749">
        <f>BK119-BK116-BK115-BK114</f>
        <v>32.392000000000053</v>
      </c>
      <c r="BL118" s="750">
        <f>BL119-BL116-BL115-BL114</f>
        <v>-10.447999999999979</v>
      </c>
      <c r="BM118" s="750">
        <f>BM119-BM116-BM115-BM114</f>
        <v>29.327499999999986</v>
      </c>
      <c r="BN118" s="705">
        <f>BN119-BN116-BN115-BN114</f>
        <v>12.733749999999986</v>
      </c>
      <c r="BO118" s="710">
        <f>SUM(BK118:BN118)</f>
        <v>64.005250000000046</v>
      </c>
      <c r="BP118" s="705"/>
      <c r="BQ118" s="749">
        <f>BQ119-BQ116-BQ115-BQ114</f>
        <v>4.3662500000000364</v>
      </c>
      <c r="BR118" s="1554">
        <v>0</v>
      </c>
      <c r="BS118" s="1554">
        <v>0</v>
      </c>
      <c r="BT118" s="1554">
        <v>0</v>
      </c>
      <c r="BU118" s="710">
        <f>SUM(BQ118:BT118)</f>
        <v>4.3662500000000364</v>
      </c>
      <c r="BV118" s="705"/>
      <c r="BW118" s="1555">
        <v>0</v>
      </c>
      <c r="BX118" s="1554">
        <v>0</v>
      </c>
      <c r="BY118" s="1554">
        <v>0</v>
      </c>
      <c r="BZ118" s="1554">
        <v>0</v>
      </c>
      <c r="CA118" s="710">
        <f>SUM(BW118:BZ118)</f>
        <v>0</v>
      </c>
      <c r="CB118" s="705"/>
      <c r="CC118" s="1555">
        <v>0</v>
      </c>
      <c r="CD118" s="1554">
        <v>0</v>
      </c>
      <c r="CE118" s="1554">
        <v>0</v>
      </c>
      <c r="CF118" s="1554">
        <v>0</v>
      </c>
      <c r="CG118" s="710">
        <f>SUM(CC118:CF118)</f>
        <v>0</v>
      </c>
      <c r="CH118" s="495"/>
      <c r="CI118" s="1555">
        <v>0</v>
      </c>
      <c r="CJ118" s="1554">
        <v>0</v>
      </c>
      <c r="CK118" s="1554">
        <v>0</v>
      </c>
      <c r="CL118" s="1554">
        <v>0</v>
      </c>
      <c r="CM118" s="710">
        <f>SUM(CI118:CL118)</f>
        <v>0</v>
      </c>
      <c r="CN118" s="495"/>
      <c r="CO118" s="495"/>
      <c r="CP118" s="64"/>
    </row>
    <row r="119" spans="1:94" ht="12.75" customHeight="1" collapsed="1">
      <c r="A119" s="814" t="s">
        <v>341</v>
      </c>
      <c r="B119" s="744"/>
      <c r="C119" s="745"/>
      <c r="D119" s="746"/>
      <c r="E119" s="746"/>
      <c r="F119" s="746">
        <f>F18</f>
        <v>173.41068139963167</v>
      </c>
      <c r="G119" s="700">
        <f>F119</f>
        <v>173.41068139963167</v>
      </c>
      <c r="H119" s="744"/>
      <c r="I119" s="745">
        <f>I18</f>
        <v>229.91528545119704</v>
      </c>
      <c r="J119" s="746">
        <f>J18</f>
        <v>230.88950276243094</v>
      </c>
      <c r="K119" s="746">
        <f>K18</f>
        <v>234.78637200736648</v>
      </c>
      <c r="L119" s="746">
        <f>L18</f>
        <v>222.12154696132595</v>
      </c>
      <c r="M119" s="700">
        <f>M114+M115+M116+M118</f>
        <v>222.12154696132592</v>
      </c>
      <c r="N119" s="744"/>
      <c r="O119" s="745">
        <f>O18</f>
        <v>200.68876611418048</v>
      </c>
      <c r="P119" s="746">
        <f>P18</f>
        <v>184.1270718232044</v>
      </c>
      <c r="Q119" s="746">
        <f>Q18</f>
        <v>173.41068139963167</v>
      </c>
      <c r="R119" s="746">
        <f>R18</f>
        <v>162.69429097605894</v>
      </c>
      <c r="S119" s="700">
        <f>S114+S115+S116+S118</f>
        <v>162.69429097605894</v>
      </c>
      <c r="T119" s="204"/>
      <c r="U119" s="745">
        <f>U18</f>
        <v>144.18416206261509</v>
      </c>
      <c r="V119" s="746">
        <f>V18</f>
        <v>122.75138121546961</v>
      </c>
      <c r="W119" s="746">
        <f>W18</f>
        <v>499.77348066298339</v>
      </c>
      <c r="X119" s="746">
        <f>X18</f>
        <v>481.26335174953959</v>
      </c>
      <c r="Y119" s="700">
        <f>Y114+Y115+Y116+Y118</f>
        <v>481.26335174953965</v>
      </c>
      <c r="Z119" s="204"/>
      <c r="AA119" s="745">
        <f>AA18</f>
        <v>454.95948434622466</v>
      </c>
      <c r="AB119" s="746">
        <f>AB18</f>
        <v>480.28913443830567</v>
      </c>
      <c r="AC119" s="746">
        <f>AC18</f>
        <v>450.08839779005524</v>
      </c>
      <c r="AD119" s="746">
        <f>AD18</f>
        <v>417.93922651933701</v>
      </c>
      <c r="AE119" s="825">
        <f>AE114+AE115+AE116+AE118</f>
        <v>417.93922651933701</v>
      </c>
      <c r="AF119" s="204"/>
      <c r="AG119" s="745">
        <f>AG18</f>
        <v>403.32596685082871</v>
      </c>
      <c r="AH119" s="746">
        <f>AH18</f>
        <v>383.84162062615098</v>
      </c>
      <c r="AI119" s="746">
        <f>AI18</f>
        <v>1057.025782688766</v>
      </c>
      <c r="AJ119" s="746">
        <f>AJ18</f>
        <v>1058</v>
      </c>
      <c r="AK119" s="825">
        <f>AK114+AK115+AK116+AK118</f>
        <v>1058</v>
      </c>
      <c r="AL119" s="204"/>
      <c r="AM119" s="701">
        <f>AM18</f>
        <v>1045.6593886462881</v>
      </c>
      <c r="AN119" s="746">
        <f>AN18</f>
        <v>973.27510917030565</v>
      </c>
      <c r="AO119" s="746">
        <f>AO18</f>
        <v>924.36681222707421</v>
      </c>
      <c r="AP119" s="746">
        <f>AP18</f>
        <v>896</v>
      </c>
      <c r="AQ119" s="825">
        <f>AQ114+AQ115+AQ116+AQ118</f>
        <v>895.99999999999989</v>
      </c>
      <c r="AR119" s="204"/>
      <c r="AS119" s="745">
        <f>AS18</f>
        <v>841</v>
      </c>
      <c r="AT119" s="746">
        <f>AT18</f>
        <v>809</v>
      </c>
      <c r="AU119" s="746">
        <f>AU18</f>
        <v>744</v>
      </c>
      <c r="AV119" s="204">
        <f>AV18</f>
        <v>649</v>
      </c>
      <c r="AW119" s="825">
        <f>AW114+AW115+AW116+AW118</f>
        <v>649</v>
      </c>
      <c r="AX119" s="204"/>
      <c r="AY119" s="745">
        <f>AY18</f>
        <v>559</v>
      </c>
      <c r="AZ119" s="746">
        <f>AZ18</f>
        <v>516</v>
      </c>
      <c r="BA119" s="746">
        <f>BA18</f>
        <v>484</v>
      </c>
      <c r="BB119" s="746">
        <f>BB18</f>
        <v>445</v>
      </c>
      <c r="BC119" s="825">
        <f>BC114+BC115+BC116+BC118</f>
        <v>445.00000000000006</v>
      </c>
      <c r="BD119" s="204"/>
      <c r="BE119" s="745">
        <f>BE18</f>
        <v>513</v>
      </c>
      <c r="BF119" s="746">
        <f>BF18</f>
        <v>490</v>
      </c>
      <c r="BG119" s="746">
        <f>BG18</f>
        <v>442</v>
      </c>
      <c r="BH119" s="204">
        <f>BH18</f>
        <v>408</v>
      </c>
      <c r="BI119" s="825">
        <f>BI114+BI115+BI116+BI118</f>
        <v>407.99999999999994</v>
      </c>
      <c r="BJ119" s="204"/>
      <c r="BK119" s="745">
        <f>BK18</f>
        <v>411</v>
      </c>
      <c r="BL119" s="746">
        <f>BL18</f>
        <v>373</v>
      </c>
      <c r="BM119" s="746">
        <f>BM18</f>
        <v>375</v>
      </c>
      <c r="BN119" s="204">
        <f>BN18</f>
        <v>361</v>
      </c>
      <c r="BO119" s="825">
        <f>BO114+BO115+BO116+BO118</f>
        <v>361</v>
      </c>
      <c r="BP119" s="204"/>
      <c r="BQ119" s="745">
        <f>BQ18</f>
        <v>341</v>
      </c>
      <c r="BR119" s="204">
        <f>BR114+BR115+BR116+BR118</f>
        <v>319.02518161093627</v>
      </c>
      <c r="BS119" s="204">
        <f>BS114+BS115+BS116+BS118</f>
        <v>297.27374236915409</v>
      </c>
      <c r="BT119" s="204">
        <f>BT114+BT115+BT116+BT118</f>
        <v>274.20241060189466</v>
      </c>
      <c r="BU119" s="825">
        <f>BU114+BU115+BU116+BU118</f>
        <v>274.20241060189471</v>
      </c>
      <c r="BV119" s="204"/>
      <c r="BW119" s="701">
        <f>BW114+BW115+BW116+BW118</f>
        <v>259.01452677264137</v>
      </c>
      <c r="BX119" s="204">
        <f>BX114+BX115+BX116+BX118</f>
        <v>243.26312199265485</v>
      </c>
      <c r="BY119" s="204">
        <f>BY114+BY115+BY116+BY118</f>
        <v>227.47664751850795</v>
      </c>
      <c r="BZ119" s="204">
        <f>BZ114+BZ115+BZ116+BZ118</f>
        <v>210.77218547304219</v>
      </c>
      <c r="CA119" s="825">
        <f>IF(CA114+CA115+CA116+CA118&lt;=0,0,CA114+CA115+CA116+CA118)</f>
        <v>210.77218547304221</v>
      </c>
      <c r="CB119" s="204"/>
      <c r="CC119" s="701">
        <f>CC114+CC115+CC116+CC118</f>
        <v>198.45453824346953</v>
      </c>
      <c r="CD119" s="204">
        <f>CD114+CD115+CD116+CD118</f>
        <v>185.64387606074214</v>
      </c>
      <c r="CE119" s="204">
        <f>CE114+CE115+CE116+CE118</f>
        <v>172.70575213568432</v>
      </c>
      <c r="CF119" s="204">
        <f>CF114+CF115+CF116+CF118</f>
        <v>159.06150729906474</v>
      </c>
      <c r="CG119" s="825">
        <f>IF(CG114+CG115+CG116+CG118&lt;=0,0,CG114+CG115+CG116+CG118)</f>
        <v>159.06150729906471</v>
      </c>
      <c r="CH119" s="744"/>
      <c r="CI119" s="701">
        <f>CI114+CI115+CI116+CI118</f>
        <v>145.99438014518091</v>
      </c>
      <c r="CJ119" s="204">
        <f>CJ114+CJ115+CJ116+CJ118</f>
        <v>132.36226964798396</v>
      </c>
      <c r="CK119" s="204">
        <f>CK114+CK115+CK116+CK118</f>
        <v>118.47069783834549</v>
      </c>
      <c r="CL119" s="204">
        <f>CL114+CL115+CL116+CL118</f>
        <v>103.87864545963649</v>
      </c>
      <c r="CM119" s="825">
        <f>IF(CM114+CM115+CM116+CM118&lt;=0,0,CM114+CM115+CM116+CM118)</f>
        <v>103.87864545963649</v>
      </c>
      <c r="CN119" s="744"/>
      <c r="CO119" s="744"/>
      <c r="CP119" s="89"/>
    </row>
    <row r="120" spans="1:94" ht="12.75" customHeight="1">
      <c r="A120" s="826"/>
      <c r="B120" s="743"/>
      <c r="C120" s="827"/>
      <c r="D120" s="768"/>
      <c r="E120" s="768"/>
      <c r="F120" s="768"/>
      <c r="G120" s="828"/>
      <c r="H120" s="743"/>
      <c r="I120" s="827"/>
      <c r="J120" s="768"/>
      <c r="K120" s="768"/>
      <c r="L120" s="768"/>
      <c r="M120" s="828"/>
      <c r="N120" s="743"/>
      <c r="O120" s="827"/>
      <c r="P120" s="768"/>
      <c r="Q120" s="768"/>
      <c r="R120" s="768"/>
      <c r="S120" s="828"/>
      <c r="T120" s="768"/>
      <c r="U120" s="829"/>
      <c r="V120" s="768"/>
      <c r="W120" s="768"/>
      <c r="X120" s="768"/>
      <c r="Y120" s="828"/>
      <c r="Z120" s="768"/>
      <c r="AA120" s="829"/>
      <c r="AB120" s="768"/>
      <c r="AC120" s="768"/>
      <c r="AD120" s="768"/>
      <c r="AE120" s="828"/>
      <c r="AF120" s="768"/>
      <c r="AG120" s="829"/>
      <c r="AH120" s="768"/>
      <c r="AI120" s="768"/>
      <c r="AJ120" s="768"/>
      <c r="AK120" s="828"/>
      <c r="AL120" s="768"/>
      <c r="AM120" s="829"/>
      <c r="AN120" s="768"/>
      <c r="AO120" s="768"/>
      <c r="AP120" s="768"/>
      <c r="AQ120" s="828"/>
      <c r="AR120" s="768"/>
      <c r="AS120" s="829"/>
      <c r="AT120" s="768"/>
      <c r="AU120" s="768"/>
      <c r="AV120" s="768"/>
      <c r="AW120" s="828"/>
      <c r="AX120" s="768"/>
      <c r="AY120" s="829"/>
      <c r="AZ120" s="768"/>
      <c r="BA120" s="768"/>
      <c r="BB120" s="768"/>
      <c r="BC120" s="828"/>
      <c r="BD120" s="768"/>
      <c r="BE120" s="829"/>
      <c r="BF120" s="768"/>
      <c r="BG120" s="768"/>
      <c r="BH120" s="768"/>
      <c r="BI120" s="828"/>
      <c r="BJ120" s="768"/>
      <c r="BK120" s="829"/>
      <c r="BL120" s="768"/>
      <c r="BM120" s="768"/>
      <c r="BN120" s="768"/>
      <c r="BO120" s="828"/>
      <c r="BP120" s="768"/>
      <c r="BQ120" s="829"/>
      <c r="BR120" s="768"/>
      <c r="BS120" s="768"/>
      <c r="BT120" s="768"/>
      <c r="BU120" s="828"/>
      <c r="BV120" s="768"/>
      <c r="BW120" s="829"/>
      <c r="BX120" s="768"/>
      <c r="BY120" s="768"/>
      <c r="BZ120" s="768"/>
      <c r="CA120" s="828"/>
      <c r="CB120" s="768"/>
      <c r="CC120" s="829"/>
      <c r="CD120" s="768"/>
      <c r="CE120" s="768"/>
      <c r="CF120" s="768"/>
      <c r="CG120" s="828"/>
      <c r="CH120" s="743"/>
      <c r="CI120" s="829"/>
      <c r="CJ120" s="768"/>
      <c r="CK120" s="768"/>
      <c r="CL120" s="768"/>
      <c r="CM120" s="828"/>
      <c r="CN120" s="743"/>
      <c r="CO120" s="743"/>
      <c r="CP120" s="6"/>
    </row>
    <row r="121" spans="1:94" ht="12.75" customHeight="1">
      <c r="A121" s="830" t="s">
        <v>262</v>
      </c>
      <c r="B121" s="743"/>
      <c r="C121" s="827"/>
      <c r="D121" s="768"/>
      <c r="E121" s="768"/>
      <c r="F121" s="768"/>
      <c r="G121" s="828"/>
      <c r="H121" s="743"/>
      <c r="I121" s="827"/>
      <c r="J121" s="768"/>
      <c r="K121" s="768"/>
      <c r="L121" s="768"/>
      <c r="M121" s="828"/>
      <c r="N121" s="743"/>
      <c r="O121" s="827"/>
      <c r="P121" s="768"/>
      <c r="Q121" s="768"/>
      <c r="R121" s="768"/>
      <c r="S121" s="828"/>
      <c r="T121" s="768"/>
      <c r="U121" s="829"/>
      <c r="V121" s="768"/>
      <c r="W121" s="768"/>
      <c r="X121" s="768"/>
      <c r="Y121" s="828"/>
      <c r="Z121" s="768"/>
      <c r="AA121" s="829"/>
      <c r="AB121" s="768"/>
      <c r="AC121" s="768"/>
      <c r="AD121" s="768"/>
      <c r="AE121" s="828"/>
      <c r="AF121" s="768"/>
      <c r="AG121" s="829"/>
      <c r="AH121" s="768"/>
      <c r="AI121" s="768"/>
      <c r="AJ121" s="768"/>
      <c r="AK121" s="828"/>
      <c r="AL121" s="768"/>
      <c r="AM121" s="829"/>
      <c r="AN121" s="768"/>
      <c r="AO121" s="768"/>
      <c r="AP121" s="768"/>
      <c r="AQ121" s="828"/>
      <c r="AR121" s="768"/>
      <c r="AS121" s="829"/>
      <c r="AT121" s="768"/>
      <c r="AU121" s="768"/>
      <c r="AV121" s="768"/>
      <c r="AW121" s="828"/>
      <c r="AX121" s="768"/>
      <c r="AY121" s="829"/>
      <c r="AZ121" s="768"/>
      <c r="BA121" s="768"/>
      <c r="BB121" s="768"/>
      <c r="BC121" s="828"/>
      <c r="BD121" s="768"/>
      <c r="BE121" s="829"/>
      <c r="BF121" s="768"/>
      <c r="BG121" s="768"/>
      <c r="BH121" s="768"/>
      <c r="BI121" s="828"/>
      <c r="BJ121" s="768"/>
      <c r="BK121" s="829"/>
      <c r="BL121" s="768"/>
      <c r="BM121" s="768"/>
      <c r="BN121" s="768"/>
      <c r="BO121" s="828"/>
      <c r="BP121" s="768"/>
      <c r="BQ121" s="829"/>
      <c r="BR121" s="768"/>
      <c r="BS121" s="768"/>
      <c r="BT121" s="768"/>
      <c r="BU121" s="828"/>
      <c r="BV121" s="768"/>
      <c r="BW121" s="829"/>
      <c r="BX121" s="768"/>
      <c r="BY121" s="768"/>
      <c r="BZ121" s="768"/>
      <c r="CA121" s="828"/>
      <c r="CB121" s="768"/>
      <c r="CC121" s="829"/>
      <c r="CD121" s="768"/>
      <c r="CE121" s="768"/>
      <c r="CF121" s="768"/>
      <c r="CG121" s="828"/>
      <c r="CH121" s="743"/>
      <c r="CI121" s="829"/>
      <c r="CJ121" s="768"/>
      <c r="CK121" s="768"/>
      <c r="CL121" s="768"/>
      <c r="CM121" s="828"/>
      <c r="CN121" s="743"/>
      <c r="CO121" s="743"/>
      <c r="CP121" s="6"/>
    </row>
    <row r="122" spans="1:94" ht="12.75" customHeight="1">
      <c r="A122" s="814" t="s">
        <v>342</v>
      </c>
      <c r="B122" s="744"/>
      <c r="C122" s="1703">
        <v>113</v>
      </c>
      <c r="D122" s="746">
        <f>C125</f>
        <v>115</v>
      </c>
      <c r="E122" s="746">
        <f>D125</f>
        <v>116</v>
      </c>
      <c r="F122" s="746">
        <f>E125</f>
        <v>238</v>
      </c>
      <c r="G122" s="700">
        <f>C122</f>
        <v>113</v>
      </c>
      <c r="H122" s="825"/>
      <c r="I122" s="746">
        <f>G125</f>
        <v>241</v>
      </c>
      <c r="J122" s="746">
        <f>I125</f>
        <v>272</v>
      </c>
      <c r="K122" s="746">
        <f>J125</f>
        <v>285</v>
      </c>
      <c r="L122" s="746">
        <f>K125</f>
        <v>301</v>
      </c>
      <c r="M122" s="700">
        <f>G125</f>
        <v>241</v>
      </c>
      <c r="N122" s="744"/>
      <c r="O122" s="745">
        <f>M125</f>
        <v>278</v>
      </c>
      <c r="P122" s="746">
        <f>O125</f>
        <v>278</v>
      </c>
      <c r="Q122" s="746">
        <f>P125</f>
        <v>278</v>
      </c>
      <c r="R122" s="746">
        <f>Q125</f>
        <v>272</v>
      </c>
      <c r="S122" s="700">
        <f>M125</f>
        <v>278</v>
      </c>
      <c r="T122" s="204"/>
      <c r="U122" s="745">
        <f>S125</f>
        <v>274</v>
      </c>
      <c r="V122" s="746">
        <f>U125</f>
        <v>274</v>
      </c>
      <c r="W122" s="746">
        <f>V125</f>
        <v>273</v>
      </c>
      <c r="X122" s="746">
        <f>W125</f>
        <v>1023</v>
      </c>
      <c r="Y122" s="700">
        <f>S125</f>
        <v>274</v>
      </c>
      <c r="Z122" s="204"/>
      <c r="AA122" s="745">
        <f>Y125</f>
        <v>1058</v>
      </c>
      <c r="AB122" s="746">
        <f>AA125</f>
        <v>1053</v>
      </c>
      <c r="AC122" s="746">
        <f>AB125</f>
        <v>1155</v>
      </c>
      <c r="AD122" s="746">
        <f>AC125</f>
        <v>1142</v>
      </c>
      <c r="AE122" s="825">
        <f>Y125</f>
        <v>1058</v>
      </c>
      <c r="AF122" s="204"/>
      <c r="AG122" s="745">
        <f>AE125</f>
        <v>1132</v>
      </c>
      <c r="AH122" s="746">
        <f>AG125</f>
        <v>1157</v>
      </c>
      <c r="AI122" s="746">
        <f>AH125</f>
        <v>1155</v>
      </c>
      <c r="AJ122" s="746">
        <f>AI125</f>
        <v>2497</v>
      </c>
      <c r="AK122" s="825">
        <f>AE125</f>
        <v>1132</v>
      </c>
      <c r="AL122" s="204"/>
      <c r="AM122" s="701">
        <f>AK125</f>
        <v>2558</v>
      </c>
      <c r="AN122" s="204">
        <f>AM125</f>
        <v>2645</v>
      </c>
      <c r="AO122" s="746">
        <f>AN125</f>
        <v>2597</v>
      </c>
      <c r="AP122" s="746">
        <f>AO125</f>
        <v>2587</v>
      </c>
      <c r="AQ122" s="825">
        <f>AK125</f>
        <v>2558</v>
      </c>
      <c r="AR122" s="204"/>
      <c r="AS122" s="701">
        <f>AQ125</f>
        <v>2628</v>
      </c>
      <c r="AT122" s="204">
        <f>AS125</f>
        <v>2607</v>
      </c>
      <c r="AU122" s="204">
        <f>AT125</f>
        <v>2656</v>
      </c>
      <c r="AV122" s="204">
        <f>AU125</f>
        <v>2607</v>
      </c>
      <c r="AW122" s="825">
        <f>AQ125</f>
        <v>2628</v>
      </c>
      <c r="AX122" s="204"/>
      <c r="AY122" s="701">
        <f>AW125</f>
        <v>2507</v>
      </c>
      <c r="AZ122" s="204">
        <f>AY125</f>
        <v>2352</v>
      </c>
      <c r="BA122" s="204">
        <f>AZ125</f>
        <v>2341</v>
      </c>
      <c r="BB122" s="204">
        <f>BA125</f>
        <v>2366</v>
      </c>
      <c r="BC122" s="825">
        <f>AW125</f>
        <v>2507</v>
      </c>
      <c r="BD122" s="204"/>
      <c r="BE122" s="701">
        <f>BC125</f>
        <v>2366</v>
      </c>
      <c r="BF122" s="204">
        <f>BE125</f>
        <v>2478</v>
      </c>
      <c r="BG122" s="204">
        <f>BF125</f>
        <v>2556</v>
      </c>
      <c r="BH122" s="204">
        <f>BG125</f>
        <v>2525</v>
      </c>
      <c r="BI122" s="825">
        <f>BC125</f>
        <v>2366</v>
      </c>
      <c r="BJ122" s="204"/>
      <c r="BK122" s="701">
        <f>BI125</f>
        <v>2517</v>
      </c>
      <c r="BL122" s="204">
        <f>BK125</f>
        <v>2563</v>
      </c>
      <c r="BM122" s="204">
        <f>BL125</f>
        <v>2568</v>
      </c>
      <c r="BN122" s="204">
        <f>BM125</f>
        <v>2612</v>
      </c>
      <c r="BO122" s="825">
        <f>BI125</f>
        <v>2517</v>
      </c>
      <c r="BP122" s="204"/>
      <c r="BQ122" s="701">
        <f>BO125</f>
        <v>2607</v>
      </c>
      <c r="BR122" s="204">
        <f>BQ125</f>
        <v>2633</v>
      </c>
      <c r="BS122" s="204">
        <f>BR125</f>
        <v>2633</v>
      </c>
      <c r="BT122" s="204">
        <f>BS125</f>
        <v>2633</v>
      </c>
      <c r="BU122" s="825">
        <f>BO125</f>
        <v>2607</v>
      </c>
      <c r="BV122" s="204"/>
      <c r="BW122" s="701">
        <f>BU125</f>
        <v>2633</v>
      </c>
      <c r="BX122" s="204">
        <f>BW125</f>
        <v>2633</v>
      </c>
      <c r="BY122" s="204">
        <f>BX125</f>
        <v>2633</v>
      </c>
      <c r="BZ122" s="204">
        <f>BY125</f>
        <v>2633</v>
      </c>
      <c r="CA122" s="825">
        <f>BU125</f>
        <v>2633</v>
      </c>
      <c r="CB122" s="204"/>
      <c r="CC122" s="701">
        <f>CA125</f>
        <v>2633</v>
      </c>
      <c r="CD122" s="204">
        <f>CC125</f>
        <v>2633</v>
      </c>
      <c r="CE122" s="204">
        <f>CD125</f>
        <v>2633</v>
      </c>
      <c r="CF122" s="204">
        <f>CE125</f>
        <v>2633</v>
      </c>
      <c r="CG122" s="825">
        <f>CA125</f>
        <v>2633</v>
      </c>
      <c r="CH122" s="744"/>
      <c r="CI122" s="701">
        <f>CG125</f>
        <v>2633</v>
      </c>
      <c r="CJ122" s="204">
        <f>CI125</f>
        <v>2633</v>
      </c>
      <c r="CK122" s="204">
        <f>CJ125</f>
        <v>2633</v>
      </c>
      <c r="CL122" s="204">
        <f>CK125</f>
        <v>2633</v>
      </c>
      <c r="CM122" s="825">
        <f>CG125</f>
        <v>2633</v>
      </c>
      <c r="CN122" s="744"/>
      <c r="CO122" s="744"/>
      <c r="CP122" s="89"/>
    </row>
    <row r="123" spans="1:94" ht="12.75" hidden="1" customHeight="1" outlineLevel="1">
      <c r="A123" s="803" t="s">
        <v>343</v>
      </c>
      <c r="B123" s="495"/>
      <c r="C123" s="705"/>
      <c r="D123" s="705"/>
      <c r="E123" s="705"/>
      <c r="F123" s="705"/>
      <c r="G123" s="710"/>
      <c r="H123" s="710"/>
      <c r="I123" s="705"/>
      <c r="J123" s="705"/>
      <c r="K123" s="705"/>
      <c r="L123" s="705"/>
      <c r="M123" s="703">
        <f>SUM(I123:L123)</f>
        <v>0</v>
      </c>
      <c r="N123" s="495"/>
      <c r="O123" s="706"/>
      <c r="P123" s="705"/>
      <c r="Q123" s="705"/>
      <c r="R123" s="705"/>
      <c r="S123" s="703">
        <f>SUM(O123:R123)</f>
        <v>0</v>
      </c>
      <c r="T123" s="705"/>
      <c r="U123" s="706"/>
      <c r="V123" s="705"/>
      <c r="W123" s="705"/>
      <c r="X123" s="705"/>
      <c r="Y123" s="703">
        <f>SUM(U123:X123)</f>
        <v>0</v>
      </c>
      <c r="Z123" s="705"/>
      <c r="AA123" s="706"/>
      <c r="AB123" s="705"/>
      <c r="AC123" s="705"/>
      <c r="AD123" s="705"/>
      <c r="AE123" s="710">
        <f>SUM(AA123:AD123)</f>
        <v>0</v>
      </c>
      <c r="AF123" s="705"/>
      <c r="AG123" s="706"/>
      <c r="AH123" s="705"/>
      <c r="AI123" s="705"/>
      <c r="AJ123" s="705"/>
      <c r="AK123" s="710"/>
      <c r="AL123" s="705"/>
      <c r="AM123" s="706"/>
      <c r="AN123" s="705"/>
      <c r="AO123" s="705"/>
      <c r="AP123" s="705"/>
      <c r="AQ123" s="710">
        <f>SUM(AM123:AP123)</f>
        <v>0</v>
      </c>
      <c r="AR123" s="705"/>
      <c r="AS123" s="706"/>
      <c r="AT123" s="705"/>
      <c r="AU123" s="705"/>
      <c r="AV123" s="705"/>
      <c r="AW123" s="710">
        <f>SUM(AS123:AV123)</f>
        <v>0</v>
      </c>
      <c r="AX123" s="705"/>
      <c r="AY123" s="706"/>
      <c r="AZ123" s="705"/>
      <c r="BA123" s="705"/>
      <c r="BB123" s="705"/>
      <c r="BC123" s="710">
        <f>SUM(AY123:BB123)</f>
        <v>0</v>
      </c>
      <c r="BD123" s="705"/>
      <c r="BE123" s="706"/>
      <c r="BF123" s="705"/>
      <c r="BG123" s="705"/>
      <c r="BH123" s="705"/>
      <c r="BI123" s="710">
        <f>SUM(BE123:BH123)</f>
        <v>0</v>
      </c>
      <c r="BJ123" s="705"/>
      <c r="BK123" s="706"/>
      <c r="BL123" s="705"/>
      <c r="BM123" s="705"/>
      <c r="BN123" s="705"/>
      <c r="BO123" s="710">
        <f>SUM(BK123:BN123)</f>
        <v>0</v>
      </c>
      <c r="BP123" s="705"/>
      <c r="BQ123" s="706"/>
      <c r="BR123" s="705">
        <f>-BR129*CF!BR46</f>
        <v>0</v>
      </c>
      <c r="BS123" s="705">
        <f>-BS129*CF!BS46</f>
        <v>0</v>
      </c>
      <c r="BT123" s="705">
        <f>-BT129*CF!BT46</f>
        <v>0</v>
      </c>
      <c r="BU123" s="710">
        <f>SUM(BQ123:BT123)</f>
        <v>0</v>
      </c>
      <c r="BV123" s="705"/>
      <c r="BW123" s="706">
        <f>-BW129*CF!BW46</f>
        <v>0</v>
      </c>
      <c r="BX123" s="705">
        <f>-BX129*CF!BX46</f>
        <v>0</v>
      </c>
      <c r="BY123" s="705">
        <f>-BY129*CF!BY46</f>
        <v>0</v>
      </c>
      <c r="BZ123" s="705">
        <f>-BZ129*CF!BZ46</f>
        <v>0</v>
      </c>
      <c r="CA123" s="710">
        <f>SUM(BW123:BZ123)</f>
        <v>0</v>
      </c>
      <c r="CB123" s="705"/>
      <c r="CC123" s="706">
        <f>-CC129*CF!CC46</f>
        <v>0</v>
      </c>
      <c r="CD123" s="705">
        <f>-CD129*CF!CD46</f>
        <v>0</v>
      </c>
      <c r="CE123" s="705">
        <f>-CE129*CF!CE46</f>
        <v>0</v>
      </c>
      <c r="CF123" s="705">
        <f>-CF129*CF!CF46</f>
        <v>0</v>
      </c>
      <c r="CG123" s="710">
        <f>SUM(CC123:CF123)</f>
        <v>0</v>
      </c>
      <c r="CH123" s="495"/>
      <c r="CI123" s="706">
        <f>-CI129*CF!CI46</f>
        <v>0</v>
      </c>
      <c r="CJ123" s="705">
        <f>-CJ129*CF!CJ46</f>
        <v>0</v>
      </c>
      <c r="CK123" s="705">
        <f>-CK129*CF!CK46</f>
        <v>0</v>
      </c>
      <c r="CL123" s="705">
        <f>-CL129*CF!CL46</f>
        <v>0</v>
      </c>
      <c r="CM123" s="710">
        <f>SUM(CI123:CL123)</f>
        <v>0</v>
      </c>
      <c r="CN123" s="495"/>
      <c r="CO123" s="495"/>
      <c r="CP123" s="64"/>
    </row>
    <row r="124" spans="1:94" ht="12.75" hidden="1" customHeight="1" outlineLevel="1">
      <c r="A124" s="803" t="s">
        <v>138</v>
      </c>
      <c r="B124" s="495"/>
      <c r="C124" s="750">
        <f>C125-C122</f>
        <v>2</v>
      </c>
      <c r="D124" s="750">
        <f>D125-D122</f>
        <v>1</v>
      </c>
      <c r="E124" s="750">
        <f>E125-E122</f>
        <v>122</v>
      </c>
      <c r="F124" s="750">
        <f>F125-F122</f>
        <v>3</v>
      </c>
      <c r="G124" s="703">
        <f>SUM(C124:F124)</f>
        <v>128</v>
      </c>
      <c r="H124" s="710"/>
      <c r="I124" s="750">
        <f>I125-I122</f>
        <v>31</v>
      </c>
      <c r="J124" s="750">
        <f>J125-J122</f>
        <v>13</v>
      </c>
      <c r="K124" s="750">
        <f>K125-K122</f>
        <v>16</v>
      </c>
      <c r="L124" s="750">
        <f>L125-L122</f>
        <v>-23</v>
      </c>
      <c r="M124" s="703">
        <f>SUM(I124:L124)</f>
        <v>37</v>
      </c>
      <c r="N124" s="495"/>
      <c r="O124" s="749">
        <f>O125-O122</f>
        <v>0</v>
      </c>
      <c r="P124" s="750">
        <f>P125-P122</f>
        <v>0</v>
      </c>
      <c r="Q124" s="750">
        <f>Q125-Q122</f>
        <v>-6</v>
      </c>
      <c r="R124" s="750">
        <f>R125-R122</f>
        <v>2</v>
      </c>
      <c r="S124" s="703">
        <f>SUM(O124:R124)</f>
        <v>-4</v>
      </c>
      <c r="T124" s="705"/>
      <c r="U124" s="749">
        <f>U125-U122</f>
        <v>0</v>
      </c>
      <c r="V124" s="750">
        <f>V125-V122</f>
        <v>-1</v>
      </c>
      <c r="W124" s="750">
        <f>W125-W122</f>
        <v>750</v>
      </c>
      <c r="X124" s="750">
        <f>X125-X122</f>
        <v>35</v>
      </c>
      <c r="Y124" s="703">
        <f>SUM(U124:X124)</f>
        <v>784</v>
      </c>
      <c r="Z124" s="705"/>
      <c r="AA124" s="749">
        <f>AA125-AA122</f>
        <v>-5</v>
      </c>
      <c r="AB124" s="750">
        <f>AB125-AB122</f>
        <v>102</v>
      </c>
      <c r="AC124" s="750">
        <f>AC125-AC122</f>
        <v>-13</v>
      </c>
      <c r="AD124" s="750">
        <f>AD125-AD122</f>
        <v>-10</v>
      </c>
      <c r="AE124" s="710">
        <f>SUM(AA124:AD124)</f>
        <v>74</v>
      </c>
      <c r="AF124" s="705"/>
      <c r="AG124" s="749">
        <f>AG125-AG122</f>
        <v>25</v>
      </c>
      <c r="AH124" s="750">
        <f>AH125-AH122</f>
        <v>-2</v>
      </c>
      <c r="AI124" s="750">
        <f>AI125-AI122</f>
        <v>1342</v>
      </c>
      <c r="AJ124" s="750">
        <f>AJ125-AJ122</f>
        <v>61</v>
      </c>
      <c r="AK124" s="710">
        <f>SUM(AG124:AJ124)</f>
        <v>1426</v>
      </c>
      <c r="AL124" s="705"/>
      <c r="AM124" s="749">
        <f>AM125-AM122</f>
        <v>87</v>
      </c>
      <c r="AN124" s="705">
        <f>AN125-AN122</f>
        <v>-48</v>
      </c>
      <c r="AO124" s="750">
        <f>AO125-AO122</f>
        <v>-10</v>
      </c>
      <c r="AP124" s="750">
        <f>AP125-AP122</f>
        <v>41</v>
      </c>
      <c r="AQ124" s="710">
        <f>SUM(AM124:AP124)</f>
        <v>70</v>
      </c>
      <c r="AR124" s="705"/>
      <c r="AS124" s="749">
        <f>AS125-AS122</f>
        <v>-21</v>
      </c>
      <c r="AT124" s="705">
        <f>AT125-AT122</f>
        <v>49</v>
      </c>
      <c r="AU124" s="705">
        <f>AU125-AU122</f>
        <v>-49</v>
      </c>
      <c r="AV124" s="705">
        <f>AV125-AV122</f>
        <v>-100</v>
      </c>
      <c r="AW124" s="710">
        <f>SUM(AS124:AV124)</f>
        <v>-121</v>
      </c>
      <c r="AX124" s="705"/>
      <c r="AY124" s="749">
        <f>AY125-AY122</f>
        <v>-155</v>
      </c>
      <c r="AZ124" s="750">
        <f>AZ125-AZ122</f>
        <v>-11</v>
      </c>
      <c r="BA124" s="750">
        <f>BA125-BA122</f>
        <v>25</v>
      </c>
      <c r="BB124" s="750">
        <f>BB125-BB122</f>
        <v>0</v>
      </c>
      <c r="BC124" s="710">
        <f>SUM(AY124:BB124)</f>
        <v>-141</v>
      </c>
      <c r="BD124" s="705"/>
      <c r="BE124" s="749">
        <f>BE125-BE122</f>
        <v>112</v>
      </c>
      <c r="BF124" s="750">
        <f>BF125-BF122</f>
        <v>78</v>
      </c>
      <c r="BG124" s="750">
        <f>BG125-BG122</f>
        <v>-31</v>
      </c>
      <c r="BH124" s="705">
        <f>BH125-BH122</f>
        <v>-8</v>
      </c>
      <c r="BI124" s="710">
        <f>SUM(BE124:BH124)</f>
        <v>151</v>
      </c>
      <c r="BJ124" s="705"/>
      <c r="BK124" s="749">
        <f>BK125-BK122</f>
        <v>46</v>
      </c>
      <c r="BL124" s="750">
        <f>BL125-BL122</f>
        <v>5</v>
      </c>
      <c r="BM124" s="750">
        <f>BM125-BM122</f>
        <v>44</v>
      </c>
      <c r="BN124" s="705">
        <f>BN125-BN122</f>
        <v>-5</v>
      </c>
      <c r="BO124" s="710">
        <f>SUM(BK124:BN124)</f>
        <v>90</v>
      </c>
      <c r="BP124" s="705"/>
      <c r="BQ124" s="749">
        <f>BQ125-BQ122</f>
        <v>26</v>
      </c>
      <c r="BR124" s="1554">
        <v>0</v>
      </c>
      <c r="BS124" s="1554">
        <v>0</v>
      </c>
      <c r="BT124" s="1554">
        <v>0</v>
      </c>
      <c r="BU124" s="710">
        <f>SUM(BQ124:BT124)</f>
        <v>26</v>
      </c>
      <c r="BV124" s="705"/>
      <c r="BW124" s="1555">
        <v>0</v>
      </c>
      <c r="BX124" s="1554">
        <v>0</v>
      </c>
      <c r="BY124" s="1554">
        <v>0</v>
      </c>
      <c r="BZ124" s="1554">
        <v>0</v>
      </c>
      <c r="CA124" s="710">
        <f>SUM(BW124:BZ124)</f>
        <v>0</v>
      </c>
      <c r="CB124" s="705"/>
      <c r="CC124" s="1555">
        <v>0</v>
      </c>
      <c r="CD124" s="1554">
        <v>0</v>
      </c>
      <c r="CE124" s="1554">
        <v>0</v>
      </c>
      <c r="CF124" s="1554">
        <v>0</v>
      </c>
      <c r="CG124" s="710">
        <f>SUM(CC124:CF124)</f>
        <v>0</v>
      </c>
      <c r="CH124" s="495"/>
      <c r="CI124" s="1555">
        <v>0</v>
      </c>
      <c r="CJ124" s="1554">
        <v>0</v>
      </c>
      <c r="CK124" s="1554">
        <v>0</v>
      </c>
      <c r="CL124" s="1554">
        <v>0</v>
      </c>
      <c r="CM124" s="710">
        <f>SUM(CI124:CL124)</f>
        <v>0</v>
      </c>
      <c r="CN124" s="495"/>
      <c r="CO124" s="495"/>
      <c r="CP124" s="64"/>
    </row>
    <row r="125" spans="1:94" ht="12.75" customHeight="1" collapsed="1">
      <c r="A125" s="831" t="s">
        <v>344</v>
      </c>
      <c r="B125" s="744"/>
      <c r="C125" s="807">
        <f>C17</f>
        <v>115</v>
      </c>
      <c r="D125" s="808">
        <f>D17</f>
        <v>116</v>
      </c>
      <c r="E125" s="808">
        <f>E17</f>
        <v>238</v>
      </c>
      <c r="F125" s="808">
        <f>F17</f>
        <v>241</v>
      </c>
      <c r="G125" s="809">
        <f>G122+G123+G124</f>
        <v>241</v>
      </c>
      <c r="H125" s="811"/>
      <c r="I125" s="807">
        <f>I17</f>
        <v>272</v>
      </c>
      <c r="J125" s="808">
        <f>J17</f>
        <v>285</v>
      </c>
      <c r="K125" s="808">
        <f>K17</f>
        <v>301</v>
      </c>
      <c r="L125" s="808">
        <f>L17</f>
        <v>278</v>
      </c>
      <c r="M125" s="809">
        <f>M122+M123+M124</f>
        <v>278</v>
      </c>
      <c r="N125" s="744"/>
      <c r="O125" s="807">
        <f>O17</f>
        <v>278</v>
      </c>
      <c r="P125" s="808">
        <f>P17</f>
        <v>278</v>
      </c>
      <c r="Q125" s="808">
        <f>Q17</f>
        <v>272</v>
      </c>
      <c r="R125" s="808">
        <f>R17</f>
        <v>274</v>
      </c>
      <c r="S125" s="809">
        <f>S122+S123+S124</f>
        <v>274</v>
      </c>
      <c r="T125" s="204"/>
      <c r="U125" s="807">
        <f>U17</f>
        <v>274</v>
      </c>
      <c r="V125" s="808">
        <f>V17</f>
        <v>273</v>
      </c>
      <c r="W125" s="808">
        <f>W17</f>
        <v>1023</v>
      </c>
      <c r="X125" s="808">
        <f>X17</f>
        <v>1058</v>
      </c>
      <c r="Y125" s="809">
        <f>Y122+Y123+Y124</f>
        <v>1058</v>
      </c>
      <c r="Z125" s="204"/>
      <c r="AA125" s="807">
        <f>AA17</f>
        <v>1053</v>
      </c>
      <c r="AB125" s="808">
        <f>AB17</f>
        <v>1155</v>
      </c>
      <c r="AC125" s="808">
        <f>AC17</f>
        <v>1142</v>
      </c>
      <c r="AD125" s="808">
        <f>AD17</f>
        <v>1132</v>
      </c>
      <c r="AE125" s="810">
        <f>AE122+AE123+AE124</f>
        <v>1132</v>
      </c>
      <c r="AF125" s="204"/>
      <c r="AG125" s="807">
        <f>AG17</f>
        <v>1157</v>
      </c>
      <c r="AH125" s="808">
        <f>AH17</f>
        <v>1155</v>
      </c>
      <c r="AI125" s="808">
        <f>AI17</f>
        <v>2497</v>
      </c>
      <c r="AJ125" s="808">
        <f>AJ17</f>
        <v>2558</v>
      </c>
      <c r="AK125" s="810">
        <f>AK122+AK123+AK124</f>
        <v>2558</v>
      </c>
      <c r="AL125" s="204"/>
      <c r="AM125" s="812">
        <f>AM17</f>
        <v>2645</v>
      </c>
      <c r="AN125" s="811">
        <f>AN17</f>
        <v>2597</v>
      </c>
      <c r="AO125" s="808">
        <f>AO17</f>
        <v>2587</v>
      </c>
      <c r="AP125" s="808">
        <f>AP17</f>
        <v>2628</v>
      </c>
      <c r="AQ125" s="810">
        <f>AQ122+AQ123+AQ124</f>
        <v>2628</v>
      </c>
      <c r="AR125" s="204"/>
      <c r="AS125" s="807">
        <f>AS17</f>
        <v>2607</v>
      </c>
      <c r="AT125" s="811">
        <f>AT17</f>
        <v>2656</v>
      </c>
      <c r="AU125" s="811">
        <f>AU17</f>
        <v>2607</v>
      </c>
      <c r="AV125" s="811">
        <f>AV17</f>
        <v>2507</v>
      </c>
      <c r="AW125" s="810">
        <f>AW122+AW123+AW124</f>
        <v>2507</v>
      </c>
      <c r="AX125" s="204"/>
      <c r="AY125" s="807">
        <f>AY17</f>
        <v>2352</v>
      </c>
      <c r="AZ125" s="808">
        <f>AZ17</f>
        <v>2341</v>
      </c>
      <c r="BA125" s="808">
        <f>BA17</f>
        <v>2366</v>
      </c>
      <c r="BB125" s="808">
        <f>BB17</f>
        <v>2366</v>
      </c>
      <c r="BC125" s="810">
        <f>BC122+BC123+BC124</f>
        <v>2366</v>
      </c>
      <c r="BD125" s="204"/>
      <c r="BE125" s="807">
        <f>BE17</f>
        <v>2478</v>
      </c>
      <c r="BF125" s="808">
        <f>BF17</f>
        <v>2556</v>
      </c>
      <c r="BG125" s="808">
        <f>BG17</f>
        <v>2525</v>
      </c>
      <c r="BH125" s="811">
        <f>BH17</f>
        <v>2517</v>
      </c>
      <c r="BI125" s="810">
        <f>BI122+BI123+BI124</f>
        <v>2517</v>
      </c>
      <c r="BJ125" s="204"/>
      <c r="BK125" s="807">
        <f>BK17</f>
        <v>2563</v>
      </c>
      <c r="BL125" s="808">
        <f>BL17</f>
        <v>2568</v>
      </c>
      <c r="BM125" s="808">
        <f>BM17</f>
        <v>2612</v>
      </c>
      <c r="BN125" s="811">
        <f>BN17</f>
        <v>2607</v>
      </c>
      <c r="BO125" s="810">
        <f>BO122+BO123+BO124</f>
        <v>2607</v>
      </c>
      <c r="BP125" s="204"/>
      <c r="BQ125" s="807">
        <f>BQ17</f>
        <v>2633</v>
      </c>
      <c r="BR125" s="811">
        <f>BR122+BR123+BR124</f>
        <v>2633</v>
      </c>
      <c r="BS125" s="811">
        <f>BS122+BS123+BS124</f>
        <v>2633</v>
      </c>
      <c r="BT125" s="811">
        <f>BT122+BT123+BT124</f>
        <v>2633</v>
      </c>
      <c r="BU125" s="810">
        <f>BU122+BU123+BU124</f>
        <v>2633</v>
      </c>
      <c r="BV125" s="204"/>
      <c r="BW125" s="812">
        <f>BW122+BW123+BW124</f>
        <v>2633</v>
      </c>
      <c r="BX125" s="811">
        <f>BX122+BX123+BX124</f>
        <v>2633</v>
      </c>
      <c r="BY125" s="811">
        <f>BY122+BY123+BY124</f>
        <v>2633</v>
      </c>
      <c r="BZ125" s="811">
        <f>BZ122+BZ123+BZ124</f>
        <v>2633</v>
      </c>
      <c r="CA125" s="810">
        <f>CA122+CA123+CA124</f>
        <v>2633</v>
      </c>
      <c r="CB125" s="204"/>
      <c r="CC125" s="812">
        <f>CC122+CC123+CC124</f>
        <v>2633</v>
      </c>
      <c r="CD125" s="811">
        <f>CD122+CD123+CD124</f>
        <v>2633</v>
      </c>
      <c r="CE125" s="811">
        <f>CE122+CE123+CE124</f>
        <v>2633</v>
      </c>
      <c r="CF125" s="811">
        <f>CF122+CF123+CF124</f>
        <v>2633</v>
      </c>
      <c r="CG125" s="810">
        <f>CG122+CG123+CG124</f>
        <v>2633</v>
      </c>
      <c r="CH125" s="744"/>
      <c r="CI125" s="812">
        <f>CI122+CI123+CI124</f>
        <v>2633</v>
      </c>
      <c r="CJ125" s="811">
        <f>CJ122+CJ123+CJ124</f>
        <v>2633</v>
      </c>
      <c r="CK125" s="811">
        <f>CK122+CK123+CK124</f>
        <v>2633</v>
      </c>
      <c r="CL125" s="811">
        <f>CL122+CL123+CL124</f>
        <v>2633</v>
      </c>
      <c r="CM125" s="810">
        <f>CM122+CM123+CM124</f>
        <v>2633</v>
      </c>
      <c r="CN125" s="744"/>
      <c r="CO125" s="744"/>
      <c r="CP125" s="89"/>
    </row>
    <row r="126" spans="1:94" ht="4.5" customHeight="1">
      <c r="A126" s="813"/>
      <c r="B126" s="743"/>
      <c r="C126" s="767"/>
      <c r="D126" s="767"/>
      <c r="E126" s="767"/>
      <c r="F126" s="767"/>
      <c r="G126" s="767"/>
      <c r="H126" s="743"/>
      <c r="I126" s="767"/>
      <c r="J126" s="767"/>
      <c r="K126" s="767"/>
      <c r="L126" s="767"/>
      <c r="M126" s="767"/>
      <c r="N126" s="743"/>
      <c r="O126" s="767"/>
      <c r="P126" s="767"/>
      <c r="Q126" s="767"/>
      <c r="R126" s="767"/>
      <c r="S126" s="767"/>
      <c r="T126" s="768"/>
      <c r="U126" s="767"/>
      <c r="V126" s="767"/>
      <c r="W126" s="767"/>
      <c r="X126" s="767"/>
      <c r="Y126" s="767"/>
      <c r="Z126" s="768"/>
      <c r="AA126" s="767"/>
      <c r="AB126" s="767"/>
      <c r="AC126" s="767"/>
      <c r="AD126" s="767"/>
      <c r="AE126" s="767"/>
      <c r="AF126" s="768"/>
      <c r="AG126" s="767"/>
      <c r="AH126" s="767"/>
      <c r="AI126" s="767"/>
      <c r="AJ126" s="767"/>
      <c r="AK126" s="767"/>
      <c r="AL126" s="768"/>
      <c r="AM126" s="767"/>
      <c r="AN126" s="767"/>
      <c r="AO126" s="767"/>
      <c r="AP126" s="767"/>
      <c r="AQ126" s="767"/>
      <c r="AR126" s="768"/>
      <c r="AS126" s="767"/>
      <c r="AT126" s="767"/>
      <c r="AU126" s="767"/>
      <c r="AV126" s="767"/>
      <c r="AW126" s="768"/>
      <c r="AX126" s="768"/>
      <c r="AY126" s="767"/>
      <c r="AZ126" s="767"/>
      <c r="BA126" s="767"/>
      <c r="BB126" s="767"/>
      <c r="BC126" s="768"/>
      <c r="BD126" s="768"/>
      <c r="BE126" s="767"/>
      <c r="BF126" s="767"/>
      <c r="BG126" s="767"/>
      <c r="BH126" s="767"/>
      <c r="BI126" s="768"/>
      <c r="BJ126" s="768"/>
      <c r="BK126" s="767"/>
      <c r="BL126" s="767"/>
      <c r="BM126" s="767"/>
      <c r="BN126" s="767"/>
      <c r="BO126" s="768"/>
      <c r="BP126" s="768"/>
      <c r="BQ126" s="767"/>
      <c r="BR126" s="767"/>
      <c r="BS126" s="767"/>
      <c r="BT126" s="767"/>
      <c r="BU126" s="768"/>
      <c r="BV126" s="768"/>
      <c r="BW126" s="767"/>
      <c r="BX126" s="767"/>
      <c r="BY126" s="767"/>
      <c r="BZ126" s="767"/>
      <c r="CA126" s="768"/>
      <c r="CB126" s="768"/>
      <c r="CC126" s="767"/>
      <c r="CD126" s="767"/>
      <c r="CE126" s="767"/>
      <c r="CF126" s="767"/>
      <c r="CG126" s="768"/>
      <c r="CH126" s="743"/>
      <c r="CI126" s="767"/>
      <c r="CJ126" s="767"/>
      <c r="CK126" s="767"/>
      <c r="CL126" s="767"/>
      <c r="CM126" s="768"/>
      <c r="CN126" s="743"/>
      <c r="CO126" s="743"/>
      <c r="CP126" s="6"/>
    </row>
    <row r="127" spans="1:94" ht="12.75" customHeight="1">
      <c r="A127" s="832" t="s">
        <v>345</v>
      </c>
      <c r="B127" s="738"/>
      <c r="C127" s="833"/>
      <c r="D127" s="834"/>
      <c r="E127" s="834"/>
      <c r="F127" s="834"/>
      <c r="G127" s="835"/>
      <c r="H127" s="738"/>
      <c r="I127" s="833"/>
      <c r="J127" s="834"/>
      <c r="K127" s="834"/>
      <c r="L127" s="834"/>
      <c r="M127" s="835"/>
      <c r="N127" s="738"/>
      <c r="O127" s="833"/>
      <c r="P127" s="834"/>
      <c r="Q127" s="834"/>
      <c r="R127" s="834"/>
      <c r="S127" s="835"/>
      <c r="T127" s="742"/>
      <c r="U127" s="833"/>
      <c r="V127" s="834"/>
      <c r="W127" s="834"/>
      <c r="X127" s="834"/>
      <c r="Y127" s="835"/>
      <c r="Z127" s="742"/>
      <c r="AA127" s="833"/>
      <c r="AB127" s="834"/>
      <c r="AC127" s="834"/>
      <c r="AD127" s="834"/>
      <c r="AE127" s="835"/>
      <c r="AF127" s="742"/>
      <c r="AG127" s="833"/>
      <c r="AH127" s="834"/>
      <c r="AI127" s="834"/>
      <c r="AJ127" s="834"/>
      <c r="AK127" s="835"/>
      <c r="AL127" s="742"/>
      <c r="AM127" s="833"/>
      <c r="AN127" s="834"/>
      <c r="AO127" s="834"/>
      <c r="AP127" s="834"/>
      <c r="AQ127" s="835"/>
      <c r="AR127" s="742"/>
      <c r="AS127" s="833"/>
      <c r="AT127" s="834"/>
      <c r="AU127" s="834"/>
      <c r="AV127" s="834"/>
      <c r="AW127" s="835"/>
      <c r="AX127" s="742"/>
      <c r="AY127" s="833"/>
      <c r="AZ127" s="834"/>
      <c r="BA127" s="834"/>
      <c r="BB127" s="834"/>
      <c r="BC127" s="835"/>
      <c r="BD127" s="742"/>
      <c r="BE127" s="833"/>
      <c r="BF127" s="834"/>
      <c r="BG127" s="834"/>
      <c r="BH127" s="834"/>
      <c r="BI127" s="835"/>
      <c r="BJ127" s="742"/>
      <c r="BK127" s="833"/>
      <c r="BL127" s="834"/>
      <c r="BM127" s="834"/>
      <c r="BN127" s="834"/>
      <c r="BO127" s="835"/>
      <c r="BP127" s="742"/>
      <c r="BQ127" s="833"/>
      <c r="BR127" s="834"/>
      <c r="BS127" s="834"/>
      <c r="BT127" s="834"/>
      <c r="BU127" s="835"/>
      <c r="BV127" s="742"/>
      <c r="BW127" s="833"/>
      <c r="BX127" s="834"/>
      <c r="BY127" s="834"/>
      <c r="BZ127" s="834"/>
      <c r="CA127" s="835"/>
      <c r="CB127" s="2125"/>
      <c r="CC127" s="833"/>
      <c r="CD127" s="834"/>
      <c r="CE127" s="834"/>
      <c r="CF127" s="834"/>
      <c r="CG127" s="835"/>
      <c r="CH127" s="743"/>
      <c r="CI127" s="833"/>
      <c r="CJ127" s="834"/>
      <c r="CK127" s="834"/>
      <c r="CL127" s="834"/>
      <c r="CM127" s="835"/>
      <c r="CN127" s="743"/>
      <c r="CO127" s="743"/>
      <c r="CP127" s="6"/>
    </row>
    <row r="128" spans="1:94" ht="12.75" hidden="1" customHeight="1" outlineLevel="1">
      <c r="A128" s="836" t="s">
        <v>346</v>
      </c>
      <c r="B128" s="743"/>
      <c r="C128" s="837"/>
      <c r="D128" s="838"/>
      <c r="E128" s="838"/>
      <c r="F128" s="838"/>
      <c r="G128" s="839"/>
      <c r="H128" s="743"/>
      <c r="I128" s="837"/>
      <c r="J128" s="838"/>
      <c r="K128" s="838"/>
      <c r="L128" s="838"/>
      <c r="M128" s="839"/>
      <c r="N128" s="743"/>
      <c r="O128" s="837"/>
      <c r="P128" s="838"/>
      <c r="Q128" s="838"/>
      <c r="R128" s="838"/>
      <c r="S128" s="839"/>
      <c r="T128" s="768"/>
      <c r="U128" s="837"/>
      <c r="V128" s="838"/>
      <c r="W128" s="838"/>
      <c r="X128" s="838"/>
      <c r="Y128" s="839"/>
      <c r="Z128" s="768"/>
      <c r="AA128" s="837"/>
      <c r="AB128" s="838"/>
      <c r="AC128" s="838"/>
      <c r="AD128" s="838"/>
      <c r="AE128" s="839"/>
      <c r="AF128" s="768"/>
      <c r="AG128" s="837"/>
      <c r="AH128" s="838"/>
      <c r="AI128" s="838"/>
      <c r="AJ128" s="838"/>
      <c r="AK128" s="839"/>
      <c r="AL128" s="768"/>
      <c r="AM128" s="837"/>
      <c r="AN128" s="838"/>
      <c r="AO128" s="838"/>
      <c r="AP128" s="838"/>
      <c r="AQ128" s="839"/>
      <c r="AR128" s="768"/>
      <c r="AS128" s="837"/>
      <c r="AT128" s="838"/>
      <c r="AU128" s="838"/>
      <c r="AV128" s="838"/>
      <c r="AW128" s="839"/>
      <c r="AX128" s="768"/>
      <c r="AY128" s="837"/>
      <c r="AZ128" s="838"/>
      <c r="BA128" s="838"/>
      <c r="BB128" s="838"/>
      <c r="BC128" s="839"/>
      <c r="BD128" s="768"/>
      <c r="BE128" s="837"/>
      <c r="BF128" s="838"/>
      <c r="BG128" s="838"/>
      <c r="BH128" s="838"/>
      <c r="BI128" s="839"/>
      <c r="BJ128" s="768"/>
      <c r="BK128" s="837"/>
      <c r="BL128" s="838"/>
      <c r="BM128" s="838"/>
      <c r="BN128" s="838"/>
      <c r="BO128" s="839"/>
      <c r="BP128" s="768"/>
      <c r="BQ128" s="837"/>
      <c r="BR128" s="838"/>
      <c r="BS128" s="838"/>
      <c r="BT128" s="838"/>
      <c r="BU128" s="839"/>
      <c r="BV128" s="768"/>
      <c r="BW128" s="837"/>
      <c r="BX128" s="838"/>
      <c r="BY128" s="838"/>
      <c r="BZ128" s="838"/>
      <c r="CA128" s="839"/>
      <c r="CB128" s="768"/>
      <c r="CC128" s="837"/>
      <c r="CD128" s="838"/>
      <c r="CE128" s="838"/>
      <c r="CF128" s="838"/>
      <c r="CG128" s="839"/>
      <c r="CH128" s="743"/>
      <c r="CI128" s="837"/>
      <c r="CJ128" s="838"/>
      <c r="CK128" s="838"/>
      <c r="CL128" s="838"/>
      <c r="CM128" s="839"/>
      <c r="CN128" s="743"/>
      <c r="CO128" s="743"/>
      <c r="CP128" s="6"/>
    </row>
    <row r="129" spans="1:94" ht="12.75" hidden="1" customHeight="1" outlineLevel="1">
      <c r="A129" s="840" t="s">
        <v>262</v>
      </c>
      <c r="B129" s="743"/>
      <c r="C129" s="829"/>
      <c r="D129" s="768"/>
      <c r="E129" s="768"/>
      <c r="F129" s="768"/>
      <c r="G129" s="828"/>
      <c r="H129" s="743"/>
      <c r="I129" s="829"/>
      <c r="J129" s="768"/>
      <c r="K129" s="768"/>
      <c r="L129" s="768"/>
      <c r="M129" s="828"/>
      <c r="N129" s="743"/>
      <c r="O129" s="829"/>
      <c r="P129" s="768"/>
      <c r="Q129" s="768"/>
      <c r="R129" s="768"/>
      <c r="S129" s="828"/>
      <c r="T129" s="768"/>
      <c r="U129" s="829"/>
      <c r="V129" s="768"/>
      <c r="W129" s="768"/>
      <c r="X129" s="768"/>
      <c r="Y129" s="828"/>
      <c r="Z129" s="768"/>
      <c r="AA129" s="829"/>
      <c r="AB129" s="768"/>
      <c r="AC129" s="768"/>
      <c r="AD129" s="768"/>
      <c r="AE129" s="841"/>
      <c r="AF129" s="768"/>
      <c r="AG129" s="829"/>
      <c r="AH129" s="842"/>
      <c r="AI129" s="768"/>
      <c r="AJ129" s="768"/>
      <c r="AK129" s="828"/>
      <c r="AL129" s="768"/>
      <c r="AM129" s="843"/>
      <c r="AN129" s="842"/>
      <c r="AO129" s="768"/>
      <c r="AP129" s="768"/>
      <c r="AQ129" s="828"/>
      <c r="AR129" s="768"/>
      <c r="AS129" s="843"/>
      <c r="AT129" s="842"/>
      <c r="AU129" s="842"/>
      <c r="AV129" s="1709"/>
      <c r="AW129" s="828"/>
      <c r="AX129" s="768"/>
      <c r="AY129" s="1708"/>
      <c r="AZ129" s="1709"/>
      <c r="BA129" s="1709"/>
      <c r="BB129" s="1709"/>
      <c r="BC129" s="828"/>
      <c r="BD129" s="768"/>
      <c r="BE129" s="1708"/>
      <c r="BF129" s="1709"/>
      <c r="BG129" s="1709"/>
      <c r="BH129" s="1709"/>
      <c r="BI129" s="828"/>
      <c r="BJ129" s="768"/>
      <c r="BK129" s="1708"/>
      <c r="BL129" s="1709"/>
      <c r="BM129" s="1709"/>
      <c r="BN129" s="1709"/>
      <c r="BO129" s="828"/>
      <c r="BP129" s="768"/>
      <c r="BQ129" s="1708">
        <v>0.75</v>
      </c>
      <c r="BR129" s="1709">
        <v>0.75</v>
      </c>
      <c r="BS129" s="1709">
        <v>0.75</v>
      </c>
      <c r="BT129" s="1709">
        <v>0.75</v>
      </c>
      <c r="BU129" s="828"/>
      <c r="BV129" s="768"/>
      <c r="BW129" s="1708">
        <v>0.75</v>
      </c>
      <c r="BX129" s="1709">
        <v>0.75</v>
      </c>
      <c r="BY129" s="1709">
        <v>0.75</v>
      </c>
      <c r="BZ129" s="1709">
        <v>0.75</v>
      </c>
      <c r="CA129" s="828"/>
      <c r="CB129" s="768"/>
      <c r="CC129" s="1708">
        <v>0.75</v>
      </c>
      <c r="CD129" s="1709">
        <v>0.75</v>
      </c>
      <c r="CE129" s="1709">
        <v>0.75</v>
      </c>
      <c r="CF129" s="1709">
        <v>0.75</v>
      </c>
      <c r="CG129" s="828"/>
      <c r="CH129" s="743"/>
      <c r="CI129" s="1708">
        <v>0.75</v>
      </c>
      <c r="CJ129" s="1709">
        <v>0.75</v>
      </c>
      <c r="CK129" s="1709">
        <v>0.75</v>
      </c>
      <c r="CL129" s="1709">
        <v>0.75</v>
      </c>
      <c r="CM129" s="828"/>
      <c r="CN129" s="743"/>
      <c r="CO129" s="743"/>
      <c r="CP129" s="6"/>
    </row>
    <row r="130" spans="1:94" ht="12.75" hidden="1" customHeight="1" outlineLevel="1">
      <c r="A130" s="840" t="s">
        <v>337</v>
      </c>
      <c r="B130" s="743"/>
      <c r="C130" s="829"/>
      <c r="D130" s="768"/>
      <c r="E130" s="768"/>
      <c r="F130" s="768"/>
      <c r="G130" s="828"/>
      <c r="H130" s="743"/>
      <c r="I130" s="829"/>
      <c r="J130" s="768"/>
      <c r="K130" s="768"/>
      <c r="L130" s="768"/>
      <c r="M130" s="828"/>
      <c r="N130" s="743"/>
      <c r="O130" s="829"/>
      <c r="P130" s="768"/>
      <c r="Q130" s="768"/>
      <c r="R130" s="768"/>
      <c r="S130" s="828"/>
      <c r="T130" s="768"/>
      <c r="U130" s="829"/>
      <c r="V130" s="768"/>
      <c r="W130" s="768"/>
      <c r="X130" s="768"/>
      <c r="Y130" s="828"/>
      <c r="Z130" s="768"/>
      <c r="AA130" s="829"/>
      <c r="AB130" s="768"/>
      <c r="AC130" s="768"/>
      <c r="AD130" s="768"/>
      <c r="AE130" s="841"/>
      <c r="AF130" s="768"/>
      <c r="AG130" s="829"/>
      <c r="AH130" s="842"/>
      <c r="AI130" s="768"/>
      <c r="AJ130" s="768"/>
      <c r="AK130" s="828"/>
      <c r="AL130" s="768"/>
      <c r="AM130" s="843"/>
      <c r="AN130" s="842"/>
      <c r="AO130" s="768"/>
      <c r="AP130" s="768"/>
      <c r="AQ130" s="828"/>
      <c r="AR130" s="768"/>
      <c r="AS130" s="843"/>
      <c r="AT130" s="842"/>
      <c r="AU130" s="842"/>
      <c r="AV130" s="1709"/>
      <c r="AW130" s="828"/>
      <c r="AX130" s="768"/>
      <c r="AY130" s="1708"/>
      <c r="AZ130" s="1709"/>
      <c r="BA130" s="1709"/>
      <c r="BB130" s="1709"/>
      <c r="BC130" s="828"/>
      <c r="BD130" s="768"/>
      <c r="BE130" s="1708"/>
      <c r="BF130" s="1709"/>
      <c r="BG130" s="2028"/>
      <c r="BH130" s="1709"/>
      <c r="BI130" s="828"/>
      <c r="BJ130" s="768"/>
      <c r="BK130" s="1708"/>
      <c r="BL130" s="1709"/>
      <c r="BM130" s="1709"/>
      <c r="BN130" s="1709"/>
      <c r="BO130" s="828"/>
      <c r="BP130" s="768"/>
      <c r="BQ130" s="1708">
        <v>0.15</v>
      </c>
      <c r="BR130" s="1709">
        <v>0.15</v>
      </c>
      <c r="BS130" s="1709">
        <v>0.15</v>
      </c>
      <c r="BT130" s="1709">
        <v>0.15</v>
      </c>
      <c r="BU130" s="828"/>
      <c r="BV130" s="768"/>
      <c r="BW130" s="1708">
        <v>0.15</v>
      </c>
      <c r="BX130" s="1709">
        <v>0.15</v>
      </c>
      <c r="BY130" s="1709">
        <v>0.15</v>
      </c>
      <c r="BZ130" s="1709">
        <v>0.15</v>
      </c>
      <c r="CA130" s="828"/>
      <c r="CB130" s="768"/>
      <c r="CC130" s="1708">
        <v>0.15</v>
      </c>
      <c r="CD130" s="1709">
        <v>0.15</v>
      </c>
      <c r="CE130" s="1709">
        <v>0.15</v>
      </c>
      <c r="CF130" s="1709">
        <v>0.15</v>
      </c>
      <c r="CG130" s="828"/>
      <c r="CH130" s="743"/>
      <c r="CI130" s="1708">
        <v>0.15</v>
      </c>
      <c r="CJ130" s="1709">
        <v>0.15</v>
      </c>
      <c r="CK130" s="1709">
        <v>0.15</v>
      </c>
      <c r="CL130" s="1709">
        <v>0.15</v>
      </c>
      <c r="CM130" s="828"/>
      <c r="CN130" s="743"/>
      <c r="CO130" s="743"/>
      <c r="CP130" s="6"/>
    </row>
    <row r="131" spans="1:94" ht="12.75" hidden="1" customHeight="1" outlineLevel="1">
      <c r="A131" s="844" t="s">
        <v>327</v>
      </c>
      <c r="B131" s="743"/>
      <c r="C131" s="845"/>
      <c r="D131" s="846"/>
      <c r="E131" s="846"/>
      <c r="F131" s="846"/>
      <c r="G131" s="847"/>
      <c r="H131" s="743"/>
      <c r="I131" s="845"/>
      <c r="J131" s="846"/>
      <c r="K131" s="846"/>
      <c r="L131" s="846"/>
      <c r="M131" s="847"/>
      <c r="N131" s="743"/>
      <c r="O131" s="845"/>
      <c r="P131" s="846"/>
      <c r="Q131" s="846"/>
      <c r="R131" s="846"/>
      <c r="S131" s="847"/>
      <c r="T131" s="768"/>
      <c r="U131" s="845"/>
      <c r="V131" s="846"/>
      <c r="W131" s="846"/>
      <c r="X131" s="846"/>
      <c r="Y131" s="847"/>
      <c r="Z131" s="768"/>
      <c r="AA131" s="845"/>
      <c r="AB131" s="846"/>
      <c r="AC131" s="846"/>
      <c r="AD131" s="846"/>
      <c r="AE131" s="848"/>
      <c r="AF131" s="768"/>
      <c r="AG131" s="845"/>
      <c r="AH131" s="849"/>
      <c r="AI131" s="846"/>
      <c r="AJ131" s="846"/>
      <c r="AK131" s="847"/>
      <c r="AL131" s="768"/>
      <c r="AM131" s="850"/>
      <c r="AN131" s="849"/>
      <c r="AO131" s="846"/>
      <c r="AP131" s="846"/>
      <c r="AQ131" s="847"/>
      <c r="AR131" s="768"/>
      <c r="AS131" s="850"/>
      <c r="AT131" s="849"/>
      <c r="AU131" s="849"/>
      <c r="AV131" s="1711"/>
      <c r="AW131" s="847"/>
      <c r="AX131" s="768"/>
      <c r="AY131" s="1710"/>
      <c r="AZ131" s="1711"/>
      <c r="BA131" s="1711"/>
      <c r="BB131" s="1711"/>
      <c r="BC131" s="847"/>
      <c r="BD131" s="768"/>
      <c r="BE131" s="1710"/>
      <c r="BF131" s="1711"/>
      <c r="BG131" s="1711"/>
      <c r="BH131" s="1711"/>
      <c r="BI131" s="847"/>
      <c r="BJ131" s="768"/>
      <c r="BK131" s="1710"/>
      <c r="BL131" s="1711"/>
      <c r="BM131" s="1711"/>
      <c r="BN131" s="1711"/>
      <c r="BO131" s="847"/>
      <c r="BP131" s="768"/>
      <c r="BQ131" s="1710">
        <v>0.1</v>
      </c>
      <c r="BR131" s="1711">
        <v>0.1</v>
      </c>
      <c r="BS131" s="1711">
        <v>0.1</v>
      </c>
      <c r="BT131" s="1711">
        <v>0.1</v>
      </c>
      <c r="BU131" s="847"/>
      <c r="BV131" s="768"/>
      <c r="BW131" s="1710">
        <v>0.1</v>
      </c>
      <c r="BX131" s="1711">
        <v>0.1</v>
      </c>
      <c r="BY131" s="1711">
        <v>0.1</v>
      </c>
      <c r="BZ131" s="1711">
        <v>0.1</v>
      </c>
      <c r="CA131" s="847"/>
      <c r="CB131" s="768"/>
      <c r="CC131" s="1710">
        <v>0.1</v>
      </c>
      <c r="CD131" s="1711">
        <v>0.1</v>
      </c>
      <c r="CE131" s="1711">
        <v>0.1</v>
      </c>
      <c r="CF131" s="1711">
        <v>0.1</v>
      </c>
      <c r="CG131" s="847"/>
      <c r="CH131" s="743"/>
      <c r="CI131" s="1710">
        <v>0.1</v>
      </c>
      <c r="CJ131" s="1711">
        <v>0.1</v>
      </c>
      <c r="CK131" s="1711">
        <v>0.1</v>
      </c>
      <c r="CL131" s="1711">
        <v>0.1</v>
      </c>
      <c r="CM131" s="847"/>
      <c r="CN131" s="743"/>
      <c r="CO131" s="743"/>
      <c r="CP131" s="6"/>
    </row>
    <row r="132" spans="1:94" ht="12.75" hidden="1" customHeight="1" outlineLevel="1">
      <c r="A132" s="813"/>
      <c r="B132" s="743"/>
      <c r="C132" s="767"/>
      <c r="D132" s="767"/>
      <c r="E132" s="767"/>
      <c r="F132" s="767"/>
      <c r="G132" s="767"/>
      <c r="H132" s="743"/>
      <c r="I132" s="767"/>
      <c r="J132" s="767"/>
      <c r="K132" s="767"/>
      <c r="L132" s="767"/>
      <c r="M132" s="767"/>
      <c r="N132" s="743"/>
      <c r="O132" s="767"/>
      <c r="P132" s="767"/>
      <c r="Q132" s="767"/>
      <c r="R132" s="767"/>
      <c r="S132" s="767"/>
      <c r="T132" s="768"/>
      <c r="U132" s="767"/>
      <c r="V132" s="767"/>
      <c r="W132" s="767"/>
      <c r="X132" s="767"/>
      <c r="Y132" s="767"/>
      <c r="Z132" s="768"/>
      <c r="AA132" s="767"/>
      <c r="AB132" s="767"/>
      <c r="AC132" s="767"/>
      <c r="AD132" s="767"/>
      <c r="AE132" s="767"/>
      <c r="AF132" s="768"/>
      <c r="AG132" s="767"/>
      <c r="AH132" s="767"/>
      <c r="AI132" s="767"/>
      <c r="AJ132" s="767"/>
      <c r="AK132" s="767"/>
      <c r="AL132" s="768"/>
      <c r="AM132" s="767"/>
      <c r="AN132" s="767"/>
      <c r="AO132" s="767"/>
      <c r="AP132" s="767"/>
      <c r="AQ132" s="767"/>
      <c r="AR132" s="768"/>
      <c r="AS132" s="767"/>
      <c r="AT132" s="767"/>
      <c r="AU132" s="767"/>
      <c r="AV132" s="767"/>
      <c r="AW132" s="768"/>
      <c r="AX132" s="768"/>
      <c r="AY132" s="767"/>
      <c r="AZ132" s="767"/>
      <c r="BA132" s="767"/>
      <c r="BB132" s="767"/>
      <c r="BC132" s="768"/>
      <c r="BD132" s="768"/>
      <c r="BE132" s="767"/>
      <c r="BF132" s="767"/>
      <c r="BG132" s="767"/>
      <c r="BH132" s="767"/>
      <c r="BI132" s="768"/>
      <c r="BJ132" s="768"/>
      <c r="BK132" s="767"/>
      <c r="BL132" s="767"/>
      <c r="BM132" s="767"/>
      <c r="BN132" s="767"/>
      <c r="BO132" s="768"/>
      <c r="BP132" s="768"/>
      <c r="BQ132" s="767"/>
      <c r="BR132" s="767"/>
      <c r="BS132" s="767"/>
      <c r="BT132" s="767"/>
      <c r="BU132" s="768"/>
      <c r="BV132" s="768"/>
      <c r="BW132" s="767"/>
      <c r="BX132" s="767"/>
      <c r="BY132" s="767"/>
      <c r="BZ132" s="767"/>
      <c r="CA132" s="768"/>
      <c r="CB132" s="768"/>
      <c r="CC132" s="767"/>
      <c r="CD132" s="767"/>
      <c r="CE132" s="767"/>
      <c r="CF132" s="767"/>
      <c r="CG132" s="768"/>
      <c r="CH132" s="743"/>
      <c r="CI132" s="767"/>
      <c r="CJ132" s="767"/>
      <c r="CK132" s="767"/>
      <c r="CL132" s="767"/>
      <c r="CM132" s="768"/>
      <c r="CN132" s="743"/>
      <c r="CO132" s="743"/>
      <c r="CP132" s="6"/>
    </row>
    <row r="133" spans="1:94" ht="4.5" customHeight="1" collapsed="1">
      <c r="A133" s="813"/>
      <c r="B133" s="743"/>
      <c r="C133" s="767"/>
      <c r="D133" s="767"/>
      <c r="E133" s="767"/>
      <c r="F133" s="767"/>
      <c r="G133" s="767"/>
      <c r="H133" s="743"/>
      <c r="I133" s="767"/>
      <c r="J133" s="767"/>
      <c r="K133" s="767"/>
      <c r="L133" s="767"/>
      <c r="M133" s="767"/>
      <c r="N133" s="743"/>
      <c r="O133" s="767"/>
      <c r="P133" s="767"/>
      <c r="Q133" s="767"/>
      <c r="R133" s="767"/>
      <c r="S133" s="767"/>
      <c r="T133" s="768"/>
      <c r="U133" s="767"/>
      <c r="V133" s="767"/>
      <c r="W133" s="767"/>
      <c r="X133" s="767"/>
      <c r="Y133" s="767"/>
      <c r="Z133" s="768"/>
      <c r="AA133" s="767"/>
      <c r="AB133" s="767"/>
      <c r="AC133" s="767"/>
      <c r="AD133" s="767"/>
      <c r="AE133" s="767"/>
      <c r="AF133" s="768"/>
      <c r="AG133" s="767"/>
      <c r="AH133" s="767"/>
      <c r="AI133" s="767"/>
      <c r="AJ133" s="767"/>
      <c r="AK133" s="767"/>
      <c r="AL133" s="768"/>
      <c r="AM133" s="767"/>
      <c r="AN133" s="767"/>
      <c r="AO133" s="767"/>
      <c r="AP133" s="767"/>
      <c r="AQ133" s="767"/>
      <c r="AR133" s="768"/>
      <c r="AS133" s="767"/>
      <c r="AT133" s="767"/>
      <c r="AU133" s="767"/>
      <c r="AV133" s="767"/>
      <c r="AW133" s="768"/>
      <c r="AX133" s="768"/>
      <c r="AY133" s="767"/>
      <c r="AZ133" s="767"/>
      <c r="BA133" s="767"/>
      <c r="BB133" s="767"/>
      <c r="BC133" s="768"/>
      <c r="BD133" s="768"/>
      <c r="BE133" s="767"/>
      <c r="BF133" s="767"/>
      <c r="BG133" s="767"/>
      <c r="BH133" s="767"/>
      <c r="BI133" s="768"/>
      <c r="BJ133" s="768"/>
      <c r="BK133" s="767"/>
      <c r="BL133" s="767"/>
      <c r="BM133" s="767"/>
      <c r="BN133" s="767"/>
      <c r="BO133" s="768"/>
      <c r="BP133" s="768"/>
      <c r="BQ133" s="767"/>
      <c r="BR133" s="767"/>
      <c r="BS133" s="767"/>
      <c r="BT133" s="767"/>
      <c r="BU133" s="768"/>
      <c r="BV133" s="768"/>
      <c r="BW133" s="767"/>
      <c r="BX133" s="767"/>
      <c r="BY133" s="767"/>
      <c r="BZ133" s="767"/>
      <c r="CA133" s="768"/>
      <c r="CB133" s="768"/>
      <c r="CC133" s="767"/>
      <c r="CD133" s="767"/>
      <c r="CE133" s="767"/>
      <c r="CF133" s="767"/>
      <c r="CG133" s="768"/>
      <c r="CH133" s="743"/>
      <c r="CI133" s="767"/>
      <c r="CJ133" s="767"/>
      <c r="CK133" s="767"/>
      <c r="CL133" s="767"/>
      <c r="CM133" s="768"/>
      <c r="CN133" s="743"/>
      <c r="CO133" s="743"/>
      <c r="CP133" s="6"/>
    </row>
    <row r="134" spans="1:94" ht="12.75" customHeight="1">
      <c r="A134" s="832" t="s">
        <v>347</v>
      </c>
      <c r="B134" s="738"/>
      <c r="C134" s="851"/>
      <c r="D134" s="852"/>
      <c r="E134" s="852"/>
      <c r="F134" s="852"/>
      <c r="G134" s="853"/>
      <c r="H134" s="738"/>
      <c r="I134" s="851"/>
      <c r="J134" s="852"/>
      <c r="K134" s="852"/>
      <c r="L134" s="852"/>
      <c r="M134" s="853"/>
      <c r="N134" s="738"/>
      <c r="O134" s="851"/>
      <c r="P134" s="852"/>
      <c r="Q134" s="852"/>
      <c r="R134" s="852"/>
      <c r="S134" s="853"/>
      <c r="T134" s="742"/>
      <c r="U134" s="851"/>
      <c r="V134" s="852"/>
      <c r="W134" s="852"/>
      <c r="X134" s="852"/>
      <c r="Y134" s="853"/>
      <c r="Z134" s="742"/>
      <c r="AA134" s="851"/>
      <c r="AB134" s="852"/>
      <c r="AC134" s="852"/>
      <c r="AD134" s="852"/>
      <c r="AE134" s="835"/>
      <c r="AF134" s="742"/>
      <c r="AG134" s="851"/>
      <c r="AH134" s="834"/>
      <c r="AI134" s="852"/>
      <c r="AJ134" s="852"/>
      <c r="AK134" s="835"/>
      <c r="AL134" s="742"/>
      <c r="AM134" s="833"/>
      <c r="AN134" s="834"/>
      <c r="AO134" s="852"/>
      <c r="AP134" s="852"/>
      <c r="AQ134" s="835"/>
      <c r="AR134" s="742"/>
      <c r="AS134" s="833"/>
      <c r="AT134" s="834"/>
      <c r="AU134" s="834"/>
      <c r="AV134" s="834"/>
      <c r="AW134" s="835"/>
      <c r="AX134" s="742"/>
      <c r="AY134" s="833"/>
      <c r="AZ134" s="834"/>
      <c r="BA134" s="834"/>
      <c r="BB134" s="834"/>
      <c r="BC134" s="835"/>
      <c r="BD134" s="742"/>
      <c r="BE134" s="833"/>
      <c r="BF134" s="834"/>
      <c r="BG134" s="834"/>
      <c r="BH134" s="834"/>
      <c r="BI134" s="835"/>
      <c r="BJ134" s="742"/>
      <c r="BK134" s="833"/>
      <c r="BL134" s="834"/>
      <c r="BM134" s="834"/>
      <c r="BN134" s="834"/>
      <c r="BO134" s="835"/>
      <c r="BP134" s="742"/>
      <c r="BQ134" s="833"/>
      <c r="BR134" s="834"/>
      <c r="BS134" s="834"/>
      <c r="BT134" s="834"/>
      <c r="BU134" s="835"/>
      <c r="BV134" s="742"/>
      <c r="BW134" s="833"/>
      <c r="BX134" s="834"/>
      <c r="BY134" s="834"/>
      <c r="BZ134" s="834"/>
      <c r="CA134" s="835"/>
      <c r="CB134" s="2125"/>
      <c r="CC134" s="833"/>
      <c r="CD134" s="834"/>
      <c r="CE134" s="834"/>
      <c r="CF134" s="834"/>
      <c r="CG134" s="835"/>
      <c r="CH134" s="743"/>
      <c r="CI134" s="833"/>
      <c r="CJ134" s="834"/>
      <c r="CK134" s="834"/>
      <c r="CL134" s="834"/>
      <c r="CM134" s="835"/>
      <c r="CN134" s="743"/>
      <c r="CO134" s="743"/>
      <c r="CP134" s="6"/>
    </row>
    <row r="135" spans="1:94" hidden="1" outlineLevel="1">
      <c r="A135" s="60" t="s">
        <v>348</v>
      </c>
      <c r="B135" s="61"/>
      <c r="C135" s="1554">
        <v>2262</v>
      </c>
      <c r="D135" s="750">
        <f>C136</f>
        <v>2262</v>
      </c>
      <c r="E135" s="750">
        <f>D136</f>
        <v>2262</v>
      </c>
      <c r="F135" s="750">
        <f>E136</f>
        <v>2262</v>
      </c>
      <c r="G135" s="854"/>
      <c r="H135" s="61"/>
      <c r="I135" s="749">
        <f>G9+G10</f>
        <v>1826</v>
      </c>
      <c r="J135" s="750">
        <f>I136</f>
        <v>3148</v>
      </c>
      <c r="K135" s="750">
        <f>J136</f>
        <v>3312</v>
      </c>
      <c r="L135" s="750">
        <f>K136</f>
        <v>3239</v>
      </c>
      <c r="M135" s="703">
        <f>G9+G10</f>
        <v>1826</v>
      </c>
      <c r="N135" s="61"/>
      <c r="O135" s="749">
        <f>M9+M10</f>
        <v>1429</v>
      </c>
      <c r="P135" s="750">
        <f>O136</f>
        <v>1380</v>
      </c>
      <c r="Q135" s="750">
        <f>P136</f>
        <v>1412</v>
      </c>
      <c r="R135" s="750">
        <f>Q136</f>
        <v>1499</v>
      </c>
      <c r="S135" s="703">
        <f>M9+M10</f>
        <v>1429</v>
      </c>
      <c r="T135" s="702"/>
      <c r="U135" s="749">
        <f>S9+S10</f>
        <v>2493</v>
      </c>
      <c r="V135" s="750">
        <f>U136</f>
        <v>4046</v>
      </c>
      <c r="W135" s="750">
        <f>V136</f>
        <v>4209</v>
      </c>
      <c r="X135" s="750">
        <f>W136</f>
        <v>3868</v>
      </c>
      <c r="Y135" s="703">
        <f>S9+S10</f>
        <v>2493</v>
      </c>
      <c r="Z135" s="702"/>
      <c r="AA135" s="749">
        <f>Y9+Y10</f>
        <v>4199</v>
      </c>
      <c r="AB135" s="750">
        <f>AA136</f>
        <v>2655</v>
      </c>
      <c r="AC135" s="750">
        <f>AB136</f>
        <v>2975</v>
      </c>
      <c r="AD135" s="750">
        <f>AC136</f>
        <v>3101</v>
      </c>
      <c r="AE135" s="710">
        <f>Y9+Y10</f>
        <v>4199</v>
      </c>
      <c r="AF135" s="702"/>
      <c r="AG135" s="749">
        <f>AE9+AE10</f>
        <v>3527</v>
      </c>
      <c r="AH135" s="750">
        <f>AG136</f>
        <v>3662</v>
      </c>
      <c r="AI135" s="750">
        <f>AH136</f>
        <v>3896</v>
      </c>
      <c r="AJ135" s="750">
        <f>AI136</f>
        <v>1923</v>
      </c>
      <c r="AK135" s="710">
        <f>AE9+AE10</f>
        <v>3527</v>
      </c>
      <c r="AL135" s="702"/>
      <c r="AM135" s="749">
        <f>AK9+AK10</f>
        <v>2351</v>
      </c>
      <c r="AN135" s="705">
        <f>AM136</f>
        <v>2450</v>
      </c>
      <c r="AO135" s="750">
        <f>AN136</f>
        <v>2519</v>
      </c>
      <c r="AP135" s="750">
        <f>AO136</f>
        <v>2330</v>
      </c>
      <c r="AQ135" s="710">
        <f>AK9+AK10</f>
        <v>2351</v>
      </c>
      <c r="AR135" s="702"/>
      <c r="AS135" s="749">
        <f>AQ9+AQ10</f>
        <v>2675</v>
      </c>
      <c r="AT135" s="705">
        <f>AS136</f>
        <v>2742</v>
      </c>
      <c r="AU135" s="750">
        <f>AT136</f>
        <v>2950</v>
      </c>
      <c r="AV135" s="705">
        <f>AU136</f>
        <v>2391</v>
      </c>
      <c r="AW135" s="710">
        <f>AQ9+AQ10</f>
        <v>2675</v>
      </c>
      <c r="AX135" s="702"/>
      <c r="AY135" s="749">
        <f>AW9+AW10</f>
        <v>2218</v>
      </c>
      <c r="AZ135" s="705">
        <f>AY136</f>
        <v>2118</v>
      </c>
      <c r="BA135" s="705">
        <f>AZ136</f>
        <v>2197</v>
      </c>
      <c r="BB135" s="705">
        <f>BA136</f>
        <v>2075</v>
      </c>
      <c r="BC135" s="710">
        <f>AW9+AW10</f>
        <v>2218</v>
      </c>
      <c r="BD135" s="702"/>
      <c r="BE135" s="749">
        <f>BC9+BC10</f>
        <v>2245</v>
      </c>
      <c r="BF135" s="705">
        <f>BE136</f>
        <v>1931</v>
      </c>
      <c r="BG135" s="705">
        <f>BF136</f>
        <v>2139</v>
      </c>
      <c r="BH135" s="705">
        <f>BG136</f>
        <v>2199</v>
      </c>
      <c r="BI135" s="710">
        <f>BC9+BC10</f>
        <v>2245</v>
      </c>
      <c r="BJ135" s="702"/>
      <c r="BK135" s="749">
        <f>BI9+BI10</f>
        <v>2289</v>
      </c>
      <c r="BL135" s="705">
        <f>BK136</f>
        <v>2241</v>
      </c>
      <c r="BM135" s="705">
        <f>BL136</f>
        <v>2389</v>
      </c>
      <c r="BN135" s="705">
        <f>BM136</f>
        <v>2563</v>
      </c>
      <c r="BO135" s="710">
        <f>BI9+BI10</f>
        <v>2289</v>
      </c>
      <c r="BP135" s="702"/>
      <c r="BQ135" s="749">
        <f>BO9+BO10</f>
        <v>2678</v>
      </c>
      <c r="BR135" s="705">
        <f>BQ136</f>
        <v>2887</v>
      </c>
      <c r="BS135" s="705">
        <f>BR136</f>
        <v>2932.338783510741</v>
      </c>
      <c r="BT135" s="705">
        <f>BS136</f>
        <v>3002.0140035582676</v>
      </c>
      <c r="BU135" s="710">
        <f>BO9+BO10</f>
        <v>2678</v>
      </c>
      <c r="BV135" s="702"/>
      <c r="BW135" s="706">
        <f>BU9+BU10</f>
        <v>3138.8838002958869</v>
      </c>
      <c r="BX135" s="705">
        <f>BW136</f>
        <v>3156.7233860767842</v>
      </c>
      <c r="BY135" s="705">
        <f>BX136</f>
        <v>3245.4556896019385</v>
      </c>
      <c r="BZ135" s="705">
        <f>BY136</f>
        <v>3358.5384785890251</v>
      </c>
      <c r="CA135" s="710">
        <f>BU9+BU10</f>
        <v>3138.8838002958869</v>
      </c>
      <c r="CB135" s="705"/>
      <c r="CC135" s="706">
        <f>CA9+CA10</f>
        <v>3550.7907818206868</v>
      </c>
      <c r="CD135" s="705">
        <f>CC136</f>
        <v>3092.8201646124071</v>
      </c>
      <c r="CE135" s="705">
        <f>CD136</f>
        <v>3267.2801607217566</v>
      </c>
      <c r="CF135" s="705">
        <f>CE136</f>
        <v>3473.2408100149532</v>
      </c>
      <c r="CG135" s="710">
        <f>CA9+CA10</f>
        <v>3550.7907818206868</v>
      </c>
      <c r="CH135" s="64"/>
      <c r="CI135" s="706">
        <f>CG9+CG10</f>
        <v>3772.5015225231014</v>
      </c>
      <c r="CJ135" s="705">
        <f>CI136</f>
        <v>3535.4444376782776</v>
      </c>
      <c r="CK135" s="705">
        <f>CJ136</f>
        <v>3666.3970480529265</v>
      </c>
      <c r="CL135" s="705">
        <f>CK136</f>
        <v>3827.2388963143726</v>
      </c>
      <c r="CM135" s="710">
        <f>CG9+CG10</f>
        <v>3772.5015225231014</v>
      </c>
      <c r="CN135" s="64"/>
      <c r="CO135" s="64"/>
      <c r="CP135" s="64"/>
    </row>
    <row r="136" spans="1:94" hidden="1" outlineLevel="1">
      <c r="A136" s="60" t="s">
        <v>349</v>
      </c>
      <c r="B136" s="61"/>
      <c r="C136" s="750">
        <f>SUM(C135:C135)</f>
        <v>2262</v>
      </c>
      <c r="D136" s="750">
        <f>SUM(D135:D135)</f>
        <v>2262</v>
      </c>
      <c r="E136" s="750">
        <f>SUM(E135:E135)</f>
        <v>2262</v>
      </c>
      <c r="F136" s="750">
        <f>SUM(F135:F135)</f>
        <v>2262</v>
      </c>
      <c r="G136" s="854"/>
      <c r="H136" s="61"/>
      <c r="I136" s="749">
        <f>I9+I10</f>
        <v>3148</v>
      </c>
      <c r="J136" s="750">
        <f>J9+J10</f>
        <v>3312</v>
      </c>
      <c r="K136" s="750">
        <f>K9+K10</f>
        <v>3239</v>
      </c>
      <c r="L136" s="750">
        <f>L9+L10</f>
        <v>1429</v>
      </c>
      <c r="M136" s="703">
        <f>L136</f>
        <v>1429</v>
      </c>
      <c r="N136" s="61"/>
      <c r="O136" s="749">
        <f>O9+O10</f>
        <v>1380</v>
      </c>
      <c r="P136" s="750">
        <f>P9+P10</f>
        <v>1412</v>
      </c>
      <c r="Q136" s="750">
        <f>Q9+Q10</f>
        <v>1499</v>
      </c>
      <c r="R136" s="750">
        <f>R9+R10</f>
        <v>2493</v>
      </c>
      <c r="S136" s="703">
        <f>R136</f>
        <v>2493</v>
      </c>
      <c r="T136" s="702"/>
      <c r="U136" s="749">
        <f>U9+U10</f>
        <v>4046</v>
      </c>
      <c r="V136" s="750">
        <f>V9+V10</f>
        <v>4209</v>
      </c>
      <c r="W136" s="750">
        <f>W9+W10</f>
        <v>3868</v>
      </c>
      <c r="X136" s="750">
        <f>X9+X10</f>
        <v>4199</v>
      </c>
      <c r="Y136" s="703">
        <f>X136</f>
        <v>4199</v>
      </c>
      <c r="Z136" s="702"/>
      <c r="AA136" s="749">
        <f>AA9+AA10</f>
        <v>2655</v>
      </c>
      <c r="AB136" s="750">
        <f>AB9+AB10</f>
        <v>2975</v>
      </c>
      <c r="AC136" s="750">
        <f>AC9+AC10</f>
        <v>3101</v>
      </c>
      <c r="AD136" s="750">
        <f>AD9+AD10</f>
        <v>3527</v>
      </c>
      <c r="AE136" s="710">
        <f>AD136</f>
        <v>3527</v>
      </c>
      <c r="AF136" s="702"/>
      <c r="AG136" s="749">
        <f>AG9+AG10</f>
        <v>3662</v>
      </c>
      <c r="AH136" s="750">
        <f>AH9+AH10</f>
        <v>3896</v>
      </c>
      <c r="AI136" s="750">
        <f>AI9+AI10</f>
        <v>1923</v>
      </c>
      <c r="AJ136" s="750">
        <f>AJ9+AJ10</f>
        <v>2351</v>
      </c>
      <c r="AK136" s="710">
        <f>AJ136</f>
        <v>2351</v>
      </c>
      <c r="AL136" s="702"/>
      <c r="AM136" s="749">
        <f>AM9+AM10</f>
        <v>2450</v>
      </c>
      <c r="AN136" s="705">
        <f>AN9+AN10</f>
        <v>2519</v>
      </c>
      <c r="AO136" s="750">
        <f>AO9+AO10</f>
        <v>2330</v>
      </c>
      <c r="AP136" s="750">
        <f>AP9+AP10</f>
        <v>2675</v>
      </c>
      <c r="AQ136" s="710">
        <f>AP136</f>
        <v>2675</v>
      </c>
      <c r="AR136" s="702"/>
      <c r="AS136" s="749">
        <f>AS9+AS10</f>
        <v>2742</v>
      </c>
      <c r="AT136" s="705">
        <f>AT9+AT10</f>
        <v>2950</v>
      </c>
      <c r="AU136" s="750">
        <f>AU9+AU10</f>
        <v>2391</v>
      </c>
      <c r="AV136" s="705">
        <f>AV9+AV10</f>
        <v>2218</v>
      </c>
      <c r="AW136" s="710">
        <f>AV136</f>
        <v>2218</v>
      </c>
      <c r="AX136" s="702"/>
      <c r="AY136" s="749">
        <f>AY9+AY10</f>
        <v>2118</v>
      </c>
      <c r="AZ136" s="705">
        <f>AZ9+AZ10</f>
        <v>2197</v>
      </c>
      <c r="BA136" s="705">
        <f>BA9+BA10</f>
        <v>2075</v>
      </c>
      <c r="BB136" s="705">
        <f>BB9+BB10</f>
        <v>2245</v>
      </c>
      <c r="BC136" s="710">
        <f>BB136</f>
        <v>2245</v>
      </c>
      <c r="BD136" s="702"/>
      <c r="BE136" s="749">
        <f>BE9+BE10</f>
        <v>1931</v>
      </c>
      <c r="BF136" s="705">
        <f>BF9+BF10</f>
        <v>2139</v>
      </c>
      <c r="BG136" s="705">
        <f>BG9+BG10</f>
        <v>2199</v>
      </c>
      <c r="BH136" s="705">
        <f>BH9+BH10</f>
        <v>2289</v>
      </c>
      <c r="BI136" s="710">
        <f>BH136</f>
        <v>2289</v>
      </c>
      <c r="BJ136" s="702"/>
      <c r="BK136" s="749">
        <f>BK9+BK10</f>
        <v>2241</v>
      </c>
      <c r="BL136" s="705">
        <f>BL9+BL10</f>
        <v>2389</v>
      </c>
      <c r="BM136" s="705">
        <f>BM9+BM10</f>
        <v>2563</v>
      </c>
      <c r="BN136" s="705">
        <f>BN9+BN10</f>
        <v>2678</v>
      </c>
      <c r="BO136" s="710">
        <f>BN136</f>
        <v>2678</v>
      </c>
      <c r="BP136" s="702"/>
      <c r="BQ136" s="749">
        <f>BQ9+BQ10</f>
        <v>2887</v>
      </c>
      <c r="BR136" s="705">
        <f>BR9+BR10</f>
        <v>2932.338783510741</v>
      </c>
      <c r="BS136" s="705">
        <f>BS9+BS10</f>
        <v>3002.0140035582676</v>
      </c>
      <c r="BT136" s="705">
        <f>BT9+BT10</f>
        <v>3138.8838002958869</v>
      </c>
      <c r="BU136" s="710">
        <f>BT136</f>
        <v>3138.8838002958869</v>
      </c>
      <c r="BV136" s="702"/>
      <c r="BW136" s="706">
        <f>BW9+BW10</f>
        <v>3156.7233860767842</v>
      </c>
      <c r="BX136" s="705">
        <f>BX9+BX10</f>
        <v>3245.4556896019385</v>
      </c>
      <c r="BY136" s="705">
        <f>BY9+BY10</f>
        <v>3358.5384785890251</v>
      </c>
      <c r="BZ136" s="705">
        <f>BZ9+BZ10</f>
        <v>3550.7907818206868</v>
      </c>
      <c r="CA136" s="710">
        <f>BZ136</f>
        <v>3550.7907818206868</v>
      </c>
      <c r="CB136" s="705"/>
      <c r="CC136" s="706">
        <f>CC9+CC10</f>
        <v>3092.8201646124071</v>
      </c>
      <c r="CD136" s="705">
        <f>CD9+CD10</f>
        <v>3267.2801607217566</v>
      </c>
      <c r="CE136" s="705">
        <f>CE9+CE10</f>
        <v>3473.2408100149532</v>
      </c>
      <c r="CF136" s="705">
        <f>CF9+CF10</f>
        <v>3772.5015225231014</v>
      </c>
      <c r="CG136" s="710">
        <f>CF136</f>
        <v>3772.5015225231014</v>
      </c>
      <c r="CH136" s="64"/>
      <c r="CI136" s="706">
        <f>CI9+CI10</f>
        <v>3535.4444376782776</v>
      </c>
      <c r="CJ136" s="705">
        <f>CJ9+CJ10</f>
        <v>3666.3970480529265</v>
      </c>
      <c r="CK136" s="705">
        <f>CK9+CK10</f>
        <v>3827.2388963143726</v>
      </c>
      <c r="CL136" s="705">
        <f>CL9+CL10</f>
        <v>4090.4101075632775</v>
      </c>
      <c r="CM136" s="710">
        <f>CL136</f>
        <v>4090.4101075632775</v>
      </c>
      <c r="CN136" s="64"/>
      <c r="CO136" s="64"/>
      <c r="CP136" s="64"/>
    </row>
    <row r="137" spans="1:94" hidden="1" outlineLevel="1">
      <c r="A137" s="60" t="s">
        <v>350</v>
      </c>
      <c r="B137" s="61"/>
      <c r="C137" s="750">
        <f>AVERAGE(C135,C136)</f>
        <v>2262</v>
      </c>
      <c r="D137" s="750">
        <f>AVERAGE(D135,D136)</f>
        <v>2262</v>
      </c>
      <c r="E137" s="750">
        <f>AVERAGE(E135,E136)</f>
        <v>2262</v>
      </c>
      <c r="F137" s="750">
        <f>AVERAGE(F135,F136)</f>
        <v>2262</v>
      </c>
      <c r="G137" s="703">
        <f>AVERAGE(C135,F136)</f>
        <v>2262</v>
      </c>
      <c r="H137" s="61"/>
      <c r="I137" s="749">
        <f>AVERAGE(I135,I136)</f>
        <v>2487</v>
      </c>
      <c r="J137" s="750">
        <f>AVERAGE(J135,J136)</f>
        <v>3230</v>
      </c>
      <c r="K137" s="750">
        <f>AVERAGE(K135,K136)</f>
        <v>3275.5</v>
      </c>
      <c r="L137" s="750">
        <f>AVERAGE(L135,L136)</f>
        <v>2334</v>
      </c>
      <c r="M137" s="703">
        <f>AVERAGE(M135,M136)</f>
        <v>1627.5</v>
      </c>
      <c r="N137" s="61"/>
      <c r="O137" s="749">
        <f>AVERAGE(O135,O136)</f>
        <v>1404.5</v>
      </c>
      <c r="P137" s="750">
        <f>AVERAGE(P135,P136)</f>
        <v>1396</v>
      </c>
      <c r="Q137" s="750">
        <f>AVERAGE(Q135,Q136)</f>
        <v>1455.5</v>
      </c>
      <c r="R137" s="750">
        <f>AVERAGE(R135,R136)</f>
        <v>1996</v>
      </c>
      <c r="S137" s="703">
        <f>AVERAGE(S135,S136)</f>
        <v>1961</v>
      </c>
      <c r="T137" s="702"/>
      <c r="U137" s="749">
        <f>AVERAGE(U135,U136)</f>
        <v>3269.5</v>
      </c>
      <c r="V137" s="750">
        <f>AVERAGE(V135,V136)</f>
        <v>4127.5</v>
      </c>
      <c r="W137" s="750">
        <f>AVERAGE(W135,W136)</f>
        <v>4038.5</v>
      </c>
      <c r="X137" s="750">
        <f>AVERAGE(X135,X136)</f>
        <v>4033.5</v>
      </c>
      <c r="Y137" s="703">
        <f>AVERAGE(Y135,Y136)</f>
        <v>3346</v>
      </c>
      <c r="Z137" s="702"/>
      <c r="AA137" s="749">
        <f>AVERAGE(AA135,AA136)</f>
        <v>3427</v>
      </c>
      <c r="AB137" s="750">
        <f>AVERAGE(AB135,AB136)</f>
        <v>2815</v>
      </c>
      <c r="AC137" s="750">
        <f>AVERAGE(AC135,AC136)</f>
        <v>3038</v>
      </c>
      <c r="AD137" s="750">
        <f>AVERAGE(AD135,AD136)</f>
        <v>3314</v>
      </c>
      <c r="AE137" s="710">
        <f>AVERAGE(AE135,AE136)</f>
        <v>3863</v>
      </c>
      <c r="AF137" s="702"/>
      <c r="AG137" s="749">
        <f>AVERAGE(AG135,AG136)</f>
        <v>3594.5</v>
      </c>
      <c r="AH137" s="750">
        <f>AVERAGE(AH135,AH136)</f>
        <v>3779</v>
      </c>
      <c r="AI137" s="750">
        <f>AVERAGE(AI135,AI136)</f>
        <v>2909.5</v>
      </c>
      <c r="AJ137" s="750">
        <f>AVERAGE(AJ135,AJ136)</f>
        <v>2137</v>
      </c>
      <c r="AK137" s="710">
        <f>AVERAGE(AK135,AK136)</f>
        <v>2939</v>
      </c>
      <c r="AL137" s="702"/>
      <c r="AM137" s="749">
        <f>AVERAGE(AM135,AM136)</f>
        <v>2400.5</v>
      </c>
      <c r="AN137" s="705">
        <f>AVERAGE(AN135,AN136)</f>
        <v>2484.5</v>
      </c>
      <c r="AO137" s="750">
        <f>AVERAGE(AO135,AO136)</f>
        <v>2424.5</v>
      </c>
      <c r="AP137" s="750">
        <f>AVERAGE(AP135,AP136)</f>
        <v>2502.5</v>
      </c>
      <c r="AQ137" s="710">
        <f>AVERAGE(AQ135,AQ136)</f>
        <v>2513</v>
      </c>
      <c r="AR137" s="702"/>
      <c r="AS137" s="749">
        <f>AVERAGE(AS135,AS136)</f>
        <v>2708.5</v>
      </c>
      <c r="AT137" s="705">
        <f>AVERAGE(AT135,AT136)</f>
        <v>2846</v>
      </c>
      <c r="AU137" s="750">
        <f>AVERAGE(AU135,AU136)</f>
        <v>2670.5</v>
      </c>
      <c r="AV137" s="705">
        <f>AVERAGE(AV135,AV136)</f>
        <v>2304.5</v>
      </c>
      <c r="AW137" s="710">
        <f>AVERAGE(AW135,AW136)</f>
        <v>2446.5</v>
      </c>
      <c r="AX137" s="702"/>
      <c r="AY137" s="749">
        <f>AVERAGE(AY135,AY136)</f>
        <v>2168</v>
      </c>
      <c r="AZ137" s="705">
        <f>AVERAGE(AZ135,AZ136)</f>
        <v>2157.5</v>
      </c>
      <c r="BA137" s="705">
        <f>AVERAGE(BA135,BA136)</f>
        <v>2136</v>
      </c>
      <c r="BB137" s="705">
        <f>AVERAGE(BB135,BB136)</f>
        <v>2160</v>
      </c>
      <c r="BC137" s="710">
        <f>AVERAGE(BC135,BC136)</f>
        <v>2231.5</v>
      </c>
      <c r="BD137" s="702"/>
      <c r="BE137" s="749">
        <f>AVERAGE(BE135,BE136)</f>
        <v>2088</v>
      </c>
      <c r="BF137" s="705">
        <f>AVERAGE(BF135,BF136)</f>
        <v>2035</v>
      </c>
      <c r="BG137" s="705">
        <f>AVERAGE(BG135,BG136)</f>
        <v>2169</v>
      </c>
      <c r="BH137" s="705">
        <f>AVERAGE(BH135,BH136)</f>
        <v>2244</v>
      </c>
      <c r="BI137" s="710">
        <f>AVERAGE(BI135,BI136)</f>
        <v>2267</v>
      </c>
      <c r="BJ137" s="702"/>
      <c r="BK137" s="749">
        <f>AVERAGE(BK135,BK136)</f>
        <v>2265</v>
      </c>
      <c r="BL137" s="705">
        <f>AVERAGE(BL135,BL136)</f>
        <v>2315</v>
      </c>
      <c r="BM137" s="705">
        <f>AVERAGE(BM135,BM136)</f>
        <v>2476</v>
      </c>
      <c r="BN137" s="705">
        <f>AVERAGE(BN135,BN136)</f>
        <v>2620.5</v>
      </c>
      <c r="BO137" s="710">
        <f>AVERAGE(BO135,BO136)</f>
        <v>2483.5</v>
      </c>
      <c r="BP137" s="702"/>
      <c r="BQ137" s="749">
        <f>AVERAGE(BQ135,BQ136)</f>
        <v>2782.5</v>
      </c>
      <c r="BR137" s="705">
        <f>AVERAGE(BR135,BR136)</f>
        <v>2909.6693917553703</v>
      </c>
      <c r="BS137" s="705">
        <f>AVERAGE(BS135,BS136)</f>
        <v>2967.1763935345043</v>
      </c>
      <c r="BT137" s="705">
        <f>AVERAGE(BT135,BT136)</f>
        <v>3070.4489019270773</v>
      </c>
      <c r="BU137" s="710">
        <f>AVERAGE(BU135,BU136)</f>
        <v>2908.4419001479437</v>
      </c>
      <c r="BV137" s="702"/>
      <c r="BW137" s="706">
        <f>AVERAGE(BW135,BW136)</f>
        <v>3147.8035931863355</v>
      </c>
      <c r="BX137" s="705">
        <f>AVERAGE(BX135,BX136)</f>
        <v>3201.0895378393616</v>
      </c>
      <c r="BY137" s="705">
        <f>AVERAGE(BY135,BY136)</f>
        <v>3301.997084095482</v>
      </c>
      <c r="BZ137" s="705">
        <f>AVERAGE(BZ135,BZ136)</f>
        <v>3454.6646302048557</v>
      </c>
      <c r="CA137" s="710">
        <f>AVERAGE(CA135,CA136)</f>
        <v>3344.8372910582866</v>
      </c>
      <c r="CB137" s="705"/>
      <c r="CC137" s="706">
        <f>AVERAGE(CC135,CC136)</f>
        <v>3321.8054732165469</v>
      </c>
      <c r="CD137" s="705">
        <f>AVERAGE(CD135,CD136)</f>
        <v>3180.0501626670821</v>
      </c>
      <c r="CE137" s="705">
        <f>AVERAGE(CE135,CE136)</f>
        <v>3370.2604853683551</v>
      </c>
      <c r="CF137" s="705">
        <f>AVERAGE(CF135,CF136)</f>
        <v>3622.8711662690275</v>
      </c>
      <c r="CG137" s="710">
        <f>AVERAGE(CG135,CG136)</f>
        <v>3661.6461521718938</v>
      </c>
      <c r="CH137" s="64"/>
      <c r="CI137" s="706">
        <f>AVERAGE(CI135,CI136)</f>
        <v>3653.9729801006897</v>
      </c>
      <c r="CJ137" s="705">
        <f>AVERAGE(CJ135,CJ136)</f>
        <v>3600.9207428656018</v>
      </c>
      <c r="CK137" s="705">
        <f>AVERAGE(CK135,CK136)</f>
        <v>3746.8179721836495</v>
      </c>
      <c r="CL137" s="705">
        <f>AVERAGE(CL135,CL136)</f>
        <v>3958.8245019388251</v>
      </c>
      <c r="CM137" s="710">
        <f>AVERAGE(CM135,CM136)</f>
        <v>3931.4558150431894</v>
      </c>
      <c r="CN137" s="64"/>
      <c r="CO137" s="64"/>
      <c r="CP137" s="64"/>
    </row>
    <row r="138" spans="1:94" hidden="1" outlineLevel="1">
      <c r="A138" s="439" t="s">
        <v>351</v>
      </c>
      <c r="B138" s="150"/>
      <c r="C138" s="760">
        <f>(C139/C137)*4</f>
        <v>8.8417329796640146E-2</v>
      </c>
      <c r="D138" s="760">
        <f>(D139/D137)*4</f>
        <v>7.7807250221043331E-2</v>
      </c>
      <c r="E138" s="760">
        <f>(E139/E137)*4</f>
        <v>7.4270557029177717E-2</v>
      </c>
      <c r="F138" s="760">
        <f>(F139/F137)*4</f>
        <v>6.3660477453580902E-2</v>
      </c>
      <c r="G138" s="762">
        <f>(G139/G137)</f>
        <v>7.6038903625110524E-2</v>
      </c>
      <c r="H138" s="150"/>
      <c r="I138" s="759">
        <f>(I139/I137)*4</f>
        <v>6.2726176115802168E-2</v>
      </c>
      <c r="J138" s="760">
        <f>(J139/J137)*4</f>
        <v>3.3436532507739938E-2</v>
      </c>
      <c r="K138" s="760">
        <f>(K139/K137)*4</f>
        <v>2.8087314913753627E-2</v>
      </c>
      <c r="L138" s="760">
        <f>(L139/L137)*4</f>
        <v>4.1131105398457581E-2</v>
      </c>
      <c r="M138" s="762">
        <f>(M139/M137)</f>
        <v>6.943164362519201E-2</v>
      </c>
      <c r="N138" s="150"/>
      <c r="O138" s="759">
        <f>(O139/O137)*4</f>
        <v>3.9871840512637952E-2</v>
      </c>
      <c r="P138" s="760">
        <f>(P139/P137)*4</f>
        <v>1.7191977077363897E-2</v>
      </c>
      <c r="Q138" s="760">
        <f>(Q139/Q137)*4</f>
        <v>1.3740982480247337E-2</v>
      </c>
      <c r="R138" s="760">
        <f>(R139/R137)*4</f>
        <v>8.0160320641282558E-3</v>
      </c>
      <c r="S138" s="762">
        <f>(S139/S137)</f>
        <v>1.4788373278939317E-2</v>
      </c>
      <c r="T138" s="441"/>
      <c r="U138" s="759">
        <f>(U139/U137)*4</f>
        <v>3.6702859764489982E-3</v>
      </c>
      <c r="V138" s="760">
        <f>(V139/V137)*4</f>
        <v>2.9073288915808602E-3</v>
      </c>
      <c r="W138" s="760">
        <f>(W139/W137)*4</f>
        <v>2.9714002723783585E-3</v>
      </c>
      <c r="X138" s="760">
        <f>(X139/X137)*4</f>
        <v>1.0908640138837238E-2</v>
      </c>
      <c r="Y138" s="762">
        <f>(Y139/Y137)</f>
        <v>5.9772863120143458E-3</v>
      </c>
      <c r="Z138" s="441"/>
      <c r="AA138" s="759">
        <f>(AA139/AA137)*4</f>
        <v>4.6688065363291505E-3</v>
      </c>
      <c r="AB138" s="760">
        <f>(AB139/AB137)*4</f>
        <v>4.2628774422735346E-3</v>
      </c>
      <c r="AC138" s="760">
        <f>(AC139/AC137)*4</f>
        <v>3.9499670836076368E-3</v>
      </c>
      <c r="AD138" s="760">
        <f>(AD139/AD137)*4</f>
        <v>4.8280024140012071E-3</v>
      </c>
      <c r="AE138" s="762">
        <f>(AE139/AE137)</f>
        <v>3.6241263266891016E-3</v>
      </c>
      <c r="AF138" s="441"/>
      <c r="AG138" s="759">
        <f>(AG139/AG137)*4</f>
        <v>1.1128112393935178E-3</v>
      </c>
      <c r="AH138" s="760">
        <f>(AH139/AH137)*4</f>
        <v>2.1169621593014024E-3</v>
      </c>
      <c r="AI138" s="760">
        <f>(AI139/AI137)*4</f>
        <v>2.7496133356246779E-3</v>
      </c>
      <c r="AJ138" s="760">
        <f>(AJ139/AJ137)*4</f>
        <v>3.7435657463734209E-3</v>
      </c>
      <c r="AK138" s="762">
        <f>(AK139/AK137)</f>
        <v>2.3817625042531474E-3</v>
      </c>
      <c r="AL138" s="441"/>
      <c r="AM138" s="759">
        <f>(AM139/AM137)*4</f>
        <v>3.3326390335346803E-3</v>
      </c>
      <c r="AN138" s="760">
        <f>(AN139/AN137)*4</f>
        <v>1.6099818877037633E-3</v>
      </c>
      <c r="AO138" s="760">
        <f>(AO139/AO137)*4</f>
        <v>3.2996494122499486E-3</v>
      </c>
      <c r="AP138" s="760">
        <f>(AP139/AP137)*4</f>
        <v>3.1968031968031968E-3</v>
      </c>
      <c r="AQ138" s="762">
        <f>(AQ139/AQ137)</f>
        <v>2.7855153203342618E-3</v>
      </c>
      <c r="AR138" s="441"/>
      <c r="AS138" s="759">
        <f>(AS139/AS137)*4</f>
        <v>2.9536643898836995E-3</v>
      </c>
      <c r="AT138" s="760">
        <f>(AT139/AT137)*4</f>
        <v>2.8109627547434997E-3</v>
      </c>
      <c r="AU138" s="760">
        <f>(AU139/AU137)*4</f>
        <v>4.4935405354802468E-3</v>
      </c>
      <c r="AV138" s="760">
        <f>(AV139/AV137)*4</f>
        <v>3.4714688652636148E-3</v>
      </c>
      <c r="AW138" s="762">
        <f>(AW139/AW137)</f>
        <v>3.678724708767627E-3</v>
      </c>
      <c r="AX138" s="441"/>
      <c r="AY138" s="759">
        <f>(AY139/AY137)*4</f>
        <v>3.6900369003690036E-3</v>
      </c>
      <c r="AZ138" s="760">
        <f>(AZ139/AZ137)*4</f>
        <v>3.7079953650057938E-3</v>
      </c>
      <c r="BA138" s="760">
        <f>(BA139/BA137)*4</f>
        <v>3.7453183520599251E-3</v>
      </c>
      <c r="BB138" s="760">
        <f>(BB139/BB137)*4</f>
        <v>1.8518518518518519E-3</v>
      </c>
      <c r="BC138" s="762">
        <f>(BC139/BC137)</f>
        <v>3.136903428187318E-3</v>
      </c>
      <c r="BD138" s="441"/>
      <c r="BE138" s="759">
        <f>(BE139/BE137)*4</f>
        <v>3.8314176245210726E-3</v>
      </c>
      <c r="BF138" s="760">
        <f>(BF139/BF137)*4</f>
        <v>5.8968058968058967E-3</v>
      </c>
      <c r="BG138" s="760">
        <f>(BG139/BG137)*4</f>
        <v>5.5325034578146614E-3</v>
      </c>
      <c r="BH138" s="760">
        <f>(BH139/BH137)*4</f>
        <v>5.3475935828877002E-3</v>
      </c>
      <c r="BI138" s="762">
        <f>(BI139/BI137)</f>
        <v>4.8522276135862371E-3</v>
      </c>
      <c r="BJ138" s="441"/>
      <c r="BK138" s="759">
        <f>(BK139/BK137)*4</f>
        <v>7.0640176600441501E-3</v>
      </c>
      <c r="BL138" s="760">
        <f>(BL139/BL137)*4</f>
        <v>8.6393088552915772E-3</v>
      </c>
      <c r="BM138" s="760">
        <f>(BM139/BM137)*4</f>
        <v>9.6930533117932146E-3</v>
      </c>
      <c r="BN138" s="760">
        <f>(BN139/BN137)*4</f>
        <v>1.0684983781721046E-2</v>
      </c>
      <c r="BO138" s="762">
        <f>(BO139/BO137)</f>
        <v>8.8584658747735048E-3</v>
      </c>
      <c r="BP138" s="441"/>
      <c r="BQ138" s="759">
        <f>(BQ139/BQ137)*4</f>
        <v>1.293800539083558E-2</v>
      </c>
      <c r="BR138" s="2030">
        <f>Debt!BT45</f>
        <v>1.4999999999999999E-2</v>
      </c>
      <c r="BS138" s="2030">
        <f>Debt!BU45</f>
        <v>1.4999999999999999E-2</v>
      </c>
      <c r="BT138" s="2030">
        <f>Debt!BV45</f>
        <v>1.4999999999999999E-2</v>
      </c>
      <c r="BU138" s="762">
        <f>(BU139/BU137)</f>
        <v>1.4468252898353684E-2</v>
      </c>
      <c r="BV138" s="441"/>
      <c r="BW138" s="2029">
        <f>Debt!BY45</f>
        <v>1.4999999999999999E-2</v>
      </c>
      <c r="BX138" s="2030">
        <f>Debt!BZ45</f>
        <v>1.4999999999999999E-2</v>
      </c>
      <c r="BY138" s="2030">
        <f>Debt!CA45</f>
        <v>1.4999999999999999E-2</v>
      </c>
      <c r="BZ138" s="2030">
        <f>Debt!CB45</f>
        <v>1.4999999999999999E-2</v>
      </c>
      <c r="CA138" s="762">
        <f>(CA139/CA137)</f>
        <v>1.4462139969836483E-2</v>
      </c>
      <c r="CB138" s="760"/>
      <c r="CC138" s="2029">
        <f>Debt!CE45</f>
        <v>1.4999999999999999E-2</v>
      </c>
      <c r="CD138" s="2030">
        <f>Debt!CF45</f>
        <v>0.11923076923076924</v>
      </c>
      <c r="CE138" s="2030">
        <f>Debt!CG45</f>
        <v>0.11923076923076924</v>
      </c>
      <c r="CF138" s="2030">
        <f>Debt!CH45</f>
        <v>0.11923076923076924</v>
      </c>
      <c r="CG138" s="762">
        <f>(CG139/CG137)</f>
        <v>8.3684949232227968E-2</v>
      </c>
      <c r="CH138" s="50"/>
      <c r="CI138" s="2029">
        <f>Debt!CK45</f>
        <v>0.11923076923076924</v>
      </c>
      <c r="CJ138" s="2030">
        <f>Debt!CL45</f>
        <v>1.4999999999999999E-2</v>
      </c>
      <c r="CK138" s="2030">
        <f>Debt!CM45</f>
        <v>1.4999999999999999E-2</v>
      </c>
      <c r="CL138" s="2030">
        <f>Debt!CN45</f>
        <v>1.4999999999999999E-2</v>
      </c>
      <c r="CM138" s="762">
        <f>(CM139/CM137)</f>
        <v>3.9122560008893442E-2</v>
      </c>
      <c r="CN138" s="50"/>
      <c r="CO138" s="50"/>
      <c r="CP138" s="50"/>
    </row>
    <row r="139" spans="1:94" collapsed="1">
      <c r="A139" s="855" t="s">
        <v>352</v>
      </c>
      <c r="B139" s="105"/>
      <c r="C139" s="856">
        <f>IS!C20</f>
        <v>50</v>
      </c>
      <c r="D139" s="857">
        <f>IS!D20</f>
        <v>44</v>
      </c>
      <c r="E139" s="857">
        <f>IS!E20</f>
        <v>42</v>
      </c>
      <c r="F139" s="857">
        <f>IS!F20</f>
        <v>36</v>
      </c>
      <c r="G139" s="858">
        <f>IS!G20</f>
        <v>172</v>
      </c>
      <c r="H139" s="105"/>
      <c r="I139" s="856">
        <f>IS!I20</f>
        <v>39</v>
      </c>
      <c r="J139" s="857">
        <f>IS!J20</f>
        <v>27</v>
      </c>
      <c r="K139" s="857">
        <f>IS!K20</f>
        <v>23</v>
      </c>
      <c r="L139" s="857">
        <f>IS!L20</f>
        <v>24</v>
      </c>
      <c r="M139" s="858">
        <f>IS!M20</f>
        <v>113</v>
      </c>
      <c r="N139" s="105"/>
      <c r="O139" s="856">
        <f>IS!O20</f>
        <v>14</v>
      </c>
      <c r="P139" s="857">
        <f>IS!P20</f>
        <v>6</v>
      </c>
      <c r="Q139" s="857">
        <f>IS!Q20</f>
        <v>5</v>
      </c>
      <c r="R139" s="857">
        <f>IS!R20</f>
        <v>4</v>
      </c>
      <c r="S139" s="858">
        <f>IS!S20</f>
        <v>29</v>
      </c>
      <c r="T139" s="859"/>
      <c r="U139" s="856">
        <f>IS!U20</f>
        <v>3</v>
      </c>
      <c r="V139" s="857">
        <f>IS!V20</f>
        <v>3</v>
      </c>
      <c r="W139" s="857">
        <f>IS!W20</f>
        <v>3</v>
      </c>
      <c r="X139" s="857">
        <f>IS!X20</f>
        <v>11</v>
      </c>
      <c r="Y139" s="858">
        <f>IS!Y20</f>
        <v>20</v>
      </c>
      <c r="Z139" s="859"/>
      <c r="AA139" s="856">
        <f>IS!AA20</f>
        <v>4</v>
      </c>
      <c r="AB139" s="857">
        <f>IS!AB20</f>
        <v>3</v>
      </c>
      <c r="AC139" s="857">
        <f>IS!AC20</f>
        <v>3</v>
      </c>
      <c r="AD139" s="857">
        <f>IS!AD20</f>
        <v>4</v>
      </c>
      <c r="AE139" s="860">
        <f>SUM(AA139:AD139)</f>
        <v>14</v>
      </c>
      <c r="AF139" s="859"/>
      <c r="AG139" s="856">
        <f>IS!AG20</f>
        <v>1</v>
      </c>
      <c r="AH139" s="857">
        <f>IS!AH20</f>
        <v>2</v>
      </c>
      <c r="AI139" s="857">
        <f>IS!AI20</f>
        <v>2</v>
      </c>
      <c r="AJ139" s="857">
        <f>IS!AJ20</f>
        <v>2</v>
      </c>
      <c r="AK139" s="860">
        <f>SUM(AG139:AJ139)</f>
        <v>7</v>
      </c>
      <c r="AL139" s="859"/>
      <c r="AM139" s="856">
        <f>IS!AM20</f>
        <v>2</v>
      </c>
      <c r="AN139" s="857">
        <f>IS!AN20</f>
        <v>1</v>
      </c>
      <c r="AO139" s="857">
        <f>IS!AO20</f>
        <v>2</v>
      </c>
      <c r="AP139" s="857">
        <f>IS!AP20</f>
        <v>2</v>
      </c>
      <c r="AQ139" s="860">
        <f>SUM(AM139:AP139)</f>
        <v>7</v>
      </c>
      <c r="AR139" s="859"/>
      <c r="AS139" s="856">
        <f>IS!AS20</f>
        <v>2</v>
      </c>
      <c r="AT139" s="857">
        <f>IS!AT20</f>
        <v>2</v>
      </c>
      <c r="AU139" s="857">
        <f>IS!AU20</f>
        <v>3</v>
      </c>
      <c r="AV139" s="857">
        <f>IS!AV20</f>
        <v>2</v>
      </c>
      <c r="AW139" s="860">
        <f>SUM(AS139:AV139)</f>
        <v>9</v>
      </c>
      <c r="AX139" s="859"/>
      <c r="AY139" s="856">
        <f>IS!AY20</f>
        <v>2</v>
      </c>
      <c r="AZ139" s="857">
        <f>IS!AZ20</f>
        <v>2</v>
      </c>
      <c r="BA139" s="857">
        <f>IS!BA20</f>
        <v>2</v>
      </c>
      <c r="BB139" s="857">
        <f>IS!BB20</f>
        <v>1</v>
      </c>
      <c r="BC139" s="860">
        <f>SUM(AY139:BB139)</f>
        <v>7</v>
      </c>
      <c r="BD139" s="859"/>
      <c r="BE139" s="856">
        <f>IS!BE20</f>
        <v>2</v>
      </c>
      <c r="BF139" s="857">
        <f>IS!BF20</f>
        <v>3</v>
      </c>
      <c r="BG139" s="857">
        <f>IS!BG20</f>
        <v>3</v>
      </c>
      <c r="BH139" s="857">
        <f>IS!BH20</f>
        <v>3</v>
      </c>
      <c r="BI139" s="860">
        <f>SUM(BE139:BH139)</f>
        <v>11</v>
      </c>
      <c r="BJ139" s="859"/>
      <c r="BK139" s="856">
        <f>IS!BK20</f>
        <v>4</v>
      </c>
      <c r="BL139" s="857">
        <f>IS!BL20</f>
        <v>5</v>
      </c>
      <c r="BM139" s="857">
        <f>IS!BM20</f>
        <v>6</v>
      </c>
      <c r="BN139" s="857">
        <f>IS!BN20</f>
        <v>7</v>
      </c>
      <c r="BO139" s="860">
        <f>SUM(BK139:BN139)</f>
        <v>22</v>
      </c>
      <c r="BP139" s="859"/>
      <c r="BQ139" s="856">
        <f>IS!BQ20</f>
        <v>9</v>
      </c>
      <c r="BR139" s="861">
        <f>BR135*BR138/4</f>
        <v>10.82625</v>
      </c>
      <c r="BS139" s="861">
        <f>BS135*BS138/4</f>
        <v>10.996270438165279</v>
      </c>
      <c r="BT139" s="861">
        <f>BT135*BT138/4</f>
        <v>11.257552513343503</v>
      </c>
      <c r="BU139" s="860">
        <f>SUM(BQ139:BT139)</f>
        <v>42.080072951508782</v>
      </c>
      <c r="BV139" s="859"/>
      <c r="BW139" s="862">
        <f>BW135*BW138/4</f>
        <v>11.770814251109575</v>
      </c>
      <c r="BX139" s="861">
        <f>BX135*BX138/4</f>
        <v>11.837712697787941</v>
      </c>
      <c r="BY139" s="861">
        <f>BY135*BY138/4</f>
        <v>12.170458836007269</v>
      </c>
      <c r="BZ139" s="861">
        <f>BZ135*BZ138/4</f>
        <v>12.594519294708844</v>
      </c>
      <c r="CA139" s="860">
        <f>SUM(BW139:BZ139)</f>
        <v>48.373505079613629</v>
      </c>
      <c r="CB139" s="937"/>
      <c r="CC139" s="862">
        <f>CC135*CC138/4</f>
        <v>13.315465431827574</v>
      </c>
      <c r="CD139" s="861">
        <f>CD135*CD138/4</f>
        <v>92.189831829792908</v>
      </c>
      <c r="CE139" s="861">
        <f>CE135*CE138/4</f>
        <v>97.390081713821601</v>
      </c>
      <c r="CF139" s="861">
        <f>CF135*CF138/4</f>
        <v>103.52929337544573</v>
      </c>
      <c r="CG139" s="860">
        <f>SUM(CC139:CF139)</f>
        <v>306.42467235088782</v>
      </c>
      <c r="CH139" s="64"/>
      <c r="CI139" s="862">
        <f>CI135*CI138/4</f>
        <v>112.44956461366938</v>
      </c>
      <c r="CJ139" s="861">
        <f>CJ135*CJ138/4</f>
        <v>13.257916641293541</v>
      </c>
      <c r="CK139" s="861">
        <f>CK135*CK138/4</f>
        <v>13.748988930198474</v>
      </c>
      <c r="CL139" s="861">
        <f>CL135*CL138/4</f>
        <v>14.352145861178897</v>
      </c>
      <c r="CM139" s="860">
        <f>SUM(CI139:CL139)</f>
        <v>153.80861604634026</v>
      </c>
      <c r="CN139" s="64"/>
      <c r="CO139" s="64"/>
      <c r="CP139" s="64"/>
    </row>
    <row r="140" spans="1:94" ht="4.5" customHeight="1">
      <c r="A140" s="813"/>
      <c r="B140" s="743"/>
      <c r="C140" s="767"/>
      <c r="D140" s="767"/>
      <c r="E140" s="767"/>
      <c r="F140" s="767"/>
      <c r="G140" s="767"/>
      <c r="H140" s="743"/>
      <c r="I140" s="767"/>
      <c r="J140" s="767"/>
      <c r="K140" s="767"/>
      <c r="L140" s="767"/>
      <c r="M140" s="767"/>
      <c r="N140" s="743"/>
      <c r="O140" s="767"/>
      <c r="P140" s="767"/>
      <c r="Q140" s="767"/>
      <c r="R140" s="767"/>
      <c r="S140" s="767"/>
      <c r="T140" s="768"/>
      <c r="U140" s="767"/>
      <c r="V140" s="767"/>
      <c r="W140" s="767"/>
      <c r="X140" s="767"/>
      <c r="Y140" s="767"/>
      <c r="Z140" s="768"/>
      <c r="AA140" s="767"/>
      <c r="AB140" s="767"/>
      <c r="AC140" s="767"/>
      <c r="AD140" s="767"/>
      <c r="AE140" s="767"/>
      <c r="AF140" s="768"/>
      <c r="AG140" s="767"/>
      <c r="AH140" s="767"/>
      <c r="AI140" s="767"/>
      <c r="AJ140" s="767"/>
      <c r="AK140" s="767"/>
      <c r="AL140" s="768"/>
      <c r="AM140" s="767"/>
      <c r="AN140" s="767"/>
      <c r="AO140" s="767"/>
      <c r="AP140" s="767"/>
      <c r="AQ140" s="767"/>
      <c r="AR140" s="768"/>
      <c r="AS140" s="767"/>
      <c r="AT140" s="767"/>
      <c r="AU140" s="767"/>
      <c r="AV140" s="767"/>
      <c r="AW140" s="768"/>
      <c r="AX140" s="768"/>
      <c r="AY140" s="767"/>
      <c r="AZ140" s="767"/>
      <c r="BA140" s="767"/>
      <c r="BB140" s="767"/>
      <c r="BC140" s="768"/>
      <c r="BD140" s="768"/>
      <c r="BE140" s="767"/>
      <c r="BF140" s="767"/>
      <c r="BG140" s="767"/>
      <c r="BH140" s="767"/>
      <c r="BI140" s="768"/>
      <c r="BJ140" s="768"/>
      <c r="BK140" s="767"/>
      <c r="BL140" s="767"/>
      <c r="BM140" s="767"/>
      <c r="BN140" s="767"/>
      <c r="BO140" s="768"/>
      <c r="BP140" s="768"/>
      <c r="BQ140" s="767"/>
      <c r="BR140" s="767"/>
      <c r="BS140" s="767"/>
      <c r="BT140" s="767"/>
      <c r="BU140" s="768"/>
      <c r="BV140" s="768"/>
      <c r="BW140" s="767"/>
      <c r="BX140" s="767"/>
      <c r="BY140" s="767"/>
      <c r="BZ140" s="767"/>
      <c r="CA140" s="768"/>
      <c r="CB140" s="768"/>
      <c r="CC140" s="767"/>
      <c r="CD140" s="767"/>
      <c r="CE140" s="767"/>
      <c r="CF140" s="767"/>
      <c r="CG140" s="768"/>
      <c r="CH140" s="743"/>
      <c r="CI140" s="767"/>
      <c r="CJ140" s="767"/>
      <c r="CK140" s="767"/>
      <c r="CL140" s="767"/>
      <c r="CM140" s="768"/>
      <c r="CN140" s="743"/>
      <c r="CO140" s="743"/>
      <c r="CP140" s="6"/>
    </row>
    <row r="141" spans="1:94" ht="12.75" customHeight="1">
      <c r="A141" s="769" t="s">
        <v>78</v>
      </c>
      <c r="B141" s="738"/>
      <c r="C141" s="863"/>
      <c r="D141" s="864"/>
      <c r="E141" s="864"/>
      <c r="F141" s="864"/>
      <c r="G141" s="865"/>
      <c r="H141" s="738"/>
      <c r="I141" s="863"/>
      <c r="J141" s="864"/>
      <c r="K141" s="864"/>
      <c r="L141" s="864"/>
      <c r="M141" s="865"/>
      <c r="N141" s="738"/>
      <c r="O141" s="863"/>
      <c r="P141" s="864"/>
      <c r="Q141" s="864"/>
      <c r="R141" s="864"/>
      <c r="S141" s="865"/>
      <c r="T141" s="742"/>
      <c r="U141" s="863"/>
      <c r="V141" s="864"/>
      <c r="W141" s="864"/>
      <c r="X141" s="864"/>
      <c r="Y141" s="865"/>
      <c r="Z141" s="742"/>
      <c r="AA141" s="863"/>
      <c r="AB141" s="864"/>
      <c r="AC141" s="864"/>
      <c r="AD141" s="864"/>
      <c r="AE141" s="741"/>
      <c r="AF141" s="742"/>
      <c r="AG141" s="863"/>
      <c r="AH141" s="864"/>
      <c r="AI141" s="864"/>
      <c r="AJ141" s="864"/>
      <c r="AK141" s="741"/>
      <c r="AL141" s="742"/>
      <c r="AM141" s="739"/>
      <c r="AN141" s="740"/>
      <c r="AO141" s="864"/>
      <c r="AP141" s="864"/>
      <c r="AQ141" s="741"/>
      <c r="AR141" s="742"/>
      <c r="AS141" s="739"/>
      <c r="AT141" s="740"/>
      <c r="AU141" s="740"/>
      <c r="AV141" s="740"/>
      <c r="AW141" s="741"/>
      <c r="AX141" s="742"/>
      <c r="AY141" s="739"/>
      <c r="AZ141" s="740"/>
      <c r="BA141" s="740"/>
      <c r="BB141" s="740"/>
      <c r="BC141" s="741"/>
      <c r="BD141" s="742"/>
      <c r="BE141" s="739"/>
      <c r="BF141" s="740"/>
      <c r="BG141" s="740"/>
      <c r="BH141" s="740"/>
      <c r="BI141" s="741"/>
      <c r="BJ141" s="742"/>
      <c r="BK141" s="739"/>
      <c r="BL141" s="740"/>
      <c r="BM141" s="740"/>
      <c r="BN141" s="740"/>
      <c r="BO141" s="741"/>
      <c r="BP141" s="742"/>
      <c r="BQ141" s="739"/>
      <c r="BR141" s="740"/>
      <c r="BS141" s="740"/>
      <c r="BT141" s="740"/>
      <c r="BU141" s="741"/>
      <c r="BV141" s="742"/>
      <c r="BW141" s="739"/>
      <c r="BX141" s="740"/>
      <c r="BY141" s="740"/>
      <c r="BZ141" s="740"/>
      <c r="CA141" s="741"/>
      <c r="CB141" s="2125"/>
      <c r="CC141" s="739"/>
      <c r="CD141" s="740"/>
      <c r="CE141" s="740"/>
      <c r="CF141" s="740"/>
      <c r="CG141" s="741"/>
      <c r="CH141" s="743"/>
      <c r="CI141" s="739"/>
      <c r="CJ141" s="740"/>
      <c r="CK141" s="740"/>
      <c r="CL141" s="740"/>
      <c r="CM141" s="741"/>
      <c r="CN141" s="743"/>
      <c r="CO141" s="743"/>
      <c r="CP141" s="6"/>
    </row>
    <row r="142" spans="1:94" hidden="1" outlineLevel="1">
      <c r="A142" s="866" t="s">
        <v>292</v>
      </c>
      <c r="B142" s="61"/>
      <c r="C142" s="867">
        <f>BS!C29+BS!C32+BS!C33</f>
        <v>1500</v>
      </c>
      <c r="D142" s="868">
        <f>BS!D29+BS!D32+BS!D33</f>
        <v>1500</v>
      </c>
      <c r="E142" s="868">
        <f>BS!E29+BS!E32+BS!E33</f>
        <v>1500</v>
      </c>
      <c r="F142" s="869">
        <f>BS!F29+BS!F32+BS!F33</f>
        <v>2087</v>
      </c>
      <c r="G142" s="870">
        <f>BS!G29+BS!G32+BS!G33</f>
        <v>2087</v>
      </c>
      <c r="H142" s="61"/>
      <c r="I142" s="867">
        <f>BS!I29+BS!I32+BS!I33</f>
        <v>2126</v>
      </c>
      <c r="J142" s="868">
        <f>BS!J29+BS!J32+BS!J33</f>
        <v>2374</v>
      </c>
      <c r="K142" s="868">
        <f>BS!K29+BS!K32+BS!K33</f>
        <v>2315</v>
      </c>
      <c r="L142" s="869">
        <f>BS!L29+BS!L32+BS!L33</f>
        <v>2125</v>
      </c>
      <c r="M142" s="870">
        <f>BS!M29+BS!M32+BS!M33</f>
        <v>2125</v>
      </c>
      <c r="N142" s="61"/>
      <c r="O142" s="867">
        <f>BS!O29+BS!O32+BS!O33</f>
        <v>2204</v>
      </c>
      <c r="P142" s="868">
        <f>BS!P29+BS!P32+BS!P33</f>
        <v>2154</v>
      </c>
      <c r="Q142" s="868">
        <f>BS!Q29+BS!Q32+BS!Q33</f>
        <v>2153</v>
      </c>
      <c r="R142" s="869">
        <f>BS!R29+BS!R32+BS!R33</f>
        <v>2905</v>
      </c>
      <c r="S142" s="870">
        <f>BS!S29+BS!S32+BS!S33</f>
        <v>2905</v>
      </c>
      <c r="T142" s="702"/>
      <c r="U142" s="867">
        <f>BS!U29+BS!U32+BS!U33</f>
        <v>2911</v>
      </c>
      <c r="V142" s="868">
        <f>BS!V29+BS!V32+BS!V33</f>
        <v>2894</v>
      </c>
      <c r="W142" s="868">
        <f>BS!W29+BS!W32+BS!W33</f>
        <v>3678</v>
      </c>
      <c r="X142" s="869">
        <f>BS!X29+BS!X32+BS!X33</f>
        <v>3691</v>
      </c>
      <c r="Y142" s="870">
        <f>BS!Y29+BS!Y32+BS!Y33</f>
        <v>3691</v>
      </c>
      <c r="Z142" s="702"/>
      <c r="AA142" s="867">
        <f>BS!AA29+BS!AA32+BS!AA33</f>
        <v>2139</v>
      </c>
      <c r="AB142" s="868">
        <f>BS!AB29+BS!AB32+BS!AB33</f>
        <v>2144</v>
      </c>
      <c r="AC142" s="868">
        <f>BS!AC29+BS!AC32+BS!AC33</f>
        <v>2168</v>
      </c>
      <c r="AD142" s="869">
        <f>BS!AD29+BS!AD32+BS!AD33</f>
        <v>2185</v>
      </c>
      <c r="AE142" s="771">
        <f>AVERAGE(AA142:AD142)</f>
        <v>2159</v>
      </c>
      <c r="AF142" s="702"/>
      <c r="AG142" s="867">
        <f>BS!AG29+BS!AG32+BS!AG33</f>
        <v>2181</v>
      </c>
      <c r="AH142" s="868">
        <f>BS!AH29+BS!AH32+BS!AH33</f>
        <v>2177</v>
      </c>
      <c r="AI142" s="868">
        <f>BS!AI29+BS!AI32+BS!AI33</f>
        <v>2214</v>
      </c>
      <c r="AJ142" s="869">
        <f>BS!AJ29+BS!AJ32+BS!AJ33</f>
        <v>2362</v>
      </c>
      <c r="AK142" s="771">
        <f>AJ142</f>
        <v>2362</v>
      </c>
      <c r="AL142" s="702"/>
      <c r="AM142" s="722">
        <f>BS!AM29+BS!AM32+BS!AM33</f>
        <v>2361</v>
      </c>
      <c r="AN142" s="795">
        <f>BS!AN29+BS!AN32+BS!AN33</f>
        <v>2356</v>
      </c>
      <c r="AO142" s="868">
        <f>BS!AO29+BS!AO32+BS!AO33</f>
        <v>2701</v>
      </c>
      <c r="AP142" s="868">
        <f>BS!AP29+BS!AP32+BS!AP33</f>
        <v>2699</v>
      </c>
      <c r="AQ142" s="771">
        <f>AP142</f>
        <v>2699</v>
      </c>
      <c r="AR142" s="702"/>
      <c r="AS142" s="722">
        <f>BS!AS29+BS!AS32+BS!AS33</f>
        <v>2695</v>
      </c>
      <c r="AT142" s="795">
        <f>BS!AT29+BS!AT32+BS!AT33</f>
        <v>2693</v>
      </c>
      <c r="AU142" s="868">
        <f>BS!AU29+BS!AU32+BS!AU33</f>
        <v>2216</v>
      </c>
      <c r="AV142" s="871">
        <f>BS!AV29+BS!AV32+BS!AV33</f>
        <v>2286</v>
      </c>
      <c r="AW142" s="771">
        <f>AV142</f>
        <v>2286</v>
      </c>
      <c r="AX142" s="702"/>
      <c r="AY142" s="722">
        <f>BS!AY29+BS!AY32+BS!AY33</f>
        <v>1658</v>
      </c>
      <c r="AZ142" s="795">
        <f>BS!AZ29+BS!AZ32+BS!AZ33</f>
        <v>1656</v>
      </c>
      <c r="BA142" s="795">
        <f>BS!BA29+BS!BA32+BS!BA33</f>
        <v>1655</v>
      </c>
      <c r="BB142" s="795">
        <f>BS!BB29+BS!BB32+BS!BB33</f>
        <v>1655</v>
      </c>
      <c r="BC142" s="771">
        <f>BB142</f>
        <v>1655</v>
      </c>
      <c r="BD142" s="702"/>
      <c r="BE142" s="722">
        <f>BS!BE29+BS!BE32+BS!BE33</f>
        <v>1733</v>
      </c>
      <c r="BF142" s="795">
        <f>BS!BF29+BS!BF32+BS!BF33</f>
        <v>1889</v>
      </c>
      <c r="BG142" s="795">
        <f>BS!BG29+BS!BG32+BS!BG33</f>
        <v>1887</v>
      </c>
      <c r="BH142" s="871">
        <f>BS!BH29+BS!BH32+BS!BH33</f>
        <v>1912</v>
      </c>
      <c r="BI142" s="771">
        <f>BH142</f>
        <v>1912</v>
      </c>
      <c r="BJ142" s="702"/>
      <c r="BK142" s="722">
        <f>BS!BK29+BS!BK32+BS!BK33</f>
        <v>1992</v>
      </c>
      <c r="BL142" s="795">
        <f>BS!BL29+BS!BL32+BS!BL33</f>
        <v>2043</v>
      </c>
      <c r="BM142" s="795">
        <f>BS!BM29+BS!BM32+BS!BM33</f>
        <v>2081</v>
      </c>
      <c r="BN142" s="871">
        <f>BS!BN29+BS!BN32+BS!BN33</f>
        <v>2011</v>
      </c>
      <c r="BO142" s="771">
        <f>BN142</f>
        <v>2011</v>
      </c>
      <c r="BP142" s="702"/>
      <c r="BQ142" s="722">
        <f>BS!BQ29+BS!BQ32+BS!BQ33</f>
        <v>2145</v>
      </c>
      <c r="BR142" s="795">
        <f>BS!BR29+BS!BR32+BS!BR33</f>
        <v>2145</v>
      </c>
      <c r="BS142" s="795">
        <f>BS!BS29+BS!BS32+BS!BS33</f>
        <v>2145</v>
      </c>
      <c r="BT142" s="871">
        <f>BS!BT29+BS!BT32+BS!BT33</f>
        <v>2145</v>
      </c>
      <c r="BU142" s="771">
        <f>BT142</f>
        <v>2145</v>
      </c>
      <c r="BV142" s="702"/>
      <c r="BW142" s="722">
        <f>BS!BW29+BS!BW32+BS!BW33</f>
        <v>2145</v>
      </c>
      <c r="BX142" s="795">
        <f>BS!BX29+BS!BX32+BS!BX33</f>
        <v>2145</v>
      </c>
      <c r="BY142" s="795">
        <f>BS!BY29+BS!BY32+BS!BY33</f>
        <v>2145</v>
      </c>
      <c r="BZ142" s="871">
        <f>BS!BZ29+BS!BZ32+BS!BZ33</f>
        <v>2145</v>
      </c>
      <c r="CA142" s="771">
        <f>BZ142</f>
        <v>2145</v>
      </c>
      <c r="CB142" s="705"/>
      <c r="CC142" s="722">
        <f>BS!CC29+BS!CC32+BS!CC33</f>
        <v>1636</v>
      </c>
      <c r="CD142" s="795">
        <f>BS!CD29+BS!CD32+BS!CD33</f>
        <v>1636</v>
      </c>
      <c r="CE142" s="795">
        <f>BS!CE29+BS!CE32+BS!CE33</f>
        <v>1636</v>
      </c>
      <c r="CF142" s="871">
        <f>BS!CF29+BS!CF32+BS!CF33</f>
        <v>1636</v>
      </c>
      <c r="CG142" s="771">
        <f>CF142</f>
        <v>1636</v>
      </c>
      <c r="CH142" s="61"/>
      <c r="CI142" s="722">
        <f>BS!CI29+BS!CI32+BS!CI33</f>
        <v>1238</v>
      </c>
      <c r="CJ142" s="795">
        <f>BS!CJ29+BS!CJ32+BS!CJ33</f>
        <v>1238</v>
      </c>
      <c r="CK142" s="795">
        <f>BS!CK29+BS!CK32+BS!CK33</f>
        <v>1238</v>
      </c>
      <c r="CL142" s="871">
        <f>BS!CL29+BS!CL32+BS!CL33</f>
        <v>1238</v>
      </c>
      <c r="CM142" s="771">
        <f>CL142</f>
        <v>1238</v>
      </c>
      <c r="CN142" s="64"/>
      <c r="CO142" s="64"/>
      <c r="CP142" s="64"/>
    </row>
    <row r="143" spans="1:94" hidden="1" outlineLevel="1">
      <c r="A143" s="439" t="s">
        <v>353</v>
      </c>
      <c r="B143" s="150"/>
      <c r="C143" s="207">
        <f>(-C145/C142)*4</f>
        <v>6.133333333333333E-2</v>
      </c>
      <c r="D143" s="441">
        <f>(-D145/D142)*4</f>
        <v>5.8666666666666666E-2</v>
      </c>
      <c r="E143" s="441">
        <f>(-E145/E142)*4</f>
        <v>6.133333333333333E-2</v>
      </c>
      <c r="F143" s="872">
        <f>(-F145/F142)*4</f>
        <v>4.408241494968855E-2</v>
      </c>
      <c r="G143" s="440">
        <f>(-G145/G142)</f>
        <v>4.3603258265452804E-2</v>
      </c>
      <c r="H143" s="150"/>
      <c r="I143" s="207">
        <f>(-I145/I142)*4</f>
        <v>5.6444026340545628E-2</v>
      </c>
      <c r="J143" s="441">
        <f>(-J145/J142)*4</f>
        <v>4.8862679022746422E-2</v>
      </c>
      <c r="K143" s="441">
        <f>(-K145/K142)*4</f>
        <v>5.3563714902807778E-2</v>
      </c>
      <c r="L143" s="872">
        <f>(-L145/L142)*4</f>
        <v>6.2117647058823527E-2</v>
      </c>
      <c r="M143" s="440">
        <f>(-M145/M142)</f>
        <v>5.7882352941176468E-2</v>
      </c>
      <c r="N143" s="150"/>
      <c r="O143" s="207">
        <f>(-O145/O142)*4</f>
        <v>4.1742286751361164E-2</v>
      </c>
      <c r="P143" s="441">
        <f>(-P145/P142)*4</f>
        <v>4.2711234911792018E-2</v>
      </c>
      <c r="Q143" s="441">
        <f>(-Q145/Q142)*4</f>
        <v>3.9015327450069671E-2</v>
      </c>
      <c r="R143" s="872">
        <f>(-R145/R142)*4</f>
        <v>2.891566265060241E-2</v>
      </c>
      <c r="S143" s="440">
        <f>(-S145/S142)</f>
        <v>3.0292598967297763E-2</v>
      </c>
      <c r="T143" s="441"/>
      <c r="U143" s="207">
        <f>(-U145/U142)*4</f>
        <v>3.1604259704568878E-2</v>
      </c>
      <c r="V143" s="441">
        <f>(-V145/V142)*4</f>
        <v>3.04077401520387E-2</v>
      </c>
      <c r="W143" s="441">
        <f>(-W145/W142)*4</f>
        <v>2.6101141924959218E-2</v>
      </c>
      <c r="X143" s="872">
        <f>(-X145/X142)*4</f>
        <v>2.9260363045245191E-2</v>
      </c>
      <c r="Y143" s="440">
        <f>(-Y145/Y142)</f>
        <v>2.6009211595773504E-2</v>
      </c>
      <c r="Z143" s="441"/>
      <c r="AA143" s="207">
        <f>(-AA145/AA142)*4</f>
        <v>4.3010752688172046E-2</v>
      </c>
      <c r="AB143" s="441">
        <f>(-AB145/AB142)*4</f>
        <v>3.7313432835820892E-2</v>
      </c>
      <c r="AC143" s="441">
        <f>(-AC145/AC142)*4</f>
        <v>3.6900369003690037E-2</v>
      </c>
      <c r="AD143" s="872">
        <f>(-AD145/AD142)*4</f>
        <v>4.2105263157894736E-2</v>
      </c>
      <c r="AE143" s="440">
        <f>(-AE145/AE142)</f>
        <v>3.9833256137100509E-2</v>
      </c>
      <c r="AF143" s="441"/>
      <c r="AG143" s="207">
        <f>(-AG145/AG142)*4</f>
        <v>5.3186611646033929E-2</v>
      </c>
      <c r="AH143" s="441">
        <f>(-AH145/AH142)*4</f>
        <v>4.5934772622875514E-2</v>
      </c>
      <c r="AI143" s="441">
        <f>(-AI145/AI142)*4</f>
        <v>3.7940379403794036E-2</v>
      </c>
      <c r="AJ143" s="872">
        <f>(-AJ145/AJ142)*4</f>
        <v>4.4030482641828961E-2</v>
      </c>
      <c r="AK143" s="440">
        <f>(-AK145/AK142)</f>
        <v>4.2760372565622352E-2</v>
      </c>
      <c r="AL143" s="441"/>
      <c r="AM143" s="207">
        <f>(-AM145/AM142)*4</f>
        <v>4.2354934349851756E-2</v>
      </c>
      <c r="AN143" s="441">
        <f>(-AN145/AN142)*4</f>
        <v>4.2444821731748725E-2</v>
      </c>
      <c r="AO143" s="441">
        <f>(-AO145/AO142)*4</f>
        <v>3.9985190670122177E-2</v>
      </c>
      <c r="AP143" s="441">
        <f>(-AP145/AP142)*4</f>
        <v>4.4460911448684699E-2</v>
      </c>
      <c r="AQ143" s="440">
        <f>(-AQ145/AQ142)</f>
        <v>3.9644312708410526E-2</v>
      </c>
      <c r="AR143" s="441"/>
      <c r="AS143" s="207">
        <f>(-AS145/AS142)*4</f>
        <v>4.3042671614100185E-2</v>
      </c>
      <c r="AT143" s="441">
        <f>(-AT145/AT142)*4</f>
        <v>4.4559970293353138E-2</v>
      </c>
      <c r="AU143" s="441">
        <f>(-AU145/AU142)*4</f>
        <v>5.0541516245487361E-2</v>
      </c>
      <c r="AV143" s="872">
        <f>(-AV145/AV142)*4</f>
        <v>4.5494313210848646E-2</v>
      </c>
      <c r="AW143" s="440">
        <f>(-AW145/AW142)</f>
        <v>4.9431321084864394E-2</v>
      </c>
      <c r="AX143" s="441"/>
      <c r="AY143" s="207">
        <f>(-AY145/AY142)*4</f>
        <v>3.8600723763570564E-2</v>
      </c>
      <c r="AZ143" s="441">
        <f>(-AZ145/AZ142)*4</f>
        <v>4.1062801932367152E-2</v>
      </c>
      <c r="BA143" s="441">
        <f>(-BA145/BA142)*4</f>
        <v>4.1087613293051363E-2</v>
      </c>
      <c r="BB143" s="441">
        <f>(-BB145/BB142)*4</f>
        <v>3.8670694864048338E-2</v>
      </c>
      <c r="BC143" s="440">
        <f>(-BC145/BC142)</f>
        <v>3.9879154078549847E-2</v>
      </c>
      <c r="BD143" s="441"/>
      <c r="BE143" s="207">
        <f>(-BE145/BE142)*4</f>
        <v>4.15464512406232E-2</v>
      </c>
      <c r="BF143" s="441">
        <f>(-BF145/BF142)*4</f>
        <v>3.8115404976177873E-2</v>
      </c>
      <c r="BG143" s="441">
        <f>(-BG145/BG142)*4</f>
        <v>3.6036036036036036E-2</v>
      </c>
      <c r="BH143" s="872">
        <f>(-BH145/BH142)*4</f>
        <v>3.9748953974895397E-2</v>
      </c>
      <c r="BI143" s="440">
        <f>(-BI145/BI142)</f>
        <v>3.7656903765690378E-2</v>
      </c>
      <c r="BJ143" s="441"/>
      <c r="BK143" s="207">
        <f>(-BK145/BK142)*4</f>
        <v>4.0160642570281124E-2</v>
      </c>
      <c r="BL143" s="441">
        <f>(-BL145/BL142)*4</f>
        <v>3.9158100832109639E-2</v>
      </c>
      <c r="BM143" s="441">
        <f>(-BM145/BM142)*4</f>
        <v>3.6520903411821237E-2</v>
      </c>
      <c r="BN143" s="872">
        <f>(-BN145/BN142)*4</f>
        <v>3.9781203381402286E-2</v>
      </c>
      <c r="BO143" s="440">
        <f>(-BO145/BO142)</f>
        <v>3.9283938339134759E-2</v>
      </c>
      <c r="BP143" s="441"/>
      <c r="BQ143" s="207">
        <f>(-BQ145/BQ142)*4</f>
        <v>3.7296037296037296E-2</v>
      </c>
      <c r="BR143" s="441">
        <f>(-BR145/BR142)*4</f>
        <v>3.3934615384615383E-2</v>
      </c>
      <c r="BS143" s="441">
        <f>(-BS145/BS142)*4</f>
        <v>3.3934615384615383E-2</v>
      </c>
      <c r="BT143" s="872">
        <f>(-BT145/BT142)*4</f>
        <v>3.3934615384615383E-2</v>
      </c>
      <c r="BU143" s="440">
        <f>(-BU145/BU142)</f>
        <v>3.4774970862470861E-2</v>
      </c>
      <c r="BV143" s="441"/>
      <c r="BW143" s="207">
        <f>(-BW145/BW142)*4</f>
        <v>3.3934615384615383E-2</v>
      </c>
      <c r="BX143" s="441">
        <f>(-BX145/BX142)*4</f>
        <v>3.3934615384615383E-2</v>
      </c>
      <c r="BY143" s="441">
        <f>(-BY145/BY142)*4</f>
        <v>3.3934615384615383E-2</v>
      </c>
      <c r="BZ143" s="872">
        <f>(-BZ145/BZ142)*4</f>
        <v>3.3934615384615383E-2</v>
      </c>
      <c r="CA143" s="440">
        <f>(-CA145/CA142)</f>
        <v>3.3934615384615383E-2</v>
      </c>
      <c r="CB143" s="441"/>
      <c r="CC143" s="207">
        <f>(-CC145/CC142)*4</f>
        <v>2.8936277506112471E-2</v>
      </c>
      <c r="CD143" s="441">
        <f>(-CD145/CD142)*4</f>
        <v>2.8936277506112471E-2</v>
      </c>
      <c r="CE143" s="441">
        <f>(-CE145/CE142)*4</f>
        <v>2.8936277506112471E-2</v>
      </c>
      <c r="CF143" s="872">
        <f>(-CF145/CF142)*4</f>
        <v>2.8936277506112471E-2</v>
      </c>
      <c r="CG143" s="440">
        <f>(-CG145/CG142)</f>
        <v>2.8936277506112471E-2</v>
      </c>
      <c r="CH143" s="150"/>
      <c r="CI143" s="207">
        <f>(-CI145/CI142)*4</f>
        <v>2.7951332794830371E-2</v>
      </c>
      <c r="CJ143" s="441">
        <f>(-CJ145/CJ142)*4</f>
        <v>2.7951332794830371E-2</v>
      </c>
      <c r="CK143" s="441">
        <f>(-CK145/CK142)*4</f>
        <v>2.7951332794830371E-2</v>
      </c>
      <c r="CL143" s="872">
        <f>(-CL145/CL142)*4</f>
        <v>2.7951332794830371E-2</v>
      </c>
      <c r="CM143" s="440">
        <f>(-CM145/CM142)</f>
        <v>2.7951332794830371E-2</v>
      </c>
      <c r="CN143" s="50"/>
      <c r="CO143" s="50"/>
      <c r="CP143" s="50"/>
    </row>
    <row r="144" spans="1:94" hidden="1" outlineLevel="1">
      <c r="A144" s="873" t="s">
        <v>354</v>
      </c>
      <c r="B144" s="874"/>
      <c r="C144" s="1712">
        <v>0</v>
      </c>
      <c r="D144" s="1713">
        <v>0</v>
      </c>
      <c r="E144" s="1713">
        <v>0</v>
      </c>
      <c r="F144" s="1714">
        <v>0</v>
      </c>
      <c r="G144" s="876">
        <f>SUM(C144:F144)</f>
        <v>0</v>
      </c>
      <c r="H144" s="874"/>
      <c r="I144" s="1712">
        <f>F142-I142</f>
        <v>-39</v>
      </c>
      <c r="J144" s="1713">
        <f>I142-J142</f>
        <v>-248</v>
      </c>
      <c r="K144" s="1713">
        <f>J142-K142</f>
        <v>59</v>
      </c>
      <c r="L144" s="1713">
        <f>K142-L142</f>
        <v>190</v>
      </c>
      <c r="M144" s="876">
        <f>SUM(I144:L144)</f>
        <v>-38</v>
      </c>
      <c r="N144" s="874"/>
      <c r="O144" s="1712">
        <f>L142-O142</f>
        <v>-79</v>
      </c>
      <c r="P144" s="1713">
        <f>O142-P142</f>
        <v>50</v>
      </c>
      <c r="Q144" s="1713">
        <f>P142-Q142</f>
        <v>1</v>
      </c>
      <c r="R144" s="1713">
        <f>Q142-R142</f>
        <v>-752</v>
      </c>
      <c r="S144" s="876">
        <f>SUM(O144:R144)</f>
        <v>-780</v>
      </c>
      <c r="T144" s="875"/>
      <c r="U144" s="1712">
        <f>R142-U142</f>
        <v>-6</v>
      </c>
      <c r="V144" s="1713">
        <f>U142-V142</f>
        <v>17</v>
      </c>
      <c r="W144" s="1713">
        <f>V142-W142</f>
        <v>-784</v>
      </c>
      <c r="X144" s="1713">
        <f>W142-X142</f>
        <v>-13</v>
      </c>
      <c r="Y144" s="876">
        <f>SUM(U144:X144)</f>
        <v>-786</v>
      </c>
      <c r="Z144" s="875"/>
      <c r="AA144" s="1712">
        <f>X142-AA142</f>
        <v>1552</v>
      </c>
      <c r="AB144" s="1713">
        <f>AA142-AB142</f>
        <v>-5</v>
      </c>
      <c r="AC144" s="1713">
        <f>AB142-AC142</f>
        <v>-24</v>
      </c>
      <c r="AD144" s="1713">
        <f>AC142-AD142</f>
        <v>-17</v>
      </c>
      <c r="AE144" s="338">
        <f>SUM(AA144:AD144)</f>
        <v>1506</v>
      </c>
      <c r="AF144" s="875"/>
      <c r="AG144" s="336">
        <f>AD142-AG142</f>
        <v>4</v>
      </c>
      <c r="AH144" s="337">
        <f>AG142-AH142</f>
        <v>4</v>
      </c>
      <c r="AI144" s="337">
        <f>AH142-AI142</f>
        <v>-37</v>
      </c>
      <c r="AJ144" s="337">
        <f>AI142-AJ142</f>
        <v>-148</v>
      </c>
      <c r="AK144" s="338">
        <f>SUM(AG144:AJ144)</f>
        <v>-177</v>
      </c>
      <c r="AL144" s="875"/>
      <c r="AM144" s="336">
        <f>AJ142-AM142</f>
        <v>1</v>
      </c>
      <c r="AN144" s="337">
        <f>AM142-AN142</f>
        <v>5</v>
      </c>
      <c r="AO144" s="337">
        <f>AN142-AO142</f>
        <v>-345</v>
      </c>
      <c r="AP144" s="337">
        <f>AO142-AP142</f>
        <v>2</v>
      </c>
      <c r="AQ144" s="338">
        <f>SUM(AM144:AP144)</f>
        <v>-337</v>
      </c>
      <c r="AR144" s="875"/>
      <c r="AS144" s="336">
        <f>AP142-AS142</f>
        <v>4</v>
      </c>
      <c r="AT144" s="337">
        <f>AS142-AT142</f>
        <v>2</v>
      </c>
      <c r="AU144" s="337">
        <f>AT142-AU142</f>
        <v>477</v>
      </c>
      <c r="AV144" s="337">
        <f>AU142-AV142</f>
        <v>-70</v>
      </c>
      <c r="AW144" s="338">
        <f>SUM(AS144:AV144)</f>
        <v>413</v>
      </c>
      <c r="AX144" s="875"/>
      <c r="AY144" s="336">
        <f>AV142-AY142</f>
        <v>628</v>
      </c>
      <c r="AZ144" s="337">
        <f>AY142-AZ142</f>
        <v>2</v>
      </c>
      <c r="BA144" s="337">
        <f>AZ142-BA142</f>
        <v>1</v>
      </c>
      <c r="BB144" s="337">
        <f>BA142-BB142</f>
        <v>0</v>
      </c>
      <c r="BC144" s="338">
        <f>SUM(AY144:BB144)</f>
        <v>631</v>
      </c>
      <c r="BD144" s="875"/>
      <c r="BE144" s="336">
        <f>BB142-BE142</f>
        <v>-78</v>
      </c>
      <c r="BF144" s="337">
        <f>BE142-BF142</f>
        <v>-156</v>
      </c>
      <c r="BG144" s="337">
        <f>BF142-BG142</f>
        <v>2</v>
      </c>
      <c r="BH144" s="337">
        <f>BG142-BH142</f>
        <v>-25</v>
      </c>
      <c r="BI144" s="338">
        <f>SUM(BE144:BH144)</f>
        <v>-257</v>
      </c>
      <c r="BJ144" s="875"/>
      <c r="BK144" s="336">
        <f>BH142-BK142</f>
        <v>-80</v>
      </c>
      <c r="BL144" s="337">
        <f>BK142-BL142</f>
        <v>-51</v>
      </c>
      <c r="BM144" s="337">
        <f>BL142-BM142</f>
        <v>-38</v>
      </c>
      <c r="BN144" s="337">
        <f>BM142-BN142</f>
        <v>70</v>
      </c>
      <c r="BO144" s="338">
        <f>SUM(BK144:BN144)</f>
        <v>-99</v>
      </c>
      <c r="BP144" s="875"/>
      <c r="BQ144" s="336">
        <f>BN142-BQ142</f>
        <v>-134</v>
      </c>
      <c r="BR144" s="875">
        <f>BQ142-BR142</f>
        <v>0</v>
      </c>
      <c r="BS144" s="875">
        <f>BR142-BS142</f>
        <v>0</v>
      </c>
      <c r="BT144" s="875">
        <f>BS142-BT142</f>
        <v>0</v>
      </c>
      <c r="BU144" s="338">
        <f>SUM(BQ144:BT144)</f>
        <v>-134</v>
      </c>
      <c r="BV144" s="875"/>
      <c r="BW144" s="1712">
        <f>BT142-BW142</f>
        <v>0</v>
      </c>
      <c r="BX144" s="1713">
        <f>BW142-BX142</f>
        <v>0</v>
      </c>
      <c r="BY144" s="1713">
        <f>BX142-BY142</f>
        <v>0</v>
      </c>
      <c r="BZ144" s="1713">
        <f>BY142-BZ142</f>
        <v>0</v>
      </c>
      <c r="CA144" s="338">
        <f>SUM(BW144:BZ144)</f>
        <v>0</v>
      </c>
      <c r="CB144" s="337"/>
      <c r="CC144" s="1712">
        <f>BZ142-CC142</f>
        <v>509</v>
      </c>
      <c r="CD144" s="1713">
        <f>CC142-CD142</f>
        <v>0</v>
      </c>
      <c r="CE144" s="1713">
        <f>CD142-CE142</f>
        <v>0</v>
      </c>
      <c r="CF144" s="1713">
        <f>CE142-CF142</f>
        <v>0</v>
      </c>
      <c r="CG144" s="338">
        <f>SUM(CC144:CF144)</f>
        <v>509</v>
      </c>
      <c r="CH144" s="874"/>
      <c r="CI144" s="1712">
        <f>CF142-CI142</f>
        <v>398</v>
      </c>
      <c r="CJ144" s="1713">
        <f>CI142-CJ142</f>
        <v>0</v>
      </c>
      <c r="CK144" s="1713">
        <f>CJ142-CK142</f>
        <v>0</v>
      </c>
      <c r="CL144" s="1713">
        <f>CK142-CL142</f>
        <v>0</v>
      </c>
      <c r="CM144" s="338">
        <f>SUM(CI144:CL144)</f>
        <v>398</v>
      </c>
      <c r="CN144" s="877"/>
      <c r="CO144" s="877"/>
      <c r="CP144" s="877"/>
    </row>
    <row r="145" spans="1:100" collapsed="1">
      <c r="A145" s="855" t="s">
        <v>355</v>
      </c>
      <c r="B145" s="105"/>
      <c r="C145" s="878">
        <f>IS!C21</f>
        <v>-23</v>
      </c>
      <c r="D145" s="879">
        <f>IS!D21</f>
        <v>-22</v>
      </c>
      <c r="E145" s="879">
        <f>IS!E21</f>
        <v>-23</v>
      </c>
      <c r="F145" s="880">
        <f>IS!F21</f>
        <v>-23</v>
      </c>
      <c r="G145" s="881">
        <f>IS!G21</f>
        <v>-91</v>
      </c>
      <c r="H145" s="105"/>
      <c r="I145" s="878">
        <f>IS!I21</f>
        <v>-30</v>
      </c>
      <c r="J145" s="879">
        <f>IS!J21</f>
        <v>-29</v>
      </c>
      <c r="K145" s="879">
        <f>IS!K21</f>
        <v>-31</v>
      </c>
      <c r="L145" s="880">
        <f>IS!L21</f>
        <v>-33</v>
      </c>
      <c r="M145" s="881">
        <f>IS!M21</f>
        <v>-123</v>
      </c>
      <c r="N145" s="105"/>
      <c r="O145" s="878">
        <f>IS!O21</f>
        <v>-23</v>
      </c>
      <c r="P145" s="879">
        <f>IS!P21</f>
        <v>-23</v>
      </c>
      <c r="Q145" s="879">
        <f>IS!Q21</f>
        <v>-21</v>
      </c>
      <c r="R145" s="880">
        <f>IS!R21</f>
        <v>-21</v>
      </c>
      <c r="S145" s="881">
        <f>IS!S21</f>
        <v>-88</v>
      </c>
      <c r="T145" s="859"/>
      <c r="U145" s="878">
        <f>IS!U21</f>
        <v>-23</v>
      </c>
      <c r="V145" s="879">
        <f>IS!V21</f>
        <v>-22</v>
      </c>
      <c r="W145" s="879">
        <f>IS!W21</f>
        <v>-24</v>
      </c>
      <c r="X145" s="880">
        <f>IS!X21</f>
        <v>-27</v>
      </c>
      <c r="Y145" s="881">
        <f>IS!Y21</f>
        <v>-96</v>
      </c>
      <c r="Z145" s="859"/>
      <c r="AA145" s="878">
        <f>IS!AA21</f>
        <v>-23</v>
      </c>
      <c r="AB145" s="879">
        <f>IS!AB21</f>
        <v>-20</v>
      </c>
      <c r="AC145" s="879">
        <f>IS!AC21</f>
        <v>-20</v>
      </c>
      <c r="AD145" s="880">
        <f>IS!AD21</f>
        <v>-23</v>
      </c>
      <c r="AE145" s="860">
        <f>SUM(AA145:AD145)</f>
        <v>-86</v>
      </c>
      <c r="AF145" s="859"/>
      <c r="AG145" s="878">
        <f>IS!AG21</f>
        <v>-29</v>
      </c>
      <c r="AH145" s="879">
        <f>IS!AH21</f>
        <v>-25</v>
      </c>
      <c r="AI145" s="879">
        <f>IS!AI21</f>
        <v>-21</v>
      </c>
      <c r="AJ145" s="880">
        <f>IS!AJ21</f>
        <v>-26</v>
      </c>
      <c r="AK145" s="860">
        <f>SUM(AG145:AJ145)</f>
        <v>-101</v>
      </c>
      <c r="AL145" s="859"/>
      <c r="AM145" s="862">
        <f>IS!AM21</f>
        <v>-25</v>
      </c>
      <c r="AN145" s="861">
        <f>IS!AN21</f>
        <v>-25</v>
      </c>
      <c r="AO145" s="879">
        <f>IS!AO21</f>
        <v>-27</v>
      </c>
      <c r="AP145" s="879">
        <f>IS!AP21</f>
        <v>-30</v>
      </c>
      <c r="AQ145" s="860">
        <f>SUM(AM145:AP145)</f>
        <v>-107</v>
      </c>
      <c r="AR145" s="859"/>
      <c r="AS145" s="862">
        <f>IS!AS21</f>
        <v>-29</v>
      </c>
      <c r="AT145" s="861">
        <f>IS!AT21</f>
        <v>-30</v>
      </c>
      <c r="AU145" s="879">
        <f>IS!AU21</f>
        <v>-28</v>
      </c>
      <c r="AV145" s="882">
        <f>IS!AV21</f>
        <v>-26</v>
      </c>
      <c r="AW145" s="860">
        <f>SUM(AS145:AV145)</f>
        <v>-113</v>
      </c>
      <c r="AX145" s="859"/>
      <c r="AY145" s="862">
        <f>IS!AY21</f>
        <v>-16</v>
      </c>
      <c r="AZ145" s="861">
        <f>IS!AZ21</f>
        <v>-17</v>
      </c>
      <c r="BA145" s="861">
        <f>IS!BA21</f>
        <v>-17</v>
      </c>
      <c r="BB145" s="861">
        <f>IS!BB21</f>
        <v>-16</v>
      </c>
      <c r="BC145" s="860">
        <f>SUM(AY145:BB145)</f>
        <v>-66</v>
      </c>
      <c r="BD145" s="859"/>
      <c r="BE145" s="862">
        <f>IS!BE21</f>
        <v>-18</v>
      </c>
      <c r="BF145" s="861">
        <f>IS!BF21</f>
        <v>-18</v>
      </c>
      <c r="BG145" s="861">
        <f>IS!BG21</f>
        <v>-17</v>
      </c>
      <c r="BH145" s="882">
        <f>IS!BH21</f>
        <v>-19</v>
      </c>
      <c r="BI145" s="860">
        <f>SUM(BE145:BH145)</f>
        <v>-72</v>
      </c>
      <c r="BJ145" s="859"/>
      <c r="BK145" s="862">
        <f>IS!BK21</f>
        <v>-20</v>
      </c>
      <c r="BL145" s="861">
        <f>IS!BL21</f>
        <v>-20</v>
      </c>
      <c r="BM145" s="861">
        <f>IS!BM21</f>
        <v>-19</v>
      </c>
      <c r="BN145" s="882">
        <f>IS!BN21</f>
        <v>-20</v>
      </c>
      <c r="BO145" s="860">
        <f>SUM(BK145:BN145)</f>
        <v>-79</v>
      </c>
      <c r="BP145" s="859"/>
      <c r="BQ145" s="862">
        <f>IS!BQ21</f>
        <v>-20</v>
      </c>
      <c r="BR145" s="861">
        <f>IS!BR21</f>
        <v>-18.197437499999999</v>
      </c>
      <c r="BS145" s="861">
        <f>IS!BS21</f>
        <v>-18.197437499999999</v>
      </c>
      <c r="BT145" s="882">
        <f>IS!BT21</f>
        <v>-18.197437499999999</v>
      </c>
      <c r="BU145" s="860">
        <f>SUM(BQ145:BT145)</f>
        <v>-74.592312499999991</v>
      </c>
      <c r="BV145" s="859"/>
      <c r="BW145" s="862">
        <f>IS!BW21</f>
        <v>-18.197437499999999</v>
      </c>
      <c r="BX145" s="861">
        <f>IS!BX21</f>
        <v>-18.197437499999999</v>
      </c>
      <c r="BY145" s="861">
        <f>IS!BY21</f>
        <v>-18.197437499999999</v>
      </c>
      <c r="BZ145" s="882">
        <f>IS!BZ21</f>
        <v>-18.197437499999999</v>
      </c>
      <c r="CA145" s="860">
        <f>SUM(BW145:BZ145)</f>
        <v>-72.789749999999998</v>
      </c>
      <c r="CB145" s="937"/>
      <c r="CC145" s="862">
        <f>IS!CC21</f>
        <v>-11.834937500000001</v>
      </c>
      <c r="CD145" s="861">
        <f>IS!CD21</f>
        <v>-11.834937500000001</v>
      </c>
      <c r="CE145" s="861">
        <f>IS!CE21</f>
        <v>-11.834937500000001</v>
      </c>
      <c r="CF145" s="882">
        <f>IS!CF21</f>
        <v>-11.834937500000001</v>
      </c>
      <c r="CG145" s="860">
        <f>SUM(CC145:CF145)</f>
        <v>-47.339750000000002</v>
      </c>
      <c r="CH145" s="105"/>
      <c r="CI145" s="862">
        <f>IS!CI21</f>
        <v>-8.6509374999999995</v>
      </c>
      <c r="CJ145" s="861">
        <f>IS!CJ21</f>
        <v>-8.6509374999999995</v>
      </c>
      <c r="CK145" s="861">
        <f>IS!CK21</f>
        <v>-8.6509374999999995</v>
      </c>
      <c r="CL145" s="882">
        <f>IS!CL21</f>
        <v>-8.6509374999999995</v>
      </c>
      <c r="CM145" s="860">
        <f>SUM(CI145:CL145)</f>
        <v>-34.603749999999998</v>
      </c>
      <c r="CN145" s="64"/>
      <c r="CO145" s="64"/>
      <c r="CP145" s="64"/>
    </row>
    <row r="146" spans="1:100" ht="4.5" customHeight="1">
      <c r="A146" s="21"/>
      <c r="B146" s="38"/>
      <c r="C146" s="335"/>
      <c r="D146" s="335"/>
      <c r="E146" s="335"/>
      <c r="F146" s="335"/>
      <c r="G146" s="335"/>
      <c r="H146" s="38"/>
      <c r="I146" s="335"/>
      <c r="J146" s="335"/>
      <c r="K146" s="335"/>
      <c r="L146" s="335"/>
      <c r="M146" s="335"/>
      <c r="N146" s="38"/>
      <c r="O146" s="335"/>
      <c r="P146" s="335"/>
      <c r="Q146" s="335"/>
      <c r="R146" s="335"/>
      <c r="S146" s="335"/>
      <c r="T146" s="334"/>
      <c r="U146" s="335"/>
      <c r="V146" s="335"/>
      <c r="W146" s="335"/>
      <c r="X146" s="335"/>
      <c r="Y146" s="335"/>
      <c r="Z146" s="334"/>
      <c r="AA146" s="335"/>
      <c r="AB146" s="335"/>
      <c r="AC146" s="335"/>
      <c r="AD146" s="335"/>
      <c r="AE146" s="335"/>
      <c r="AF146" s="334"/>
      <c r="AG146" s="335"/>
      <c r="AH146" s="335"/>
      <c r="AI146" s="335"/>
      <c r="AJ146" s="335"/>
      <c r="AK146" s="335"/>
      <c r="AL146" s="334"/>
      <c r="AM146" s="335"/>
      <c r="AN146" s="335"/>
      <c r="AO146" s="335"/>
      <c r="AP146" s="335"/>
      <c r="AQ146" s="335"/>
      <c r="AR146" s="334"/>
      <c r="AS146" s="335"/>
      <c r="AT146" s="335"/>
      <c r="AU146" s="335"/>
      <c r="AV146" s="335"/>
      <c r="AW146" s="334"/>
      <c r="AX146" s="334"/>
      <c r="AY146" s="335"/>
      <c r="AZ146" s="335"/>
      <c r="BA146" s="335"/>
      <c r="BB146" s="335"/>
      <c r="BC146" s="334"/>
      <c r="BD146" s="334"/>
      <c r="BE146" s="335"/>
      <c r="BF146" s="335"/>
      <c r="BG146" s="335"/>
      <c r="BH146" s="2100"/>
      <c r="BI146" s="334"/>
      <c r="BJ146" s="334"/>
      <c r="BK146" s="335"/>
      <c r="BL146" s="335"/>
      <c r="BM146" s="335"/>
      <c r="BN146" s="2100"/>
      <c r="BO146" s="334"/>
      <c r="BP146" s="334"/>
      <c r="BQ146" s="335"/>
      <c r="BR146" s="335"/>
      <c r="BS146" s="335"/>
      <c r="BT146" s="335"/>
      <c r="BU146" s="334"/>
      <c r="BV146" s="334"/>
      <c r="BW146" s="335"/>
      <c r="BX146" s="335"/>
      <c r="BY146" s="335"/>
      <c r="BZ146" s="335"/>
      <c r="CA146" s="334"/>
      <c r="CB146" s="334"/>
      <c r="CC146" s="335"/>
      <c r="CD146" s="335"/>
      <c r="CE146" s="335"/>
      <c r="CF146" s="335"/>
      <c r="CG146" s="334"/>
      <c r="CH146" s="696"/>
      <c r="CI146" s="335"/>
      <c r="CJ146" s="335"/>
      <c r="CK146" s="335"/>
      <c r="CL146" s="335"/>
      <c r="CM146" s="334"/>
      <c r="CN146" s="696"/>
      <c r="CO146" s="696"/>
      <c r="CP146" s="6"/>
    </row>
    <row r="147" spans="1:100" hidden="1" outlineLevel="1">
      <c r="A147" s="2443" t="s">
        <v>609</v>
      </c>
      <c r="B147" s="2435"/>
      <c r="C147" s="2436"/>
      <c r="D147" s="2437"/>
      <c r="E147" s="2437"/>
      <c r="F147" s="2437"/>
      <c r="G147" s="2438"/>
      <c r="H147" s="2435"/>
      <c r="I147" s="2436"/>
      <c r="J147" s="2437"/>
      <c r="K147" s="2437"/>
      <c r="L147" s="2437"/>
      <c r="M147" s="2438"/>
      <c r="N147" s="2435"/>
      <c r="O147" s="2436"/>
      <c r="P147" s="2437"/>
      <c r="Q147" s="2437"/>
      <c r="R147" s="2437"/>
      <c r="S147" s="2438"/>
      <c r="T147" s="2437"/>
      <c r="U147" s="2436"/>
      <c r="V147" s="2437"/>
      <c r="W147" s="2437"/>
      <c r="X147" s="2437"/>
      <c r="Y147" s="2438"/>
      <c r="Z147" s="2437"/>
      <c r="AA147" s="2436"/>
      <c r="AB147" s="2437"/>
      <c r="AC147" s="2437"/>
      <c r="AD147" s="2437"/>
      <c r="AE147" s="2438"/>
      <c r="AF147" s="2437"/>
      <c r="AG147" s="2436"/>
      <c r="AH147" s="2437"/>
      <c r="AI147" s="2437"/>
      <c r="AJ147" s="2437"/>
      <c r="AK147" s="2438"/>
      <c r="AL147" s="2437"/>
      <c r="AM147" s="2436"/>
      <c r="AN147" s="2437"/>
      <c r="AO147" s="2437"/>
      <c r="AP147" s="2437"/>
      <c r="AQ147" s="2438"/>
      <c r="AR147" s="2437"/>
      <c r="AS147" s="2436"/>
      <c r="AT147" s="2437"/>
      <c r="AU147" s="2437"/>
      <c r="AV147" s="2437"/>
      <c r="AW147" s="2438"/>
      <c r="AX147" s="2437"/>
      <c r="AY147" s="2436"/>
      <c r="AZ147" s="2437"/>
      <c r="BA147" s="2437"/>
      <c r="BB147" s="2437"/>
      <c r="BC147" s="2438"/>
      <c r="BD147" s="2437"/>
      <c r="BE147" s="2436"/>
      <c r="BF147" s="2437"/>
      <c r="BG147" s="2437"/>
      <c r="BH147" s="2437"/>
      <c r="BI147" s="2438"/>
      <c r="BJ147" s="2437"/>
      <c r="BK147" s="2436"/>
      <c r="BL147" s="2437"/>
      <c r="BM147" s="2437"/>
      <c r="BN147" s="2437"/>
      <c r="BO147" s="2438"/>
      <c r="BP147" s="2437"/>
      <c r="BQ147" s="2436"/>
      <c r="BR147" s="2437"/>
      <c r="BS147" s="2437"/>
      <c r="BT147" s="2437"/>
      <c r="BU147" s="2438"/>
      <c r="BV147" s="2437"/>
      <c r="BW147" s="2436"/>
      <c r="BX147" s="2437"/>
      <c r="BY147" s="2437"/>
      <c r="BZ147" s="2437"/>
      <c r="CA147" s="2438"/>
      <c r="CB147" s="2437"/>
      <c r="CC147" s="2436"/>
      <c r="CD147" s="2437"/>
      <c r="CE147" s="2437"/>
      <c r="CF147" s="2437"/>
      <c r="CG147" s="2438"/>
      <c r="CH147" s="2435"/>
      <c r="CI147" s="2436"/>
      <c r="CJ147" s="2437"/>
      <c r="CK147" s="2437"/>
      <c r="CL147" s="2437"/>
      <c r="CM147" s="2438"/>
      <c r="CN147" s="896"/>
      <c r="CO147" s="896"/>
      <c r="CP147" s="422"/>
    </row>
    <row r="148" spans="1:100" s="2378" customFormat="1" hidden="1" outlineLevel="1">
      <c r="A148" s="900" t="s">
        <v>610</v>
      </c>
      <c r="B148" s="2439"/>
      <c r="C148" s="2440">
        <f>C155*C170</f>
        <v>0.13534338358458961</v>
      </c>
      <c r="D148" s="2441">
        <f>D155*D170</f>
        <v>0.21051238758407498</v>
      </c>
      <c r="E148" s="2441">
        <f>E155*E170</f>
        <v>0.29536054255892735</v>
      </c>
      <c r="F148" s="2441">
        <f>F155*F170</f>
        <v>0.33631013670019183</v>
      </c>
      <c r="G148" s="2442">
        <f>G155*G170</f>
        <v>0.13850139586823002</v>
      </c>
      <c r="H148" s="2439"/>
      <c r="I148" s="2440">
        <f>I155*I170</f>
        <v>0.15329818828292796</v>
      </c>
      <c r="J148" s="2441">
        <f>J155*J170</f>
        <v>0.25174961956362302</v>
      </c>
      <c r="K148" s="2441">
        <f>K155*K170</f>
        <v>0.31941066403050333</v>
      </c>
      <c r="L148" s="2441">
        <f>L155*L170</f>
        <v>0.41935478552259176</v>
      </c>
      <c r="M148" s="2442">
        <f>M155*M170</f>
        <v>0.18060993447126567</v>
      </c>
      <c r="N148" s="2439"/>
      <c r="O148" s="2440">
        <f>O155*O170</f>
        <v>0.16210098109595597</v>
      </c>
      <c r="P148" s="2441">
        <f>P155*P170</f>
        <v>0.26709505096191771</v>
      </c>
      <c r="Q148" s="2441">
        <f>Q155*Q170</f>
        <v>0.28835608611369246</v>
      </c>
      <c r="R148" s="2441">
        <f>R155*R170</f>
        <v>0.3452429162232441</v>
      </c>
      <c r="S148" s="2442">
        <f>S155*S170</f>
        <v>0.15540520060620563</v>
      </c>
      <c r="T148" s="2439"/>
      <c r="U148" s="2440">
        <f>U155*U170</f>
        <v>0.4425646821505847</v>
      </c>
      <c r="V148" s="2441">
        <f>V155*V170</f>
        <v>0.36286873992590779</v>
      </c>
      <c r="W148" s="2441">
        <f>W155*W170</f>
        <v>0.46368460151995711</v>
      </c>
      <c r="X148" s="2441">
        <f>X155*X170</f>
        <v>0.23262250578879243</v>
      </c>
      <c r="Y148" s="2442">
        <f>Y155*Y170</f>
        <v>0.45437424878147831</v>
      </c>
      <c r="Z148" s="2439"/>
      <c r="AA148" s="2440">
        <f>AA155*AA170</f>
        <v>0.16674094982997906</v>
      </c>
      <c r="AB148" s="2441">
        <f>AB155*AB170</f>
        <v>0.20394070264705466</v>
      </c>
      <c r="AC148" s="2441">
        <f>AC155*AC170</f>
        <v>0.19755502026554431</v>
      </c>
      <c r="AD148" s="2441">
        <f>AD155*AD170</f>
        <v>0.23583835317281288</v>
      </c>
      <c r="AE148" s="2442">
        <f>AE155*AE170</f>
        <v>0.20084961644415111</v>
      </c>
      <c r="AF148" s="2439"/>
      <c r="AG148" s="2440">
        <f>AG155*AG170</f>
        <v>0.22291589801050657</v>
      </c>
      <c r="AH148" s="2441">
        <f>AH155*AH170</f>
        <v>0.19877316898825245</v>
      </c>
      <c r="AI148" s="2441">
        <f>AI155*AI170</f>
        <v>0.23105557906579216</v>
      </c>
      <c r="AJ148" s="2441">
        <f>AJ155*AJ170</f>
        <v>0.15170446671915058</v>
      </c>
      <c r="AK148" s="2442">
        <f>AK155*AK170</f>
        <v>0.22923439255529551</v>
      </c>
      <c r="AL148" s="2439"/>
      <c r="AM148" s="2440">
        <f>AM155*AM170</f>
        <v>0.1195781751490143</v>
      </c>
      <c r="AN148" s="2441">
        <f>AN155*AN170</f>
        <v>0.12695412947922405</v>
      </c>
      <c r="AO148" s="2441">
        <f>AO155*AO170</f>
        <v>0.12748383282093456</v>
      </c>
      <c r="AP148" s="2441">
        <f>AP155*AP170</f>
        <v>0.16142238697216851</v>
      </c>
      <c r="AQ148" s="2442">
        <f>AQ155*AQ170</f>
        <v>0.13425034387895465</v>
      </c>
      <c r="AR148" s="2439"/>
      <c r="AS148" s="2440">
        <f>AS155*AS170</f>
        <v>0.15197562690414812</v>
      </c>
      <c r="AT148" s="2441">
        <f>AT155*AT170</f>
        <v>0.12788913816689468</v>
      </c>
      <c r="AU148" s="2441">
        <f>AU155*AU170</f>
        <v>0.14953215402567091</v>
      </c>
      <c r="AV148" s="2441">
        <f>AV155*AV170</f>
        <v>0.16766913278495899</v>
      </c>
      <c r="AW148" s="2442">
        <f>AW155*AW170</f>
        <v>0.15019798453245845</v>
      </c>
      <c r="AX148" s="2439"/>
      <c r="AY148" s="2440">
        <f>AY155*AY170</f>
        <v>0.10293161808956577</v>
      </c>
      <c r="AZ148" s="2441">
        <f>AZ155*AZ170</f>
        <v>0.13955707005912005</v>
      </c>
      <c r="BA148" s="2441">
        <f>BA155*BA170</f>
        <v>0.17224471645209791</v>
      </c>
      <c r="BB148" s="2441">
        <f>BB155*BB170</f>
        <v>0.18950421968990172</v>
      </c>
      <c r="BC148" s="2442">
        <f>BC155*BC170</f>
        <v>0.11210076709587426</v>
      </c>
      <c r="BD148" s="2439"/>
      <c r="BE148" s="2440">
        <f>BE155*BE170</f>
        <v>0.17515010312208523</v>
      </c>
      <c r="BF148" s="2441">
        <f>BF155*BF170</f>
        <v>0.15573468299706122</v>
      </c>
      <c r="BG148" s="2441">
        <f>BG155*BG170</f>
        <v>0.169421886139803</v>
      </c>
      <c r="BH148" s="2441">
        <f>BH155*BH170</f>
        <v>0.20017018855223109</v>
      </c>
      <c r="BI148" s="2442">
        <f>BI155*BI170</f>
        <v>0.18518680136752086</v>
      </c>
      <c r="BJ148" s="2439"/>
      <c r="BK148" s="2440">
        <f>BK155*BK170</f>
        <v>0.1769983266451999</v>
      </c>
      <c r="BL148" s="2441">
        <f>BL155*BL170</f>
        <v>0.18300150506302906</v>
      </c>
      <c r="BM148" s="2441">
        <f>BM155*BM170</f>
        <v>0.18795734445119577</v>
      </c>
      <c r="BN148" s="2441">
        <f>BN155*BN170</f>
        <v>0.2079821869645814</v>
      </c>
      <c r="BO148" s="2442">
        <f>BO155*BO170</f>
        <v>0.19510248598934743</v>
      </c>
      <c r="BP148" s="2439"/>
      <c r="BQ148" s="2440">
        <f>BQ155*BQ170</f>
        <v>0.20589306628098714</v>
      </c>
      <c r="BR148" s="2441">
        <f>BR155*BR170</f>
        <v>0.24922883771502871</v>
      </c>
      <c r="BS148" s="2441">
        <f>BS155*BS170</f>
        <v>0.23830559392825612</v>
      </c>
      <c r="BT148" s="2441">
        <f>BT155*BT170</f>
        <v>0.27256014774421111</v>
      </c>
      <c r="BU148" s="2442">
        <f>BU155*BU170</f>
        <v>0.22523579924938802</v>
      </c>
      <c r="BV148" s="2439"/>
      <c r="BW148" s="2440">
        <f>BW155*BW170</f>
        <v>0.25147078757298591</v>
      </c>
      <c r="BX148" s="2441">
        <f>BX155*BX170</f>
        <v>0.27064127103431246</v>
      </c>
      <c r="BY148" s="2441">
        <f>BY155*BY170</f>
        <v>0.26236547138910887</v>
      </c>
      <c r="BZ148" s="2441">
        <f>BZ155*BZ170</f>
        <v>0.29941223009255558</v>
      </c>
      <c r="CA148" s="2442">
        <f>CA155*CA170</f>
        <v>0.27617638092641222</v>
      </c>
      <c r="CB148" s="2441"/>
      <c r="CC148" s="2440">
        <f>CC155*CC170</f>
        <v>0.27027791978213456</v>
      </c>
      <c r="CD148" s="2441">
        <f>CD155*CD170</f>
        <v>0.29384818985164729</v>
      </c>
      <c r="CE148" s="2441">
        <f>CE155*CE170</f>
        <v>0.28550883569165597</v>
      </c>
      <c r="CF148" s="2441">
        <f>CF155*CF170</f>
        <v>0.32376590908889447</v>
      </c>
      <c r="CG148" s="2442">
        <f>CG155*CG170</f>
        <v>0.29913048712208223</v>
      </c>
      <c r="CH148" s="2439"/>
      <c r="CI148" s="2440">
        <f>CI155*CI170</f>
        <v>0.28961724089359614</v>
      </c>
      <c r="CJ148" s="2441">
        <f>CJ155*CJ170</f>
        <v>0.3181574197593246</v>
      </c>
      <c r="CK148" s="2441">
        <f>CK155*CK170</f>
        <v>0.31031468231547049</v>
      </c>
      <c r="CL148" s="2441">
        <f>CL155*CL170</f>
        <v>0.34992149524687477</v>
      </c>
      <c r="CM148" s="2442">
        <f>CM155*CM170</f>
        <v>0.32316739128701566</v>
      </c>
      <c r="CN148" s="2439"/>
      <c r="CO148" s="2439"/>
      <c r="CP148" s="552"/>
      <c r="CQ148"/>
      <c r="CR148"/>
      <c r="CS148"/>
      <c r="CT148"/>
      <c r="CU148"/>
      <c r="CV148"/>
    </row>
    <row r="149" spans="1:100" hidden="1" outlineLevel="1">
      <c r="A149" s="890" t="s">
        <v>249</v>
      </c>
      <c r="B149" s="744"/>
      <c r="C149" s="892">
        <f>IS!C10</f>
        <v>455</v>
      </c>
      <c r="D149" s="891">
        <f>IS!D10</f>
        <v>428</v>
      </c>
      <c r="E149" s="891">
        <f>IS!E10</f>
        <v>469</v>
      </c>
      <c r="F149" s="891">
        <f>IS!F10</f>
        <v>524</v>
      </c>
      <c r="G149" s="893">
        <f>IS!G10</f>
        <v>1876</v>
      </c>
      <c r="H149" s="744"/>
      <c r="I149" s="892">
        <f>IS!I10</f>
        <v>531</v>
      </c>
      <c r="J149" s="891">
        <f>IS!J10</f>
        <v>530</v>
      </c>
      <c r="K149" s="891">
        <f>IS!K10</f>
        <v>540</v>
      </c>
      <c r="L149" s="891">
        <f>IS!L10</f>
        <v>594</v>
      </c>
      <c r="M149" s="893">
        <f>IS!M10</f>
        <v>2195</v>
      </c>
      <c r="N149" s="744"/>
      <c r="O149" s="892">
        <f>IS!O10</f>
        <v>525</v>
      </c>
      <c r="P149" s="891">
        <f>IS!P10</f>
        <v>498</v>
      </c>
      <c r="Q149" s="891">
        <f>IS!Q10</f>
        <v>496</v>
      </c>
      <c r="R149" s="891">
        <f>IS!R10</f>
        <v>544</v>
      </c>
      <c r="S149" s="893">
        <f>IS!S10</f>
        <v>2063</v>
      </c>
      <c r="T149" s="891"/>
      <c r="U149" s="892">
        <f>IS!U10</f>
        <v>584</v>
      </c>
      <c r="V149" s="891">
        <f>IS!V10</f>
        <v>572</v>
      </c>
      <c r="W149" s="891">
        <f>IS!W10</f>
        <v>703</v>
      </c>
      <c r="X149" s="891">
        <f>IS!X10</f>
        <v>820</v>
      </c>
      <c r="Y149" s="893">
        <f>IS!Y10</f>
        <v>2679</v>
      </c>
      <c r="Z149" s="891"/>
      <c r="AA149" s="892">
        <f>IS!AA10</f>
        <v>753</v>
      </c>
      <c r="AB149" s="891">
        <f>IS!AB10</f>
        <v>845</v>
      </c>
      <c r="AC149" s="891">
        <f>IS!AC10</f>
        <v>836</v>
      </c>
      <c r="AD149" s="891">
        <f>IS!AD10</f>
        <v>876</v>
      </c>
      <c r="AE149" s="893">
        <f>IS!AE10</f>
        <v>3310</v>
      </c>
      <c r="AF149" s="891"/>
      <c r="AG149" s="892">
        <f>IS!AG10</f>
        <v>857</v>
      </c>
      <c r="AH149" s="891">
        <f>IS!AH10</f>
        <v>857</v>
      </c>
      <c r="AI149" s="891">
        <f>IS!AI10</f>
        <v>878</v>
      </c>
      <c r="AJ149" s="891">
        <f>IS!AJ10</f>
        <v>951</v>
      </c>
      <c r="AK149" s="893">
        <f>IS!AK10</f>
        <v>3543</v>
      </c>
      <c r="AL149" s="891"/>
      <c r="AM149" s="892">
        <f>IS!AM10</f>
        <v>958</v>
      </c>
      <c r="AN149" s="891">
        <f>IS!AN10</f>
        <v>972</v>
      </c>
      <c r="AO149" s="891">
        <f>IS!AO10</f>
        <v>951</v>
      </c>
      <c r="AP149" s="891">
        <f>IS!AP10</f>
        <v>1013</v>
      </c>
      <c r="AQ149" s="893">
        <f>IS!AQ10</f>
        <v>3894</v>
      </c>
      <c r="AR149" s="891"/>
      <c r="AS149" s="892">
        <f>IS!AS10</f>
        <v>1008</v>
      </c>
      <c r="AT149" s="891">
        <f>IS!AT10</f>
        <v>988</v>
      </c>
      <c r="AU149" s="891">
        <f>IS!AU10</f>
        <v>1009</v>
      </c>
      <c r="AV149" s="891">
        <f>IS!AV10</f>
        <v>1043</v>
      </c>
      <c r="AW149" s="893">
        <f>IS!AW10</f>
        <v>4048</v>
      </c>
      <c r="AX149" s="891"/>
      <c r="AY149" s="892">
        <f>IS!AY10</f>
        <v>1026</v>
      </c>
      <c r="AZ149" s="891">
        <f>IS!AZ10</f>
        <v>963</v>
      </c>
      <c r="BA149" s="891">
        <f>IS!BA10</f>
        <v>1014</v>
      </c>
      <c r="BB149" s="891">
        <f>IS!BB10</f>
        <v>1035</v>
      </c>
      <c r="BC149" s="893">
        <f>IS!BC10</f>
        <v>4038</v>
      </c>
      <c r="BD149" s="891"/>
      <c r="BE149" s="892">
        <f>IS!BE10</f>
        <v>1028</v>
      </c>
      <c r="BF149" s="891">
        <f>IS!BF10</f>
        <v>1019</v>
      </c>
      <c r="BG149" s="891">
        <f>IS!BG10</f>
        <v>1044</v>
      </c>
      <c r="BH149" s="891">
        <f>IS!BH10</f>
        <v>1111</v>
      </c>
      <c r="BI149" s="893">
        <f>IS!BI10</f>
        <v>4202</v>
      </c>
      <c r="BJ149" s="891"/>
      <c r="BK149" s="892">
        <f>IS!BK10</f>
        <v>1067</v>
      </c>
      <c r="BL149" s="891">
        <f>IS!BL10</f>
        <v>1102</v>
      </c>
      <c r="BM149" s="891">
        <f>IS!BM10</f>
        <v>1114</v>
      </c>
      <c r="BN149" s="891">
        <f>IS!BN10</f>
        <v>1189</v>
      </c>
      <c r="BO149" s="893">
        <f>IS!BO10</f>
        <v>4472</v>
      </c>
      <c r="BP149" s="891"/>
      <c r="BQ149" s="892">
        <f>IS!BQ10</f>
        <v>1211</v>
      </c>
      <c r="BR149" s="891">
        <f>IS!BR10</f>
        <v>1255.7039079464982</v>
      </c>
      <c r="BS149" s="891">
        <f>IS!BS10</f>
        <v>1242.9393852446947</v>
      </c>
      <c r="BT149" s="891">
        <f>IS!BT10</f>
        <v>1318.3618152719678</v>
      </c>
      <c r="BU149" s="893">
        <f>IS!BU10</f>
        <v>5028.0051084631614</v>
      </c>
      <c r="BV149" s="891"/>
      <c r="BW149" s="892">
        <f>IS!BW10</f>
        <v>1292.5858578087939</v>
      </c>
      <c r="BX149" s="891">
        <f>IS!BX10</f>
        <v>1340.5450876584282</v>
      </c>
      <c r="BY149" s="891">
        <f>IS!BY10</f>
        <v>1343.5297424805874</v>
      </c>
      <c r="BZ149" s="891">
        <f>IS!BZ10</f>
        <v>1421.6563442949578</v>
      </c>
      <c r="CA149" s="893">
        <f>IS!CA10</f>
        <v>5398.3170322427668</v>
      </c>
      <c r="CB149" s="891"/>
      <c r="CC149" s="892">
        <f>IS!CC10</f>
        <v>1368.6274699525202</v>
      </c>
      <c r="CD149" s="891">
        <f>IS!CD10</f>
        <v>1423.4069091919321</v>
      </c>
      <c r="CE149" s="891">
        <f>IS!CE10</f>
        <v>1437.5693250064248</v>
      </c>
      <c r="CF149" s="891">
        <f>IS!CF10</f>
        <v>1516.0272040688433</v>
      </c>
      <c r="CG149" s="893">
        <f>IS!CG10</f>
        <v>5745.6309082197204</v>
      </c>
      <c r="CH149" s="744"/>
      <c r="CI149" s="892">
        <f>IS!CI10</f>
        <v>1451.9030170982001</v>
      </c>
      <c r="CJ149" s="891">
        <f>IS!CJ10</f>
        <v>1514.6789441329943</v>
      </c>
      <c r="CK149" s="891">
        <f>IS!CK10</f>
        <v>1543.5079788487205</v>
      </c>
      <c r="CL149" s="891">
        <f>IS!CL10</f>
        <v>1621.3391531898897</v>
      </c>
      <c r="CM149" s="893">
        <f>IS!CM10</f>
        <v>6131.429093269805</v>
      </c>
      <c r="CN149" s="744"/>
      <c r="CO149" s="744"/>
      <c r="CP149" s="89"/>
    </row>
    <row r="150" spans="1:100" hidden="1" outlineLevel="1">
      <c r="A150" s="894" t="s">
        <v>356</v>
      </c>
      <c r="B150" s="495"/>
      <c r="C150" s="805">
        <f>IS!C19</f>
        <v>75</v>
      </c>
      <c r="D150" s="804">
        <f>IS!D19</f>
        <v>54</v>
      </c>
      <c r="E150" s="804">
        <f>IS!E19</f>
        <v>77</v>
      </c>
      <c r="F150" s="804">
        <f>IS!F19</f>
        <v>101</v>
      </c>
      <c r="G150" s="895">
        <f>IS!G19</f>
        <v>307</v>
      </c>
      <c r="H150" s="495"/>
      <c r="I150" s="805">
        <f>IS!I19</f>
        <v>87</v>
      </c>
      <c r="J150" s="804">
        <f>IS!J19</f>
        <v>85</v>
      </c>
      <c r="K150" s="804">
        <f>IS!K19</f>
        <v>102</v>
      </c>
      <c r="L150" s="804">
        <f>IS!L19</f>
        <v>136</v>
      </c>
      <c r="M150" s="895">
        <f>IS!M19</f>
        <v>410</v>
      </c>
      <c r="N150" s="495"/>
      <c r="O150" s="805">
        <f>IS!O19</f>
        <v>101.613</v>
      </c>
      <c r="P150" s="804">
        <f>IS!P19</f>
        <v>88.575000000000045</v>
      </c>
      <c r="Q150" s="804">
        <f>IS!Q19</f>
        <v>90.993000000000052</v>
      </c>
      <c r="R150" s="804">
        <f>IS!R19</f>
        <v>108.48200000000003</v>
      </c>
      <c r="S150" s="895">
        <f>IS!S19</f>
        <v>389.66300000000001</v>
      </c>
      <c r="T150" s="804"/>
      <c r="U150" s="805">
        <f>IS!U19</f>
        <v>122.65600000000001</v>
      </c>
      <c r="V150" s="804">
        <f>IS!V19</f>
        <v>103.101</v>
      </c>
      <c r="W150" s="804">
        <f>IS!W19</f>
        <v>126.80200000000002</v>
      </c>
      <c r="X150" s="804">
        <f>IS!X19</f>
        <v>151.15700000000004</v>
      </c>
      <c r="Y150" s="895">
        <f>IS!Y19</f>
        <v>503.71600000000035</v>
      </c>
      <c r="Z150" s="804"/>
      <c r="AA150" s="805">
        <f>IS!AA19</f>
        <v>113.83899999999994</v>
      </c>
      <c r="AB150" s="804">
        <f>IS!AB19</f>
        <v>133.70699999999999</v>
      </c>
      <c r="AC150" s="804">
        <f>IS!AC19</f>
        <v>137.35500000000002</v>
      </c>
      <c r="AD150" s="804">
        <f>IS!AD19</f>
        <v>163.60300000000007</v>
      </c>
      <c r="AE150" s="895">
        <f>IS!AE19</f>
        <v>548.50399999999991</v>
      </c>
      <c r="AF150" s="804"/>
      <c r="AG150" s="805">
        <f>IS!AG19</f>
        <v>154</v>
      </c>
      <c r="AH150" s="804">
        <f>IS!AH19</f>
        <v>132</v>
      </c>
      <c r="AI150" s="804">
        <f>IS!AI19</f>
        <v>153</v>
      </c>
      <c r="AJ150" s="804">
        <f>IS!AJ19</f>
        <v>194</v>
      </c>
      <c r="AK150" s="895">
        <f>IS!AK19</f>
        <v>633</v>
      </c>
      <c r="AL150" s="804"/>
      <c r="AM150" s="805">
        <f>IS!AM19</f>
        <v>163.00000000000011</v>
      </c>
      <c r="AN150" s="804">
        <f>IS!AN19</f>
        <v>178</v>
      </c>
      <c r="AO150" s="804">
        <f>IS!AO19</f>
        <v>174</v>
      </c>
      <c r="AP150" s="804">
        <f>IS!AP19</f>
        <v>217</v>
      </c>
      <c r="AQ150" s="895">
        <f>IS!AQ19</f>
        <v>732.00000000000011</v>
      </c>
      <c r="AR150" s="804"/>
      <c r="AS150" s="805">
        <f>IS!AS19</f>
        <v>193</v>
      </c>
      <c r="AT150" s="804">
        <f>IS!AT19</f>
        <v>166.94100000000003</v>
      </c>
      <c r="AU150" s="804">
        <f>IS!AU19</f>
        <v>190.69799999999998</v>
      </c>
      <c r="AV150" s="804">
        <f>IS!AV19</f>
        <v>212.33100000000013</v>
      </c>
      <c r="AW150" s="895">
        <f>IS!AW19</f>
        <v>762.97000000000014</v>
      </c>
      <c r="AX150" s="804"/>
      <c r="AY150" s="805">
        <f>IS!AY19</f>
        <v>176.46900000000005</v>
      </c>
      <c r="AZ150" s="804">
        <f>IS!AZ19</f>
        <v>169.09900000000005</v>
      </c>
      <c r="BA150" s="804">
        <f>IS!BA19</f>
        <v>199.54899999999998</v>
      </c>
      <c r="BB150" s="804">
        <f>IS!BB19</f>
        <v>223.01800000000003</v>
      </c>
      <c r="BC150" s="895">
        <f>IS!BC19</f>
        <v>768.1350000000001</v>
      </c>
      <c r="BD150" s="804"/>
      <c r="BE150" s="805">
        <f>IS!BE19</f>
        <v>205.33400000000006</v>
      </c>
      <c r="BF150" s="804">
        <f>IS!BF19</f>
        <v>195.1400000000001</v>
      </c>
      <c r="BG150" s="804">
        <f>IS!BG19</f>
        <v>211.82399999999996</v>
      </c>
      <c r="BH150" s="804">
        <f>IS!BH19</f>
        <v>247.09529999999995</v>
      </c>
      <c r="BI150" s="895">
        <f>IS!BI19</f>
        <v>859.39330000000007</v>
      </c>
      <c r="BJ150" s="804"/>
      <c r="BK150" s="805">
        <f>IS!BK19</f>
        <v>223.23099999999999</v>
      </c>
      <c r="BL150" s="804">
        <f>IS!BL19</f>
        <v>241.16599999999994</v>
      </c>
      <c r="BM150" s="804">
        <f>IS!BM19</f>
        <v>236.21609999999998</v>
      </c>
      <c r="BN150" s="804">
        <f>IS!BN19</f>
        <v>273.62099999999998</v>
      </c>
      <c r="BO150" s="895">
        <f>IS!BO19</f>
        <v>974.2340999999999</v>
      </c>
      <c r="BP150" s="804"/>
      <c r="BQ150" s="805">
        <f>IS!BQ19</f>
        <v>268.73259999999993</v>
      </c>
      <c r="BR150" s="804">
        <f>IS!BR19</f>
        <v>296.17289125019647</v>
      </c>
      <c r="BS150" s="804">
        <f>IS!BS19</f>
        <v>285.20327487764621</v>
      </c>
      <c r="BT150" s="804">
        <f>IS!BT19</f>
        <v>325.80653862092072</v>
      </c>
      <c r="BU150" s="895">
        <f>IS!BU19</f>
        <v>1175.9153047487634</v>
      </c>
      <c r="BV150" s="804"/>
      <c r="BW150" s="805">
        <f>IS!BW19</f>
        <v>296.39954495407142</v>
      </c>
      <c r="BX150" s="804">
        <f>IS!BX19</f>
        <v>326.23865003331252</v>
      </c>
      <c r="BY150" s="804">
        <f>IS!BY19</f>
        <v>317.787904074273</v>
      </c>
      <c r="BZ150" s="804">
        <f>IS!BZ19</f>
        <v>361.65044706428284</v>
      </c>
      <c r="CA150" s="895">
        <f>IS!CA19</f>
        <v>1302.0765461259398</v>
      </c>
      <c r="CB150" s="804"/>
      <c r="CC150" s="805">
        <f>IS!CC19</f>
        <v>321.76353405068039</v>
      </c>
      <c r="CD150" s="804">
        <f>IS!CD19</f>
        <v>357.15173766408543</v>
      </c>
      <c r="CE150" s="804">
        <f>IS!CE19</f>
        <v>349.52921188333153</v>
      </c>
      <c r="CF150" s="804">
        <f>IS!CF19</f>
        <v>396.0045835885569</v>
      </c>
      <c r="CG150" s="895">
        <f>IS!CG19</f>
        <v>1424.4490671866542</v>
      </c>
      <c r="CH150" s="495"/>
      <c r="CI150" s="805">
        <f>IS!CI19</f>
        <v>349.22480293066542</v>
      </c>
      <c r="CJ150" s="804">
        <f>IS!CJ19</f>
        <v>391.00543048968007</v>
      </c>
      <c r="CK150" s="804">
        <f>IS!CK19</f>
        <v>384.64436362932065</v>
      </c>
      <c r="CL150" s="804">
        <f>IS!CL19</f>
        <v>433.84570824167213</v>
      </c>
      <c r="CM150" s="895">
        <f>IS!CM19</f>
        <v>1558.7203052913383</v>
      </c>
      <c r="CN150" s="495"/>
      <c r="CO150" s="495"/>
      <c r="CP150" s="64"/>
    </row>
    <row r="151" spans="1:100" hidden="1" outlineLevel="1">
      <c r="A151" s="894"/>
      <c r="B151" s="495"/>
      <c r="C151" s="749"/>
      <c r="D151" s="750"/>
      <c r="E151" s="750"/>
      <c r="F151" s="750"/>
      <c r="G151" s="703"/>
      <c r="H151" s="495"/>
      <c r="I151" s="749"/>
      <c r="J151" s="750"/>
      <c r="K151" s="750"/>
      <c r="L151" s="750"/>
      <c r="M151" s="703"/>
      <c r="N151" s="495"/>
      <c r="O151" s="749"/>
      <c r="P151" s="750"/>
      <c r="Q151" s="750"/>
      <c r="R151" s="750"/>
      <c r="S151" s="703"/>
      <c r="T151" s="705"/>
      <c r="U151" s="749"/>
      <c r="V151" s="750"/>
      <c r="W151" s="750"/>
      <c r="X151" s="750"/>
      <c r="Y151" s="703"/>
      <c r="Z151" s="705"/>
      <c r="AA151" s="749"/>
      <c r="AB151" s="750"/>
      <c r="AC151" s="750"/>
      <c r="AD151" s="750"/>
      <c r="AE151" s="703"/>
      <c r="AF151" s="705"/>
      <c r="AG151" s="749"/>
      <c r="AH151" s="750"/>
      <c r="AI151" s="750"/>
      <c r="AJ151" s="750"/>
      <c r="AK151" s="703"/>
      <c r="AL151" s="705"/>
      <c r="AM151" s="749"/>
      <c r="AN151" s="750"/>
      <c r="AO151" s="750"/>
      <c r="AP151" s="750"/>
      <c r="AQ151" s="703"/>
      <c r="AR151" s="705"/>
      <c r="AS151" s="749"/>
      <c r="AT151" s="750"/>
      <c r="AU151" s="750"/>
      <c r="AV151" s="750"/>
      <c r="AW151" s="703"/>
      <c r="AX151" s="705"/>
      <c r="AY151" s="749"/>
      <c r="AZ151" s="750"/>
      <c r="BA151" s="750"/>
      <c r="BB151" s="750"/>
      <c r="BC151" s="703"/>
      <c r="BD151" s="705"/>
      <c r="BE151" s="749"/>
      <c r="BF151" s="750"/>
      <c r="BG151" s="750"/>
      <c r="BH151" s="750"/>
      <c r="BI151" s="703"/>
      <c r="BJ151" s="705"/>
      <c r="BK151" s="749"/>
      <c r="BL151" s="750"/>
      <c r="BM151" s="750"/>
      <c r="BN151" s="750"/>
      <c r="BO151" s="703"/>
      <c r="BP151" s="705"/>
      <c r="BQ151" s="749"/>
      <c r="BR151" s="750"/>
      <c r="BS151" s="750"/>
      <c r="BT151" s="750"/>
      <c r="BU151" s="703"/>
      <c r="BV151" s="705"/>
      <c r="BW151" s="749"/>
      <c r="BX151" s="750"/>
      <c r="BY151" s="750"/>
      <c r="BZ151" s="750"/>
      <c r="CA151" s="703"/>
      <c r="CB151" s="750"/>
      <c r="CC151" s="749"/>
      <c r="CD151" s="750"/>
      <c r="CE151" s="750"/>
      <c r="CF151" s="750"/>
      <c r="CG151" s="703"/>
      <c r="CH151" s="495"/>
      <c r="CI151" s="749"/>
      <c r="CJ151" s="750"/>
      <c r="CK151" s="750"/>
      <c r="CL151" s="750"/>
      <c r="CM151" s="703"/>
      <c r="CN151" s="495"/>
      <c r="CO151" s="495"/>
      <c r="CP151" s="64"/>
    </row>
    <row r="152" spans="1:100" hidden="1" outlineLevel="1">
      <c r="A152" s="631" t="s">
        <v>248</v>
      </c>
      <c r="B152" s="896"/>
      <c r="C152" s="897">
        <f>IS!C219</f>
        <v>0.19199999999999998</v>
      </c>
      <c r="D152" s="898">
        <f>IS!D219</f>
        <v>0.19199999999999998</v>
      </c>
      <c r="E152" s="898">
        <f>IS!E219</f>
        <v>0.19199999999999998</v>
      </c>
      <c r="F152" s="898">
        <f>IS!F219</f>
        <v>0.19199999999999998</v>
      </c>
      <c r="G152" s="899">
        <f>IS!G219</f>
        <v>0.19199999999999998</v>
      </c>
      <c r="H152" s="896"/>
      <c r="I152" s="897">
        <f>IS!I219</f>
        <v>0.21104294478527608</v>
      </c>
      <c r="J152" s="898">
        <f>IS!J219</f>
        <v>0.21104294478527608</v>
      </c>
      <c r="K152" s="898">
        <f>IS!K219</f>
        <v>0.21104294478527608</v>
      </c>
      <c r="L152" s="898">
        <f>IS!L219</f>
        <v>0.21104294478527608</v>
      </c>
      <c r="M152" s="899">
        <f>IS!M219</f>
        <v>0.21104294478527608</v>
      </c>
      <c r="N152" s="896"/>
      <c r="O152" s="897">
        <f>IS!O219</f>
        <v>0.2857142857142857</v>
      </c>
      <c r="P152" s="898">
        <f>IS!P219</f>
        <v>0.2857142857142857</v>
      </c>
      <c r="Q152" s="898">
        <f>IS!Q219</f>
        <v>0.2857142857142857</v>
      </c>
      <c r="R152" s="898">
        <f>IS!R219</f>
        <v>0.2857142857142857</v>
      </c>
      <c r="S152" s="899">
        <f>IS!S219</f>
        <v>0.2857142857142857</v>
      </c>
      <c r="T152" s="898"/>
      <c r="U152" s="897">
        <f>IS!U219</f>
        <v>0.2138728323699422</v>
      </c>
      <c r="V152" s="898">
        <f>IS!V219</f>
        <v>0.2138728323699422</v>
      </c>
      <c r="W152" s="898">
        <f>IS!W219</f>
        <v>0.2138728323699422</v>
      </c>
      <c r="X152" s="898">
        <f>IS!X219</f>
        <v>0.2138728323699422</v>
      </c>
      <c r="Y152" s="899">
        <f>IS!Y219</f>
        <v>0.2138728323699422</v>
      </c>
      <c r="Z152" s="898"/>
      <c r="AA152" s="897">
        <f>IS!AA219</f>
        <v>0.2005813953488372</v>
      </c>
      <c r="AB152" s="898">
        <f>IS!AB219</f>
        <v>0.2005813953488372</v>
      </c>
      <c r="AC152" s="898">
        <f>IS!AC219</f>
        <v>0.2005813953488372</v>
      </c>
      <c r="AD152" s="898">
        <f>IS!AD219</f>
        <v>0.2005813953488372</v>
      </c>
      <c r="AE152" s="899">
        <f>IS!AE219</f>
        <v>0.2005813953488372</v>
      </c>
      <c r="AF152" s="898"/>
      <c r="AG152" s="897">
        <f>IS!AG219</f>
        <v>0.2005813953488372</v>
      </c>
      <c r="AH152" s="898">
        <f>IS!AH219</f>
        <v>0.2005813953488372</v>
      </c>
      <c r="AI152" s="898">
        <f>IS!AI219</f>
        <v>0.2</v>
      </c>
      <c r="AJ152" s="898">
        <f>IS!AJ219</f>
        <v>0.2</v>
      </c>
      <c r="AK152" s="899">
        <f>IS!AK219</f>
        <v>0.2</v>
      </c>
      <c r="AL152" s="898"/>
      <c r="AM152" s="897">
        <f>IS!AM219</f>
        <v>0.2</v>
      </c>
      <c r="AN152" s="898">
        <f>IS!AN219</f>
        <v>0.2</v>
      </c>
      <c r="AO152" s="898">
        <f>IS!AO219</f>
        <v>0.2</v>
      </c>
      <c r="AP152" s="898">
        <f>IS!AP219</f>
        <v>0.2</v>
      </c>
      <c r="AQ152" s="899">
        <f>IS!AQ219</f>
        <v>0.19999999999999998</v>
      </c>
      <c r="AR152" s="898"/>
      <c r="AS152" s="897">
        <f>IS!AS219</f>
        <v>0.16</v>
      </c>
      <c r="AT152" s="898">
        <f>IS!AT219</f>
        <v>0.16</v>
      </c>
      <c r="AU152" s="898">
        <f>IS!AU219</f>
        <v>0.16</v>
      </c>
      <c r="AV152" s="898">
        <f>IS!AV219</f>
        <v>0.16</v>
      </c>
      <c r="AW152" s="899">
        <f>IS!AW219</f>
        <v>0.16</v>
      </c>
      <c r="AX152" s="898"/>
      <c r="AY152" s="897">
        <f>IS!AY219</f>
        <v>0.20060870412508808</v>
      </c>
      <c r="AZ152" s="898">
        <f>IS!AZ219</f>
        <v>0.19863562157431139</v>
      </c>
      <c r="BA152" s="898">
        <f>IS!BA219</f>
        <v>0.2004887590829536</v>
      </c>
      <c r="BB152" s="898">
        <f>IS!BB219</f>
        <v>0.19998285861211892</v>
      </c>
      <c r="BC152" s="899">
        <f>IS!BC219</f>
        <v>0.19996302053729786</v>
      </c>
      <c r="BD152" s="898"/>
      <c r="BE152" s="897">
        <f>IS!BE219</f>
        <v>0.19860557977149898</v>
      </c>
      <c r="BF152" s="898">
        <f>IS!BF219</f>
        <v>0.19874130506790316</v>
      </c>
      <c r="BG152" s="898">
        <f>IS!BG219</f>
        <v>0.2001761550164145</v>
      </c>
      <c r="BH152" s="898">
        <f>IS!BH219</f>
        <v>0.16803442379057226</v>
      </c>
      <c r="BI152" s="899">
        <f>IS!BI219</f>
        <v>0.19020546292466631</v>
      </c>
      <c r="BJ152" s="898"/>
      <c r="BK152" s="897">
        <f>IS!BK219</f>
        <v>0.18847387987617267</v>
      </c>
      <c r="BL152" s="898">
        <f>IS!BL219</f>
        <v>0.19033940977479391</v>
      </c>
      <c r="BM152" s="898">
        <f>IS!BM219</f>
        <v>0.16212703661135214</v>
      </c>
      <c r="BN152" s="898">
        <f>IS!BN219</f>
        <v>0.18003083027968542</v>
      </c>
      <c r="BO152" s="899">
        <f>IS!BO219</f>
        <v>0.18012562110032029</v>
      </c>
      <c r="BP152" s="898"/>
      <c r="BQ152" s="897">
        <f>IS!BQ219</f>
        <v>0.18269525745948548</v>
      </c>
      <c r="BR152" s="898">
        <f>IS!BR219</f>
        <v>0.18269525745948548</v>
      </c>
      <c r="BS152" s="898">
        <f>IS!BS219</f>
        <v>0.18269525745948548</v>
      </c>
      <c r="BT152" s="898">
        <f>IS!BT219</f>
        <v>0.18269525745948548</v>
      </c>
      <c r="BU152" s="899">
        <f>IS!BU219</f>
        <v>0.18269525745948545</v>
      </c>
      <c r="BV152" s="898"/>
      <c r="BW152" s="897">
        <f>IS!BW219</f>
        <v>0.18</v>
      </c>
      <c r="BX152" s="898">
        <f>IS!BX219</f>
        <v>0.18</v>
      </c>
      <c r="BY152" s="898">
        <f>IS!BY219</f>
        <v>0.18</v>
      </c>
      <c r="BZ152" s="898">
        <f>IS!BZ219</f>
        <v>0.18</v>
      </c>
      <c r="CA152" s="899">
        <f>IS!CA219</f>
        <v>0.18</v>
      </c>
      <c r="CB152" s="898"/>
      <c r="CC152" s="897">
        <f>IS!CC219</f>
        <v>0.18</v>
      </c>
      <c r="CD152" s="898">
        <f>IS!CD219</f>
        <v>0.18</v>
      </c>
      <c r="CE152" s="898">
        <f>IS!CE219</f>
        <v>0.18</v>
      </c>
      <c r="CF152" s="898">
        <f>IS!CF219</f>
        <v>0.18</v>
      </c>
      <c r="CG152" s="899">
        <f>IS!CG219</f>
        <v>0.18</v>
      </c>
      <c r="CH152" s="896"/>
      <c r="CI152" s="897">
        <f>IS!CI219</f>
        <v>0.18</v>
      </c>
      <c r="CJ152" s="898">
        <f>IS!CJ219</f>
        <v>0.18</v>
      </c>
      <c r="CK152" s="898">
        <f>IS!CK219</f>
        <v>0.18</v>
      </c>
      <c r="CL152" s="898">
        <f>IS!CL219</f>
        <v>0.18</v>
      </c>
      <c r="CM152" s="899">
        <f>IS!CM219</f>
        <v>0.18</v>
      </c>
      <c r="CN152" s="896"/>
      <c r="CO152" s="896"/>
      <c r="CP152" s="422"/>
    </row>
    <row r="153" spans="1:100" hidden="1" outlineLevel="1">
      <c r="A153" s="894" t="s">
        <v>357</v>
      </c>
      <c r="B153" s="495"/>
      <c r="C153" s="749">
        <f>C150*C152</f>
        <v>14.399999999999999</v>
      </c>
      <c r="D153" s="750">
        <f>D150*D152</f>
        <v>10.367999999999999</v>
      </c>
      <c r="E153" s="750">
        <f>E150*E152</f>
        <v>14.783999999999999</v>
      </c>
      <c r="F153" s="750">
        <f>F150*F152</f>
        <v>19.391999999999996</v>
      </c>
      <c r="G153" s="703">
        <f>G150*G152</f>
        <v>58.943999999999996</v>
      </c>
      <c r="H153" s="495"/>
      <c r="I153" s="749">
        <f>I150*I152</f>
        <v>18.360736196319017</v>
      </c>
      <c r="J153" s="750">
        <f>J150*J152</f>
        <v>17.938650306748468</v>
      </c>
      <c r="K153" s="750">
        <f>K150*K152</f>
        <v>21.52638036809816</v>
      </c>
      <c r="L153" s="750">
        <f>L150*L152</f>
        <v>28.701840490797547</v>
      </c>
      <c r="M153" s="703">
        <f>M150*M152</f>
        <v>86.527607361963192</v>
      </c>
      <c r="N153" s="495"/>
      <c r="O153" s="749">
        <f>O150*O152</f>
        <v>29.032285714285713</v>
      </c>
      <c r="P153" s="750">
        <f>P150*P152</f>
        <v>25.307142857142868</v>
      </c>
      <c r="Q153" s="750">
        <f>Q150*Q152</f>
        <v>25.998000000000012</v>
      </c>
      <c r="R153" s="750">
        <f>R150*R152</f>
        <v>30.99485714285715</v>
      </c>
      <c r="S153" s="703">
        <f>S150*S152</f>
        <v>111.33228571428572</v>
      </c>
      <c r="T153" s="705"/>
      <c r="U153" s="749">
        <f>U150*U152</f>
        <v>26.232786127167632</v>
      </c>
      <c r="V153" s="750">
        <f>V150*V152</f>
        <v>22.050502890173412</v>
      </c>
      <c r="W153" s="750">
        <f>W150*W152</f>
        <v>27.119502890173415</v>
      </c>
      <c r="X153" s="750">
        <f>X150*X152</f>
        <v>32.328375722543363</v>
      </c>
      <c r="Y153" s="703">
        <f>Y150*Y152</f>
        <v>107.73116763005788</v>
      </c>
      <c r="Z153" s="705"/>
      <c r="AA153" s="749">
        <f>AA150*AA152</f>
        <v>22.833985465116267</v>
      </c>
      <c r="AB153" s="750">
        <f>AB150*AB152</f>
        <v>26.819136627906975</v>
      </c>
      <c r="AC153" s="750">
        <f>AC150*AC152</f>
        <v>27.550857558139537</v>
      </c>
      <c r="AD153" s="750">
        <f>AD150*AD152</f>
        <v>32.815718023255826</v>
      </c>
      <c r="AE153" s="703">
        <f>AE150*AE152</f>
        <v>110.01969767441858</v>
      </c>
      <c r="AF153" s="705"/>
      <c r="AG153" s="749">
        <f>AG150*AG152</f>
        <v>30.88953488372093</v>
      </c>
      <c r="AH153" s="750">
        <f>AH150*AH152</f>
        <v>26.47674418604651</v>
      </c>
      <c r="AI153" s="750">
        <f>AI150*AI152</f>
        <v>30.6</v>
      </c>
      <c r="AJ153" s="750">
        <f>AJ150*AJ152</f>
        <v>38.800000000000004</v>
      </c>
      <c r="AK153" s="703">
        <f>AK150*AK152</f>
        <v>126.60000000000001</v>
      </c>
      <c r="AL153" s="705"/>
      <c r="AM153" s="749">
        <f>AM150*AM152</f>
        <v>32.600000000000023</v>
      </c>
      <c r="AN153" s="750">
        <f>AN150*AN152</f>
        <v>35.6</v>
      </c>
      <c r="AO153" s="750">
        <f>AO150*AO152</f>
        <v>34.800000000000004</v>
      </c>
      <c r="AP153" s="750">
        <f>AP150*AP152</f>
        <v>43.400000000000006</v>
      </c>
      <c r="AQ153" s="703">
        <f>AQ150*AQ152</f>
        <v>146.4</v>
      </c>
      <c r="AR153" s="705"/>
      <c r="AS153" s="749">
        <f>AS150*AS152</f>
        <v>30.88</v>
      </c>
      <c r="AT153" s="750">
        <f>AT150*AT152</f>
        <v>26.710560000000005</v>
      </c>
      <c r="AU153" s="750">
        <f>AU150*AU152</f>
        <v>30.511679999999998</v>
      </c>
      <c r="AV153" s="750">
        <f>AV150*AV152</f>
        <v>33.972960000000022</v>
      </c>
      <c r="AW153" s="703">
        <f>AW150*AW152</f>
        <v>122.07520000000002</v>
      </c>
      <c r="AX153" s="705"/>
      <c r="AY153" s="749">
        <f>AY150*AY152</f>
        <v>35.401217408250176</v>
      </c>
      <c r="AZ153" s="750">
        <f>AZ150*AZ152</f>
        <v>33.589084972594492</v>
      </c>
      <c r="BA153" s="750">
        <f>BA150*BA152</f>
        <v>40.007331386244303</v>
      </c>
      <c r="BB153" s="750">
        <f>BB150*BB152</f>
        <v>44.599777161957547</v>
      </c>
      <c r="BC153" s="703">
        <f>BC150*BC152</f>
        <v>153.59859478041733</v>
      </c>
      <c r="BD153" s="705"/>
      <c r="BE153" s="749">
        <f>BE150*BE152</f>
        <v>40.780478116800985</v>
      </c>
      <c r="BF153" s="750">
        <f>BF150*BF152</f>
        <v>38.782378270950645</v>
      </c>
      <c r="BG153" s="750">
        <f>BG150*BG152</f>
        <v>42.402113860196977</v>
      </c>
      <c r="BH153" s="750">
        <f>BH150*BH152</f>
        <v>41.520516356858579</v>
      </c>
      <c r="BI153" s="703">
        <f>BI150*BI152</f>
        <v>163.46130046085665</v>
      </c>
      <c r="BJ153" s="705"/>
      <c r="BK153" s="749">
        <f>BK150*BK152</f>
        <v>42.073212678637901</v>
      </c>
      <c r="BL153" s="750">
        <f>BL150*BL152</f>
        <v>45.903394097747935</v>
      </c>
      <c r="BM153" s="750">
        <f>BM150*BM152</f>
        <v>38.297016292890817</v>
      </c>
      <c r="BN153" s="750">
        <f>BN150*BN152</f>
        <v>49.260215811957799</v>
      </c>
      <c r="BO153" s="703">
        <f>BO150*BO152</f>
        <v>175.48452235961153</v>
      </c>
      <c r="BP153" s="705"/>
      <c r="BQ153" s="749">
        <f>BQ150*BQ152</f>
        <v>49.096171544756913</v>
      </c>
      <c r="BR153" s="750">
        <f>BR150*BR152</f>
        <v>54.109382619474836</v>
      </c>
      <c r="BS153" s="750">
        <f>BS150*BS152</f>
        <v>52.105285732059983</v>
      </c>
      <c r="BT153" s="750">
        <f>BT150*BT152</f>
        <v>59.523309455332907</v>
      </c>
      <c r="BU153" s="703">
        <f>BU150*BU152</f>
        <v>214.83414935162463</v>
      </c>
      <c r="BV153" s="705"/>
      <c r="BW153" s="749">
        <f>BW150*BW152</f>
        <v>53.351918091732855</v>
      </c>
      <c r="BX153" s="750">
        <f>BX150*BX152</f>
        <v>58.72295700599625</v>
      </c>
      <c r="BY153" s="750">
        <f>BY150*BY152</f>
        <v>57.201822733369141</v>
      </c>
      <c r="BZ153" s="750">
        <f>BZ150*BZ152</f>
        <v>65.097080471570905</v>
      </c>
      <c r="CA153" s="703">
        <f>CA150*CA152</f>
        <v>234.37377830266917</v>
      </c>
      <c r="CB153" s="750"/>
      <c r="CC153" s="749">
        <f>CC150*CC152</f>
        <v>57.917436129122471</v>
      </c>
      <c r="CD153" s="750">
        <f>CD150*CD152</f>
        <v>64.28731277953537</v>
      </c>
      <c r="CE153" s="750">
        <f>CE150*CE152</f>
        <v>62.915258138999675</v>
      </c>
      <c r="CF153" s="750">
        <f>CF150*CF152</f>
        <v>71.280825045940233</v>
      </c>
      <c r="CG153" s="703">
        <f>CG150*CG152</f>
        <v>256.40083209359773</v>
      </c>
      <c r="CH153" s="495"/>
      <c r="CI153" s="749">
        <f>CI150*CI152</f>
        <v>62.860464527519774</v>
      </c>
      <c r="CJ153" s="750">
        <f>CJ150*CJ152</f>
        <v>70.380977488142406</v>
      </c>
      <c r="CK153" s="750">
        <f>CK150*CK152</f>
        <v>69.235985453277721</v>
      </c>
      <c r="CL153" s="750">
        <f>CL150*CL152</f>
        <v>78.092227483500977</v>
      </c>
      <c r="CM153" s="703">
        <f>CM150*CM152</f>
        <v>280.56965495244089</v>
      </c>
      <c r="CN153" s="495"/>
      <c r="CO153" s="495"/>
      <c r="CP153" s="64"/>
    </row>
    <row r="154" spans="1:100" hidden="1" outlineLevel="1">
      <c r="A154" s="894" t="s">
        <v>358</v>
      </c>
      <c r="B154" s="495"/>
      <c r="C154" s="749">
        <f>C150-C153</f>
        <v>60.6</v>
      </c>
      <c r="D154" s="750">
        <f>D150-D153</f>
        <v>43.632000000000005</v>
      </c>
      <c r="E154" s="750">
        <f>E150-E153</f>
        <v>62.216000000000001</v>
      </c>
      <c r="F154" s="750">
        <f>F150-F153</f>
        <v>81.608000000000004</v>
      </c>
      <c r="G154" s="703">
        <f>G150-G153</f>
        <v>248.05600000000001</v>
      </c>
      <c r="H154" s="495"/>
      <c r="I154" s="749">
        <f>I150-I153</f>
        <v>68.63926380368099</v>
      </c>
      <c r="J154" s="750">
        <f>J150-J153</f>
        <v>67.061349693251529</v>
      </c>
      <c r="K154" s="750">
        <f>K150-K153</f>
        <v>80.47361963190184</v>
      </c>
      <c r="L154" s="750">
        <f>L150-L153</f>
        <v>107.29815950920245</v>
      </c>
      <c r="M154" s="703">
        <f>M150-M153</f>
        <v>323.47239263803681</v>
      </c>
      <c r="N154" s="495"/>
      <c r="O154" s="749">
        <f>O150-O153</f>
        <v>72.580714285714294</v>
      </c>
      <c r="P154" s="750">
        <f>P150-P153</f>
        <v>63.267857142857181</v>
      </c>
      <c r="Q154" s="750">
        <f>Q150-Q153</f>
        <v>64.995000000000033</v>
      </c>
      <c r="R154" s="750">
        <f>R150-R153</f>
        <v>77.487142857142885</v>
      </c>
      <c r="S154" s="703">
        <f>S150-S153</f>
        <v>278.33071428571429</v>
      </c>
      <c r="T154" s="705"/>
      <c r="U154" s="749">
        <f>U150-U153</f>
        <v>96.423213872832378</v>
      </c>
      <c r="V154" s="750">
        <f>V150-V153</f>
        <v>81.05049710982658</v>
      </c>
      <c r="W154" s="750">
        <f>W150-W153</f>
        <v>99.682497109826613</v>
      </c>
      <c r="X154" s="750">
        <f>X150-X153</f>
        <v>118.82862427745667</v>
      </c>
      <c r="Y154" s="703">
        <f>Y150-Y153</f>
        <v>395.98483236994247</v>
      </c>
      <c r="Z154" s="705"/>
      <c r="AA154" s="749">
        <f>AA150-AA153</f>
        <v>91.005014534883671</v>
      </c>
      <c r="AB154" s="750">
        <f>AB150-AB153</f>
        <v>106.88786337209302</v>
      </c>
      <c r="AC154" s="750">
        <f>AC150-AC153</f>
        <v>109.80414244186048</v>
      </c>
      <c r="AD154" s="750">
        <f>AD150-AD153</f>
        <v>130.78728197674423</v>
      </c>
      <c r="AE154" s="703">
        <f>AE150-AE153</f>
        <v>438.48430232558133</v>
      </c>
      <c r="AF154" s="705"/>
      <c r="AG154" s="749">
        <f>AG150-AG153</f>
        <v>123.11046511627907</v>
      </c>
      <c r="AH154" s="750">
        <f>AH150-AH153</f>
        <v>105.52325581395348</v>
      </c>
      <c r="AI154" s="750">
        <f>AI150-AI153</f>
        <v>122.4</v>
      </c>
      <c r="AJ154" s="750">
        <f>AJ150-AJ153</f>
        <v>155.19999999999999</v>
      </c>
      <c r="AK154" s="703">
        <f>AK150-AK153</f>
        <v>506.4</v>
      </c>
      <c r="AL154" s="705"/>
      <c r="AM154" s="749">
        <f>AM150-AM153</f>
        <v>130.40000000000009</v>
      </c>
      <c r="AN154" s="750">
        <f>AN150-AN153</f>
        <v>142.4</v>
      </c>
      <c r="AO154" s="750">
        <f>AO150-AO153</f>
        <v>139.19999999999999</v>
      </c>
      <c r="AP154" s="750">
        <f>AP150-AP153</f>
        <v>173.6</v>
      </c>
      <c r="AQ154" s="703">
        <f>AQ150-AQ153</f>
        <v>585.60000000000014</v>
      </c>
      <c r="AR154" s="705"/>
      <c r="AS154" s="749">
        <f>AS150-AS153</f>
        <v>162.12</v>
      </c>
      <c r="AT154" s="750">
        <f>AT150-AT153</f>
        <v>140.23044000000002</v>
      </c>
      <c r="AU154" s="750">
        <f>AU150-AU153</f>
        <v>160.18631999999997</v>
      </c>
      <c r="AV154" s="750">
        <f>AV150-AV153</f>
        <v>178.3580400000001</v>
      </c>
      <c r="AW154" s="703">
        <f>AW150-AW153</f>
        <v>640.89480000000015</v>
      </c>
      <c r="AX154" s="705"/>
      <c r="AY154" s="749">
        <f>AY150-AY153</f>
        <v>141.06778259174988</v>
      </c>
      <c r="AZ154" s="750">
        <f>AZ150-AZ153</f>
        <v>135.50991502740555</v>
      </c>
      <c r="BA154" s="750">
        <f>BA150-BA153</f>
        <v>159.54166861375569</v>
      </c>
      <c r="BB154" s="750">
        <f>BB150-BB153</f>
        <v>178.41822283804248</v>
      </c>
      <c r="BC154" s="703">
        <f>BC150-BC153</f>
        <v>614.53640521958278</v>
      </c>
      <c r="BD154" s="705"/>
      <c r="BE154" s="749">
        <f>BE150-BE153</f>
        <v>164.55352188319907</v>
      </c>
      <c r="BF154" s="750">
        <f>BF150-BF153</f>
        <v>156.35762172904947</v>
      </c>
      <c r="BG154" s="750">
        <f>BG150-BG153</f>
        <v>169.42188613980298</v>
      </c>
      <c r="BH154" s="750">
        <f>BH150-BH153</f>
        <v>205.57478364314136</v>
      </c>
      <c r="BI154" s="703">
        <f>BI150-BI153</f>
        <v>695.93199953914336</v>
      </c>
      <c r="BJ154" s="705"/>
      <c r="BK154" s="749">
        <f>BK150-BK153</f>
        <v>181.15778732136209</v>
      </c>
      <c r="BL154" s="750">
        <f>BL150-BL153</f>
        <v>195.26260590225201</v>
      </c>
      <c r="BM154" s="750">
        <f>BM150-BM153</f>
        <v>197.91908370710917</v>
      </c>
      <c r="BN154" s="750">
        <f>BN150-BN153</f>
        <v>224.36078418804217</v>
      </c>
      <c r="BO154" s="703">
        <f>BO150-BO153</f>
        <v>798.74957764038834</v>
      </c>
      <c r="BP154" s="705"/>
      <c r="BQ154" s="749">
        <f>BQ150-BQ153</f>
        <v>219.63642845524302</v>
      </c>
      <c r="BR154" s="750">
        <f>BR150-BR153</f>
        <v>242.06350863072163</v>
      </c>
      <c r="BS154" s="750">
        <f>BS150-BS153</f>
        <v>233.09798914558621</v>
      </c>
      <c r="BT154" s="750">
        <f>BT150-BT153</f>
        <v>266.28322916558784</v>
      </c>
      <c r="BU154" s="703">
        <f>BU150-BU153</f>
        <v>961.08115539713879</v>
      </c>
      <c r="BV154" s="705"/>
      <c r="BW154" s="749">
        <f>BW150-BW153</f>
        <v>243.04762686233857</v>
      </c>
      <c r="BX154" s="750">
        <f>BX150-BX153</f>
        <v>267.51569302731627</v>
      </c>
      <c r="BY154" s="750">
        <f>BY150-BY153</f>
        <v>260.58608134090389</v>
      </c>
      <c r="BZ154" s="750">
        <f>BZ150-BZ153</f>
        <v>296.55336659271194</v>
      </c>
      <c r="CA154" s="703">
        <f>CA150-CA153</f>
        <v>1067.7027678232707</v>
      </c>
      <c r="CB154" s="750"/>
      <c r="CC154" s="749">
        <f>CC150-CC153</f>
        <v>263.84609792155794</v>
      </c>
      <c r="CD154" s="750">
        <f>CD150-CD153</f>
        <v>292.86442488455009</v>
      </c>
      <c r="CE154" s="750">
        <f>CE150-CE153</f>
        <v>286.61395374433187</v>
      </c>
      <c r="CF154" s="750">
        <f>CF150-CF153</f>
        <v>324.72375854261668</v>
      </c>
      <c r="CG154" s="703">
        <f>CG150-CG153</f>
        <v>1168.0482350930565</v>
      </c>
      <c r="CH154" s="495"/>
      <c r="CI154" s="749">
        <f>CI150-CI153</f>
        <v>286.36433840314567</v>
      </c>
      <c r="CJ154" s="750">
        <f>CJ150-CJ153</f>
        <v>320.62445300153763</v>
      </c>
      <c r="CK154" s="750">
        <f>CK150-CK153</f>
        <v>315.4083781760429</v>
      </c>
      <c r="CL154" s="750">
        <f>CL150-CL153</f>
        <v>355.75348075817112</v>
      </c>
      <c r="CM154" s="703">
        <f>CM150-CM153</f>
        <v>1278.1506503388973</v>
      </c>
      <c r="CN154" s="495"/>
      <c r="CO154" s="495"/>
      <c r="CP154" s="64"/>
    </row>
    <row r="155" spans="1:100" hidden="1" outlineLevel="1">
      <c r="A155" s="900" t="s">
        <v>359</v>
      </c>
      <c r="B155" s="901"/>
      <c r="C155" s="902">
        <f>C154/C149</f>
        <v>0.13318681318681319</v>
      </c>
      <c r="D155" s="903">
        <f>D154/D149</f>
        <v>0.10194392523364487</v>
      </c>
      <c r="E155" s="903">
        <f>E154/E149</f>
        <v>0.13265671641791044</v>
      </c>
      <c r="F155" s="903">
        <f>F154/F149</f>
        <v>0.15574045801526717</v>
      </c>
      <c r="G155" s="904">
        <f>G154/G149</f>
        <v>0.13222601279317697</v>
      </c>
      <c r="H155" s="901"/>
      <c r="I155" s="902">
        <f>I154/I149</f>
        <v>0.12926415028941807</v>
      </c>
      <c r="J155" s="903">
        <f>J154/J149</f>
        <v>0.12653084847783308</v>
      </c>
      <c r="K155" s="903">
        <f>K154/K149</f>
        <v>0.14902522154055897</v>
      </c>
      <c r="L155" s="903">
        <f>L154/L149</f>
        <v>0.18063663217037448</v>
      </c>
      <c r="M155" s="904">
        <f>M154/M149</f>
        <v>0.14736783263691883</v>
      </c>
      <c r="N155" s="901"/>
      <c r="O155" s="902">
        <f>O154/O149</f>
        <v>0.13824897959183674</v>
      </c>
      <c r="P155" s="903">
        <f>P154/P149</f>
        <v>0.12704388984509474</v>
      </c>
      <c r="Q155" s="903">
        <f>Q154/Q149</f>
        <v>0.13103830645161296</v>
      </c>
      <c r="R155" s="903">
        <f>R154/R149</f>
        <v>0.14243960084033619</v>
      </c>
      <c r="S155" s="904">
        <f>S154/S149</f>
        <v>0.13491551831590609</v>
      </c>
      <c r="T155" s="901"/>
      <c r="U155" s="902">
        <f>U154/U149</f>
        <v>0.16510824293293216</v>
      </c>
      <c r="V155" s="903">
        <f>V154/V149</f>
        <v>0.1416966732689276</v>
      </c>
      <c r="W155" s="903">
        <f>W154/W149</f>
        <v>0.14179587071099092</v>
      </c>
      <c r="X155" s="903">
        <f>X154/X149</f>
        <v>0.14491295643592278</v>
      </c>
      <c r="Y155" s="904">
        <f>Y154/Y149</f>
        <v>0.14781068770807856</v>
      </c>
      <c r="Z155" s="901"/>
      <c r="AA155" s="902">
        <f>AA154/AA149</f>
        <v>0.12085659300781364</v>
      </c>
      <c r="AB155" s="903">
        <f>AB154/AB149</f>
        <v>0.12649451286638227</v>
      </c>
      <c r="AC155" s="903">
        <f>AC154/AC149</f>
        <v>0.13134466799265607</v>
      </c>
      <c r="AD155" s="903">
        <f>AD154/AD149</f>
        <v>0.14930055020176281</v>
      </c>
      <c r="AE155" s="904">
        <f>AE154/AE149</f>
        <v>0.13247259888990373</v>
      </c>
      <c r="AF155" s="901"/>
      <c r="AG155" s="902">
        <f>AG154/AG149</f>
        <v>0.14365281810534314</v>
      </c>
      <c r="AH155" s="903">
        <f>AH154/AH149</f>
        <v>0.12313098694743697</v>
      </c>
      <c r="AI155" s="903">
        <f>AI154/AI149</f>
        <v>0.13940774487471527</v>
      </c>
      <c r="AJ155" s="903">
        <f>AJ154/AJ149</f>
        <v>0.16319663512092533</v>
      </c>
      <c r="AK155" s="904">
        <f>AK154/AK149</f>
        <v>0.14292972057578324</v>
      </c>
      <c r="AL155" s="901"/>
      <c r="AM155" s="902">
        <f>AM154/AM149</f>
        <v>0.1361169102296452</v>
      </c>
      <c r="AN155" s="903">
        <f>AN154/AN149</f>
        <v>0.14650205761316873</v>
      </c>
      <c r="AO155" s="903">
        <f>AO154/AO149</f>
        <v>0.14637223974763405</v>
      </c>
      <c r="AP155" s="903">
        <f>AP154/AP149</f>
        <v>0.17137216189536031</v>
      </c>
      <c r="AQ155" s="904">
        <f>AQ154/AQ149</f>
        <v>0.15038520801232669</v>
      </c>
      <c r="AR155" s="901"/>
      <c r="AS155" s="902">
        <f>AS154/AS149</f>
        <v>0.16083333333333333</v>
      </c>
      <c r="AT155" s="903">
        <f>AT154/AT149</f>
        <v>0.14193364372469638</v>
      </c>
      <c r="AU155" s="903">
        <f>AU154/AU149</f>
        <v>0.15875750247770065</v>
      </c>
      <c r="AV155" s="903">
        <f>AV154/AV149</f>
        <v>0.1710048322147652</v>
      </c>
      <c r="AW155" s="904">
        <f>AW154/AW149</f>
        <v>0.15832381422924904</v>
      </c>
      <c r="AX155" s="901"/>
      <c r="AY155" s="902">
        <f>AY154/AY149</f>
        <v>0.13749296548903497</v>
      </c>
      <c r="AZ155" s="903">
        <f>AZ154/AZ149</f>
        <v>0.14071642266604939</v>
      </c>
      <c r="BA155" s="903">
        <f>BA154/BA149</f>
        <v>0.15733892368220481</v>
      </c>
      <c r="BB155" s="903">
        <f>BB154/BB149</f>
        <v>0.17238475636525843</v>
      </c>
      <c r="BC155" s="904">
        <f>BC154/BC149</f>
        <v>0.15218831233768765</v>
      </c>
      <c r="BD155" s="901"/>
      <c r="BE155" s="902">
        <f>BE154/BE149</f>
        <v>0.16007151934163333</v>
      </c>
      <c r="BF155" s="903">
        <f>BF154/BF149</f>
        <v>0.15344221955745777</v>
      </c>
      <c r="BG155" s="903">
        <f>BG154/BG149</f>
        <v>0.16228150013391091</v>
      </c>
      <c r="BH155" s="903">
        <f>BH154/BH149</f>
        <v>0.18503580885971319</v>
      </c>
      <c r="BI155" s="904">
        <f>BI154/BI149</f>
        <v>0.16561922882892513</v>
      </c>
      <c r="BJ155" s="901"/>
      <c r="BK155" s="902">
        <f>BK154/BK149</f>
        <v>0.16978236862358209</v>
      </c>
      <c r="BL155" s="903">
        <f>BL154/BL149</f>
        <v>0.17718929755195281</v>
      </c>
      <c r="BM155" s="903">
        <f>BM154/BM149</f>
        <v>0.17766524569758452</v>
      </c>
      <c r="BN155" s="903">
        <f>BN154/BN149</f>
        <v>0.18869704305133908</v>
      </c>
      <c r="BO155" s="904">
        <f>BO154/BO149</f>
        <v>0.17861126512531045</v>
      </c>
      <c r="BP155" s="901"/>
      <c r="BQ155" s="902">
        <f>BQ154/BQ149</f>
        <v>0.18136781870788027</v>
      </c>
      <c r="BR155" s="903">
        <f>BR154/BR149</f>
        <v>0.19277116770829961</v>
      </c>
      <c r="BS155" s="903">
        <f>BS154/BS149</f>
        <v>0.18753769645789825</v>
      </c>
      <c r="BT155" s="903">
        <f>BT154/BT149</f>
        <v>0.20198038662903453</v>
      </c>
      <c r="BU155" s="904">
        <f>BU154/BU149</f>
        <v>0.19114562031359963</v>
      </c>
      <c r="BV155" s="901"/>
      <c r="BW155" s="902">
        <f>BW154/BW149</f>
        <v>0.18803209503959423</v>
      </c>
      <c r="BX155" s="903">
        <f>BX154/BX149</f>
        <v>0.19955740056053933</v>
      </c>
      <c r="BY155" s="903">
        <f>BY154/BY149</f>
        <v>0.19395631752802009</v>
      </c>
      <c r="BZ155" s="903">
        <f>BZ154/BZ149</f>
        <v>0.2085970831015295</v>
      </c>
      <c r="CA155" s="904">
        <f>CA154/CA149</f>
        <v>0.1977843763984507</v>
      </c>
      <c r="CB155" s="903"/>
      <c r="CC155" s="902">
        <f>CC154/CC149</f>
        <v>0.19278153019295394</v>
      </c>
      <c r="CD155" s="903">
        <f>CD154/CD149</f>
        <v>0.20574891339456064</v>
      </c>
      <c r="CE155" s="903">
        <f>CE154/CE149</f>
        <v>0.19937400496706545</v>
      </c>
      <c r="CF155" s="903">
        <f>CF154/CF149</f>
        <v>0.21419388627796079</v>
      </c>
      <c r="CG155" s="904">
        <f>CG154/CG149</f>
        <v>0.20329329428767212</v>
      </c>
      <c r="CH155" s="901"/>
      <c r="CI155" s="902">
        <f>CI154/CI149</f>
        <v>0.19723379249908762</v>
      </c>
      <c r="CJ155" s="903">
        <f>CJ154/CJ149</f>
        <v>0.21167816073726686</v>
      </c>
      <c r="CK155" s="903">
        <f>CK154/CK149</f>
        <v>0.20434515564428846</v>
      </c>
      <c r="CL155" s="903">
        <f>CL154/CL149</f>
        <v>0.21941953357398852</v>
      </c>
      <c r="CM155" s="904">
        <f>CM154/CM149</f>
        <v>0.20845884880930385</v>
      </c>
      <c r="CN155" s="901"/>
      <c r="CO155" s="901"/>
      <c r="CP155" s="6"/>
    </row>
    <row r="156" spans="1:100" hidden="1" outlineLevel="1">
      <c r="A156" s="894" t="s">
        <v>360</v>
      </c>
      <c r="B156" s="495"/>
      <c r="C156" s="749">
        <f t="shared" ref="C156:G158" si="73">C11</f>
        <v>254.05362776025234</v>
      </c>
      <c r="D156" s="750">
        <f t="shared" si="73"/>
        <v>238.97791798107255</v>
      </c>
      <c r="E156" s="750">
        <f t="shared" si="73"/>
        <v>261.87066246056781</v>
      </c>
      <c r="F156" s="750">
        <f t="shared" si="73"/>
        <v>292.58044164037852</v>
      </c>
      <c r="G156" s="703">
        <f t="shared" si="73"/>
        <v>292.58044164037852</v>
      </c>
      <c r="H156" s="495"/>
      <c r="I156" s="749">
        <f t="shared" ref="I156:M158" si="74">I11</f>
        <v>296.48895899053628</v>
      </c>
      <c r="J156" s="750">
        <f t="shared" si="74"/>
        <v>295.93059936908514</v>
      </c>
      <c r="K156" s="750">
        <f t="shared" si="74"/>
        <v>301.51419558359618</v>
      </c>
      <c r="L156" s="750">
        <f t="shared" si="74"/>
        <v>331.66561514195581</v>
      </c>
      <c r="M156" s="703">
        <f t="shared" si="74"/>
        <v>331.66561514195581</v>
      </c>
      <c r="N156" s="495"/>
      <c r="O156" s="749">
        <f t="shared" ref="O156:S158" si="75">O11</f>
        <v>293.13880126182966</v>
      </c>
      <c r="P156" s="750">
        <f t="shared" si="75"/>
        <v>278.06309148264984</v>
      </c>
      <c r="Q156" s="750">
        <f t="shared" si="75"/>
        <v>276.94637223974763</v>
      </c>
      <c r="R156" s="750">
        <f t="shared" si="75"/>
        <v>303.74763406940059</v>
      </c>
      <c r="S156" s="703">
        <f t="shared" si="75"/>
        <v>303.74763406940059</v>
      </c>
      <c r="T156" s="705"/>
      <c r="U156" s="749">
        <f t="shared" ref="U156:Y158" si="76">U11</f>
        <v>326.08201892744478</v>
      </c>
      <c r="V156" s="750">
        <f t="shared" si="76"/>
        <v>319.38170347003154</v>
      </c>
      <c r="W156" s="750">
        <f t="shared" si="76"/>
        <v>392.52681388012616</v>
      </c>
      <c r="X156" s="750">
        <f t="shared" si="76"/>
        <v>457.85488958990533</v>
      </c>
      <c r="Y156" s="703">
        <f t="shared" si="76"/>
        <v>457.85488958990533</v>
      </c>
      <c r="Z156" s="705"/>
      <c r="AA156" s="749">
        <f t="shared" ref="AA156:AE158" si="77">AA11</f>
        <v>420.44479495268138</v>
      </c>
      <c r="AB156" s="750">
        <f t="shared" si="77"/>
        <v>471.81388012618294</v>
      </c>
      <c r="AC156" s="750">
        <f t="shared" si="77"/>
        <v>466.78864353312298</v>
      </c>
      <c r="AD156" s="750">
        <f t="shared" si="77"/>
        <v>489.12302839116717</v>
      </c>
      <c r="AE156" s="703">
        <f t="shared" si="77"/>
        <v>489.12302839116717</v>
      </c>
      <c r="AF156" s="705"/>
      <c r="AG156" s="749">
        <f t="shared" ref="AG156:AK158" si="78">AG11</f>
        <v>478.51419558359618</v>
      </c>
      <c r="AH156" s="750">
        <f t="shared" si="78"/>
        <v>478.51419558359618</v>
      </c>
      <c r="AI156" s="750">
        <f t="shared" si="78"/>
        <v>490.23974763406937</v>
      </c>
      <c r="AJ156" s="750">
        <f t="shared" si="78"/>
        <v>531</v>
      </c>
      <c r="AK156" s="703">
        <f t="shared" si="78"/>
        <v>531</v>
      </c>
      <c r="AL156" s="705"/>
      <c r="AM156" s="749">
        <f t="shared" ref="AM156:AQ158" si="79">AM11</f>
        <v>528.64955577492594</v>
      </c>
      <c r="AN156" s="750">
        <f t="shared" si="79"/>
        <v>536.37512339585385</v>
      </c>
      <c r="AO156" s="750">
        <f t="shared" si="79"/>
        <v>524.78677196446199</v>
      </c>
      <c r="AP156" s="750">
        <f t="shared" si="79"/>
        <v>559</v>
      </c>
      <c r="AQ156" s="703">
        <f t="shared" si="79"/>
        <v>559</v>
      </c>
      <c r="AR156" s="705"/>
      <c r="AS156" s="749">
        <f t="shared" ref="AS156:AW158" si="80">AS11</f>
        <v>560</v>
      </c>
      <c r="AT156" s="750">
        <f t="shared" si="80"/>
        <v>568</v>
      </c>
      <c r="AU156" s="750">
        <f t="shared" si="80"/>
        <v>572</v>
      </c>
      <c r="AV156" s="750">
        <f t="shared" si="80"/>
        <v>626</v>
      </c>
      <c r="AW156" s="703">
        <f t="shared" si="80"/>
        <v>626</v>
      </c>
      <c r="AX156" s="705"/>
      <c r="AY156" s="749">
        <f t="shared" ref="AY156:BC158" si="81">AY11</f>
        <v>615</v>
      </c>
      <c r="AZ156" s="750">
        <f t="shared" si="81"/>
        <v>576</v>
      </c>
      <c r="BA156" s="750">
        <f t="shared" si="81"/>
        <v>584</v>
      </c>
      <c r="BB156" s="750">
        <f t="shared" si="81"/>
        <v>606</v>
      </c>
      <c r="BC156" s="703">
        <f t="shared" si="81"/>
        <v>606</v>
      </c>
      <c r="BD156" s="705"/>
      <c r="BE156" s="749">
        <f t="shared" ref="BE156:BI158" si="82">BE11</f>
        <v>617</v>
      </c>
      <c r="BF156" s="750">
        <f t="shared" si="82"/>
        <v>602</v>
      </c>
      <c r="BG156" s="750">
        <f t="shared" si="82"/>
        <v>590</v>
      </c>
      <c r="BH156" s="750">
        <f t="shared" si="82"/>
        <v>631</v>
      </c>
      <c r="BI156" s="703">
        <f t="shared" si="82"/>
        <v>631</v>
      </c>
      <c r="BJ156" s="705"/>
      <c r="BK156" s="749">
        <f t="shared" ref="BK156:BO158" si="83">BK11</f>
        <v>653</v>
      </c>
      <c r="BL156" s="750">
        <f t="shared" si="83"/>
        <v>677</v>
      </c>
      <c r="BM156" s="750">
        <f t="shared" si="83"/>
        <v>678</v>
      </c>
      <c r="BN156" s="750">
        <f t="shared" si="83"/>
        <v>724</v>
      </c>
      <c r="BO156" s="703">
        <f t="shared" si="83"/>
        <v>724</v>
      </c>
      <c r="BP156" s="705"/>
      <c r="BQ156" s="749">
        <f t="shared" ref="BQ156" si="84">BQ11</f>
        <v>751</v>
      </c>
      <c r="BR156" s="750">
        <f t="shared" ref="BR156:BU158" si="85">BR11</f>
        <v>761.10523097095768</v>
      </c>
      <c r="BS156" s="750">
        <f t="shared" si="85"/>
        <v>746.2588382996405</v>
      </c>
      <c r="BT156" s="750">
        <f t="shared" si="85"/>
        <v>791.93450628177254</v>
      </c>
      <c r="BU156" s="703">
        <f t="shared" si="85"/>
        <v>791.93450628177254</v>
      </c>
      <c r="BV156" s="705"/>
      <c r="BW156" s="749">
        <f t="shared" ref="BW156:CA158" si="86">BW11</f>
        <v>829.92600749682504</v>
      </c>
      <c r="BX156" s="750">
        <f t="shared" si="86"/>
        <v>841.9108403620661</v>
      </c>
      <c r="BY156" s="750">
        <f t="shared" si="86"/>
        <v>836.10035669877232</v>
      </c>
      <c r="BZ156" s="750">
        <f t="shared" si="86"/>
        <v>885.14269504756862</v>
      </c>
      <c r="CA156" s="703">
        <f t="shared" si="86"/>
        <v>885.14269504756862</v>
      </c>
      <c r="CB156" s="750"/>
      <c r="CC156" s="749">
        <f t="shared" ref="CC156:CG158" si="87">CC11</f>
        <v>908.74708954183711</v>
      </c>
      <c r="CD156" s="750">
        <f t="shared" si="87"/>
        <v>925.14902338700745</v>
      </c>
      <c r="CE156" s="750">
        <f t="shared" si="87"/>
        <v>926.13108340690837</v>
      </c>
      <c r="CF156" s="750">
        <f t="shared" si="87"/>
        <v>977.12727730341976</v>
      </c>
      <c r="CG156" s="703">
        <f t="shared" si="87"/>
        <v>977.12727730341976</v>
      </c>
      <c r="CH156" s="495"/>
      <c r="CI156" s="749">
        <f t="shared" ref="CI156:CM156" si="88">CI11</f>
        <v>995.86327346541464</v>
      </c>
      <c r="CJ156" s="750">
        <f t="shared" si="88"/>
        <v>1017.6700907816654</v>
      </c>
      <c r="CK156" s="750">
        <f t="shared" si="88"/>
        <v>1028.2106814462995</v>
      </c>
      <c r="CL156" s="750">
        <f t="shared" si="88"/>
        <v>1080.5403457215309</v>
      </c>
      <c r="CM156" s="703">
        <f t="shared" si="88"/>
        <v>1080.5403457215309</v>
      </c>
      <c r="CN156" s="495"/>
      <c r="CO156" s="495"/>
      <c r="CP156" s="64"/>
    </row>
    <row r="157" spans="1:100" hidden="1" outlineLevel="1">
      <c r="A157" s="894" t="s">
        <v>361</v>
      </c>
      <c r="B157" s="495"/>
      <c r="C157" s="749">
        <f t="shared" si="73"/>
        <v>269.91399854697573</v>
      </c>
      <c r="D157" s="750">
        <f t="shared" si="73"/>
        <v>256.4719089684915</v>
      </c>
      <c r="E157" s="750">
        <f t="shared" si="73"/>
        <v>271.90165709552474</v>
      </c>
      <c r="F157" s="750">
        <f t="shared" si="73"/>
        <v>297.25088731657877</v>
      </c>
      <c r="G157" s="703">
        <f t="shared" si="73"/>
        <v>297.25088731657877</v>
      </c>
      <c r="H157" s="495"/>
      <c r="I157" s="749">
        <f t="shared" si="74"/>
        <v>314.95797798251743</v>
      </c>
      <c r="J157" s="750">
        <f t="shared" si="74"/>
        <v>315.0181720584356</v>
      </c>
      <c r="K157" s="750">
        <f t="shared" si="74"/>
        <v>311.39900324385354</v>
      </c>
      <c r="L157" s="750">
        <f t="shared" si="74"/>
        <v>330.75892291104623</v>
      </c>
      <c r="M157" s="703">
        <f t="shared" si="74"/>
        <v>330.75892291104623</v>
      </c>
      <c r="N157" s="495"/>
      <c r="O157" s="749">
        <f t="shared" si="75"/>
        <v>297.69356458322727</v>
      </c>
      <c r="P157" s="750">
        <f t="shared" si="75"/>
        <v>286.45482899199908</v>
      </c>
      <c r="Q157" s="750">
        <f t="shared" si="75"/>
        <v>289.69276865909916</v>
      </c>
      <c r="R157" s="750">
        <f t="shared" si="75"/>
        <v>309.14423348341739</v>
      </c>
      <c r="S157" s="703">
        <f t="shared" si="75"/>
        <v>309.14423348341739</v>
      </c>
      <c r="T157" s="705"/>
      <c r="U157" s="749">
        <f t="shared" si="76"/>
        <v>331.49880842754078</v>
      </c>
      <c r="V157" s="750">
        <f t="shared" si="76"/>
        <v>325.92458618886536</v>
      </c>
      <c r="W157" s="750">
        <f t="shared" si="76"/>
        <v>410.32044275593353</v>
      </c>
      <c r="X157" s="750">
        <f t="shared" si="76"/>
        <v>492.6421117903202</v>
      </c>
      <c r="Y157" s="703">
        <f t="shared" si="76"/>
        <v>492.6421117903202</v>
      </c>
      <c r="Z157" s="705"/>
      <c r="AA157" s="749">
        <f t="shared" si="77"/>
        <v>450.40342710121655</v>
      </c>
      <c r="AB157" s="750">
        <f t="shared" si="77"/>
        <v>515.7792097213802</v>
      </c>
      <c r="AC157" s="750">
        <f t="shared" si="77"/>
        <v>513.7125464481885</v>
      </c>
      <c r="AD157" s="750">
        <f t="shared" si="77"/>
        <v>529.70410595045826</v>
      </c>
      <c r="AE157" s="703">
        <f t="shared" si="77"/>
        <v>529.70410595045826</v>
      </c>
      <c r="AF157" s="705"/>
      <c r="AG157" s="749">
        <f t="shared" si="78"/>
        <v>513.46549992827431</v>
      </c>
      <c r="AH157" s="750">
        <f t="shared" si="78"/>
        <v>524.74938107644107</v>
      </c>
      <c r="AI157" s="750">
        <f t="shared" si="78"/>
        <v>533.24677812689436</v>
      </c>
      <c r="AJ157" s="750">
        <f t="shared" si="78"/>
        <v>542</v>
      </c>
      <c r="AK157" s="703">
        <f t="shared" si="78"/>
        <v>542</v>
      </c>
      <c r="AL157" s="705"/>
      <c r="AM157" s="749">
        <f t="shared" si="79"/>
        <v>547.43320194429862</v>
      </c>
      <c r="AN157" s="750">
        <f t="shared" si="79"/>
        <v>555.03823226733459</v>
      </c>
      <c r="AO157" s="750">
        <f t="shared" si="79"/>
        <v>549.08683973773964</v>
      </c>
      <c r="AP157" s="750">
        <f t="shared" si="79"/>
        <v>564</v>
      </c>
      <c r="AQ157" s="703">
        <f t="shared" si="79"/>
        <v>564</v>
      </c>
      <c r="AR157" s="705"/>
      <c r="AS157" s="749">
        <f t="shared" si="80"/>
        <v>574</v>
      </c>
      <c r="AT157" s="750">
        <f t="shared" si="80"/>
        <v>582</v>
      </c>
      <c r="AU157" s="750">
        <f t="shared" si="80"/>
        <v>583</v>
      </c>
      <c r="AV157" s="750">
        <f t="shared" si="80"/>
        <v>574</v>
      </c>
      <c r="AW157" s="703">
        <f t="shared" si="80"/>
        <v>574</v>
      </c>
      <c r="AX157" s="705"/>
      <c r="AY157" s="749">
        <f t="shared" si="81"/>
        <v>560</v>
      </c>
      <c r="AZ157" s="750">
        <f t="shared" si="81"/>
        <v>556</v>
      </c>
      <c r="BA157" s="750">
        <f t="shared" si="81"/>
        <v>545</v>
      </c>
      <c r="BB157" s="750">
        <f t="shared" si="81"/>
        <v>541</v>
      </c>
      <c r="BC157" s="703">
        <f t="shared" si="81"/>
        <v>541</v>
      </c>
      <c r="BD157" s="705"/>
      <c r="BE157" s="749">
        <f t="shared" si="82"/>
        <v>554</v>
      </c>
      <c r="BF157" s="750">
        <f t="shared" si="82"/>
        <v>555</v>
      </c>
      <c r="BG157" s="750">
        <f t="shared" si="82"/>
        <v>543</v>
      </c>
      <c r="BH157" s="750">
        <f t="shared" si="82"/>
        <v>533</v>
      </c>
      <c r="BI157" s="703">
        <f t="shared" si="82"/>
        <v>533</v>
      </c>
      <c r="BJ157" s="705"/>
      <c r="BK157" s="749">
        <f t="shared" si="83"/>
        <v>551</v>
      </c>
      <c r="BL157" s="750">
        <f t="shared" si="83"/>
        <v>548</v>
      </c>
      <c r="BM157" s="750">
        <f t="shared" si="83"/>
        <v>566</v>
      </c>
      <c r="BN157" s="750">
        <f t="shared" si="83"/>
        <v>575</v>
      </c>
      <c r="BO157" s="703">
        <f t="shared" si="83"/>
        <v>575</v>
      </c>
      <c r="BP157" s="705"/>
      <c r="BQ157" s="749">
        <f t="shared" ref="BQ157" si="89">BQ12</f>
        <v>608</v>
      </c>
      <c r="BR157" s="750">
        <f t="shared" si="85"/>
        <v>612.32614820301353</v>
      </c>
      <c r="BS157" s="750">
        <f t="shared" si="85"/>
        <v>620.54395472780959</v>
      </c>
      <c r="BT157" s="750">
        <f t="shared" si="85"/>
        <v>626.81805487606562</v>
      </c>
      <c r="BU157" s="703">
        <f t="shared" si="85"/>
        <v>626.81805487606562</v>
      </c>
      <c r="BV157" s="705"/>
      <c r="BW157" s="749">
        <f t="shared" si="86"/>
        <v>654.13580173183573</v>
      </c>
      <c r="BX157" s="750">
        <f t="shared" si="86"/>
        <v>659.40589075967478</v>
      </c>
      <c r="BY157" s="750">
        <f t="shared" si="86"/>
        <v>677.13000754954794</v>
      </c>
      <c r="BZ157" s="750">
        <f t="shared" si="86"/>
        <v>682.33118005156678</v>
      </c>
      <c r="CA157" s="703">
        <f t="shared" si="86"/>
        <v>682.33118005156678</v>
      </c>
      <c r="CB157" s="750"/>
      <c r="CC157" s="749">
        <f t="shared" si="87"/>
        <v>700.81013123081493</v>
      </c>
      <c r="CD157" s="750">
        <f t="shared" si="87"/>
        <v>708.04918534885394</v>
      </c>
      <c r="CE157" s="750">
        <f t="shared" si="87"/>
        <v>733.76749658153858</v>
      </c>
      <c r="CF157" s="750">
        <f t="shared" si="87"/>
        <v>736.86675111772081</v>
      </c>
      <c r="CG157" s="703">
        <f t="shared" si="87"/>
        <v>736.86675111772081</v>
      </c>
      <c r="CH157" s="495"/>
      <c r="CI157" s="749">
        <f t="shared" ref="CI157:CM157" si="90">CI12</f>
        <v>753.78276923962289</v>
      </c>
      <c r="CJ157" s="750">
        <f t="shared" si="90"/>
        <v>763.33871810070241</v>
      </c>
      <c r="CK157" s="750">
        <f t="shared" si="90"/>
        <v>799.45743186225161</v>
      </c>
      <c r="CL157" s="750">
        <f t="shared" si="90"/>
        <v>799.58254177636991</v>
      </c>
      <c r="CM157" s="703">
        <f t="shared" si="90"/>
        <v>799.58254177636991</v>
      </c>
      <c r="CN157" s="495"/>
      <c r="CO157" s="495"/>
      <c r="CP157" s="64"/>
    </row>
    <row r="158" spans="1:100" hidden="1" outlineLevel="1">
      <c r="A158" s="894" t="s">
        <v>259</v>
      </c>
      <c r="B158" s="495"/>
      <c r="C158" s="749">
        <f t="shared" si="73"/>
        <v>101.43007360672976</v>
      </c>
      <c r="D158" s="750">
        <f t="shared" si="73"/>
        <v>95.411146161934809</v>
      </c>
      <c r="E158" s="750">
        <f t="shared" si="73"/>
        <v>104.5509989484753</v>
      </c>
      <c r="F158" s="750">
        <f t="shared" si="73"/>
        <v>116.8117770767613</v>
      </c>
      <c r="G158" s="703">
        <f t="shared" si="73"/>
        <v>116.8117770767613</v>
      </c>
      <c r="H158" s="495"/>
      <c r="I158" s="749">
        <f t="shared" si="74"/>
        <v>118.37223974763407</v>
      </c>
      <c r="J158" s="750">
        <f t="shared" si="74"/>
        <v>118.14931650893796</v>
      </c>
      <c r="K158" s="750">
        <f t="shared" si="74"/>
        <v>120.37854889589906</v>
      </c>
      <c r="L158" s="750">
        <f t="shared" si="74"/>
        <v>132.41640378548897</v>
      </c>
      <c r="M158" s="703">
        <f t="shared" si="74"/>
        <v>132.41640378548897</v>
      </c>
      <c r="N158" s="495"/>
      <c r="O158" s="749">
        <f t="shared" si="75"/>
        <v>117.03470031545741</v>
      </c>
      <c r="P158" s="750">
        <f t="shared" si="75"/>
        <v>111.01577287066246</v>
      </c>
      <c r="Q158" s="750">
        <f t="shared" si="75"/>
        <v>110.56992639327024</v>
      </c>
      <c r="R158" s="750">
        <f t="shared" si="75"/>
        <v>121.27024185068349</v>
      </c>
      <c r="S158" s="703">
        <f t="shared" si="75"/>
        <v>121.27024185068349</v>
      </c>
      <c r="T158" s="705"/>
      <c r="U158" s="749">
        <f t="shared" si="76"/>
        <v>130.18717139852788</v>
      </c>
      <c r="V158" s="750">
        <f t="shared" si="76"/>
        <v>127.51209253417456</v>
      </c>
      <c r="W158" s="750">
        <f t="shared" si="76"/>
        <v>156.71503680336488</v>
      </c>
      <c r="X158" s="750">
        <f t="shared" si="76"/>
        <v>182.79705573080969</v>
      </c>
      <c r="Y158" s="703">
        <f t="shared" si="76"/>
        <v>182.79705573080969</v>
      </c>
      <c r="Z158" s="705"/>
      <c r="AA158" s="749">
        <f t="shared" si="77"/>
        <v>167.86119873817034</v>
      </c>
      <c r="AB158" s="750">
        <f t="shared" si="77"/>
        <v>188.37013669821241</v>
      </c>
      <c r="AC158" s="750">
        <f t="shared" si="77"/>
        <v>186.36382754994742</v>
      </c>
      <c r="AD158" s="750">
        <f t="shared" si="77"/>
        <v>195.28075709779179</v>
      </c>
      <c r="AE158" s="703">
        <f t="shared" si="77"/>
        <v>195.28075709779179</v>
      </c>
      <c r="AF158" s="705"/>
      <c r="AG158" s="749">
        <f t="shared" si="78"/>
        <v>191.04521556256572</v>
      </c>
      <c r="AH158" s="750">
        <f t="shared" si="78"/>
        <v>191.04521556256572</v>
      </c>
      <c r="AI158" s="750">
        <f t="shared" si="78"/>
        <v>195.72660357518401</v>
      </c>
      <c r="AJ158" s="750">
        <f t="shared" si="78"/>
        <v>212</v>
      </c>
      <c r="AK158" s="703">
        <f t="shared" si="78"/>
        <v>212</v>
      </c>
      <c r="AL158" s="705"/>
      <c r="AM158" s="749">
        <f t="shared" si="79"/>
        <v>188.19545903257651</v>
      </c>
      <c r="AN158" s="750">
        <f t="shared" si="79"/>
        <v>190.94570582428429</v>
      </c>
      <c r="AO158" s="750">
        <f t="shared" si="79"/>
        <v>186.8203356367226</v>
      </c>
      <c r="AP158" s="750">
        <f t="shared" si="79"/>
        <v>199</v>
      </c>
      <c r="AQ158" s="703">
        <f t="shared" si="79"/>
        <v>199</v>
      </c>
      <c r="AR158" s="705"/>
      <c r="AS158" s="749">
        <f t="shared" si="80"/>
        <v>272</v>
      </c>
      <c r="AT158" s="750">
        <f t="shared" si="80"/>
        <v>280</v>
      </c>
      <c r="AU158" s="750">
        <f t="shared" si="80"/>
        <v>299</v>
      </c>
      <c r="AV158" s="750">
        <f t="shared" si="80"/>
        <v>2082</v>
      </c>
      <c r="AW158" s="703">
        <f t="shared" si="80"/>
        <v>2082</v>
      </c>
      <c r="AX158" s="705"/>
      <c r="AY158" s="749">
        <f t="shared" si="81"/>
        <v>361</v>
      </c>
      <c r="AZ158" s="750">
        <f t="shared" si="81"/>
        <v>291</v>
      </c>
      <c r="BA158" s="750">
        <f t="shared" si="81"/>
        <v>274</v>
      </c>
      <c r="BB158" s="750">
        <f t="shared" si="81"/>
        <v>294</v>
      </c>
      <c r="BC158" s="703">
        <f t="shared" si="81"/>
        <v>294</v>
      </c>
      <c r="BD158" s="705"/>
      <c r="BE158" s="749">
        <f t="shared" si="82"/>
        <v>297</v>
      </c>
      <c r="BF158" s="750">
        <f t="shared" si="82"/>
        <v>192</v>
      </c>
      <c r="BG158" s="750">
        <f t="shared" si="82"/>
        <v>198</v>
      </c>
      <c r="BH158" s="750">
        <f t="shared" si="82"/>
        <v>182</v>
      </c>
      <c r="BI158" s="703">
        <f t="shared" si="82"/>
        <v>182</v>
      </c>
      <c r="BJ158" s="705"/>
      <c r="BK158" s="749">
        <f t="shared" si="83"/>
        <v>190</v>
      </c>
      <c r="BL158" s="750">
        <f t="shared" si="83"/>
        <v>186</v>
      </c>
      <c r="BM158" s="750">
        <f t="shared" si="83"/>
        <v>189</v>
      </c>
      <c r="BN158" s="750">
        <f t="shared" si="83"/>
        <v>192</v>
      </c>
      <c r="BO158" s="703">
        <f t="shared" si="83"/>
        <v>192</v>
      </c>
      <c r="BP158" s="705"/>
      <c r="BQ158" s="749">
        <f t="shared" ref="BQ158" si="91">BQ13</f>
        <v>151</v>
      </c>
      <c r="BR158" s="750">
        <f t="shared" si="85"/>
        <v>211.94276486211314</v>
      </c>
      <c r="BS158" s="750">
        <f t="shared" si="85"/>
        <v>210.87571257742127</v>
      </c>
      <c r="BT158" s="750">
        <f t="shared" si="85"/>
        <v>212.88937639379128</v>
      </c>
      <c r="BU158" s="703">
        <f t="shared" si="85"/>
        <v>212.88937639379128</v>
      </c>
      <c r="BV158" s="705"/>
      <c r="BW158" s="749">
        <f t="shared" si="86"/>
        <v>161.17296823214525</v>
      </c>
      <c r="BX158" s="750">
        <f t="shared" si="86"/>
        <v>226.26260100223922</v>
      </c>
      <c r="BY158" s="750">
        <f t="shared" si="86"/>
        <v>227.94176061834023</v>
      </c>
      <c r="BZ158" s="750">
        <f t="shared" si="86"/>
        <v>229.56940126545996</v>
      </c>
      <c r="CA158" s="703">
        <f t="shared" si="86"/>
        <v>229.56940126545996</v>
      </c>
      <c r="CB158" s="750"/>
      <c r="CC158" s="749">
        <f t="shared" si="87"/>
        <v>170.65462259523579</v>
      </c>
      <c r="CD158" s="750">
        <f t="shared" si="87"/>
        <v>240.24835309410105</v>
      </c>
      <c r="CE158" s="750">
        <f t="shared" si="87"/>
        <v>243.89641151365737</v>
      </c>
      <c r="CF158" s="750">
        <f t="shared" si="87"/>
        <v>244.80842992533047</v>
      </c>
      <c r="CG158" s="703">
        <f t="shared" si="87"/>
        <v>244.80842992533047</v>
      </c>
      <c r="CH158" s="495"/>
      <c r="CI158" s="749">
        <f t="shared" ref="CI158:CM158" si="92">CI13</f>
        <v>181.03827876286394</v>
      </c>
      <c r="CJ158" s="750">
        <f t="shared" si="92"/>
        <v>255.65361488996092</v>
      </c>
      <c r="CK158" s="750">
        <f t="shared" si="92"/>
        <v>261.86984560359804</v>
      </c>
      <c r="CL158" s="750">
        <f t="shared" si="92"/>
        <v>261.81422826951962</v>
      </c>
      <c r="CM158" s="703">
        <f t="shared" si="92"/>
        <v>261.81422826951962</v>
      </c>
      <c r="CN158" s="495"/>
      <c r="CO158" s="495"/>
      <c r="CP158" s="64"/>
    </row>
    <row r="159" spans="1:100" hidden="1" outlineLevel="1">
      <c r="A159" s="894" t="s">
        <v>362</v>
      </c>
      <c r="B159" s="495"/>
      <c r="C159" s="749">
        <f>C16</f>
        <v>446.75687285223364</v>
      </c>
      <c r="D159" s="750">
        <f>D16</f>
        <v>447.90979381443293</v>
      </c>
      <c r="E159" s="750">
        <f>E16</f>
        <v>453.67439862542949</v>
      </c>
      <c r="F159" s="750">
        <f>F16</f>
        <v>461.74484536082468</v>
      </c>
      <c r="G159" s="703">
        <f>G16</f>
        <v>461.74484536082468</v>
      </c>
      <c r="H159" s="495"/>
      <c r="I159" s="749">
        <f>I16</f>
        <v>461.74484536082468</v>
      </c>
      <c r="J159" s="750">
        <f>J16</f>
        <v>466.35652920962195</v>
      </c>
      <c r="K159" s="750">
        <f>K16</f>
        <v>470.39175257731955</v>
      </c>
      <c r="L159" s="750">
        <f>L16</f>
        <v>475.00343642611682</v>
      </c>
      <c r="M159" s="703">
        <f>M16</f>
        <v>475.00343642611682</v>
      </c>
      <c r="N159" s="495"/>
      <c r="O159" s="749">
        <f>O16</f>
        <v>479.03865979381442</v>
      </c>
      <c r="P159" s="750">
        <f>P16</f>
        <v>473.2740549828178</v>
      </c>
      <c r="Q159" s="750">
        <f>Q16</f>
        <v>483.65034364261163</v>
      </c>
      <c r="R159" s="750">
        <f>R16</f>
        <v>487.10910652920955</v>
      </c>
      <c r="S159" s="703">
        <f>S16</f>
        <v>487.10910652920955</v>
      </c>
      <c r="T159" s="705"/>
      <c r="U159" s="749">
        <f>U16</f>
        <v>482.49742268041234</v>
      </c>
      <c r="V159" s="750">
        <f>V16</f>
        <v>479.03865979381442</v>
      </c>
      <c r="W159" s="750">
        <f>W16</f>
        <v>551.67268041237105</v>
      </c>
      <c r="X159" s="750">
        <f>X16</f>
        <v>564.93127147766313</v>
      </c>
      <c r="Y159" s="703">
        <f>Y16</f>
        <v>564.93127147766313</v>
      </c>
      <c r="Z159" s="705"/>
      <c r="AA159" s="749">
        <f>AA16</f>
        <v>566.08419243986248</v>
      </c>
      <c r="AB159" s="750">
        <f>AB16</f>
        <v>578.76632302405494</v>
      </c>
      <c r="AC159" s="750">
        <f>AC16</f>
        <v>576.46048109965636</v>
      </c>
      <c r="AD159" s="750">
        <f>AD16</f>
        <v>579.91924398625429</v>
      </c>
      <c r="AE159" s="703">
        <f>AE16</f>
        <v>579.91924398625429</v>
      </c>
      <c r="AF159" s="705"/>
      <c r="AG159" s="749">
        <f>AG16</f>
        <v>580.4957044673539</v>
      </c>
      <c r="AH159" s="750">
        <f>AH16</f>
        <v>574.15463917525767</v>
      </c>
      <c r="AI159" s="750">
        <f>AI16</f>
        <v>656.58848797250857</v>
      </c>
      <c r="AJ159" s="750">
        <f>AJ16</f>
        <v>671</v>
      </c>
      <c r="AK159" s="703">
        <f>AK16</f>
        <v>671</v>
      </c>
      <c r="AL159" s="705"/>
      <c r="AM159" s="749">
        <f>AM16</f>
        <v>682.00617283950612</v>
      </c>
      <c r="AN159" s="750">
        <f>AN16</f>
        <v>672.62345679012344</v>
      </c>
      <c r="AO159" s="750">
        <f>AO16</f>
        <v>667.93209876543199</v>
      </c>
      <c r="AP159" s="750">
        <f>AP16</f>
        <v>665</v>
      </c>
      <c r="AQ159" s="703">
        <f>AQ16</f>
        <v>665</v>
      </c>
      <c r="AR159" s="705"/>
      <c r="AS159" s="749">
        <f>AS16</f>
        <v>671</v>
      </c>
      <c r="AT159" s="750">
        <f>AT16</f>
        <v>677</v>
      </c>
      <c r="AU159" s="750">
        <f>AU16</f>
        <v>680</v>
      </c>
      <c r="AV159" s="750">
        <f>AV16</f>
        <v>631</v>
      </c>
      <c r="AW159" s="703">
        <f>AW16</f>
        <v>631</v>
      </c>
      <c r="AX159" s="705"/>
      <c r="AY159" s="749">
        <f>AY16</f>
        <v>610</v>
      </c>
      <c r="AZ159" s="750">
        <f>AZ16</f>
        <v>593</v>
      </c>
      <c r="BA159" s="750">
        <f>BA16</f>
        <v>587</v>
      </c>
      <c r="BB159" s="750">
        <f>BB16</f>
        <v>604</v>
      </c>
      <c r="BC159" s="703">
        <f>BC16</f>
        <v>604</v>
      </c>
      <c r="BD159" s="705"/>
      <c r="BE159" s="749">
        <f>BE16</f>
        <v>594</v>
      </c>
      <c r="BF159" s="750">
        <f>BF16</f>
        <v>610</v>
      </c>
      <c r="BG159" s="750">
        <f>BG16</f>
        <v>623</v>
      </c>
      <c r="BH159" s="750">
        <f>BH16</f>
        <v>639</v>
      </c>
      <c r="BI159" s="703">
        <f>BI16</f>
        <v>639</v>
      </c>
      <c r="BJ159" s="705"/>
      <c r="BK159" s="749">
        <f>BK16</f>
        <v>653</v>
      </c>
      <c r="BL159" s="750">
        <f>BL16</f>
        <v>675</v>
      </c>
      <c r="BM159" s="750">
        <f>BM16</f>
        <v>716</v>
      </c>
      <c r="BN159" s="750">
        <f>BN16</f>
        <v>757</v>
      </c>
      <c r="BO159" s="703">
        <f>BO16</f>
        <v>757</v>
      </c>
      <c r="BP159" s="705"/>
      <c r="BQ159" s="749">
        <f>BQ16</f>
        <v>792</v>
      </c>
      <c r="BR159" s="750">
        <f>BR16</f>
        <v>813.03304045810376</v>
      </c>
      <c r="BS159" s="750">
        <f>BS16</f>
        <v>833.85227516095244</v>
      </c>
      <c r="BT159" s="750">
        <f>BT16</f>
        <v>855.9348355667579</v>
      </c>
      <c r="BU159" s="703">
        <f>BU16</f>
        <v>855.9348355667579</v>
      </c>
      <c r="BV159" s="705"/>
      <c r="BW159" s="749">
        <f>BW16</f>
        <v>856.25798203121019</v>
      </c>
      <c r="BX159" s="750">
        <f>BX16</f>
        <v>856.59311830312481</v>
      </c>
      <c r="BY159" s="750">
        <f>BY16</f>
        <v>856.929000738745</v>
      </c>
      <c r="BZ159" s="750">
        <f>BZ16</f>
        <v>857.28441482481878</v>
      </c>
      <c r="CA159" s="703">
        <f>CA16</f>
        <v>857.28441482481878</v>
      </c>
      <c r="CB159" s="750"/>
      <c r="CC159" s="749">
        <f>CC16</f>
        <v>856.25794422235435</v>
      </c>
      <c r="CD159" s="750">
        <f>CD16</f>
        <v>855.19038904046045</v>
      </c>
      <c r="CE159" s="750">
        <f>CE16</f>
        <v>854.11221204670562</v>
      </c>
      <c r="CF159" s="750">
        <f>CF16</f>
        <v>852.97519164365394</v>
      </c>
      <c r="CG159" s="703">
        <f>CG16</f>
        <v>852.97519164365394</v>
      </c>
      <c r="CH159" s="495"/>
      <c r="CI159" s="749">
        <f>CI16</f>
        <v>848.98245834663385</v>
      </c>
      <c r="CJ159" s="750">
        <f>CJ16</f>
        <v>844.81709125026816</v>
      </c>
      <c r="CK159" s="750">
        <f>CK16</f>
        <v>840.57244430843423</v>
      </c>
      <c r="CL159" s="750">
        <f>CL16</f>
        <v>836.11376163716204</v>
      </c>
      <c r="CM159" s="703">
        <f>CM16</f>
        <v>836.11376163716204</v>
      </c>
      <c r="CN159" s="495"/>
      <c r="CO159" s="495"/>
      <c r="CP159" s="64"/>
    </row>
    <row r="160" spans="1:100" hidden="1" outlineLevel="1">
      <c r="A160" s="894" t="s">
        <v>363</v>
      </c>
      <c r="B160" s="495"/>
      <c r="C160" s="749">
        <f>C21</f>
        <v>415.97705544933081</v>
      </c>
      <c r="D160" s="750">
        <f>D21</f>
        <v>450.89483747609944</v>
      </c>
      <c r="E160" s="750">
        <f>E21</f>
        <v>460.76290630975143</v>
      </c>
      <c r="F160" s="750">
        <f>F21</f>
        <v>407.62715105162528</v>
      </c>
      <c r="G160" s="703">
        <f>G21</f>
        <v>407.62715105162528</v>
      </c>
      <c r="H160" s="495"/>
      <c r="I160" s="749">
        <f>I21</f>
        <v>558.68451242829826</v>
      </c>
      <c r="J160" s="750">
        <f>J21</f>
        <v>400.03632887189292</v>
      </c>
      <c r="K160" s="750">
        <f>K21</f>
        <v>383.33652007648186</v>
      </c>
      <c r="L160" s="750">
        <f>L21</f>
        <v>257.32887189292546</v>
      </c>
      <c r="M160" s="703">
        <f>M21</f>
        <v>257.32887189292546</v>
      </c>
      <c r="N160" s="495"/>
      <c r="O160" s="749">
        <f>O21</f>
        <v>534.3938814531549</v>
      </c>
      <c r="P160" s="750">
        <f>P21</f>
        <v>224.68833652007649</v>
      </c>
      <c r="Q160" s="750">
        <f>Q21</f>
        <v>224.68833652007649</v>
      </c>
      <c r="R160" s="750">
        <f>R21</f>
        <v>193.56596558317401</v>
      </c>
      <c r="S160" s="703">
        <f>S21</f>
        <v>193.56596558317401</v>
      </c>
      <c r="T160" s="705"/>
      <c r="U160" s="749">
        <f>U21</f>
        <v>188.2523900573614</v>
      </c>
      <c r="V160" s="750">
        <f>V21</f>
        <v>216.33843212237093</v>
      </c>
      <c r="W160" s="750">
        <f>W21</f>
        <v>264.91969407265776</v>
      </c>
      <c r="X160" s="750">
        <f>X21</f>
        <v>340.82791586998087</v>
      </c>
      <c r="Y160" s="703">
        <f>Y21</f>
        <v>340.82791586998087</v>
      </c>
      <c r="Z160" s="705"/>
      <c r="AA160" s="749">
        <f>AA21</f>
        <v>315.01912045889105</v>
      </c>
      <c r="AB160" s="750">
        <f>AB21</f>
        <v>286.93307839388149</v>
      </c>
      <c r="AC160" s="750">
        <f>AC21</f>
        <v>277.82409177820267</v>
      </c>
      <c r="AD160" s="750">
        <f>AD21</f>
        <v>274.02868068833652</v>
      </c>
      <c r="AE160" s="703">
        <f>AE21</f>
        <v>274.02868068833652</v>
      </c>
      <c r="AF160" s="705"/>
      <c r="AG160" s="749">
        <f>AG21</f>
        <v>193.56596558317401</v>
      </c>
      <c r="AH160" s="750">
        <f>AH21</f>
        <v>231.52007648183556</v>
      </c>
      <c r="AI160" s="750">
        <f>AI21</f>
        <v>203.43403441682602</v>
      </c>
      <c r="AJ160" s="750">
        <f>AJ21</f>
        <v>397</v>
      </c>
      <c r="AK160" s="703">
        <f>AK21</f>
        <v>397</v>
      </c>
      <c r="AL160" s="705"/>
      <c r="AM160" s="749">
        <f>AM21</f>
        <v>399.72972972972974</v>
      </c>
      <c r="AN160" s="750">
        <f>AN21</f>
        <v>392.67567567567568</v>
      </c>
      <c r="AO160" s="750">
        <f>AO21</f>
        <v>384.83783783783781</v>
      </c>
      <c r="AP160" s="750">
        <f>AP21</f>
        <v>377</v>
      </c>
      <c r="AQ160" s="703">
        <f>AQ21</f>
        <v>377</v>
      </c>
      <c r="AR160" s="705"/>
      <c r="AS160" s="749">
        <f>AS21</f>
        <v>350</v>
      </c>
      <c r="AT160" s="750">
        <f>AT21</f>
        <v>411</v>
      </c>
      <c r="AU160" s="750">
        <f>AU21</f>
        <v>401</v>
      </c>
      <c r="AV160" s="750">
        <f>AV21</f>
        <v>1448</v>
      </c>
      <c r="AW160" s="703">
        <f>AW21</f>
        <v>1448</v>
      </c>
      <c r="AX160" s="705"/>
      <c r="AY160" s="749">
        <f>AY21</f>
        <v>254</v>
      </c>
      <c r="AZ160" s="750">
        <f>AZ21</f>
        <v>251</v>
      </c>
      <c r="BA160" s="750">
        <f>BA21</f>
        <v>248</v>
      </c>
      <c r="BB160" s="750">
        <f>BB21</f>
        <v>292</v>
      </c>
      <c r="BC160" s="703">
        <f>BC21</f>
        <v>292</v>
      </c>
      <c r="BD160" s="705"/>
      <c r="BE160" s="749">
        <f>BE21</f>
        <v>242</v>
      </c>
      <c r="BF160" s="750">
        <f>BF21</f>
        <v>339</v>
      </c>
      <c r="BG160" s="750">
        <f>BG21</f>
        <v>459</v>
      </c>
      <c r="BH160" s="750">
        <f>BH21</f>
        <v>468</v>
      </c>
      <c r="BI160" s="703">
        <f>BI21</f>
        <v>468</v>
      </c>
      <c r="BJ160" s="705"/>
      <c r="BK160" s="749">
        <f>BK21</f>
        <v>477</v>
      </c>
      <c r="BL160" s="750">
        <f>BL21</f>
        <v>466</v>
      </c>
      <c r="BM160" s="750">
        <f>BM21</f>
        <v>425</v>
      </c>
      <c r="BN160" s="750">
        <f>BN21</f>
        <v>397</v>
      </c>
      <c r="BO160" s="703">
        <f>BO21</f>
        <v>397</v>
      </c>
      <c r="BP160" s="705"/>
      <c r="BQ160" s="749">
        <f>BQ21</f>
        <v>395</v>
      </c>
      <c r="BR160" s="750">
        <f>BR21</f>
        <v>394</v>
      </c>
      <c r="BS160" s="750">
        <f>BS21</f>
        <v>393</v>
      </c>
      <c r="BT160" s="750">
        <f>BT21</f>
        <v>392</v>
      </c>
      <c r="BU160" s="703">
        <f>BU21</f>
        <v>392</v>
      </c>
      <c r="BV160" s="705"/>
      <c r="BW160" s="749">
        <f>BW21</f>
        <v>392</v>
      </c>
      <c r="BX160" s="750">
        <f>BX21</f>
        <v>392</v>
      </c>
      <c r="BY160" s="750">
        <f>BY21</f>
        <v>392</v>
      </c>
      <c r="BZ160" s="750">
        <f>BZ21</f>
        <v>392</v>
      </c>
      <c r="CA160" s="703">
        <f>CA21</f>
        <v>392</v>
      </c>
      <c r="CB160" s="750"/>
      <c r="CC160" s="749">
        <f>CC21</f>
        <v>392</v>
      </c>
      <c r="CD160" s="750">
        <f>CD21</f>
        <v>392</v>
      </c>
      <c r="CE160" s="750">
        <f>CE21</f>
        <v>392</v>
      </c>
      <c r="CF160" s="750">
        <f>CF21</f>
        <v>392</v>
      </c>
      <c r="CG160" s="703">
        <f>CG21</f>
        <v>392</v>
      </c>
      <c r="CH160" s="495"/>
      <c r="CI160" s="749">
        <f>CI21</f>
        <v>392</v>
      </c>
      <c r="CJ160" s="750">
        <f>CJ21</f>
        <v>392</v>
      </c>
      <c r="CK160" s="750">
        <f>CK21</f>
        <v>392</v>
      </c>
      <c r="CL160" s="750">
        <f>CL21</f>
        <v>392</v>
      </c>
      <c r="CM160" s="703">
        <f>CM21</f>
        <v>392</v>
      </c>
      <c r="CN160" s="495"/>
      <c r="CO160" s="495"/>
      <c r="CP160" s="64"/>
    </row>
    <row r="161" spans="1:94" hidden="1" outlineLevel="1">
      <c r="A161" s="894" t="s">
        <v>364</v>
      </c>
      <c r="B161" s="495"/>
      <c r="C161" s="749">
        <f>C17+C18</f>
        <v>115</v>
      </c>
      <c r="D161" s="750">
        <f>D17+D18</f>
        <v>116</v>
      </c>
      <c r="E161" s="750">
        <f>E17+E18</f>
        <v>238</v>
      </c>
      <c r="F161" s="750">
        <f>F17+F18</f>
        <v>414.4106813996317</v>
      </c>
      <c r="G161" s="703">
        <f>G17+G18</f>
        <v>414.4106813996317</v>
      </c>
      <c r="H161" s="495"/>
      <c r="I161" s="749">
        <f>I17+I18</f>
        <v>501.91528545119706</v>
      </c>
      <c r="J161" s="750">
        <f>J17+J18</f>
        <v>515.88950276243099</v>
      </c>
      <c r="K161" s="750">
        <f>K17+K18</f>
        <v>535.78637200736648</v>
      </c>
      <c r="L161" s="750">
        <f>L17+L18</f>
        <v>500.12154696132598</v>
      </c>
      <c r="M161" s="703">
        <f>M17+M18</f>
        <v>500.12154696132598</v>
      </c>
      <c r="N161" s="495"/>
      <c r="O161" s="749">
        <f>O17+O18</f>
        <v>478.68876611418045</v>
      </c>
      <c r="P161" s="750">
        <f>P17+P18</f>
        <v>462.1270718232044</v>
      </c>
      <c r="Q161" s="750">
        <f>Q17+Q18</f>
        <v>445.4106813996317</v>
      </c>
      <c r="R161" s="750">
        <f>R17+R18</f>
        <v>436.69429097605894</v>
      </c>
      <c r="S161" s="703">
        <f>S17+S18</f>
        <v>436.69429097605894</v>
      </c>
      <c r="T161" s="705"/>
      <c r="U161" s="749">
        <f>U17+U18</f>
        <v>418.18416206261509</v>
      </c>
      <c r="V161" s="750">
        <f>V17+V18</f>
        <v>395.75138121546962</v>
      </c>
      <c r="W161" s="750">
        <f>W17+W18</f>
        <v>1522.7734806629833</v>
      </c>
      <c r="X161" s="750">
        <f>X17+X18</f>
        <v>1539.2633517495397</v>
      </c>
      <c r="Y161" s="703">
        <f>Y17+Y18</f>
        <v>1539.2633517495397</v>
      </c>
      <c r="Z161" s="705"/>
      <c r="AA161" s="749">
        <f>AA17+AA18</f>
        <v>1507.9594843462246</v>
      </c>
      <c r="AB161" s="750">
        <f>AB17+AB18</f>
        <v>1635.2891344383056</v>
      </c>
      <c r="AC161" s="750">
        <f>AC17+AC18</f>
        <v>1592.0883977900553</v>
      </c>
      <c r="AD161" s="750">
        <f>AD17+AD18</f>
        <v>1549.9392265193369</v>
      </c>
      <c r="AE161" s="703">
        <f>AE17+AE18</f>
        <v>1549.9392265193369</v>
      </c>
      <c r="AF161" s="705"/>
      <c r="AG161" s="749">
        <f>AG17+AG18</f>
        <v>1560.3259668508288</v>
      </c>
      <c r="AH161" s="750">
        <f>AH17+AH18</f>
        <v>1538.8416206261509</v>
      </c>
      <c r="AI161" s="750">
        <f>AI17+AI18</f>
        <v>3554.025782688766</v>
      </c>
      <c r="AJ161" s="750">
        <f>AJ17+AJ18</f>
        <v>3616</v>
      </c>
      <c r="AK161" s="703">
        <f>AK17+AK18</f>
        <v>3616</v>
      </c>
      <c r="AL161" s="705"/>
      <c r="AM161" s="749">
        <f>AM17+AM18</f>
        <v>3690.6593886462879</v>
      </c>
      <c r="AN161" s="750">
        <f>AN17+AN18</f>
        <v>3570.2751091703058</v>
      </c>
      <c r="AO161" s="750">
        <f>AO17+AO18</f>
        <v>3511.3668122270742</v>
      </c>
      <c r="AP161" s="750">
        <f>AP17+AP18</f>
        <v>3524</v>
      </c>
      <c r="AQ161" s="703">
        <f>AQ17+AQ18</f>
        <v>3524</v>
      </c>
      <c r="AR161" s="705"/>
      <c r="AS161" s="749">
        <f>AS17+AS18</f>
        <v>3448</v>
      </c>
      <c r="AT161" s="750">
        <f>AT17+AT18</f>
        <v>3465</v>
      </c>
      <c r="AU161" s="750">
        <f>AU17+AU18</f>
        <v>3351</v>
      </c>
      <c r="AV161" s="750">
        <f>AV17+AV18</f>
        <v>3156</v>
      </c>
      <c r="AW161" s="703">
        <f>AW17+AW18</f>
        <v>3156</v>
      </c>
      <c r="AX161" s="705"/>
      <c r="AY161" s="749">
        <f>AY17+AY18</f>
        <v>2911</v>
      </c>
      <c r="AZ161" s="750">
        <f>AZ17+AZ18</f>
        <v>2857</v>
      </c>
      <c r="BA161" s="750">
        <f>BA17+BA18</f>
        <v>2850</v>
      </c>
      <c r="BB161" s="750">
        <f>BB17+BB18</f>
        <v>2811</v>
      </c>
      <c r="BC161" s="703">
        <f>BC17+BC18</f>
        <v>2811</v>
      </c>
      <c r="BD161" s="705"/>
      <c r="BE161" s="749">
        <f>BE17+BE18</f>
        <v>2991</v>
      </c>
      <c r="BF161" s="750">
        <f>BF17+BF18</f>
        <v>3046</v>
      </c>
      <c r="BG161" s="750">
        <f>BG17+BG18</f>
        <v>2967</v>
      </c>
      <c r="BH161" s="750">
        <f>BH17+BH18</f>
        <v>2925</v>
      </c>
      <c r="BI161" s="703">
        <f>BI17+BI18</f>
        <v>2925</v>
      </c>
      <c r="BJ161" s="705"/>
      <c r="BK161" s="749">
        <f>BK17+BK18</f>
        <v>2974</v>
      </c>
      <c r="BL161" s="750">
        <f>BL17+BL18</f>
        <v>2941</v>
      </c>
      <c r="BM161" s="750">
        <f>BM17+BM18</f>
        <v>2987</v>
      </c>
      <c r="BN161" s="750">
        <f>BN17+BN18</f>
        <v>2968</v>
      </c>
      <c r="BO161" s="703">
        <f>BO17+BO18</f>
        <v>2968</v>
      </c>
      <c r="BP161" s="705"/>
      <c r="BQ161" s="749">
        <f>BQ17+BQ18</f>
        <v>2974</v>
      </c>
      <c r="BR161" s="750">
        <f>BR17+BR18</f>
        <v>2952.0251816109362</v>
      </c>
      <c r="BS161" s="750">
        <f>BS17+BS18</f>
        <v>2930.2737423691542</v>
      </c>
      <c r="BT161" s="750">
        <f>BT17+BT18</f>
        <v>2907.2024106018948</v>
      </c>
      <c r="BU161" s="703">
        <f>BU17+BU18</f>
        <v>2907.2024106018948</v>
      </c>
      <c r="BV161" s="705"/>
      <c r="BW161" s="749">
        <f>BW17+BW18</f>
        <v>2892.0145267726411</v>
      </c>
      <c r="BX161" s="750">
        <f>BX17+BX18</f>
        <v>2876.2631219926548</v>
      </c>
      <c r="BY161" s="750">
        <f>BY17+BY18</f>
        <v>2860.4766475185079</v>
      </c>
      <c r="BZ161" s="750">
        <f>BZ17+BZ18</f>
        <v>2843.7721854730421</v>
      </c>
      <c r="CA161" s="703">
        <f>CA17+CA18</f>
        <v>2843.7721854730421</v>
      </c>
      <c r="CB161" s="750"/>
      <c r="CC161" s="749">
        <f>CC17+CC18</f>
        <v>2831.4545382434694</v>
      </c>
      <c r="CD161" s="750">
        <f>CD17+CD18</f>
        <v>2818.6438760607421</v>
      </c>
      <c r="CE161" s="750">
        <f>CE17+CE18</f>
        <v>2805.7057521356842</v>
      </c>
      <c r="CF161" s="750">
        <f>CF17+CF18</f>
        <v>2792.0615072990649</v>
      </c>
      <c r="CG161" s="703">
        <f>CG17+CG18</f>
        <v>2792.0615072990649</v>
      </c>
      <c r="CH161" s="495"/>
      <c r="CI161" s="749">
        <f>CI17+CI18</f>
        <v>2778.9943801451809</v>
      </c>
      <c r="CJ161" s="750">
        <f>CJ17+CJ18</f>
        <v>2765.3622696479838</v>
      </c>
      <c r="CK161" s="750">
        <f>CK17+CK18</f>
        <v>2751.4706978383456</v>
      </c>
      <c r="CL161" s="750">
        <f>CL17+CL18</f>
        <v>2736.8786454596366</v>
      </c>
      <c r="CM161" s="703">
        <f>CM17+CM18</f>
        <v>2736.8786454596366</v>
      </c>
      <c r="CN161" s="495"/>
      <c r="CO161" s="495"/>
      <c r="CP161" s="64"/>
    </row>
    <row r="162" spans="1:94" hidden="1" outlineLevel="1">
      <c r="A162" s="905" t="s">
        <v>365</v>
      </c>
      <c r="B162" s="906"/>
      <c r="C162" s="907">
        <f>SUM(C156:C161)</f>
        <v>1603.1316282155221</v>
      </c>
      <c r="D162" s="908">
        <f>SUM(D156:D161)</f>
        <v>1605.6656044020312</v>
      </c>
      <c r="E162" s="908">
        <f>SUM(E156:E161)</f>
        <v>1790.760623439749</v>
      </c>
      <c r="F162" s="908">
        <f>SUM(F156:F161)</f>
        <v>1990.4257838458002</v>
      </c>
      <c r="G162" s="909">
        <f>SUM(G156:G161)</f>
        <v>1990.4257838458002</v>
      </c>
      <c r="H162" s="906"/>
      <c r="I162" s="907">
        <f>SUM(I156:I161)</f>
        <v>2252.1638199610079</v>
      </c>
      <c r="J162" s="908">
        <f>SUM(J156:J161)</f>
        <v>2111.3804487804045</v>
      </c>
      <c r="K162" s="908">
        <f>SUM(K156:K161)</f>
        <v>2122.8063923845166</v>
      </c>
      <c r="L162" s="908">
        <f>SUM(L156:L161)</f>
        <v>2027.2947971188594</v>
      </c>
      <c r="M162" s="909">
        <f>SUM(M156:M161)</f>
        <v>2027.2947971188594</v>
      </c>
      <c r="N162" s="906"/>
      <c r="O162" s="907">
        <f>SUM(O156:O161)</f>
        <v>2199.988373521664</v>
      </c>
      <c r="P162" s="908">
        <f>SUM(P156:P161)</f>
        <v>1835.62315667141</v>
      </c>
      <c r="Q162" s="908">
        <f>SUM(Q156:Q161)</f>
        <v>1830.958428854437</v>
      </c>
      <c r="R162" s="908">
        <f>SUM(R156:R161)</f>
        <v>1851.531472491944</v>
      </c>
      <c r="S162" s="909">
        <f>SUM(S156:S161)</f>
        <v>1851.531472491944</v>
      </c>
      <c r="T162" s="910"/>
      <c r="U162" s="907">
        <f>SUM(U156:U161)</f>
        <v>1876.7019735539025</v>
      </c>
      <c r="V162" s="908">
        <f>SUM(V156:V161)</f>
        <v>1863.9468553247266</v>
      </c>
      <c r="W162" s="908">
        <f>SUM(W156:W161)</f>
        <v>3298.9281485874367</v>
      </c>
      <c r="X162" s="908">
        <f>SUM(X156:X161)</f>
        <v>3578.3165962082189</v>
      </c>
      <c r="Y162" s="909">
        <f>SUM(Y156:Y161)</f>
        <v>3578.3165962082189</v>
      </c>
      <c r="Z162" s="910"/>
      <c r="AA162" s="907">
        <f>SUM(AA156:AA161)</f>
        <v>3427.7722180370461</v>
      </c>
      <c r="AB162" s="908">
        <f>SUM(AB156:AB161)</f>
        <v>3676.9517624020173</v>
      </c>
      <c r="AC162" s="908">
        <f>SUM(AC156:AC161)</f>
        <v>3613.2379881991733</v>
      </c>
      <c r="AD162" s="908">
        <f>SUM(AD156:AD161)</f>
        <v>3617.9950426333448</v>
      </c>
      <c r="AE162" s="909">
        <f>SUM(AE156:AE161)</f>
        <v>3617.9950426333448</v>
      </c>
      <c r="AF162" s="910"/>
      <c r="AG162" s="907">
        <f>SUM(AG156:AG161)</f>
        <v>3517.4125479757927</v>
      </c>
      <c r="AH162" s="908">
        <f>SUM(AH156:AH161)</f>
        <v>3538.8251285058468</v>
      </c>
      <c r="AI162" s="908">
        <f>SUM(AI156:AI161)</f>
        <v>5633.2614344142485</v>
      </c>
      <c r="AJ162" s="908">
        <f>SUM(AJ156:AJ161)</f>
        <v>5969</v>
      </c>
      <c r="AK162" s="909">
        <f>SUM(AK156:AK161)</f>
        <v>5969</v>
      </c>
      <c r="AL162" s="910"/>
      <c r="AM162" s="907">
        <f>SUM(AM156:AM161)</f>
        <v>6036.6735079673244</v>
      </c>
      <c r="AN162" s="908">
        <f>SUM(AN156:AN161)</f>
        <v>5917.9333031235783</v>
      </c>
      <c r="AO162" s="908">
        <f>SUM(AO156:AO161)</f>
        <v>5824.8306961692688</v>
      </c>
      <c r="AP162" s="908">
        <f>SUM(AP156:AP161)</f>
        <v>5888</v>
      </c>
      <c r="AQ162" s="909">
        <f>SUM(AQ156:AQ161)</f>
        <v>5888</v>
      </c>
      <c r="AR162" s="910"/>
      <c r="AS162" s="907">
        <f>SUM(AS156:AS161)</f>
        <v>5875</v>
      </c>
      <c r="AT162" s="908">
        <f>SUM(AT156:AT161)</f>
        <v>5983</v>
      </c>
      <c r="AU162" s="908">
        <f>SUM(AU156:AU161)</f>
        <v>5886</v>
      </c>
      <c r="AV162" s="908">
        <f>SUM(AV156:AV161)</f>
        <v>8517</v>
      </c>
      <c r="AW162" s="909">
        <f>SUM(AW156:AW161)</f>
        <v>8517</v>
      </c>
      <c r="AX162" s="910"/>
      <c r="AY162" s="907">
        <f>SUM(AY156:AY161)</f>
        <v>5311</v>
      </c>
      <c r="AZ162" s="908">
        <f>SUM(AZ156:AZ161)</f>
        <v>5124</v>
      </c>
      <c r="BA162" s="908">
        <f>SUM(BA156:BA161)</f>
        <v>5088</v>
      </c>
      <c r="BB162" s="908">
        <f>SUM(BB156:BB161)</f>
        <v>5148</v>
      </c>
      <c r="BC162" s="909">
        <f>SUM(BC156:BC161)</f>
        <v>5148</v>
      </c>
      <c r="BD162" s="910"/>
      <c r="BE162" s="907">
        <f>SUM(BE156:BE161)</f>
        <v>5295</v>
      </c>
      <c r="BF162" s="908">
        <f>SUM(BF156:BF161)</f>
        <v>5344</v>
      </c>
      <c r="BG162" s="908">
        <f>SUM(BG156:BG161)</f>
        <v>5380</v>
      </c>
      <c r="BH162" s="908">
        <f>SUM(BH156:BH161)</f>
        <v>5378</v>
      </c>
      <c r="BI162" s="909">
        <f>SUM(BI156:BI161)</f>
        <v>5378</v>
      </c>
      <c r="BJ162" s="910"/>
      <c r="BK162" s="907">
        <f>SUM(BK156:BK161)</f>
        <v>5498</v>
      </c>
      <c r="BL162" s="908">
        <f>SUM(BL156:BL161)</f>
        <v>5493</v>
      </c>
      <c r="BM162" s="908">
        <f>SUM(BM156:BM161)</f>
        <v>5561</v>
      </c>
      <c r="BN162" s="908">
        <f>SUM(BN156:BN161)</f>
        <v>5613</v>
      </c>
      <c r="BO162" s="909">
        <f>SUM(BO156:BO161)</f>
        <v>5613</v>
      </c>
      <c r="BP162" s="910"/>
      <c r="BQ162" s="907">
        <f>SUM(BQ156:BQ161)</f>
        <v>5671</v>
      </c>
      <c r="BR162" s="908">
        <f>SUM(BR156:BR161)</f>
        <v>5744.4323661051239</v>
      </c>
      <c r="BS162" s="908">
        <f>SUM(BS156:BS161)</f>
        <v>5734.8045231349788</v>
      </c>
      <c r="BT162" s="908">
        <f>SUM(BT156:BT161)</f>
        <v>5786.7791837202822</v>
      </c>
      <c r="BU162" s="909">
        <f>SUM(BU156:BU161)</f>
        <v>5786.7791837202822</v>
      </c>
      <c r="BV162" s="910"/>
      <c r="BW162" s="907">
        <f>SUM(BW156:BW161)</f>
        <v>5785.5072862646575</v>
      </c>
      <c r="BX162" s="908">
        <f>SUM(BX156:BX161)</f>
        <v>5852.4355724197594</v>
      </c>
      <c r="BY162" s="908">
        <f>SUM(BY156:BY161)</f>
        <v>5850.5777731239132</v>
      </c>
      <c r="BZ162" s="908">
        <f>SUM(BZ156:BZ161)</f>
        <v>5890.0998766624562</v>
      </c>
      <c r="CA162" s="909">
        <f>SUM(CA156:CA161)</f>
        <v>5890.0998766624562</v>
      </c>
      <c r="CB162" s="908"/>
      <c r="CC162" s="907">
        <f>SUM(CC156:CC161)</f>
        <v>5859.9243258337119</v>
      </c>
      <c r="CD162" s="908">
        <f>SUM(CD156:CD161)</f>
        <v>5939.2808269311645</v>
      </c>
      <c r="CE162" s="908">
        <f>SUM(CE156:CE161)</f>
        <v>5955.6129556844935</v>
      </c>
      <c r="CF162" s="908">
        <f>SUM(CF156:CF161)</f>
        <v>5995.8391572891906</v>
      </c>
      <c r="CG162" s="909">
        <f>SUM(CG156:CG161)</f>
        <v>5995.8391572891906</v>
      </c>
      <c r="CH162" s="906"/>
      <c r="CI162" s="907">
        <f>SUM(CI156:CI161)</f>
        <v>5950.6611599597163</v>
      </c>
      <c r="CJ162" s="908">
        <f>SUM(CJ156:CJ161)</f>
        <v>6038.8417846705806</v>
      </c>
      <c r="CK162" s="908">
        <f>SUM(CK156:CK161)</f>
        <v>6073.5811010589296</v>
      </c>
      <c r="CL162" s="908">
        <f>SUM(CL156:CL161)</f>
        <v>6106.9295228642186</v>
      </c>
      <c r="CM162" s="909">
        <f>SUM(CM156:CM161)</f>
        <v>6106.9295228642186</v>
      </c>
      <c r="CN162" s="906"/>
      <c r="CO162" s="906"/>
      <c r="CP162" s="64"/>
    </row>
    <row r="163" spans="1:94" hidden="1" outlineLevel="1">
      <c r="A163" s="894"/>
      <c r="B163" s="498"/>
      <c r="C163" s="704"/>
      <c r="D163" s="702"/>
      <c r="E163" s="702"/>
      <c r="F163" s="702"/>
      <c r="G163" s="854"/>
      <c r="H163" s="498"/>
      <c r="I163" s="704"/>
      <c r="J163" s="702"/>
      <c r="K163" s="702"/>
      <c r="L163" s="702"/>
      <c r="M163" s="854"/>
      <c r="N163" s="498"/>
      <c r="O163" s="704"/>
      <c r="P163" s="702"/>
      <c r="Q163" s="702"/>
      <c r="R163" s="702"/>
      <c r="S163" s="854"/>
      <c r="T163" s="702"/>
      <c r="U163" s="704"/>
      <c r="V163" s="702"/>
      <c r="W163" s="702"/>
      <c r="X163" s="702"/>
      <c r="Y163" s="854"/>
      <c r="Z163" s="702"/>
      <c r="AA163" s="704"/>
      <c r="AB163" s="702"/>
      <c r="AC163" s="702"/>
      <c r="AD163" s="702"/>
      <c r="AE163" s="854"/>
      <c r="AF163" s="702"/>
      <c r="AG163" s="704"/>
      <c r="AH163" s="702"/>
      <c r="AI163" s="702"/>
      <c r="AJ163" s="702"/>
      <c r="AK163" s="854"/>
      <c r="AL163" s="702"/>
      <c r="AM163" s="704"/>
      <c r="AN163" s="702"/>
      <c r="AO163" s="702"/>
      <c r="AP163" s="702"/>
      <c r="AQ163" s="854"/>
      <c r="AR163" s="702"/>
      <c r="AS163" s="704"/>
      <c r="AT163" s="702"/>
      <c r="AU163" s="702"/>
      <c r="AV163" s="702"/>
      <c r="AW163" s="854"/>
      <c r="AX163" s="702"/>
      <c r="AY163" s="704"/>
      <c r="AZ163" s="702"/>
      <c r="BA163" s="702"/>
      <c r="BB163" s="702"/>
      <c r="BC163" s="854"/>
      <c r="BD163" s="702"/>
      <c r="BE163" s="704"/>
      <c r="BF163" s="702"/>
      <c r="BG163" s="702"/>
      <c r="BH163" s="702"/>
      <c r="BI163" s="854"/>
      <c r="BJ163" s="702"/>
      <c r="BK163" s="704"/>
      <c r="BL163" s="702"/>
      <c r="BM163" s="702"/>
      <c r="BN163" s="702"/>
      <c r="BO163" s="854"/>
      <c r="BP163" s="702"/>
      <c r="BQ163" s="704"/>
      <c r="BR163" s="702"/>
      <c r="BS163" s="702"/>
      <c r="BT163" s="702"/>
      <c r="BU163" s="854"/>
      <c r="BV163" s="702"/>
      <c r="BW163" s="704"/>
      <c r="BX163" s="702"/>
      <c r="BY163" s="702"/>
      <c r="BZ163" s="702"/>
      <c r="CA163" s="854"/>
      <c r="CB163" s="702"/>
      <c r="CC163" s="704"/>
      <c r="CD163" s="702"/>
      <c r="CE163" s="702"/>
      <c r="CF163" s="702"/>
      <c r="CG163" s="854"/>
      <c r="CH163" s="495"/>
      <c r="CI163" s="704"/>
      <c r="CJ163" s="702"/>
      <c r="CK163" s="702"/>
      <c r="CL163" s="702"/>
      <c r="CM163" s="854"/>
      <c r="CN163" s="495"/>
      <c r="CO163" s="495"/>
      <c r="CP163" s="64"/>
    </row>
    <row r="164" spans="1:94" hidden="1" outlineLevel="1">
      <c r="A164" s="894" t="s">
        <v>269</v>
      </c>
      <c r="B164" s="495"/>
      <c r="C164" s="749">
        <f>C25</f>
        <v>151.88887372108414</v>
      </c>
      <c r="D164" s="750">
        <f>D25</f>
        <v>144.32459822027661</v>
      </c>
      <c r="E164" s="750">
        <f>E25</f>
        <v>153.00739006297979</v>
      </c>
      <c r="F164" s="750">
        <f>F25</f>
        <v>167.27217828700469</v>
      </c>
      <c r="G164" s="703">
        <f>G25</f>
        <v>167.27217828700469</v>
      </c>
      <c r="H164" s="495"/>
      <c r="I164" s="749">
        <f>I25</f>
        <v>177.23650052521737</v>
      </c>
      <c r="J164" s="750">
        <f>J25</f>
        <v>177.27037357531896</v>
      </c>
      <c r="K164" s="750">
        <f>K25</f>
        <v>175.23375643796186</v>
      </c>
      <c r="L164" s="750">
        <f>L25</f>
        <v>186.12817617688026</v>
      </c>
      <c r="M164" s="703">
        <f>M25</f>
        <v>186.12817617688026</v>
      </c>
      <c r="N164" s="495"/>
      <c r="O164" s="749">
        <f>O25</f>
        <v>167.52128634296</v>
      </c>
      <c r="P164" s="750">
        <f>P25</f>
        <v>161.19690561357882</v>
      </c>
      <c r="Q164" s="750">
        <f>Q25</f>
        <v>163.01899343362592</v>
      </c>
      <c r="R164" s="750">
        <f>R25</f>
        <v>173.96492843624043</v>
      </c>
      <c r="S164" s="703">
        <f>S25</f>
        <v>173.96492843624043</v>
      </c>
      <c r="T164" s="705"/>
      <c r="U164" s="749">
        <f>U25</f>
        <v>186.54453241771208</v>
      </c>
      <c r="V164" s="750">
        <f>V25</f>
        <v>183.4077468405977</v>
      </c>
      <c r="W164" s="750">
        <f>W25</f>
        <v>230.8998801486342</v>
      </c>
      <c r="X164" s="750">
        <f>X25</f>
        <v>277.22480460525401</v>
      </c>
      <c r="Y164" s="703">
        <f>Y25</f>
        <v>277.22480460525401</v>
      </c>
      <c r="Z164" s="705"/>
      <c r="AA164" s="749">
        <f>AA25</f>
        <v>253.45580307356283</v>
      </c>
      <c r="AB164" s="750">
        <f>AB25</f>
        <v>290.24475823804607</v>
      </c>
      <c r="AC164" s="750">
        <f>AC25</f>
        <v>289.08178351789206</v>
      </c>
      <c r="AD164" s="750">
        <f>AD25</f>
        <v>298.08072382820995</v>
      </c>
      <c r="AE164" s="703">
        <f>AE25</f>
        <v>298.08072382820995</v>
      </c>
      <c r="AF164" s="705"/>
      <c r="AG164" s="749">
        <f>AG25</f>
        <v>288.94276287476691</v>
      </c>
      <c r="AH164" s="750">
        <f>AH25</f>
        <v>295.29254839172421</v>
      </c>
      <c r="AI164" s="750">
        <f>AI25</f>
        <v>300.07429396439625</v>
      </c>
      <c r="AJ164" s="750">
        <f>AJ25</f>
        <v>305</v>
      </c>
      <c r="AK164" s="703">
        <f>AK25</f>
        <v>305</v>
      </c>
      <c r="AL164" s="705"/>
      <c r="AM164" s="749">
        <f>AM25</f>
        <v>292.15849961920907</v>
      </c>
      <c r="AN164" s="750">
        <f>AN25</f>
        <v>296.21721261075839</v>
      </c>
      <c r="AO164" s="750">
        <f>AO25</f>
        <v>293.04102617209156</v>
      </c>
      <c r="AP164" s="750">
        <f>AP25</f>
        <v>301</v>
      </c>
      <c r="AQ164" s="703">
        <f>AQ25</f>
        <v>301</v>
      </c>
      <c r="AR164" s="705"/>
      <c r="AS164" s="749">
        <f>AS25</f>
        <v>300</v>
      </c>
      <c r="AT164" s="750">
        <f>AT25</f>
        <v>324</v>
      </c>
      <c r="AU164" s="750">
        <f>AU25</f>
        <v>290</v>
      </c>
      <c r="AV164" s="750">
        <f>AV25</f>
        <v>302</v>
      </c>
      <c r="AW164" s="703">
        <f>AW25</f>
        <v>302</v>
      </c>
      <c r="AX164" s="705"/>
      <c r="AY164" s="749">
        <f>AY25</f>
        <v>257</v>
      </c>
      <c r="AZ164" s="750">
        <f>AZ25</f>
        <v>261</v>
      </c>
      <c r="BA164" s="750">
        <f>BA25</f>
        <v>248</v>
      </c>
      <c r="BB164" s="750">
        <f>BB25</f>
        <v>279</v>
      </c>
      <c r="BC164" s="703">
        <f>BC25</f>
        <v>279</v>
      </c>
      <c r="BD164" s="705"/>
      <c r="BE164" s="749">
        <f>BE25</f>
        <v>250</v>
      </c>
      <c r="BF164" s="750">
        <f>BF25</f>
        <v>220</v>
      </c>
      <c r="BG164" s="750">
        <f>BG25</f>
        <v>261</v>
      </c>
      <c r="BH164" s="750">
        <f>BH25</f>
        <v>257</v>
      </c>
      <c r="BI164" s="703">
        <f>BI25</f>
        <v>257</v>
      </c>
      <c r="BJ164" s="705"/>
      <c r="BK164" s="749">
        <f>BK25</f>
        <v>268</v>
      </c>
      <c r="BL164" s="750">
        <f>BL25</f>
        <v>265</v>
      </c>
      <c r="BM164" s="750">
        <f>BM25</f>
        <v>289</v>
      </c>
      <c r="BN164" s="750">
        <f>BN25</f>
        <v>305</v>
      </c>
      <c r="BO164" s="703">
        <f>BO25</f>
        <v>305</v>
      </c>
      <c r="BP164" s="705"/>
      <c r="BQ164" s="749">
        <f>BQ25</f>
        <v>292</v>
      </c>
      <c r="BR164" s="750">
        <f>BR25</f>
        <v>302.76435221495967</v>
      </c>
      <c r="BS164" s="750">
        <f>BS25</f>
        <v>323.71388829163288</v>
      </c>
      <c r="BT164" s="750">
        <f>BT25</f>
        <v>339.69708681603277</v>
      </c>
      <c r="BU164" s="703">
        <f>BU25</f>
        <v>339.69708681603277</v>
      </c>
      <c r="BV164" s="705"/>
      <c r="BW164" s="749">
        <f>BW25</f>
        <v>296.27332584310722</v>
      </c>
      <c r="BX164" s="750">
        <f>BX25</f>
        <v>307.15297509099588</v>
      </c>
      <c r="BY164" s="750">
        <f>BY25</f>
        <v>333.49946943878052</v>
      </c>
      <c r="BZ164" s="750">
        <f>BZ25</f>
        <v>349.10658506484071</v>
      </c>
      <c r="CA164" s="703">
        <f>CA25</f>
        <v>349.10658506484071</v>
      </c>
      <c r="CB164" s="750"/>
      <c r="CC164" s="749">
        <f>CC25</f>
        <v>298.94806804177131</v>
      </c>
      <c r="CD164" s="750">
        <f>CD25</f>
        <v>310.29073077577459</v>
      </c>
      <c r="CE164" s="750">
        <f>CE25</f>
        <v>340.81445723637802</v>
      </c>
      <c r="CF164" s="750">
        <f>CF25</f>
        <v>355.54197647948735</v>
      </c>
      <c r="CG164" s="703">
        <f>CG25</f>
        <v>355.54197647948735</v>
      </c>
      <c r="CH164" s="495"/>
      <c r="CI164" s="749">
        <f>CI25</f>
        <v>302.39149487610513</v>
      </c>
      <c r="CJ164" s="750">
        <f>CJ25</f>
        <v>314.25275174874321</v>
      </c>
      <c r="CK164" s="750">
        <f>CK25</f>
        <v>349.73029489045723</v>
      </c>
      <c r="CL164" s="750">
        <f>CL25</f>
        <v>363.38938425384305</v>
      </c>
      <c r="CM164" s="703">
        <f>CM25</f>
        <v>363.38938425384305</v>
      </c>
      <c r="CN164" s="495"/>
      <c r="CO164" s="495"/>
      <c r="CP164" s="64"/>
    </row>
    <row r="165" spans="1:94" hidden="1" outlineLevel="1">
      <c r="A165" s="894" t="s">
        <v>366</v>
      </c>
      <c r="B165" s="495"/>
      <c r="C165" s="749">
        <f>C30+C26+C27+C28</f>
        <v>350.44379343442972</v>
      </c>
      <c r="D165" s="750">
        <f>D30+D26+D27+D28</f>
        <v>344.9104703802019</v>
      </c>
      <c r="E165" s="750">
        <f>E30+E26+E27+E28</f>
        <v>361.51043954288536</v>
      </c>
      <c r="F165" s="750">
        <f>F30+F26+F27+F28</f>
        <v>390.09927532306256</v>
      </c>
      <c r="G165" s="703">
        <f>G30+G26+G27+G28</f>
        <v>390.09927532306256</v>
      </c>
      <c r="H165" s="495"/>
      <c r="I165" s="749">
        <f>I30+I26+I27+I28</f>
        <v>409.46590601285999</v>
      </c>
      <c r="J165" s="750">
        <f>J30+J26+J27+J28</f>
        <v>410.3881265218979</v>
      </c>
      <c r="K165" s="750">
        <f>K30+K26+K27+K28</f>
        <v>403.93258295863222</v>
      </c>
      <c r="L165" s="750">
        <f>L30+L26+L27+L28</f>
        <v>422.37699313939163</v>
      </c>
      <c r="M165" s="703">
        <f>M30+M26+M27+M28</f>
        <v>422.37699313939163</v>
      </c>
      <c r="N165" s="495"/>
      <c r="O165" s="749">
        <f>O30+O26+O27+O28</f>
        <v>390.4561746600603</v>
      </c>
      <c r="P165" s="750">
        <f>P30+P26+P27+P28</f>
        <v>377.58013191287205</v>
      </c>
      <c r="Q165" s="750">
        <f>Q30+Q26+Q27+Q28</f>
        <v>373.50576170394231</v>
      </c>
      <c r="R165" s="750">
        <f>R30+R26+R27+R28</f>
        <v>401.6436316551999</v>
      </c>
      <c r="S165" s="703">
        <f>S30+S26+S27+S28</f>
        <v>401.6436316551999</v>
      </c>
      <c r="T165" s="705"/>
      <c r="U165" s="749">
        <f>U30+U26+U27+U28</f>
        <v>425.46089852161458</v>
      </c>
      <c r="V165" s="750">
        <f>V30+V26+V27+V28</f>
        <v>432.42827446739648</v>
      </c>
      <c r="W165" s="750">
        <f>W30+W26+W27+W28</f>
        <v>531.38161286666195</v>
      </c>
      <c r="X165" s="750">
        <f>X30+X26+X27+X28</f>
        <v>616.820731926485</v>
      </c>
      <c r="Y165" s="703">
        <f>Y30+Y26+Y27+Y28</f>
        <v>616.820731926485</v>
      </c>
      <c r="Z165" s="705"/>
      <c r="AA165" s="749">
        <f>AA30+AA26+AA27+AA28</f>
        <v>589.4473827772199</v>
      </c>
      <c r="AB165" s="750">
        <f>AB30+AB26+AB27+AB28</f>
        <v>655.96899253514698</v>
      </c>
      <c r="AC165" s="750">
        <f>AC30+AC26+AC27+AC28</f>
        <v>644.30474753683461</v>
      </c>
      <c r="AD165" s="750">
        <f>AD30+AD26+AD27+AD28</f>
        <v>656.98712397712472</v>
      </c>
      <c r="AE165" s="703">
        <f>AE30+AE26+AE27+AE28</f>
        <v>656.98712397712472</v>
      </c>
      <c r="AF165" s="750"/>
      <c r="AG165" s="749">
        <f>AG30+AG26+AG27+AG28</f>
        <v>648.32101785369503</v>
      </c>
      <c r="AH165" s="750">
        <f>AH30+AH26+AH27+AH28</f>
        <v>668.60986905253048</v>
      </c>
      <c r="AI165" s="750">
        <f>AI30+AI26+AI27+AI28</f>
        <v>668.60986905253048</v>
      </c>
      <c r="AJ165" s="750">
        <f>AJ30+AJ26+AJ27+AJ28</f>
        <v>743</v>
      </c>
      <c r="AK165" s="703">
        <f>AK30+AK26+AK27+AK28</f>
        <v>743</v>
      </c>
      <c r="AL165" s="705"/>
      <c r="AM165" s="749">
        <f>AM30+AM26+AM27+AM28</f>
        <v>686.79651961684033</v>
      </c>
      <c r="AN165" s="750">
        <f>AN30+AN26+AN27+AN28</f>
        <v>685.93262462361167</v>
      </c>
      <c r="AO165" s="750">
        <f>AO30+AO26+AO27+AO28</f>
        <v>671.24640973872329</v>
      </c>
      <c r="AP165" s="750">
        <f>AP30+AP26+AP27+AP28</f>
        <v>741</v>
      </c>
      <c r="AQ165" s="703">
        <f>AQ30+AQ26+AQ27+AQ28</f>
        <v>741</v>
      </c>
      <c r="AR165" s="705"/>
      <c r="AS165" s="749">
        <f>AS30+AS26+AS27+AS28</f>
        <v>713</v>
      </c>
      <c r="AT165" s="750">
        <f>AT30+AT26+AT27+AT28</f>
        <v>845</v>
      </c>
      <c r="AU165" s="750">
        <f>AU30+AU26+AU27+AU28</f>
        <v>783</v>
      </c>
      <c r="AV165" s="750">
        <f>AV30+AV26+AV27+AV28</f>
        <v>777</v>
      </c>
      <c r="AW165" s="703">
        <f>AW30+AW26+AW27+AW28</f>
        <v>777</v>
      </c>
      <c r="AX165" s="705"/>
      <c r="AY165" s="749">
        <f>AY30+AY26+AY27+AY28</f>
        <v>671</v>
      </c>
      <c r="AZ165" s="750">
        <f>AZ30+AZ26+AZ27+AZ28</f>
        <v>669</v>
      </c>
      <c r="BA165" s="750">
        <f>BA30+BA26+BA27+BA28</f>
        <v>605</v>
      </c>
      <c r="BB165" s="750">
        <f>BB30+BB26+BB27+BB28</f>
        <v>697</v>
      </c>
      <c r="BC165" s="703">
        <f>BC30+BC26+BC27+BC28</f>
        <v>697</v>
      </c>
      <c r="BD165" s="705"/>
      <c r="BE165" s="749">
        <f>BE30+BE26+BE27+BE28</f>
        <v>617</v>
      </c>
      <c r="BF165" s="750">
        <f>BF30+BF26+BF27+BF28</f>
        <v>678</v>
      </c>
      <c r="BG165" s="750">
        <f>BG30+BG26+BG27+BG28</f>
        <v>655</v>
      </c>
      <c r="BH165" s="750">
        <f>BH30+BH26+BH27+BH28</f>
        <v>688</v>
      </c>
      <c r="BI165" s="703">
        <f>BI30+BI26+BI27+BI28</f>
        <v>688</v>
      </c>
      <c r="BJ165" s="705"/>
      <c r="BK165" s="749">
        <f>BK30+BK26+BK27+BK28</f>
        <v>631</v>
      </c>
      <c r="BL165" s="750">
        <f>BL30+BL26+BL27+BL28</f>
        <v>681</v>
      </c>
      <c r="BM165" s="750">
        <f>BM30+BM26+BM27+BM28</f>
        <v>672</v>
      </c>
      <c r="BN165" s="750">
        <f>BN30+BN26+BN27+BN28</f>
        <v>748</v>
      </c>
      <c r="BO165" s="703">
        <f>BO30+BO26+BO27+BO28</f>
        <v>748</v>
      </c>
      <c r="BP165" s="705"/>
      <c r="BQ165" s="749">
        <f>BQ30+BQ26+BQ27+BQ28</f>
        <v>724</v>
      </c>
      <c r="BR165" s="750">
        <f>BR30+BR26+BR27+BR28</f>
        <v>759.07854751343632</v>
      </c>
      <c r="BS165" s="750">
        <f>BS30+BS26+BS27+BS28</f>
        <v>733.2085564187912</v>
      </c>
      <c r="BT165" s="750">
        <f>BT30+BT26+BT27+BT28</f>
        <v>811.06443007211567</v>
      </c>
      <c r="BU165" s="703">
        <f>BU30+BU26+BU27+BU28</f>
        <v>811.06443007211567</v>
      </c>
      <c r="BV165" s="705"/>
      <c r="BW165" s="749">
        <f>BW30+BW26+BW27+BW28</f>
        <v>765.42910272266545</v>
      </c>
      <c r="BX165" s="750">
        <f>BX30+BX26+BX27+BX28</f>
        <v>802.41101539054421</v>
      </c>
      <c r="BY165" s="750">
        <f>BY30+BY26+BY27+BY28</f>
        <v>785.27131268760263</v>
      </c>
      <c r="BZ165" s="750">
        <f>BZ30+BZ26+BZ27+BZ28</f>
        <v>866.18156100210376</v>
      </c>
      <c r="CA165" s="703">
        <f>CA30+CA26+CA27+CA28</f>
        <v>866.18156100210376</v>
      </c>
      <c r="CB165" s="750"/>
      <c r="CC165" s="749">
        <f>CC30+CC26+CC27+CC28</f>
        <v>804.36773000204823</v>
      </c>
      <c r="CD165" s="750">
        <f>CD30+CD26+CD27+CD28</f>
        <v>843.50731013234076</v>
      </c>
      <c r="CE165" s="750">
        <f>CE30+CE26+CE27+CE28</f>
        <v>832.96464655904344</v>
      </c>
      <c r="CF165" s="750">
        <f>CF30+CF26+CF27+CF28</f>
        <v>915.22409856382342</v>
      </c>
      <c r="CG165" s="703">
        <f>CG30+CG26+CG27+CG28</f>
        <v>915.22409856382342</v>
      </c>
      <c r="CH165" s="495"/>
      <c r="CI165" s="749">
        <f>CI30+CI26+CI27+CI28</f>
        <v>847.25315452630002</v>
      </c>
      <c r="CJ165" s="750">
        <f>CJ30+CJ26+CJ27+CJ28</f>
        <v>888.9305752225132</v>
      </c>
      <c r="CK165" s="750">
        <f>CK30+CK26+CK27+CK28</f>
        <v>887.18458999696475</v>
      </c>
      <c r="CL165" s="750">
        <f>CL30+CL26+CL27+CL28</f>
        <v>970.35773905810242</v>
      </c>
      <c r="CM165" s="703">
        <f>CM30+CM26+CM27+CM28</f>
        <v>970.35773905810242</v>
      </c>
      <c r="CN165" s="495"/>
      <c r="CO165" s="495"/>
      <c r="CP165" s="64"/>
    </row>
    <row r="166" spans="1:94" hidden="1" outlineLevel="1">
      <c r="A166" s="894" t="s">
        <v>367</v>
      </c>
      <c r="B166" s="495"/>
      <c r="C166" s="749">
        <f>C35</f>
        <v>271.73611111111114</v>
      </c>
      <c r="D166" s="750">
        <f>D35</f>
        <v>273.85353535353539</v>
      </c>
      <c r="E166" s="750">
        <f>E35</f>
        <v>305.61489898989902</v>
      </c>
      <c r="F166" s="750">
        <f>F35</f>
        <v>302.79166666666669</v>
      </c>
      <c r="G166" s="703">
        <f>G35</f>
        <v>302.79166666666669</v>
      </c>
      <c r="H166" s="495"/>
      <c r="I166" s="749">
        <f>I35</f>
        <v>599.93686868686871</v>
      </c>
      <c r="J166" s="750">
        <f>J35</f>
        <v>515.94570707070716</v>
      </c>
      <c r="K166" s="750">
        <f>K35</f>
        <v>520.18055555555566</v>
      </c>
      <c r="L166" s="750">
        <f>L35</f>
        <v>472.18560606060612</v>
      </c>
      <c r="M166" s="703">
        <f>M35</f>
        <v>472.18560606060612</v>
      </c>
      <c r="N166" s="495"/>
      <c r="O166" s="749">
        <f>O35</f>
        <v>694.51515151515162</v>
      </c>
      <c r="P166" s="750">
        <f>P35</f>
        <v>395.25252525252529</v>
      </c>
      <c r="Q166" s="750">
        <f>Q35</f>
        <v>396.66414141414145</v>
      </c>
      <c r="R166" s="750">
        <f>R35</f>
        <v>404.42803030303037</v>
      </c>
      <c r="S166" s="703">
        <f>S35</f>
        <v>404.42803030303037</v>
      </c>
      <c r="T166" s="705"/>
      <c r="U166" s="749">
        <f>U35</f>
        <v>371.25505050505052</v>
      </c>
      <c r="V166" s="750">
        <f>V35</f>
        <v>388.19444444444451</v>
      </c>
      <c r="W166" s="750">
        <f>W35</f>
        <v>493.35984848484856</v>
      </c>
      <c r="X166" s="750">
        <f>X35</f>
        <v>501.12373737373741</v>
      </c>
      <c r="Y166" s="703">
        <f>Y35</f>
        <v>501.12373737373741</v>
      </c>
      <c r="Z166" s="705"/>
      <c r="AA166" s="749">
        <f>AA35</f>
        <v>488.41919191919197</v>
      </c>
      <c r="AB166" s="750">
        <f>AB35</f>
        <v>507.47601010101016</v>
      </c>
      <c r="AC166" s="750">
        <f>AC35</f>
        <v>461.59848484848487</v>
      </c>
      <c r="AD166" s="750">
        <f>AD35</f>
        <v>453.83459595959602</v>
      </c>
      <c r="AE166" s="703">
        <f>AE35</f>
        <v>453.83459595959602</v>
      </c>
      <c r="AF166" s="705"/>
      <c r="AG166" s="749">
        <f>AG35</f>
        <v>456.65782828282835</v>
      </c>
      <c r="AH166" s="750">
        <f>AH35</f>
        <v>455.95202020202026</v>
      </c>
      <c r="AI166" s="750">
        <f>AI35</f>
        <v>572.41035353535358</v>
      </c>
      <c r="AJ166" s="750">
        <f>AJ35</f>
        <v>559</v>
      </c>
      <c r="AK166" s="703">
        <f>AK35</f>
        <v>559</v>
      </c>
      <c r="AL166" s="705"/>
      <c r="AM166" s="749">
        <f>AM35</f>
        <v>571.05860349127181</v>
      </c>
      <c r="AN166" s="750">
        <f>AN35</f>
        <v>568.17082294264344</v>
      </c>
      <c r="AO166" s="750">
        <f>AO35</f>
        <v>558.78553615960107</v>
      </c>
      <c r="AP166" s="750">
        <f>AP35</f>
        <v>579</v>
      </c>
      <c r="AQ166" s="703">
        <f>AQ35</f>
        <v>579</v>
      </c>
      <c r="AR166" s="705"/>
      <c r="AS166" s="749">
        <f>AS35</f>
        <v>476</v>
      </c>
      <c r="AT166" s="750">
        <f>AT35</f>
        <v>529</v>
      </c>
      <c r="AU166" s="750">
        <f>AU35</f>
        <v>558</v>
      </c>
      <c r="AV166" s="750">
        <f>AV35</f>
        <v>1956</v>
      </c>
      <c r="AW166" s="703">
        <f>AW35</f>
        <v>1956</v>
      </c>
      <c r="AX166" s="705"/>
      <c r="AY166" s="749">
        <f>AY35</f>
        <v>499</v>
      </c>
      <c r="AZ166" s="750">
        <f>AZ35</f>
        <v>489</v>
      </c>
      <c r="BA166" s="750">
        <f>BA35</f>
        <v>469</v>
      </c>
      <c r="BB166" s="750">
        <f>BB35</f>
        <v>414</v>
      </c>
      <c r="BC166" s="703">
        <f>BC35</f>
        <v>414</v>
      </c>
      <c r="BD166" s="705"/>
      <c r="BE166" s="749">
        <f>BE35</f>
        <v>412</v>
      </c>
      <c r="BF166" s="750">
        <f>BF35</f>
        <v>446</v>
      </c>
      <c r="BG166" s="750">
        <f>BG35</f>
        <v>356</v>
      </c>
      <c r="BH166" s="750">
        <f>BH35</f>
        <v>339</v>
      </c>
      <c r="BI166" s="703">
        <f>BI35</f>
        <v>339</v>
      </c>
      <c r="BJ166" s="705"/>
      <c r="BK166" s="749">
        <f>BK35</f>
        <v>331</v>
      </c>
      <c r="BL166" s="750">
        <f>BL35</f>
        <v>335</v>
      </c>
      <c r="BM166" s="750">
        <f>BM35</f>
        <v>285</v>
      </c>
      <c r="BN166" s="750">
        <f>BN35</f>
        <v>293</v>
      </c>
      <c r="BO166" s="703">
        <f>BO35</f>
        <v>293</v>
      </c>
      <c r="BP166" s="705"/>
      <c r="BQ166" s="749">
        <f>BQ35</f>
        <v>770</v>
      </c>
      <c r="BR166" s="750">
        <f>BR35</f>
        <v>770</v>
      </c>
      <c r="BS166" s="750">
        <f>BS35</f>
        <v>770</v>
      </c>
      <c r="BT166" s="750">
        <f>BT35</f>
        <v>770</v>
      </c>
      <c r="BU166" s="703">
        <f>BU35</f>
        <v>770</v>
      </c>
      <c r="BV166" s="705"/>
      <c r="BW166" s="749">
        <f>BW35</f>
        <v>770</v>
      </c>
      <c r="BX166" s="750">
        <f>BX35</f>
        <v>770</v>
      </c>
      <c r="BY166" s="750">
        <f>BY35</f>
        <v>770</v>
      </c>
      <c r="BZ166" s="750">
        <f>BZ35</f>
        <v>770</v>
      </c>
      <c r="CA166" s="703">
        <f>CA35</f>
        <v>770</v>
      </c>
      <c r="CB166" s="750"/>
      <c r="CC166" s="749">
        <f>CC35</f>
        <v>770</v>
      </c>
      <c r="CD166" s="750">
        <f>CD35</f>
        <v>770</v>
      </c>
      <c r="CE166" s="750">
        <f>CE35</f>
        <v>770</v>
      </c>
      <c r="CF166" s="750">
        <f>CF35</f>
        <v>770</v>
      </c>
      <c r="CG166" s="703">
        <f>CG35</f>
        <v>770</v>
      </c>
      <c r="CH166" s="495"/>
      <c r="CI166" s="749">
        <f>CI35</f>
        <v>770</v>
      </c>
      <c r="CJ166" s="750">
        <f>CJ35</f>
        <v>770</v>
      </c>
      <c r="CK166" s="750">
        <f>CK35</f>
        <v>770</v>
      </c>
      <c r="CL166" s="750">
        <f>CL35</f>
        <v>770</v>
      </c>
      <c r="CM166" s="703">
        <f>CM35</f>
        <v>770</v>
      </c>
      <c r="CN166" s="495"/>
      <c r="CO166" s="495"/>
      <c r="CP166" s="64"/>
    </row>
    <row r="167" spans="1:94" hidden="1" outlineLevel="1">
      <c r="A167" s="905" t="s">
        <v>368</v>
      </c>
      <c r="B167" s="495"/>
      <c r="C167" s="749">
        <f>SUM(C164:C166)</f>
        <v>774.06877826662503</v>
      </c>
      <c r="D167" s="750">
        <f>SUM(D164:D166)</f>
        <v>763.08860395401393</v>
      </c>
      <c r="E167" s="750">
        <f>SUM(E164:E166)</f>
        <v>820.13272859576409</v>
      </c>
      <c r="F167" s="750">
        <f>SUM(F164:F166)</f>
        <v>860.16312027673393</v>
      </c>
      <c r="G167" s="703">
        <f>SUM(G164:G166)</f>
        <v>860.16312027673393</v>
      </c>
      <c r="H167" s="495"/>
      <c r="I167" s="749">
        <f>SUM(I164:I166)</f>
        <v>1186.6392752249462</v>
      </c>
      <c r="J167" s="750">
        <f>SUM(J164:J166)</f>
        <v>1103.604207167924</v>
      </c>
      <c r="K167" s="750">
        <f>SUM(K164:K166)</f>
        <v>1099.3468949521498</v>
      </c>
      <c r="L167" s="750">
        <f>SUM(L164:L166)</f>
        <v>1080.690775376878</v>
      </c>
      <c r="M167" s="703">
        <f>SUM(M164:M166)</f>
        <v>1080.690775376878</v>
      </c>
      <c r="N167" s="495"/>
      <c r="O167" s="749">
        <f>SUM(O164:O166)</f>
        <v>1252.4926125181719</v>
      </c>
      <c r="P167" s="750">
        <f>SUM(P164:P166)</f>
        <v>934.02956277897613</v>
      </c>
      <c r="Q167" s="750">
        <f>SUM(Q164:Q166)</f>
        <v>933.18889655170972</v>
      </c>
      <c r="R167" s="750">
        <f>SUM(R164:R166)</f>
        <v>980.03659039447064</v>
      </c>
      <c r="S167" s="703">
        <f>SUM(S164:S166)</f>
        <v>980.03659039447064</v>
      </c>
      <c r="T167" s="705"/>
      <c r="U167" s="749">
        <f>SUM(U164:U166)</f>
        <v>983.26048144437709</v>
      </c>
      <c r="V167" s="750">
        <f>SUM(V164:V166)</f>
        <v>1004.0304657524387</v>
      </c>
      <c r="W167" s="750">
        <f>SUM(W164:W166)</f>
        <v>1255.6413415001448</v>
      </c>
      <c r="X167" s="750">
        <f>SUM(X164:X166)</f>
        <v>1395.1692739054765</v>
      </c>
      <c r="Y167" s="703">
        <f>SUM(Y164:Y166)</f>
        <v>1395.1692739054765</v>
      </c>
      <c r="Z167" s="705"/>
      <c r="AA167" s="749">
        <f>SUM(AA164:AA166)</f>
        <v>1331.3223777699748</v>
      </c>
      <c r="AB167" s="750">
        <f>SUM(AB164:AB166)</f>
        <v>1453.6897608742033</v>
      </c>
      <c r="AC167" s="750">
        <f>SUM(AC164:AC166)</f>
        <v>1394.9850159032117</v>
      </c>
      <c r="AD167" s="750">
        <f>SUM(AD164:AD166)</f>
        <v>1408.9024437649307</v>
      </c>
      <c r="AE167" s="703">
        <f>SUM(AE164:AE166)</f>
        <v>1408.9024437649307</v>
      </c>
      <c r="AF167" s="705"/>
      <c r="AG167" s="749">
        <f>SUM(AG164:AG166)</f>
        <v>1393.9216090112902</v>
      </c>
      <c r="AH167" s="750">
        <f>SUM(AH164:AH166)</f>
        <v>1419.8544376462751</v>
      </c>
      <c r="AI167" s="750">
        <f>SUM(AI164:AI166)</f>
        <v>1541.0945165522803</v>
      </c>
      <c r="AJ167" s="750">
        <f>SUM(AJ164:AJ166)</f>
        <v>1607</v>
      </c>
      <c r="AK167" s="703">
        <f>SUM(AK164:AK166)</f>
        <v>1607</v>
      </c>
      <c r="AL167" s="705"/>
      <c r="AM167" s="749">
        <f>SUM(AM164:AM166)</f>
        <v>1550.013622727321</v>
      </c>
      <c r="AN167" s="750">
        <f>SUM(AN164:AN166)</f>
        <v>1550.3206601770135</v>
      </c>
      <c r="AO167" s="750">
        <f>SUM(AO164:AO166)</f>
        <v>1523.0729720704157</v>
      </c>
      <c r="AP167" s="750">
        <f>SUM(AP164:AP166)</f>
        <v>1621</v>
      </c>
      <c r="AQ167" s="703">
        <f>SUM(AQ164:AQ166)</f>
        <v>1621</v>
      </c>
      <c r="AR167" s="705"/>
      <c r="AS167" s="749">
        <f>SUM(AS164:AS166)</f>
        <v>1489</v>
      </c>
      <c r="AT167" s="750">
        <f>SUM(AT164:AT166)</f>
        <v>1698</v>
      </c>
      <c r="AU167" s="750">
        <f>SUM(AU164:AU166)</f>
        <v>1631</v>
      </c>
      <c r="AV167" s="750">
        <f>SUM(AV164:AV166)</f>
        <v>3035</v>
      </c>
      <c r="AW167" s="703">
        <f>SUM(AW164:AW166)</f>
        <v>3035</v>
      </c>
      <c r="AX167" s="705"/>
      <c r="AY167" s="749">
        <f>SUM(AY164:AY166)</f>
        <v>1427</v>
      </c>
      <c r="AZ167" s="750">
        <f>SUM(AZ164:AZ166)</f>
        <v>1419</v>
      </c>
      <c r="BA167" s="750">
        <f>SUM(BA164:BA166)</f>
        <v>1322</v>
      </c>
      <c r="BB167" s="750">
        <f>SUM(BB164:BB166)</f>
        <v>1390</v>
      </c>
      <c r="BC167" s="703">
        <f>SUM(BC164:BC166)</f>
        <v>1390</v>
      </c>
      <c r="BD167" s="705"/>
      <c r="BE167" s="749">
        <f>SUM(BE164:BE166)</f>
        <v>1279</v>
      </c>
      <c r="BF167" s="750">
        <f>SUM(BF164:BF166)</f>
        <v>1344</v>
      </c>
      <c r="BG167" s="750">
        <f>SUM(BG164:BG166)</f>
        <v>1272</v>
      </c>
      <c r="BH167" s="750">
        <f>SUM(BH164:BH166)</f>
        <v>1284</v>
      </c>
      <c r="BI167" s="703">
        <f>SUM(BI164:BI166)</f>
        <v>1284</v>
      </c>
      <c r="BJ167" s="705"/>
      <c r="BK167" s="749">
        <f>SUM(BK164:BK166)</f>
        <v>1230</v>
      </c>
      <c r="BL167" s="750">
        <f>SUM(BL164:BL166)</f>
        <v>1281</v>
      </c>
      <c r="BM167" s="750">
        <f>SUM(BM164:BM166)</f>
        <v>1246</v>
      </c>
      <c r="BN167" s="750">
        <f>SUM(BN164:BN166)</f>
        <v>1346</v>
      </c>
      <c r="BO167" s="703">
        <f>SUM(BO164:BO166)</f>
        <v>1346</v>
      </c>
      <c r="BP167" s="705"/>
      <c r="BQ167" s="749">
        <f>SUM(BQ164:BQ166)</f>
        <v>1786</v>
      </c>
      <c r="BR167" s="750">
        <f>SUM(BR164:BR166)</f>
        <v>1831.8428997283959</v>
      </c>
      <c r="BS167" s="750">
        <f>SUM(BS164:BS166)</f>
        <v>1826.9224447104241</v>
      </c>
      <c r="BT167" s="750">
        <f>SUM(BT164:BT166)</f>
        <v>1920.7615168881484</v>
      </c>
      <c r="BU167" s="703">
        <f>SUM(BU164:BU166)</f>
        <v>1920.7615168881484</v>
      </c>
      <c r="BV167" s="705"/>
      <c r="BW167" s="749">
        <f>SUM(BW164:BW166)</f>
        <v>1831.7024285657726</v>
      </c>
      <c r="BX167" s="750">
        <f>SUM(BX164:BX166)</f>
        <v>1879.56399048154</v>
      </c>
      <c r="BY167" s="750">
        <f>SUM(BY164:BY166)</f>
        <v>1888.7707821263832</v>
      </c>
      <c r="BZ167" s="750">
        <f>SUM(BZ164:BZ166)</f>
        <v>1985.2881460669446</v>
      </c>
      <c r="CA167" s="703">
        <f>SUM(CA164:CA166)</f>
        <v>1985.2881460669446</v>
      </c>
      <c r="CB167" s="750"/>
      <c r="CC167" s="749">
        <f>SUM(CC164:CC166)</f>
        <v>1873.3157980438195</v>
      </c>
      <c r="CD167" s="750">
        <f>SUM(CD164:CD166)</f>
        <v>1923.7980409081154</v>
      </c>
      <c r="CE167" s="750">
        <f>SUM(CE164:CE166)</f>
        <v>1943.7791037954214</v>
      </c>
      <c r="CF167" s="750">
        <f>SUM(CF164:CF166)</f>
        <v>2040.7660750433108</v>
      </c>
      <c r="CG167" s="703">
        <f>SUM(CG164:CG166)</f>
        <v>2040.7660750433108</v>
      </c>
      <c r="CH167" s="495"/>
      <c r="CI167" s="749">
        <f>SUM(CI164:CI166)</f>
        <v>1919.6446494024051</v>
      </c>
      <c r="CJ167" s="750">
        <f>SUM(CJ164:CJ166)</f>
        <v>1973.1833269712565</v>
      </c>
      <c r="CK167" s="750">
        <f>SUM(CK164:CK166)</f>
        <v>2006.914884887422</v>
      </c>
      <c r="CL167" s="750">
        <f>SUM(CL164:CL166)</f>
        <v>2103.7471233119454</v>
      </c>
      <c r="CM167" s="703">
        <f>SUM(CM164:CM166)</f>
        <v>2103.7471233119454</v>
      </c>
      <c r="CN167" s="495"/>
      <c r="CO167" s="495"/>
      <c r="CP167" s="64"/>
    </row>
    <row r="168" spans="1:94" hidden="1" outlineLevel="1">
      <c r="A168" s="905"/>
      <c r="B168" s="498"/>
      <c r="C168" s="704"/>
      <c r="D168" s="702"/>
      <c r="E168" s="702"/>
      <c r="F168" s="702"/>
      <c r="G168" s="854"/>
      <c r="H168" s="498"/>
      <c r="I168" s="704"/>
      <c r="J168" s="702"/>
      <c r="K168" s="702"/>
      <c r="L168" s="702"/>
      <c r="M168" s="854"/>
      <c r="N168" s="498"/>
      <c r="O168" s="704"/>
      <c r="P168" s="702"/>
      <c r="Q168" s="702"/>
      <c r="R168" s="702"/>
      <c r="S168" s="854"/>
      <c r="T168" s="702"/>
      <c r="U168" s="704"/>
      <c r="V168" s="702"/>
      <c r="W168" s="702"/>
      <c r="X168" s="702"/>
      <c r="Y168" s="854"/>
      <c r="Z168" s="702"/>
      <c r="AA168" s="704"/>
      <c r="AB168" s="702"/>
      <c r="AC168" s="702"/>
      <c r="AD168" s="702"/>
      <c r="AE168" s="854"/>
      <c r="AF168" s="702"/>
      <c r="AG168" s="704"/>
      <c r="AH168" s="702"/>
      <c r="AI168" s="702"/>
      <c r="AJ168" s="702"/>
      <c r="AK168" s="854"/>
      <c r="AL168" s="702"/>
      <c r="AM168" s="704"/>
      <c r="AN168" s="702"/>
      <c r="AO168" s="702"/>
      <c r="AP168" s="702"/>
      <c r="AQ168" s="854"/>
      <c r="AR168" s="702"/>
      <c r="AS168" s="704"/>
      <c r="AT168" s="702"/>
      <c r="AU168" s="702"/>
      <c r="AV168" s="702"/>
      <c r="AW168" s="854"/>
      <c r="AX168" s="702"/>
      <c r="AY168" s="704"/>
      <c r="AZ168" s="702"/>
      <c r="BA168" s="702"/>
      <c r="BB168" s="702"/>
      <c r="BC168" s="854"/>
      <c r="BD168" s="702"/>
      <c r="BE168" s="704"/>
      <c r="BF168" s="702"/>
      <c r="BG168" s="702"/>
      <c r="BH168" s="702"/>
      <c r="BI168" s="854"/>
      <c r="BJ168" s="702"/>
      <c r="BK168" s="704"/>
      <c r="BL168" s="702"/>
      <c r="BM168" s="702"/>
      <c r="BN168" s="702"/>
      <c r="BO168" s="854"/>
      <c r="BP168" s="702"/>
      <c r="BQ168" s="704"/>
      <c r="BR168" s="702"/>
      <c r="BS168" s="702"/>
      <c r="BT168" s="702"/>
      <c r="BU168" s="854"/>
      <c r="BV168" s="702"/>
      <c r="BW168" s="704"/>
      <c r="BX168" s="702"/>
      <c r="BY168" s="702"/>
      <c r="BZ168" s="702"/>
      <c r="CA168" s="854"/>
      <c r="CB168" s="702"/>
      <c r="CC168" s="704"/>
      <c r="CD168" s="702"/>
      <c r="CE168" s="702"/>
      <c r="CF168" s="702"/>
      <c r="CG168" s="854"/>
      <c r="CH168" s="495"/>
      <c r="CI168" s="704"/>
      <c r="CJ168" s="702"/>
      <c r="CK168" s="702"/>
      <c r="CL168" s="702"/>
      <c r="CM168" s="854"/>
      <c r="CN168" s="495"/>
      <c r="CO168" s="495"/>
      <c r="CP168" s="64"/>
    </row>
    <row r="169" spans="1:94" hidden="1" outlineLevel="1">
      <c r="A169" s="890" t="s">
        <v>369</v>
      </c>
      <c r="B169" s="744"/>
      <c r="C169" s="745">
        <f>C162-C167</f>
        <v>829.06284994889711</v>
      </c>
      <c r="D169" s="746">
        <f>D162-D167</f>
        <v>842.57700044801732</v>
      </c>
      <c r="E169" s="746">
        <f>E162-E167</f>
        <v>970.6278948439849</v>
      </c>
      <c r="F169" s="746">
        <f>F162-F167</f>
        <v>1130.2626635690663</v>
      </c>
      <c r="G169" s="700">
        <f>G162-G167</f>
        <v>1130.2626635690663</v>
      </c>
      <c r="H169" s="744"/>
      <c r="I169" s="745">
        <f>I162-I167</f>
        <v>1065.5245447360617</v>
      </c>
      <c r="J169" s="746">
        <f>J162-J167</f>
        <v>1007.7762416124806</v>
      </c>
      <c r="K169" s="746">
        <f>K162-K167</f>
        <v>1023.4594974323668</v>
      </c>
      <c r="L169" s="746">
        <f>L162-L167</f>
        <v>946.60402174198134</v>
      </c>
      <c r="M169" s="700">
        <f>M162-M167</f>
        <v>946.60402174198134</v>
      </c>
      <c r="N169" s="744"/>
      <c r="O169" s="745">
        <f>O162-O167</f>
        <v>947.49576100349213</v>
      </c>
      <c r="P169" s="746">
        <f>P162-P167</f>
        <v>901.59359389243389</v>
      </c>
      <c r="Q169" s="746">
        <f>Q162-Q167</f>
        <v>897.76953230272727</v>
      </c>
      <c r="R169" s="746">
        <f>R162-R167</f>
        <v>871.49488209747335</v>
      </c>
      <c r="S169" s="700">
        <f>S162-S167</f>
        <v>871.49488209747335</v>
      </c>
      <c r="T169" s="204"/>
      <c r="U169" s="745">
        <f>U162-U167</f>
        <v>893.44149210952537</v>
      </c>
      <c r="V169" s="746">
        <f>V162-V167</f>
        <v>859.91638957228793</v>
      </c>
      <c r="W169" s="746">
        <f>W162-W167</f>
        <v>2043.2868070872919</v>
      </c>
      <c r="X169" s="746">
        <f>X162-X167</f>
        <v>2183.1473223027424</v>
      </c>
      <c r="Y169" s="700">
        <f>Y162-Y167</f>
        <v>2183.1473223027424</v>
      </c>
      <c r="Z169" s="204"/>
      <c r="AA169" s="745">
        <f>AA162-AA167</f>
        <v>2096.4498402670715</v>
      </c>
      <c r="AB169" s="746">
        <f>AB162-AB167</f>
        <v>2223.2620015278139</v>
      </c>
      <c r="AC169" s="746">
        <f>AC162-AC167</f>
        <v>2218.2529722959616</v>
      </c>
      <c r="AD169" s="746">
        <f>AD162-AD167</f>
        <v>2209.0925988684139</v>
      </c>
      <c r="AE169" s="700">
        <f>AE162-AE167</f>
        <v>2209.0925988684139</v>
      </c>
      <c r="AF169" s="204"/>
      <c r="AG169" s="745">
        <f>AG162-AG167</f>
        <v>2123.4909389645027</v>
      </c>
      <c r="AH169" s="746">
        <f>AH162-AH167</f>
        <v>2118.9706908595717</v>
      </c>
      <c r="AI169" s="746">
        <f>AI162-AI167</f>
        <v>4092.1669178619682</v>
      </c>
      <c r="AJ169" s="746">
        <f>AJ162-AJ167</f>
        <v>4362</v>
      </c>
      <c r="AK169" s="700">
        <f>AK162-AK167</f>
        <v>4362</v>
      </c>
      <c r="AL169" s="204"/>
      <c r="AM169" s="745">
        <f>AM162-AM167</f>
        <v>4486.6598852400039</v>
      </c>
      <c r="AN169" s="746">
        <f>AN162-AN167</f>
        <v>4367.6126429465648</v>
      </c>
      <c r="AO169" s="746">
        <f>AO162-AO167</f>
        <v>4301.757724098853</v>
      </c>
      <c r="AP169" s="746">
        <f>AP162-AP167</f>
        <v>4267</v>
      </c>
      <c r="AQ169" s="700">
        <f>AQ162-AQ167</f>
        <v>4267</v>
      </c>
      <c r="AR169" s="204"/>
      <c r="AS169" s="745">
        <f>AS162-AS167</f>
        <v>4386</v>
      </c>
      <c r="AT169" s="746">
        <f>AT162-AT167</f>
        <v>4285</v>
      </c>
      <c r="AU169" s="746">
        <f>AU162-AU167</f>
        <v>4255</v>
      </c>
      <c r="AV169" s="746">
        <f>AV162-AV167</f>
        <v>5482</v>
      </c>
      <c r="AW169" s="700">
        <f>AW162-AW167</f>
        <v>5482</v>
      </c>
      <c r="AX169" s="204"/>
      <c r="AY169" s="745">
        <f>AY162-AY167</f>
        <v>3884</v>
      </c>
      <c r="AZ169" s="746">
        <f>AZ162-AZ167</f>
        <v>3705</v>
      </c>
      <c r="BA169" s="746">
        <f>BA162-BA167</f>
        <v>3766</v>
      </c>
      <c r="BB169" s="746">
        <f>BB162-BB167</f>
        <v>3758</v>
      </c>
      <c r="BC169" s="700">
        <f>BC162-BC167</f>
        <v>3758</v>
      </c>
      <c r="BD169" s="204"/>
      <c r="BE169" s="745">
        <f>BE162-BE167</f>
        <v>4016</v>
      </c>
      <c r="BF169" s="746">
        <f>BF162-BF167</f>
        <v>4000</v>
      </c>
      <c r="BG169" s="746">
        <f>BG162-BG167</f>
        <v>4108</v>
      </c>
      <c r="BH169" s="746">
        <f>BH162-BH167</f>
        <v>4094</v>
      </c>
      <c r="BI169" s="700">
        <f>BI162-BI167</f>
        <v>4094</v>
      </c>
      <c r="BJ169" s="204"/>
      <c r="BK169" s="745">
        <f>BK162-BK167</f>
        <v>4268</v>
      </c>
      <c r="BL169" s="746">
        <f>BL162-BL167</f>
        <v>4212</v>
      </c>
      <c r="BM169" s="746">
        <f>BM162-BM167</f>
        <v>4315</v>
      </c>
      <c r="BN169" s="746">
        <f>BN162-BN167</f>
        <v>4267</v>
      </c>
      <c r="BO169" s="700">
        <f>BO162-BO167</f>
        <v>4267</v>
      </c>
      <c r="BP169" s="204"/>
      <c r="BQ169" s="745">
        <f>BQ162-BQ167</f>
        <v>3885</v>
      </c>
      <c r="BR169" s="746">
        <f>BR162-BR167</f>
        <v>3912.5894663767281</v>
      </c>
      <c r="BS169" s="746">
        <f>BS162-BS167</f>
        <v>3907.8820784245545</v>
      </c>
      <c r="BT169" s="746">
        <f>BT162-BT167</f>
        <v>3866.0176668321337</v>
      </c>
      <c r="BU169" s="700">
        <f>BU162-BU167</f>
        <v>3866.0176668321337</v>
      </c>
      <c r="BV169" s="204"/>
      <c r="BW169" s="745">
        <f>BW162-BW167</f>
        <v>3953.8048576988849</v>
      </c>
      <c r="BX169" s="746">
        <f>BX162-BX167</f>
        <v>3972.8715819382196</v>
      </c>
      <c r="BY169" s="746">
        <f>BY162-BY167</f>
        <v>3961.8069909975302</v>
      </c>
      <c r="BZ169" s="746">
        <f>BZ162-BZ167</f>
        <v>3904.8117305955116</v>
      </c>
      <c r="CA169" s="700">
        <f>CA162-CA167</f>
        <v>3904.8117305955116</v>
      </c>
      <c r="CB169" s="746"/>
      <c r="CC169" s="745">
        <f>CC162-CC167</f>
        <v>3986.6085277898924</v>
      </c>
      <c r="CD169" s="746">
        <f>CD162-CD167</f>
        <v>4015.4827860230489</v>
      </c>
      <c r="CE169" s="746">
        <f>CE162-CE167</f>
        <v>4011.8338518890723</v>
      </c>
      <c r="CF169" s="746">
        <f>CF162-CF167</f>
        <v>3955.07308224588</v>
      </c>
      <c r="CG169" s="700">
        <f>CG162-CG167</f>
        <v>3955.07308224588</v>
      </c>
      <c r="CH169" s="744"/>
      <c r="CI169" s="745">
        <f>CI162-CI167</f>
        <v>4031.0165105573114</v>
      </c>
      <c r="CJ169" s="746">
        <f>CJ162-CJ167</f>
        <v>4065.6584576993241</v>
      </c>
      <c r="CK169" s="746">
        <f>CK162-CK167</f>
        <v>4066.6662161715076</v>
      </c>
      <c r="CL169" s="746">
        <f>CL162-CL167</f>
        <v>4003.1823995522732</v>
      </c>
      <c r="CM169" s="700">
        <f>CM162-CM167</f>
        <v>4003.1823995522732</v>
      </c>
      <c r="CN169" s="744"/>
      <c r="CO169" s="744"/>
      <c r="CP169" s="89"/>
    </row>
    <row r="170" spans="1:94" hidden="1" outlineLevel="1">
      <c r="A170" s="911" t="s">
        <v>370</v>
      </c>
      <c r="B170" s="912"/>
      <c r="C170" s="913">
        <f>C149*4/1791</f>
        <v>1.0161920714684534</v>
      </c>
      <c r="D170" s="914">
        <f>D149*4/C169</f>
        <v>2.0649821664371122</v>
      </c>
      <c r="E170" s="914">
        <f>E149*4/D169</f>
        <v>2.2265027398118962</v>
      </c>
      <c r="F170" s="914">
        <f>F149*4/E169</f>
        <v>2.1594269144066822</v>
      </c>
      <c r="G170" s="915">
        <f>G149/1791</f>
        <v>1.0474595198213288</v>
      </c>
      <c r="H170" s="912"/>
      <c r="I170" s="913">
        <f>I149*4/1791</f>
        <v>1.1859296482412061</v>
      </c>
      <c r="J170" s="914">
        <f>J149*4/I169</f>
        <v>1.9896303754552549</v>
      </c>
      <c r="K170" s="914">
        <f>K149*4/J169</f>
        <v>2.1433329253167521</v>
      </c>
      <c r="L170" s="914">
        <f>L149*4/K169</f>
        <v>2.3215378878801336</v>
      </c>
      <c r="M170" s="915">
        <f>M149/1791</f>
        <v>1.225572305974316</v>
      </c>
      <c r="N170" s="912"/>
      <c r="O170" s="913">
        <f>O149*4/1791</f>
        <v>1.1725293132328307</v>
      </c>
      <c r="P170" s="914">
        <f>P149*4/O169</f>
        <v>2.1023840759881334</v>
      </c>
      <c r="Q170" s="914">
        <f>Q149*4/P169</f>
        <v>2.2005480223462017</v>
      </c>
      <c r="R170" s="914">
        <f>R149*4/Q169</f>
        <v>2.4237846370422984</v>
      </c>
      <c r="S170" s="915">
        <f>S149/1791</f>
        <v>1.1518704634282524</v>
      </c>
      <c r="T170" s="912"/>
      <c r="U170" s="913">
        <f>U149*4/S169</f>
        <v>2.6804517708443956</v>
      </c>
      <c r="V170" s="914">
        <f>V149*4/U169</f>
        <v>2.560883975287235</v>
      </c>
      <c r="W170" s="914">
        <f>W149*4/V169</f>
        <v>3.2700853642278584</v>
      </c>
      <c r="X170" s="914">
        <f>X149*4/W169</f>
        <v>1.6052567797252333</v>
      </c>
      <c r="Y170" s="915">
        <f>Y149/S169</f>
        <v>3.0740283793202634</v>
      </c>
      <c r="Z170" s="912"/>
      <c r="AA170" s="913">
        <f>AA149*4/Y169</f>
        <v>1.3796595260566289</v>
      </c>
      <c r="AB170" s="914">
        <f>AB149*4/AA169</f>
        <v>1.6122494013829656</v>
      </c>
      <c r="AC170" s="914">
        <f>AC149*4/AB169</f>
        <v>1.5040962323387981</v>
      </c>
      <c r="AD170" s="914">
        <f>AD149*4/AC169</f>
        <v>1.5796214605646397</v>
      </c>
      <c r="AE170" s="915">
        <f>AE149/Y169</f>
        <v>1.5161597049294295</v>
      </c>
      <c r="AF170" s="912"/>
      <c r="AG170" s="913">
        <f>AG149*4/AE169</f>
        <v>1.5517683603466688</v>
      </c>
      <c r="AH170" s="914">
        <f>AH149*4/AG169</f>
        <v>1.6143228761181467</v>
      </c>
      <c r="AI170" s="914">
        <f>AI149*4/AH169</f>
        <v>1.6574084838216137</v>
      </c>
      <c r="AJ170" s="914">
        <f>AJ149*4/AI169</f>
        <v>0.92958084954840348</v>
      </c>
      <c r="AK170" s="915">
        <f>AK149/AE169</f>
        <v>1.6038259336955214</v>
      </c>
      <c r="AL170" s="912"/>
      <c r="AM170" s="913">
        <f>AM149*4/AK169</f>
        <v>0.87849610270518108</v>
      </c>
      <c r="AN170" s="914">
        <f>AN149*4/AM169</f>
        <v>0.86656891751268106</v>
      </c>
      <c r="AO170" s="914">
        <f>AO149*4/AN169</f>
        <v>0.87095635784991932</v>
      </c>
      <c r="AP170" s="914">
        <f>AP149*4/AO169</f>
        <v>0.94194054149082207</v>
      </c>
      <c r="AQ170" s="915">
        <f>AQ149/AK169</f>
        <v>0.8927097661623109</v>
      </c>
      <c r="AR170" s="912"/>
      <c r="AS170" s="913">
        <f>AS149*4/AQ169</f>
        <v>0.94492617764237175</v>
      </c>
      <c r="AT170" s="914">
        <f>AT149*4/AS169</f>
        <v>0.90104879160966711</v>
      </c>
      <c r="AU170" s="914">
        <f>AU149*4/AT169</f>
        <v>0.94189031505250875</v>
      </c>
      <c r="AV170" s="914">
        <f>AV149*4/AU169</f>
        <v>0.9804935370152762</v>
      </c>
      <c r="AW170" s="915">
        <f>AW149/AQ169</f>
        <v>0.9486758846965081</v>
      </c>
      <c r="AX170" s="912"/>
      <c r="AY170" s="913">
        <f>AY149*4/AW169</f>
        <v>0.74863188617292964</v>
      </c>
      <c r="AZ170" s="914">
        <f>AZ149*4/AY169</f>
        <v>0.99176107106076206</v>
      </c>
      <c r="BA170" s="914">
        <f>BA149*4/AZ169</f>
        <v>1.0947368421052632</v>
      </c>
      <c r="BB170" s="914">
        <f>BB149*4/BA169</f>
        <v>1.0993096123207646</v>
      </c>
      <c r="BC170" s="915">
        <f>BC149/AW169</f>
        <v>0.73659248449470993</v>
      </c>
      <c r="BD170" s="912"/>
      <c r="BE170" s="913">
        <f>BE149*4/BC169</f>
        <v>1.0941990420436403</v>
      </c>
      <c r="BF170" s="914">
        <f>BF149*4/BE169</f>
        <v>1.0149402390438247</v>
      </c>
      <c r="BG170" s="914">
        <f>BG149*4/BF169</f>
        <v>1.044</v>
      </c>
      <c r="BH170" s="914">
        <f>BH149*4/BG169</f>
        <v>1.0817916260954235</v>
      </c>
      <c r="BI170" s="915">
        <f>BI149/BC169</f>
        <v>1.1181479510377861</v>
      </c>
      <c r="BJ170" s="912"/>
      <c r="BK170" s="913">
        <f>BK149*4/BI169</f>
        <v>1.0425012212994627</v>
      </c>
      <c r="BL170" s="914">
        <f>BL149*4/BK169</f>
        <v>1.0328022492970947</v>
      </c>
      <c r="BM170" s="914">
        <f>BM149*4/BL169</f>
        <v>1.0579297245963912</v>
      </c>
      <c r="BN170" s="914">
        <f>BN149*4/BM169</f>
        <v>1.1022016222479722</v>
      </c>
      <c r="BO170" s="915">
        <f>BO149/BI169</f>
        <v>1.0923302393746948</v>
      </c>
      <c r="BP170" s="912"/>
      <c r="BQ170" s="913">
        <f>BQ149*4/BO169</f>
        <v>1.1352238106397938</v>
      </c>
      <c r="BR170" s="914">
        <f>BR149*4/BQ169</f>
        <v>1.2928740364957512</v>
      </c>
      <c r="BS170" s="914">
        <f>BS149*4/BR169</f>
        <v>1.2707076946620977</v>
      </c>
      <c r="BT170" s="914">
        <f>BT149*4/BS169</f>
        <v>1.3494386870582948</v>
      </c>
      <c r="BU170" s="915">
        <f>BU149/BO169</f>
        <v>1.1783466389648842</v>
      </c>
      <c r="BV170" s="912"/>
      <c r="BW170" s="913">
        <f>BW149*4/BU169</f>
        <v>1.3373822565771727</v>
      </c>
      <c r="BX170" s="914">
        <f>BX149*4/BW169</f>
        <v>1.3562076388753548</v>
      </c>
      <c r="BY170" s="914">
        <f>BY149*4/BX169</f>
        <v>1.3527039218570747</v>
      </c>
      <c r="BZ170" s="914">
        <f>BZ149*4/BY169</f>
        <v>1.4353615383338032</v>
      </c>
      <c r="CA170" s="915">
        <f>CA149/BU169</f>
        <v>1.3963508440628052</v>
      </c>
      <c r="CB170" s="2127"/>
      <c r="CC170" s="913">
        <f>CC149*4/CA169</f>
        <v>1.401990737969633</v>
      </c>
      <c r="CD170" s="914">
        <f>CD149*4/CC169</f>
        <v>1.4281882951582854</v>
      </c>
      <c r="CE170" s="914">
        <f>CE149*4/CD169</f>
        <v>1.4320263854799882</v>
      </c>
      <c r="CF170" s="914">
        <f>CF149*4/CE169</f>
        <v>1.5115553236133983</v>
      </c>
      <c r="CG170" s="915">
        <f>CG149/CA169</f>
        <v>1.47142328609617</v>
      </c>
      <c r="CH170" s="912"/>
      <c r="CI170" s="913">
        <f>CI149*4/CG169</f>
        <v>1.4683956396312556</v>
      </c>
      <c r="CJ170" s="914">
        <f>CJ149*4/CI169</f>
        <v>1.5030243018514267</v>
      </c>
      <c r="CK170" s="914">
        <f>CK149*4/CJ169</f>
        <v>1.5185810563361106</v>
      </c>
      <c r="CL170" s="914">
        <f>CL149*4/CK169</f>
        <v>1.5947599994732504</v>
      </c>
      <c r="CM170" s="915">
        <f>CM149/CG169</f>
        <v>1.5502694806812738</v>
      </c>
      <c r="CN170" s="912"/>
      <c r="CO170" s="912"/>
      <c r="CP170" s="6"/>
    </row>
    <row r="171" spans="1:94" ht="4.5" customHeight="1" collapsed="1">
      <c r="A171" s="1900"/>
      <c r="B171" s="79"/>
      <c r="C171" s="1899"/>
      <c r="D171" s="1899"/>
      <c r="E171" s="1899"/>
      <c r="F171" s="1899"/>
      <c r="G171" s="1899"/>
      <c r="H171" s="79"/>
      <c r="I171" s="1899"/>
      <c r="J171" s="1899"/>
      <c r="K171" s="1899"/>
      <c r="L171" s="1899"/>
      <c r="M171" s="1899"/>
      <c r="N171" s="79"/>
      <c r="O171" s="1899"/>
      <c r="P171" s="1899"/>
      <c r="Q171" s="1899"/>
      <c r="R171" s="1899"/>
      <c r="S171" s="1899"/>
      <c r="T171" s="916"/>
      <c r="U171" s="1899"/>
      <c r="V171" s="1899"/>
      <c r="W171" s="1899"/>
      <c r="X171" s="1899"/>
      <c r="Y171" s="1899"/>
      <c r="Z171" s="916"/>
      <c r="AA171" s="1899"/>
      <c r="AB171" s="1899"/>
      <c r="AC171" s="1899"/>
      <c r="AD171" s="1899"/>
      <c r="AE171" s="1899"/>
      <c r="AF171" s="916"/>
      <c r="AG171" s="1899"/>
      <c r="AH171" s="1899"/>
      <c r="AI171" s="1899"/>
      <c r="AJ171" s="1899"/>
      <c r="AK171" s="1899"/>
      <c r="AL171" s="916"/>
      <c r="AM171" s="1899"/>
      <c r="AN171" s="1899"/>
      <c r="AO171" s="1899"/>
      <c r="AP171" s="1899"/>
      <c r="AQ171" s="1899"/>
      <c r="AR171" s="916"/>
      <c r="AS171" s="1899"/>
      <c r="AT171" s="1899"/>
      <c r="AU171" s="1899"/>
      <c r="AV171" s="1899"/>
      <c r="AW171" s="1899"/>
      <c r="AX171" s="916"/>
      <c r="AY171" s="1899"/>
      <c r="AZ171" s="1899"/>
      <c r="BA171" s="1899"/>
      <c r="BB171" s="1899"/>
      <c r="BC171" s="1899"/>
      <c r="BD171" s="916"/>
      <c r="BE171" s="1899"/>
      <c r="BF171" s="1899"/>
      <c r="BG171" s="1899"/>
      <c r="BH171" s="1899"/>
      <c r="BI171" s="1899"/>
      <c r="BJ171" s="916"/>
      <c r="BK171" s="328"/>
      <c r="BL171" s="328"/>
      <c r="BM171" s="328"/>
      <c r="BN171" s="328"/>
      <c r="BO171" s="1899"/>
      <c r="BP171" s="916"/>
      <c r="BQ171" s="328"/>
      <c r="BR171" s="328"/>
      <c r="BS171" s="328"/>
      <c r="BT171" s="328"/>
      <c r="BU171" s="1899"/>
      <c r="BV171" s="916"/>
      <c r="BW171" s="328"/>
      <c r="BX171" s="328"/>
      <c r="BY171" s="328"/>
      <c r="BZ171" s="328"/>
      <c r="CA171" s="1899"/>
      <c r="CB171" s="916"/>
      <c r="CC171" s="328"/>
      <c r="CD171" s="328"/>
      <c r="CE171" s="328"/>
      <c r="CF171" s="328"/>
      <c r="CG171" s="1899"/>
      <c r="CH171" s="6"/>
      <c r="CI171" s="328"/>
      <c r="CJ171" s="328"/>
      <c r="CK171" s="328"/>
      <c r="CL171" s="328"/>
      <c r="CM171" s="1899"/>
      <c r="CN171" s="6"/>
      <c r="CO171" s="6"/>
      <c r="CP171" s="6"/>
    </row>
    <row r="172" spans="1:94" hidden="1" outlineLevel="2">
      <c r="A172" s="1299" t="s">
        <v>97</v>
      </c>
      <c r="B172" s="315"/>
      <c r="C172" s="1715">
        <v>0.3</v>
      </c>
      <c r="D172" s="1715">
        <v>0.23</v>
      </c>
      <c r="E172" s="1715">
        <v>0.26</v>
      </c>
      <c r="F172" s="1715">
        <v>0.28999999999999998</v>
      </c>
      <c r="G172" s="1522">
        <f>AVERAGE(C172:F172)</f>
        <v>0.27</v>
      </c>
      <c r="H172" s="315"/>
      <c r="I172" s="1716">
        <v>0.23</v>
      </c>
      <c r="J172" s="1715">
        <v>0.21</v>
      </c>
      <c r="K172" s="1715">
        <v>0.25</v>
      </c>
      <c r="L172" s="1715">
        <v>0.31</v>
      </c>
      <c r="M172" s="1522">
        <f>AVERAGE(I172:L172)</f>
        <v>0.25</v>
      </c>
      <c r="N172" s="315"/>
      <c r="O172" s="1716">
        <v>0.26</v>
      </c>
      <c r="P172" s="1715">
        <v>0.25</v>
      </c>
      <c r="Q172" s="1715">
        <v>0.24</v>
      </c>
      <c r="R172" s="1715">
        <v>0.34</v>
      </c>
      <c r="S172" s="1522">
        <f>AVERAGE(O172:R172)</f>
        <v>0.27250000000000002</v>
      </c>
      <c r="T172" s="917"/>
      <c r="U172" s="1716">
        <v>0.35</v>
      </c>
      <c r="V172" s="1715">
        <v>0.27</v>
      </c>
      <c r="W172" s="1715">
        <v>0.19</v>
      </c>
      <c r="X172" s="1719">
        <v>0.22</v>
      </c>
      <c r="Y172" s="1522">
        <f>AVERAGE(U172:X172)</f>
        <v>0.25750000000000001</v>
      </c>
      <c r="Z172" s="917"/>
      <c r="AA172" s="1716">
        <v>0.14000000000000001</v>
      </c>
      <c r="AB172" s="1715">
        <v>0.16</v>
      </c>
      <c r="AC172" s="1715">
        <v>0.15</v>
      </c>
      <c r="AD172" s="1715">
        <v>0.16</v>
      </c>
      <c r="AE172" s="1522">
        <f>AVERAGE(AA172:AD172)</f>
        <v>0.15250000000000002</v>
      </c>
      <c r="AF172" s="918"/>
      <c r="AG172" s="1716">
        <v>0.17</v>
      </c>
      <c r="AH172" s="1715">
        <v>0.14000000000000001</v>
      </c>
      <c r="AI172" s="1715">
        <v>0.17</v>
      </c>
      <c r="AJ172" s="1715">
        <v>0.21</v>
      </c>
      <c r="AK172" s="1522">
        <f>AVERAGE(AG172:AJ172)</f>
        <v>0.17250000000000001</v>
      </c>
      <c r="AL172" s="918"/>
      <c r="AM172" s="1716">
        <v>0.18</v>
      </c>
      <c r="AN172" s="1715">
        <v>0.2</v>
      </c>
      <c r="AO172" s="1715">
        <v>0.21</v>
      </c>
      <c r="AP172" s="1521"/>
      <c r="AQ172" s="1522">
        <f>AVERAGE(AM172:AP172)</f>
        <v>0.19666666666666666</v>
      </c>
      <c r="AR172" s="918"/>
      <c r="AS172" s="1523"/>
      <c r="AT172" s="1521"/>
      <c r="AU172" s="1521"/>
      <c r="AV172" s="1521"/>
      <c r="AW172" s="1522"/>
      <c r="AX172" s="918"/>
      <c r="AY172" s="1523"/>
      <c r="AZ172" s="1521"/>
      <c r="BA172" s="1521"/>
      <c r="BB172" s="1521"/>
      <c r="BC172" s="1522"/>
      <c r="BD172" s="918"/>
      <c r="BE172" s="1523"/>
      <c r="BF172" s="1521"/>
      <c r="BG172" s="1521"/>
      <c r="BH172" s="1521"/>
      <c r="BI172" s="1522"/>
      <c r="BJ172" s="918"/>
      <c r="BK172" s="1523"/>
      <c r="BL172" s="1521"/>
      <c r="BM172" s="1521"/>
      <c r="BN172" s="1521"/>
      <c r="BO172" s="1522"/>
      <c r="BP172" s="918"/>
      <c r="BQ172" s="1523"/>
      <c r="BR172" s="1521"/>
      <c r="BS172" s="1521"/>
      <c r="BT172" s="1521"/>
      <c r="BU172" s="1522"/>
      <c r="BV172" s="918"/>
      <c r="BW172" s="1523"/>
      <c r="BX172" s="1521"/>
      <c r="BY172" s="1521"/>
      <c r="BZ172" s="1521"/>
      <c r="CA172" s="1522"/>
      <c r="CB172" s="1301"/>
      <c r="CC172" s="1523"/>
      <c r="CD172" s="1521"/>
      <c r="CE172" s="1521"/>
      <c r="CF172" s="1521"/>
      <c r="CG172" s="1522"/>
      <c r="CH172" s="6"/>
      <c r="CI172" s="1523"/>
      <c r="CJ172" s="1521"/>
      <c r="CK172" s="1521"/>
      <c r="CL172" s="1521"/>
      <c r="CM172" s="1522"/>
      <c r="CN172" s="6"/>
      <c r="CO172" s="6"/>
      <c r="CP172" s="6"/>
    </row>
    <row r="173" spans="1:94" hidden="1" outlineLevel="2">
      <c r="A173" s="1298" t="s">
        <v>371</v>
      </c>
      <c r="B173" s="315"/>
      <c r="C173" s="1524"/>
      <c r="D173" s="1525"/>
      <c r="E173" s="1525"/>
      <c r="F173" s="1525"/>
      <c r="G173" s="1302"/>
      <c r="H173" s="315"/>
      <c r="I173" s="1524"/>
      <c r="J173" s="1525"/>
      <c r="K173" s="1525"/>
      <c r="L173" s="1525"/>
      <c r="M173" s="1302"/>
      <c r="N173" s="315"/>
      <c r="O173" s="1717">
        <v>0.01</v>
      </c>
      <c r="P173" s="1718">
        <v>0.08</v>
      </c>
      <c r="Q173" s="1718">
        <v>0.04</v>
      </c>
      <c r="R173" s="1718">
        <v>0.02</v>
      </c>
      <c r="S173" s="1302">
        <f>AVERAGE(O173:R173)</f>
        <v>3.7499999999999999E-2</v>
      </c>
      <c r="T173" s="919"/>
      <c r="U173" s="1717">
        <v>0.03</v>
      </c>
      <c r="V173" s="1718">
        <v>0.06</v>
      </c>
      <c r="W173" s="1718">
        <v>0.03</v>
      </c>
      <c r="X173" s="1720">
        <v>0.03</v>
      </c>
      <c r="Y173" s="1302">
        <f>AVERAGE(U173:X173)</f>
        <v>3.7499999999999999E-2</v>
      </c>
      <c r="Z173" s="919"/>
      <c r="AA173" s="1717">
        <v>7.0000000000000007E-2</v>
      </c>
      <c r="AB173" s="1718">
        <v>0.1</v>
      </c>
      <c r="AC173" s="1718">
        <v>0.1</v>
      </c>
      <c r="AD173" s="1718">
        <v>0.11</v>
      </c>
      <c r="AE173" s="1302">
        <f>AVERAGE(AA173:AD173)</f>
        <v>9.5000000000000001E-2</v>
      </c>
      <c r="AF173" s="920"/>
      <c r="AG173" s="1717">
        <v>0.09</v>
      </c>
      <c r="AH173" s="1718">
        <v>0.15</v>
      </c>
      <c r="AI173" s="1718">
        <v>0.02</v>
      </c>
      <c r="AJ173" s="1718">
        <v>0.03</v>
      </c>
      <c r="AK173" s="1302">
        <f>AVERAGE(AG173:AJ173)</f>
        <v>7.2500000000000009E-2</v>
      </c>
      <c r="AL173" s="920"/>
      <c r="AM173" s="1717">
        <v>0.03</v>
      </c>
      <c r="AN173" s="1718">
        <v>0.03</v>
      </c>
      <c r="AO173" s="1718">
        <v>0.03</v>
      </c>
      <c r="AP173" s="1525"/>
      <c r="AQ173" s="1302">
        <f>AVERAGE(AM173:AP173)</f>
        <v>0.03</v>
      </c>
      <c r="AR173" s="920"/>
      <c r="AS173" s="1524"/>
      <c r="AT173" s="1525"/>
      <c r="AU173" s="1525"/>
      <c r="AV173" s="1525"/>
      <c r="AW173" s="1302"/>
      <c r="AX173" s="920"/>
      <c r="AY173" s="1524"/>
      <c r="AZ173" s="1525"/>
      <c r="BA173" s="1525"/>
      <c r="BB173" s="1525"/>
      <c r="BC173" s="1302"/>
      <c r="BD173" s="920"/>
      <c r="BE173" s="1524"/>
      <c r="BF173" s="1525"/>
      <c r="BG173" s="1525"/>
      <c r="BH173" s="1525"/>
      <c r="BI173" s="1302"/>
      <c r="BJ173" s="920"/>
      <c r="BK173" s="1524"/>
      <c r="BL173" s="1525"/>
      <c r="BM173" s="1525"/>
      <c r="BN173" s="1525"/>
      <c r="BO173" s="1302"/>
      <c r="BP173" s="920"/>
      <c r="BQ173" s="1524"/>
      <c r="BR173" s="1525"/>
      <c r="BS173" s="1525"/>
      <c r="BT173" s="1525"/>
      <c r="BU173" s="1302"/>
      <c r="BV173" s="920"/>
      <c r="BW173" s="1524"/>
      <c r="BX173" s="1525"/>
      <c r="BY173" s="1525"/>
      <c r="BZ173" s="1525"/>
      <c r="CA173" s="1302"/>
      <c r="CB173" s="1301"/>
      <c r="CC173" s="1524"/>
      <c r="CD173" s="1525"/>
      <c r="CE173" s="1525"/>
      <c r="CF173" s="1525"/>
      <c r="CG173" s="1302"/>
      <c r="CH173" s="79"/>
      <c r="CI173" s="1524"/>
      <c r="CJ173" s="1525"/>
      <c r="CK173" s="1525"/>
      <c r="CL173" s="1525"/>
      <c r="CM173" s="1302"/>
      <c r="CN173" s="79"/>
      <c r="CO173" s="79"/>
      <c r="CP173" s="79"/>
    </row>
    <row r="174" spans="1:94" hidden="1" outlineLevel="2">
      <c r="A174" s="1298" t="s">
        <v>101</v>
      </c>
      <c r="B174" s="315"/>
      <c r="C174" s="1524"/>
      <c r="D174" s="1525"/>
      <c r="E174" s="1525"/>
      <c r="F174" s="1525"/>
      <c r="G174" s="1302"/>
      <c r="H174" s="315"/>
      <c r="I174" s="1524"/>
      <c r="J174" s="1525"/>
      <c r="K174" s="1525"/>
      <c r="L174" s="1525"/>
      <c r="M174" s="1302"/>
      <c r="N174" s="315"/>
      <c r="O174" s="1717">
        <v>0.45</v>
      </c>
      <c r="P174" s="1718">
        <v>0.4</v>
      </c>
      <c r="Q174" s="1718">
        <v>0.47</v>
      </c>
      <c r="R174" s="1718">
        <v>0.59</v>
      </c>
      <c r="S174" s="1302">
        <f>AVERAGE(O174:R174)</f>
        <v>0.47750000000000004</v>
      </c>
      <c r="T174" s="919"/>
      <c r="U174" s="1717">
        <v>0.6</v>
      </c>
      <c r="V174" s="1718">
        <v>0.48</v>
      </c>
      <c r="W174" s="1718">
        <v>0.17</v>
      </c>
      <c r="X174" s="1720">
        <v>0.2</v>
      </c>
      <c r="Y174" s="1302">
        <f>AVERAGE(U174:X174)</f>
        <v>0.36249999999999999</v>
      </c>
      <c r="Z174" s="919"/>
      <c r="AA174" s="1717">
        <v>0.15</v>
      </c>
      <c r="AB174" s="1718">
        <v>0.16</v>
      </c>
      <c r="AC174" s="1718">
        <v>0.18</v>
      </c>
      <c r="AD174" s="1718">
        <v>0.22</v>
      </c>
      <c r="AE174" s="1302">
        <f>AVERAGE(AA174:AD174)</f>
        <v>0.17749999999999999</v>
      </c>
      <c r="AF174" s="920"/>
      <c r="AG174" s="1717">
        <v>0.2</v>
      </c>
      <c r="AH174" s="1718">
        <v>0.17</v>
      </c>
      <c r="AI174" s="1718">
        <v>0.18</v>
      </c>
      <c r="AJ174" s="1718">
        <v>0.22</v>
      </c>
      <c r="AK174" s="1302">
        <f>AVERAGE(AG174:AJ174)</f>
        <v>0.1925</v>
      </c>
      <c r="AL174" s="920"/>
      <c r="AM174" s="1717">
        <v>0.18</v>
      </c>
      <c r="AN174" s="1718">
        <v>0.2</v>
      </c>
      <c r="AO174" s="1718">
        <v>0.19</v>
      </c>
      <c r="AP174" s="1718">
        <v>0.23</v>
      </c>
      <c r="AQ174" s="1302">
        <f>AVERAGE(AM174:AP174)</f>
        <v>0.2</v>
      </c>
      <c r="AR174" s="920"/>
      <c r="AS174" s="1717">
        <v>0.21</v>
      </c>
      <c r="AT174" s="1718">
        <v>0.2</v>
      </c>
      <c r="AU174" s="1718">
        <v>0.21</v>
      </c>
      <c r="AV174" s="1525"/>
      <c r="AW174" s="1302"/>
      <c r="AX174" s="920"/>
      <c r="AY174" s="1524"/>
      <c r="AZ174" s="1525"/>
      <c r="BA174" s="1525"/>
      <c r="BB174" s="1525"/>
      <c r="BC174" s="1302"/>
      <c r="BD174" s="920"/>
      <c r="BE174" s="1524"/>
      <c r="BF174" s="1525"/>
      <c r="BG174" s="1525"/>
      <c r="BH174" s="1525"/>
      <c r="BI174" s="1302"/>
      <c r="BJ174" s="920"/>
      <c r="BK174" s="1524"/>
      <c r="BL174" s="1525"/>
      <c r="BM174" s="1525"/>
      <c r="BN174" s="1525"/>
      <c r="BO174" s="1302"/>
      <c r="BP174" s="920"/>
      <c r="BQ174" s="1524"/>
      <c r="BR174" s="1525"/>
      <c r="BS174" s="1525"/>
      <c r="BT174" s="1525"/>
      <c r="BU174" s="1302"/>
      <c r="BV174" s="920"/>
      <c r="BW174" s="1524"/>
      <c r="BX174" s="1525"/>
      <c r="BY174" s="1525"/>
      <c r="BZ174" s="1525"/>
      <c r="CA174" s="1302"/>
      <c r="CB174" s="1301"/>
      <c r="CC174" s="1524"/>
      <c r="CD174" s="1525"/>
      <c r="CE174" s="1525"/>
      <c r="CF174" s="1525"/>
      <c r="CG174" s="1302"/>
      <c r="CH174" s="6"/>
      <c r="CI174" s="1524"/>
      <c r="CJ174" s="1525"/>
      <c r="CK174" s="1525"/>
      <c r="CL174" s="1525"/>
      <c r="CM174" s="1302"/>
      <c r="CN174" s="6"/>
      <c r="CO174" s="6"/>
      <c r="CP174" s="6"/>
    </row>
    <row r="175" spans="1:94" hidden="1" outlineLevel="2">
      <c r="A175" s="1298" t="s">
        <v>103</v>
      </c>
      <c r="B175" s="315"/>
      <c r="C175" s="1524"/>
      <c r="D175" s="1525"/>
      <c r="E175" s="1525"/>
      <c r="F175" s="1525"/>
      <c r="G175" s="1302"/>
      <c r="H175" s="315"/>
      <c r="I175" s="1524"/>
      <c r="J175" s="1525"/>
      <c r="K175" s="1525"/>
      <c r="L175" s="1525"/>
      <c r="M175" s="1302"/>
      <c r="N175" s="315"/>
      <c r="O175" s="1524"/>
      <c r="P175" s="1525"/>
      <c r="Q175" s="1525"/>
      <c r="R175" s="1525"/>
      <c r="S175" s="1302"/>
      <c r="T175" s="919"/>
      <c r="U175" s="1524"/>
      <c r="V175" s="1525"/>
      <c r="W175" s="1525"/>
      <c r="X175" s="1526"/>
      <c r="Y175" s="1302"/>
      <c r="Z175" s="919"/>
      <c r="AA175" s="1524"/>
      <c r="AB175" s="1525"/>
      <c r="AC175" s="1525"/>
      <c r="AD175" s="1525"/>
      <c r="AE175" s="1302"/>
      <c r="AF175" s="920"/>
      <c r="AG175" s="1524"/>
      <c r="AH175" s="1525"/>
      <c r="AI175" s="1525"/>
      <c r="AJ175" s="1525"/>
      <c r="AK175" s="1302"/>
      <c r="AL175" s="920"/>
      <c r="AM175" s="1524"/>
      <c r="AN175" s="1525"/>
      <c r="AO175" s="1525"/>
      <c r="AP175" s="1718">
        <v>0.1</v>
      </c>
      <c r="AQ175" s="1302">
        <f>AVERAGE(AM175:AP175)</f>
        <v>0.1</v>
      </c>
      <c r="AR175" s="920"/>
      <c r="AS175" s="1717">
        <v>0.09</v>
      </c>
      <c r="AT175" s="1718">
        <v>7.0000000000000007E-2</v>
      </c>
      <c r="AU175" s="1718">
        <v>0.08</v>
      </c>
      <c r="AV175" s="1525"/>
      <c r="AW175" s="1302"/>
      <c r="AX175" s="920"/>
      <c r="AY175" s="1524"/>
      <c r="AZ175" s="1525"/>
      <c r="BA175" s="1525"/>
      <c r="BB175" s="1525"/>
      <c r="BC175" s="1302"/>
      <c r="BD175" s="920"/>
      <c r="BE175" s="1524"/>
      <c r="BF175" s="1525"/>
      <c r="BG175" s="1525"/>
      <c r="BH175" s="1525"/>
      <c r="BI175" s="1302"/>
      <c r="BJ175" s="920"/>
      <c r="BK175" s="1524"/>
      <c r="BL175" s="1525"/>
      <c r="BM175" s="1525"/>
      <c r="BN175" s="1525"/>
      <c r="BO175" s="1302"/>
      <c r="BP175" s="920"/>
      <c r="BQ175" s="1524"/>
      <c r="BR175" s="1525"/>
      <c r="BS175" s="1525"/>
      <c r="BT175" s="1525"/>
      <c r="BU175" s="1302"/>
      <c r="BV175" s="920"/>
      <c r="BW175" s="1524"/>
      <c r="BX175" s="1525"/>
      <c r="BY175" s="1525"/>
      <c r="BZ175" s="1525"/>
      <c r="CA175" s="1302"/>
      <c r="CB175" s="1301"/>
      <c r="CC175" s="1524"/>
      <c r="CD175" s="1525"/>
      <c r="CE175" s="1525"/>
      <c r="CF175" s="1525"/>
      <c r="CG175" s="1302"/>
      <c r="CH175" s="6"/>
      <c r="CI175" s="1524"/>
      <c r="CJ175" s="1525"/>
      <c r="CK175" s="1525"/>
      <c r="CL175" s="1525"/>
      <c r="CM175" s="1302"/>
      <c r="CN175" s="6"/>
      <c r="CO175" s="6"/>
      <c r="CP175" s="6"/>
    </row>
    <row r="176" spans="1:94" hidden="1" outlineLevel="1" collapsed="1">
      <c r="A176" s="501" t="s">
        <v>105</v>
      </c>
      <c r="B176" s="315"/>
      <c r="C176" s="923"/>
      <c r="D176" s="919"/>
      <c r="E176" s="919"/>
      <c r="F176" s="919"/>
      <c r="G176" s="921"/>
      <c r="H176" s="315"/>
      <c r="I176" s="923"/>
      <c r="J176" s="919"/>
      <c r="K176" s="919"/>
      <c r="L176" s="919"/>
      <c r="M176" s="921"/>
      <c r="N176" s="924"/>
      <c r="O176" s="923"/>
      <c r="P176" s="919"/>
      <c r="Q176" s="919"/>
      <c r="R176" s="919"/>
      <c r="S176" s="921"/>
      <c r="T176" s="919"/>
      <c r="U176" s="923"/>
      <c r="V176" s="919"/>
      <c r="W176" s="919"/>
      <c r="X176" s="925"/>
      <c r="Y176" s="921"/>
      <c r="Z176" s="919"/>
      <c r="AA176" s="923"/>
      <c r="AB176" s="919"/>
      <c r="AC176" s="919"/>
      <c r="AD176" s="919"/>
      <c r="AE176" s="921"/>
      <c r="AF176" s="920"/>
      <c r="AG176" s="923"/>
      <c r="AH176" s="919"/>
      <c r="AI176" s="919"/>
      <c r="AJ176" s="919"/>
      <c r="AK176" s="921"/>
      <c r="AL176" s="920"/>
      <c r="AM176" s="923"/>
      <c r="AN176" s="919"/>
      <c r="AO176" s="919"/>
      <c r="AP176" s="919"/>
      <c r="AQ176" s="921"/>
      <c r="AR176" s="920"/>
      <c r="AS176" s="923"/>
      <c r="AT176" s="919"/>
      <c r="AU176" s="919"/>
      <c r="AV176" s="919"/>
      <c r="AW176" s="921"/>
      <c r="AX176" s="920"/>
      <c r="AY176" s="923"/>
      <c r="AZ176" s="919"/>
      <c r="BA176" s="919"/>
      <c r="BB176" s="919"/>
      <c r="BC176" s="921"/>
      <c r="BD176" s="920"/>
      <c r="BE176" s="923"/>
      <c r="BF176" s="919"/>
      <c r="BG176" s="919"/>
      <c r="BH176" s="919"/>
      <c r="BI176" s="921"/>
      <c r="BJ176" s="920"/>
      <c r="BK176" s="923"/>
      <c r="BL176" s="919"/>
      <c r="BM176" s="919"/>
      <c r="BN176" s="919"/>
      <c r="BO176" s="921"/>
      <c r="BP176" s="920"/>
      <c r="BQ176" s="923"/>
      <c r="BR176" s="919"/>
      <c r="BS176" s="919"/>
      <c r="BT176" s="919"/>
      <c r="BU176" s="921"/>
      <c r="BV176" s="920"/>
      <c r="BW176" s="923"/>
      <c r="BX176" s="919"/>
      <c r="BY176" s="919"/>
      <c r="BZ176" s="919"/>
      <c r="CA176" s="921"/>
      <c r="CB176" s="824"/>
      <c r="CC176" s="923"/>
      <c r="CD176" s="919"/>
      <c r="CE176" s="919"/>
      <c r="CF176" s="919"/>
      <c r="CG176" s="921"/>
      <c r="CH176" s="6"/>
      <c r="CI176" s="923"/>
      <c r="CJ176" s="919"/>
      <c r="CK176" s="919"/>
      <c r="CL176" s="919"/>
      <c r="CM176" s="921"/>
      <c r="CN176" s="6"/>
      <c r="CO176" s="6"/>
      <c r="CP176" s="6"/>
    </row>
    <row r="177" spans="1:94" hidden="1" outlineLevel="1">
      <c r="A177" s="501" t="s">
        <v>99</v>
      </c>
      <c r="B177" s="315"/>
      <c r="C177" s="923"/>
      <c r="D177" s="919"/>
      <c r="E177" s="919"/>
      <c r="F177" s="919"/>
      <c r="G177" s="921"/>
      <c r="H177" s="315"/>
      <c r="I177" s="923"/>
      <c r="J177" s="919"/>
      <c r="K177" s="919"/>
      <c r="L177" s="919"/>
      <c r="M177" s="921"/>
      <c r="N177" s="315"/>
      <c r="O177" s="923"/>
      <c r="P177" s="919"/>
      <c r="Q177" s="919"/>
      <c r="R177" s="919"/>
      <c r="S177" s="921"/>
      <c r="T177" s="919"/>
      <c r="U177" s="923"/>
      <c r="V177" s="919"/>
      <c r="W177" s="919"/>
      <c r="X177" s="925"/>
      <c r="Y177" s="921"/>
      <c r="Z177" s="919"/>
      <c r="AA177" s="923"/>
      <c r="AB177" s="919"/>
      <c r="AC177" s="919"/>
      <c r="AD177" s="919"/>
      <c r="AE177" s="921"/>
      <c r="AF177" s="920"/>
      <c r="AG177" s="923"/>
      <c r="AH177" s="919"/>
      <c r="AI177" s="919"/>
      <c r="AJ177" s="919"/>
      <c r="AK177" s="921"/>
      <c r="AL177" s="920"/>
      <c r="AM177" s="923"/>
      <c r="AN177" s="919"/>
      <c r="AO177" s="919"/>
      <c r="AP177" s="919"/>
      <c r="AQ177" s="921"/>
      <c r="AR177" s="920"/>
      <c r="AS177" s="923"/>
      <c r="AT177" s="919"/>
      <c r="AU177" s="919"/>
      <c r="AV177" s="919"/>
      <c r="AW177" s="921"/>
      <c r="AX177" s="920"/>
      <c r="AY177" s="923"/>
      <c r="AZ177" s="919"/>
      <c r="BA177" s="919"/>
      <c r="BB177" s="919"/>
      <c r="BC177" s="921"/>
      <c r="BD177" s="920"/>
      <c r="BE177" s="923"/>
      <c r="BF177" s="919"/>
      <c r="BG177" s="919"/>
      <c r="BH177" s="919"/>
      <c r="BI177" s="921"/>
      <c r="BJ177" s="920"/>
      <c r="BK177" s="923"/>
      <c r="BL177" s="919"/>
      <c r="BM177" s="919"/>
      <c r="BN177" s="919"/>
      <c r="BO177" s="921"/>
      <c r="BP177" s="920"/>
      <c r="BQ177" s="923"/>
      <c r="BR177" s="919"/>
      <c r="BS177" s="919"/>
      <c r="BT177" s="919"/>
      <c r="BU177" s="921"/>
      <c r="BV177" s="920"/>
      <c r="BW177" s="923"/>
      <c r="BX177" s="919"/>
      <c r="BY177" s="919"/>
      <c r="BZ177" s="919"/>
      <c r="CA177" s="921"/>
      <c r="CB177" s="824"/>
      <c r="CC177" s="923"/>
      <c r="CD177" s="919"/>
      <c r="CE177" s="919"/>
      <c r="CF177" s="919"/>
      <c r="CG177" s="921"/>
      <c r="CH177" s="6"/>
      <c r="CI177" s="923"/>
      <c r="CJ177" s="919"/>
      <c r="CK177" s="919"/>
      <c r="CL177" s="919"/>
      <c r="CM177" s="921"/>
      <c r="CN177" s="6"/>
      <c r="CO177" s="6"/>
      <c r="CP177" s="6"/>
    </row>
    <row r="178" spans="1:94" hidden="1" outlineLevel="1">
      <c r="A178" s="501" t="s">
        <v>107</v>
      </c>
      <c r="B178" s="315"/>
      <c r="C178" s="923"/>
      <c r="D178" s="919"/>
      <c r="E178" s="919"/>
      <c r="F178" s="919"/>
      <c r="G178" s="922"/>
      <c r="H178" s="315"/>
      <c r="I178" s="923"/>
      <c r="J178" s="919"/>
      <c r="K178" s="919"/>
      <c r="L178" s="919"/>
      <c r="M178" s="922"/>
      <c r="N178" s="315"/>
      <c r="O178" s="923"/>
      <c r="P178" s="919"/>
      <c r="Q178" s="919"/>
      <c r="R178" s="919"/>
      <c r="S178" s="922"/>
      <c r="T178" s="919"/>
      <c r="U178" s="926"/>
      <c r="V178" s="927"/>
      <c r="W178" s="927"/>
      <c r="X178" s="927"/>
      <c r="Y178" s="922"/>
      <c r="Z178" s="919"/>
      <c r="AA178" s="923"/>
      <c r="AB178" s="919"/>
      <c r="AC178" s="919"/>
      <c r="AD178" s="919"/>
      <c r="AE178" s="922"/>
      <c r="AF178" s="920"/>
      <c r="AG178" s="923"/>
      <c r="AH178" s="919"/>
      <c r="AI178" s="919"/>
      <c r="AJ178" s="919"/>
      <c r="AK178" s="922"/>
      <c r="AL178" s="920"/>
      <c r="AM178" s="923"/>
      <c r="AN178" s="919"/>
      <c r="AO178" s="919"/>
      <c r="AP178" s="919"/>
      <c r="AQ178" s="922"/>
      <c r="AR178" s="920"/>
      <c r="AS178" s="923"/>
      <c r="AT178" s="919"/>
      <c r="AU178" s="919"/>
      <c r="AV178" s="919"/>
      <c r="AW178" s="922"/>
      <c r="AX178" s="920"/>
      <c r="AY178" s="923"/>
      <c r="AZ178" s="919"/>
      <c r="BA178" s="919"/>
      <c r="BB178" s="919"/>
      <c r="BC178" s="922"/>
      <c r="BD178" s="920"/>
      <c r="BE178" s="923"/>
      <c r="BF178" s="919"/>
      <c r="BG178" s="919"/>
      <c r="BH178" s="919"/>
      <c r="BI178" s="922"/>
      <c r="BJ178" s="920"/>
      <c r="BK178" s="923"/>
      <c r="BL178" s="919"/>
      <c r="BM178" s="919"/>
      <c r="BN178" s="919"/>
      <c r="BO178" s="922"/>
      <c r="BP178" s="920"/>
      <c r="BQ178" s="923"/>
      <c r="BR178" s="919"/>
      <c r="BS178" s="919"/>
      <c r="BT178" s="919"/>
      <c r="BU178" s="922"/>
      <c r="BV178" s="920"/>
      <c r="BW178" s="923"/>
      <c r="BX178" s="919"/>
      <c r="BY178" s="919"/>
      <c r="BZ178" s="919"/>
      <c r="CA178" s="922"/>
      <c r="CB178" s="824"/>
      <c r="CC178" s="923"/>
      <c r="CD178" s="919"/>
      <c r="CE178" s="919"/>
      <c r="CF178" s="919"/>
      <c r="CG178" s="922"/>
      <c r="CH178" s="6"/>
      <c r="CI178" s="923"/>
      <c r="CJ178" s="919"/>
      <c r="CK178" s="919"/>
      <c r="CL178" s="919"/>
      <c r="CM178" s="922"/>
      <c r="CN178" s="6"/>
      <c r="CO178" s="6"/>
      <c r="CP178" s="6"/>
    </row>
    <row r="179" spans="1:94" collapsed="1">
      <c r="A179" s="502" t="s">
        <v>372</v>
      </c>
      <c r="B179" s="928"/>
      <c r="C179" s="929">
        <f>C181</f>
        <v>0.30110497237569062</v>
      </c>
      <c r="D179" s="930">
        <f>D181</f>
        <v>0.22435020519835841</v>
      </c>
      <c r="E179" s="930">
        <f>E181</f>
        <v>0.25641025641025639</v>
      </c>
      <c r="F179" s="930">
        <f>F181</f>
        <v>0.29887410440122825</v>
      </c>
      <c r="G179" s="931">
        <f>AVERAGE(C179:F179)</f>
        <v>0.2701848845963834</v>
      </c>
      <c r="H179" s="928"/>
      <c r="I179" s="929">
        <f>I181</f>
        <v>0.24369347929557353</v>
      </c>
      <c r="J179" s="930">
        <f>J181</f>
        <v>0.22102425876010781</v>
      </c>
      <c r="K179" s="930">
        <f>K181</f>
        <v>0.26934849147354611</v>
      </c>
      <c r="L179" s="930">
        <f>L181</f>
        <v>0.35964542000844241</v>
      </c>
      <c r="M179" s="931">
        <f>AVERAGE(I179:L179)</f>
        <v>0.27342791238441749</v>
      </c>
      <c r="N179" s="928"/>
      <c r="O179" s="929">
        <f>O181</f>
        <v>0.24884449857896873</v>
      </c>
      <c r="P179" s="930">
        <f>P181</f>
        <v>0.23806863527533934</v>
      </c>
      <c r="Q179" s="930">
        <f>Q181</f>
        <v>0.24199327731092454</v>
      </c>
      <c r="R179" s="930">
        <f>R181</f>
        <v>0.3052141299607502</v>
      </c>
      <c r="S179" s="931">
        <f>AVERAGE(O179:R179)</f>
        <v>0.25853013528149571</v>
      </c>
      <c r="T179" s="313"/>
      <c r="U179" s="929">
        <f>U181</f>
        <v>0.32395286468915074</v>
      </c>
      <c r="V179" s="930">
        <f>V181</f>
        <v>0.26111861743912018</v>
      </c>
      <c r="W179" s="930">
        <f>W181</f>
        <v>0.21545396825396829</v>
      </c>
      <c r="X179" s="930">
        <f>X181</f>
        <v>0.19230513068731855</v>
      </c>
      <c r="Y179" s="931">
        <f>AVERAGE(U179:X179)</f>
        <v>0.24820764526738945</v>
      </c>
      <c r="Z179" s="313"/>
      <c r="AA179" s="929">
        <f>AA181</f>
        <v>0.14106190823015285</v>
      </c>
      <c r="AB179" s="930">
        <f>AB181</f>
        <v>0.15699846022241232</v>
      </c>
      <c r="AC179" s="930">
        <f>AC181</f>
        <v>0.15591959798994978</v>
      </c>
      <c r="AD179" s="930">
        <f>AD181</f>
        <v>0.18241094975797037</v>
      </c>
      <c r="AE179" s="931">
        <f>AVERAGE(AA179:AD179)</f>
        <v>0.15909772905012132</v>
      </c>
      <c r="AF179" s="318"/>
      <c r="AG179" s="929">
        <f>AG181</f>
        <v>0.17155302395711175</v>
      </c>
      <c r="AH179" s="930">
        <f>AH181</f>
        <v>0.15524805939925751</v>
      </c>
      <c r="AI179" s="930">
        <f>AI181</f>
        <v>0.12721712538226299</v>
      </c>
      <c r="AJ179" s="930">
        <f>AJ181</f>
        <v>0.12505994053898534</v>
      </c>
      <c r="AK179" s="931">
        <f>AVERAGE(AG179:AJ179)</f>
        <v>0.1447695373194044</v>
      </c>
      <c r="AL179" s="318"/>
      <c r="AM179" s="929">
        <f>AM181</f>
        <v>0.10426179604261805</v>
      </c>
      <c r="AN179" s="930">
        <f>AN181</f>
        <v>0.11507003854470245</v>
      </c>
      <c r="AO179" s="930">
        <f>AO181</f>
        <v>0.10811825434068513</v>
      </c>
      <c r="AP179" s="930">
        <f>AP181</f>
        <v>0.13620205799812909</v>
      </c>
      <c r="AQ179" s="931">
        <f>AVERAGE(AM179:AP179)</f>
        <v>0.11591303673153369</v>
      </c>
      <c r="AR179" s="318"/>
      <c r="AS179" s="929">
        <f>AS181</f>
        <v>0.12073784237003912</v>
      </c>
      <c r="AT179" s="930">
        <f>AT181</f>
        <v>0.10589648419285649</v>
      </c>
      <c r="AU179" s="930">
        <f>AU181</f>
        <v>0.1193449684366877</v>
      </c>
      <c r="AV179" s="930"/>
      <c r="AW179" s="931"/>
      <c r="AX179" s="318"/>
      <c r="AY179" s="929"/>
      <c r="AZ179" s="930"/>
      <c r="BA179" s="930"/>
      <c r="BB179" s="930"/>
      <c r="BC179" s="931"/>
      <c r="BD179" s="318"/>
      <c r="BE179" s="929"/>
      <c r="BF179" s="930"/>
      <c r="BG179" s="930"/>
      <c r="BH179" s="930"/>
      <c r="BI179" s="931"/>
      <c r="BJ179" s="318"/>
      <c r="BK179" s="929"/>
      <c r="BL179" s="930"/>
      <c r="BM179" s="930"/>
      <c r="BN179" s="930"/>
      <c r="BO179" s="931"/>
      <c r="BP179" s="318"/>
      <c r="BQ179" s="929"/>
      <c r="BR179" s="930"/>
      <c r="BS179" s="930"/>
      <c r="BT179" s="930"/>
      <c r="BU179" s="931"/>
      <c r="BV179" s="318"/>
      <c r="BW179" s="929"/>
      <c r="BX179" s="930"/>
      <c r="BY179" s="930"/>
      <c r="BZ179" s="930"/>
      <c r="CA179" s="931"/>
      <c r="CB179" s="760"/>
      <c r="CC179" s="929"/>
      <c r="CD179" s="930"/>
      <c r="CE179" s="930"/>
      <c r="CF179" s="930"/>
      <c r="CG179" s="931"/>
      <c r="CH179" s="142"/>
      <c r="CI179" s="929"/>
      <c r="CJ179" s="930"/>
      <c r="CK179" s="930"/>
      <c r="CL179" s="930"/>
      <c r="CM179" s="931"/>
      <c r="CN179" s="142"/>
      <c r="CO179" s="142"/>
      <c r="CP179" s="142"/>
    </row>
    <row r="180" spans="1:94" ht="4.5" customHeight="1">
      <c r="A180" s="6"/>
      <c r="B180" s="79"/>
      <c r="C180" s="328"/>
      <c r="D180" s="328"/>
      <c r="E180" s="328"/>
      <c r="F180" s="328"/>
      <c r="G180" s="328"/>
      <c r="H180" s="79"/>
      <c r="I180" s="328"/>
      <c r="J180" s="328"/>
      <c r="K180" s="328"/>
      <c r="L180" s="328"/>
      <c r="M180" s="328"/>
      <c r="N180" s="79"/>
      <c r="O180" s="328"/>
      <c r="P180" s="328"/>
      <c r="Q180" s="328"/>
      <c r="R180" s="328"/>
      <c r="S180" s="328"/>
      <c r="T180" s="916"/>
      <c r="U180" s="328"/>
      <c r="V180" s="328"/>
      <c r="W180" s="328"/>
      <c r="X180" s="328"/>
      <c r="Y180" s="328"/>
      <c r="Z180" s="916"/>
      <c r="AA180" s="328"/>
      <c r="AB180" s="328"/>
      <c r="AC180" s="328"/>
      <c r="AD180" s="328"/>
      <c r="AE180" s="328"/>
      <c r="AF180" s="916"/>
      <c r="AG180" s="328"/>
      <c r="AH180" s="328"/>
      <c r="AI180" s="328"/>
      <c r="AJ180" s="328"/>
      <c r="AK180" s="328"/>
      <c r="AL180" s="916"/>
      <c r="AM180" s="328"/>
      <c r="AN180" s="328"/>
      <c r="AO180" s="328"/>
      <c r="AP180" s="328"/>
      <c r="AQ180" s="328"/>
      <c r="AR180" s="916"/>
      <c r="AS180" s="328"/>
      <c r="AT180" s="328"/>
      <c r="AU180" s="328"/>
      <c r="AV180" s="328"/>
      <c r="AW180" s="328"/>
      <c r="AX180" s="916"/>
      <c r="AY180" s="328"/>
      <c r="AZ180" s="328"/>
      <c r="BA180" s="328"/>
      <c r="BB180" s="328"/>
      <c r="BC180" s="328"/>
      <c r="BD180" s="916"/>
      <c r="BE180" s="328"/>
      <c r="BF180" s="328"/>
      <c r="BG180" s="328"/>
      <c r="BH180" s="328"/>
      <c r="BI180" s="328"/>
      <c r="BJ180" s="916"/>
      <c r="BK180" s="328"/>
      <c r="BL180" s="328"/>
      <c r="BM180" s="328"/>
      <c r="BN180" s="328"/>
      <c r="BO180" s="328"/>
      <c r="BP180" s="916"/>
      <c r="BQ180" s="328"/>
      <c r="BR180" s="328"/>
      <c r="BS180" s="328"/>
      <c r="BT180" s="328"/>
      <c r="BU180" s="328"/>
      <c r="BV180" s="916"/>
      <c r="BW180" s="328"/>
      <c r="BX180" s="328"/>
      <c r="BY180" s="328"/>
      <c r="BZ180" s="328"/>
      <c r="CA180" s="328"/>
      <c r="CB180" s="328"/>
      <c r="CC180" s="328"/>
      <c r="CD180" s="328"/>
      <c r="CE180" s="328"/>
      <c r="CF180" s="328"/>
      <c r="CG180" s="328"/>
      <c r="CH180" s="6"/>
      <c r="CI180" s="328"/>
      <c r="CJ180" s="328"/>
      <c r="CK180" s="328"/>
      <c r="CL180" s="328"/>
      <c r="CM180" s="328"/>
      <c r="CN180" s="6"/>
      <c r="CO180" s="6"/>
      <c r="CP180" s="6"/>
    </row>
    <row r="181" spans="1:94" ht="12.75" customHeight="1">
      <c r="A181" s="883" t="s">
        <v>373</v>
      </c>
      <c r="B181" s="884"/>
      <c r="C181" s="885">
        <f>C185/C190</f>
        <v>0.30110497237569062</v>
      </c>
      <c r="D181" s="886">
        <f>D185/D190</f>
        <v>0.22435020519835841</v>
      </c>
      <c r="E181" s="886">
        <f>E185/E190</f>
        <v>0.25641025641025639</v>
      </c>
      <c r="F181" s="886">
        <f>F185/F190</f>
        <v>0.29887410440122825</v>
      </c>
      <c r="G181" s="887">
        <f>G185/G190</f>
        <v>0.26170960187353631</v>
      </c>
      <c r="H181" s="884"/>
      <c r="I181" s="885">
        <f>I185/I190</f>
        <v>0.24369347929557353</v>
      </c>
      <c r="J181" s="886">
        <f>J185/J190</f>
        <v>0.22102425876010781</v>
      </c>
      <c r="K181" s="886">
        <f>K185/K190</f>
        <v>0.26934849147354611</v>
      </c>
      <c r="L181" s="886">
        <f>L185/L190</f>
        <v>0.35964542000844241</v>
      </c>
      <c r="M181" s="887">
        <f>M185/M190</f>
        <v>0.27732902530963921</v>
      </c>
      <c r="N181" s="884"/>
      <c r="O181" s="885">
        <f t="shared" ref="O181:AG181" si="93">O185/O190</f>
        <v>0.24884449857896873</v>
      </c>
      <c r="P181" s="886">
        <f t="shared" si="93"/>
        <v>0.23806863527533934</v>
      </c>
      <c r="Q181" s="886">
        <f t="shared" si="93"/>
        <v>0.24199327731092454</v>
      </c>
      <c r="R181" s="886">
        <f t="shared" si="93"/>
        <v>0.3052141299607502</v>
      </c>
      <c r="S181" s="887">
        <f t="shared" si="93"/>
        <v>0.25966482781678368</v>
      </c>
      <c r="T181" s="888"/>
      <c r="U181" s="885">
        <f t="shared" si="93"/>
        <v>0.32395286468915074</v>
      </c>
      <c r="V181" s="886">
        <f t="shared" si="93"/>
        <v>0.26111861743912018</v>
      </c>
      <c r="W181" s="886">
        <f t="shared" si="93"/>
        <v>0.21545396825396829</v>
      </c>
      <c r="X181" s="886">
        <f t="shared" si="93"/>
        <v>0.19230513068731855</v>
      </c>
      <c r="Y181" s="887">
        <f t="shared" si="93"/>
        <v>0.23091299435028267</v>
      </c>
      <c r="Z181" s="888"/>
      <c r="AA181" s="885">
        <f t="shared" si="93"/>
        <v>0.14106190823015285</v>
      </c>
      <c r="AB181" s="886">
        <f t="shared" si="93"/>
        <v>0.15699846022241232</v>
      </c>
      <c r="AC181" s="886">
        <f t="shared" si="93"/>
        <v>0.15591959798994978</v>
      </c>
      <c r="AD181" s="886">
        <f t="shared" si="93"/>
        <v>0.18241094975797037</v>
      </c>
      <c r="AE181" s="887">
        <f t="shared" si="93"/>
        <v>0.1607836621668397</v>
      </c>
      <c r="AF181" s="888"/>
      <c r="AG181" s="885">
        <f t="shared" si="93"/>
        <v>0.17155302395711175</v>
      </c>
      <c r="AH181" s="886">
        <f>AH185/AH190</f>
        <v>0.15524805939925751</v>
      </c>
      <c r="AI181" s="886">
        <f>AI185/AI190</f>
        <v>0.12721712538226299</v>
      </c>
      <c r="AJ181" s="886">
        <f>AJ185/AJ190</f>
        <v>0.12505994053898534</v>
      </c>
      <c r="AK181" s="887">
        <f t="shared" ref="AK181:BC181" si="94">AK185/AK190</f>
        <v>0.13860157219693836</v>
      </c>
      <c r="AL181" s="888"/>
      <c r="AM181" s="885">
        <f t="shared" si="94"/>
        <v>0.10426179604261805</v>
      </c>
      <c r="AN181" s="886">
        <f t="shared" si="94"/>
        <v>0.11507003854470245</v>
      </c>
      <c r="AO181" s="886">
        <f>AO185/AO190</f>
        <v>0.10811825434068513</v>
      </c>
      <c r="AP181" s="886">
        <f>AP185/AP190</f>
        <v>0.13620205799812909</v>
      </c>
      <c r="AQ181" s="887">
        <f t="shared" si="94"/>
        <v>0.11614314265243789</v>
      </c>
      <c r="AR181" s="888"/>
      <c r="AS181" s="885">
        <f t="shared" si="94"/>
        <v>0.12073784237003912</v>
      </c>
      <c r="AT181" s="886">
        <f t="shared" si="94"/>
        <v>0.10589648419285649</v>
      </c>
      <c r="AU181" s="886">
        <f t="shared" si="94"/>
        <v>0.1193449684366877</v>
      </c>
      <c r="AV181" s="886">
        <f t="shared" si="94"/>
        <v>0.1527855573401864</v>
      </c>
      <c r="AW181" s="887">
        <f t="shared" si="94"/>
        <v>0.12650449358621232</v>
      </c>
      <c r="AX181" s="888"/>
      <c r="AY181" s="885">
        <f t="shared" si="94"/>
        <v>0.14702218091896807</v>
      </c>
      <c r="AZ181" s="886">
        <f t="shared" si="94"/>
        <v>0.14610233426135369</v>
      </c>
      <c r="BA181" s="886">
        <f t="shared" si="94"/>
        <v>0.17329712816158119</v>
      </c>
      <c r="BB181" s="886">
        <f t="shared" si="94"/>
        <v>0.19555360771397998</v>
      </c>
      <c r="BC181" s="887">
        <f t="shared" si="94"/>
        <v>0.16495882027995748</v>
      </c>
      <c r="BD181" s="888"/>
      <c r="BE181" s="885">
        <f>BE185/BE190</f>
        <v>0.17611079265091539</v>
      </c>
      <c r="BF181" s="886">
        <f>BF185/BF190</f>
        <v>0.16028459428913325</v>
      </c>
      <c r="BG181" s="886">
        <f>BG185/BG190</f>
        <v>0.17552124956208545</v>
      </c>
      <c r="BH181" s="886">
        <f>BH185/BH190</f>
        <v>0.21667961385311343</v>
      </c>
      <c r="BI181" s="887">
        <f>BI185/BI190</f>
        <v>0.18332661048345439</v>
      </c>
      <c r="BJ181" s="888"/>
      <c r="BK181" s="885">
        <f>BK185/BK190</f>
        <v>0.18784994148683043</v>
      </c>
      <c r="BL181" s="886">
        <f>BL185/BL190</f>
        <v>0.19957849076504613</v>
      </c>
      <c r="BM181" s="886">
        <f>BM185/BM190</f>
        <v>0.20090758401939771</v>
      </c>
      <c r="BN181" s="886">
        <f>BN185/BN190</f>
        <v>0.22557324035495002</v>
      </c>
      <c r="BO181" s="887">
        <f>BO185/BO190</f>
        <v>0.20409369374936509</v>
      </c>
      <c r="BP181" s="888"/>
      <c r="BQ181" s="885">
        <f>BQ185/BQ190</f>
        <v>0.21746181035172577</v>
      </c>
      <c r="BR181" s="886">
        <f>BR185/BR190</f>
        <v>0.23657361961241927</v>
      </c>
      <c r="BS181" s="886">
        <f>BS185/BS190</f>
        <v>0.22878950898204453</v>
      </c>
      <c r="BT181" s="886">
        <f>BT185/BT190</f>
        <v>0.26282917232876529</v>
      </c>
      <c r="BU181" s="887">
        <f>BU185/BU190</f>
        <v>0.23716600688397904</v>
      </c>
      <c r="BV181" s="888"/>
      <c r="BW181" s="885">
        <f>BW185/BW190</f>
        <v>0.23706874771376338</v>
      </c>
      <c r="BX181" s="886">
        <f>BX185/BX190</f>
        <v>0.25799438227941779</v>
      </c>
      <c r="BY181" s="886">
        <f>BY185/BY190</f>
        <v>0.25310449559391696</v>
      </c>
      <c r="BZ181" s="886">
        <f>BZ185/BZ190</f>
        <v>0.29055672756210171</v>
      </c>
      <c r="CA181" s="887">
        <f>CA185/CA190</f>
        <v>0.26052362706307614</v>
      </c>
      <c r="CB181" s="2126"/>
      <c r="CC181" s="885">
        <f>CC185/CC190</f>
        <v>0.25593774215487769</v>
      </c>
      <c r="CD181" s="886">
        <f>CD185/CD190</f>
        <v>0.28068318386632601</v>
      </c>
      <c r="CE181" s="886">
        <f>CE185/CE190</f>
        <v>0.27628197908880259</v>
      </c>
      <c r="CF181" s="886">
        <f>CF185/CF190</f>
        <v>0.31548777150432916</v>
      </c>
      <c r="CG181" s="887">
        <f>CG185/CG190</f>
        <v>0.28303102087400239</v>
      </c>
      <c r="CH181" s="889"/>
      <c r="CI181" s="885">
        <f>CI185/CI190</f>
        <v>0.27547472327931671</v>
      </c>
      <c r="CJ181" s="886">
        <f>CJ185/CJ190</f>
        <v>0.30477670894473025</v>
      </c>
      <c r="CK181" s="886">
        <f>CK185/CK190</f>
        <v>0.30143673957708389</v>
      </c>
      <c r="CL181" s="886">
        <f>CL185/CL190</f>
        <v>0.34280552158641647</v>
      </c>
      <c r="CM181" s="887">
        <f>CM185/CM190</f>
        <v>0.30715306267795778</v>
      </c>
      <c r="CN181" s="889"/>
      <c r="CO181" s="889"/>
      <c r="CP181" s="319"/>
    </row>
    <row r="182" spans="1:94" hidden="1" outlineLevel="1">
      <c r="A182" s="894" t="s">
        <v>374</v>
      </c>
      <c r="B182" s="495"/>
      <c r="C182" s="749">
        <f>C150</f>
        <v>75</v>
      </c>
      <c r="D182" s="750">
        <f>D150</f>
        <v>54</v>
      </c>
      <c r="E182" s="750">
        <f>E150</f>
        <v>77</v>
      </c>
      <c r="F182" s="750">
        <f>F150</f>
        <v>101</v>
      </c>
      <c r="G182" s="703">
        <f>G150</f>
        <v>307</v>
      </c>
      <c r="H182" s="495"/>
      <c r="I182" s="749">
        <f>I150</f>
        <v>87</v>
      </c>
      <c r="J182" s="750">
        <f>J150</f>
        <v>85</v>
      </c>
      <c r="K182" s="750">
        <f>K150</f>
        <v>102</v>
      </c>
      <c r="L182" s="750">
        <f>L150</f>
        <v>136</v>
      </c>
      <c r="M182" s="703">
        <f>M150</f>
        <v>410</v>
      </c>
      <c r="N182" s="495"/>
      <c r="O182" s="749">
        <f t="shared" ref="O182:AG182" si="95">O150</f>
        <v>101.613</v>
      </c>
      <c r="P182" s="750">
        <f t="shared" si="95"/>
        <v>88.575000000000045</v>
      </c>
      <c r="Q182" s="750">
        <f t="shared" si="95"/>
        <v>90.993000000000052</v>
      </c>
      <c r="R182" s="750">
        <f t="shared" si="95"/>
        <v>108.48200000000003</v>
      </c>
      <c r="S182" s="703">
        <f>S150</f>
        <v>389.66300000000001</v>
      </c>
      <c r="T182" s="705"/>
      <c r="U182" s="749">
        <f t="shared" si="95"/>
        <v>122.65600000000001</v>
      </c>
      <c r="V182" s="750">
        <f t="shared" si="95"/>
        <v>103.101</v>
      </c>
      <c r="W182" s="750">
        <f t="shared" si="95"/>
        <v>126.80200000000002</v>
      </c>
      <c r="X182" s="750">
        <f t="shared" si="95"/>
        <v>151.15700000000004</v>
      </c>
      <c r="Y182" s="703">
        <f t="shared" si="95"/>
        <v>503.71600000000035</v>
      </c>
      <c r="Z182" s="705"/>
      <c r="AA182" s="749">
        <f t="shared" si="95"/>
        <v>113.83899999999994</v>
      </c>
      <c r="AB182" s="750">
        <f t="shared" si="95"/>
        <v>133.70699999999999</v>
      </c>
      <c r="AC182" s="750">
        <f t="shared" si="95"/>
        <v>137.35500000000002</v>
      </c>
      <c r="AD182" s="705">
        <f t="shared" si="95"/>
        <v>163.60300000000007</v>
      </c>
      <c r="AE182" s="710">
        <f t="shared" si="95"/>
        <v>548.50399999999991</v>
      </c>
      <c r="AF182" s="705"/>
      <c r="AG182" s="749">
        <f t="shared" si="95"/>
        <v>154</v>
      </c>
      <c r="AH182" s="750">
        <f>AH150</f>
        <v>132</v>
      </c>
      <c r="AI182" s="750">
        <f>AI150</f>
        <v>153</v>
      </c>
      <c r="AJ182" s="705">
        <f>AJ150</f>
        <v>194</v>
      </c>
      <c r="AK182" s="710">
        <f>AK150</f>
        <v>633</v>
      </c>
      <c r="AL182" s="705"/>
      <c r="AM182" s="706">
        <f>AM150</f>
        <v>163.00000000000011</v>
      </c>
      <c r="AN182" s="705">
        <f>AN150</f>
        <v>178</v>
      </c>
      <c r="AO182" s="750">
        <f>AO150</f>
        <v>174</v>
      </c>
      <c r="AP182" s="750">
        <f>AP150</f>
        <v>217</v>
      </c>
      <c r="AQ182" s="710">
        <f>AQ150</f>
        <v>732.00000000000011</v>
      </c>
      <c r="AR182" s="705"/>
      <c r="AS182" s="706">
        <f>AS150</f>
        <v>193</v>
      </c>
      <c r="AT182" s="705">
        <f>AT150</f>
        <v>166.94100000000003</v>
      </c>
      <c r="AU182" s="750">
        <f>AU150</f>
        <v>190.69799999999998</v>
      </c>
      <c r="AV182" s="705">
        <f>AV150</f>
        <v>212.33100000000013</v>
      </c>
      <c r="AW182" s="710">
        <f>AW150</f>
        <v>762.97000000000014</v>
      </c>
      <c r="AX182" s="705"/>
      <c r="AY182" s="706">
        <f>AY150</f>
        <v>176.46900000000005</v>
      </c>
      <c r="AZ182" s="705">
        <f>AZ150</f>
        <v>169.09900000000005</v>
      </c>
      <c r="BA182" s="705">
        <f>BA150</f>
        <v>199.54899999999998</v>
      </c>
      <c r="BB182" s="705">
        <f>BB150</f>
        <v>223.01800000000003</v>
      </c>
      <c r="BC182" s="710">
        <f>BC150</f>
        <v>768.1350000000001</v>
      </c>
      <c r="BD182" s="705"/>
      <c r="BE182" s="706">
        <f>BE150</f>
        <v>205.33400000000006</v>
      </c>
      <c r="BF182" s="705">
        <f>BF150</f>
        <v>195.1400000000001</v>
      </c>
      <c r="BG182" s="705">
        <f>BG150</f>
        <v>211.82399999999996</v>
      </c>
      <c r="BH182" s="705">
        <f>BH150</f>
        <v>247.09529999999995</v>
      </c>
      <c r="BI182" s="710">
        <f>BI150</f>
        <v>859.39330000000007</v>
      </c>
      <c r="BJ182" s="705"/>
      <c r="BK182" s="706">
        <f>BK150</f>
        <v>223.23099999999999</v>
      </c>
      <c r="BL182" s="705">
        <f>BL150</f>
        <v>241.16599999999994</v>
      </c>
      <c r="BM182" s="705">
        <f>BM150</f>
        <v>236.21609999999998</v>
      </c>
      <c r="BN182" s="705">
        <f>BN150</f>
        <v>273.62099999999998</v>
      </c>
      <c r="BO182" s="710">
        <f>BO150</f>
        <v>974.2340999999999</v>
      </c>
      <c r="BP182" s="705"/>
      <c r="BQ182" s="706">
        <f>BQ150</f>
        <v>268.73259999999993</v>
      </c>
      <c r="BR182" s="705">
        <f>BR150</f>
        <v>296.17289125019647</v>
      </c>
      <c r="BS182" s="705">
        <f>BS150</f>
        <v>285.20327487764621</v>
      </c>
      <c r="BT182" s="705">
        <f>BT150</f>
        <v>325.80653862092072</v>
      </c>
      <c r="BU182" s="710">
        <f>BU150</f>
        <v>1175.9153047487634</v>
      </c>
      <c r="BV182" s="705"/>
      <c r="BW182" s="706">
        <f>BW150</f>
        <v>296.39954495407142</v>
      </c>
      <c r="BX182" s="705">
        <f>BX150</f>
        <v>326.23865003331252</v>
      </c>
      <c r="BY182" s="705">
        <f>BY150</f>
        <v>317.787904074273</v>
      </c>
      <c r="BZ182" s="705">
        <f>BZ150</f>
        <v>361.65044706428284</v>
      </c>
      <c r="CA182" s="710">
        <f>CA150</f>
        <v>1302.0765461259398</v>
      </c>
      <c r="CB182" s="705"/>
      <c r="CC182" s="706">
        <f>CC150</f>
        <v>321.76353405068039</v>
      </c>
      <c r="CD182" s="705">
        <f>CD150</f>
        <v>357.15173766408543</v>
      </c>
      <c r="CE182" s="705">
        <f>CE150</f>
        <v>349.52921188333153</v>
      </c>
      <c r="CF182" s="705">
        <f>CF150</f>
        <v>396.0045835885569</v>
      </c>
      <c r="CG182" s="710">
        <f>CG150</f>
        <v>1424.4490671866542</v>
      </c>
      <c r="CH182" s="495"/>
      <c r="CI182" s="706">
        <f>CI150</f>
        <v>349.22480293066542</v>
      </c>
      <c r="CJ182" s="705">
        <f>CJ150</f>
        <v>391.00543048968007</v>
      </c>
      <c r="CK182" s="705">
        <f>CK150</f>
        <v>384.64436362932065</v>
      </c>
      <c r="CL182" s="705">
        <f>CL150</f>
        <v>433.84570824167213</v>
      </c>
      <c r="CM182" s="710">
        <f>CM150</f>
        <v>1558.7203052913383</v>
      </c>
      <c r="CN182" s="495"/>
      <c r="CO182" s="495"/>
      <c r="CP182" s="64"/>
    </row>
    <row r="183" spans="1:94" hidden="1" outlineLevel="1">
      <c r="A183" s="894" t="s">
        <v>375</v>
      </c>
      <c r="B183" s="495"/>
      <c r="C183" s="1555">
        <f>14+6.5</f>
        <v>20.5</v>
      </c>
      <c r="D183" s="1554">
        <f>7.5+5.5</f>
        <v>13</v>
      </c>
      <c r="E183" s="1554">
        <f>16+6</f>
        <v>22</v>
      </c>
      <c r="F183" s="1554">
        <f>18.5+9.5</f>
        <v>28</v>
      </c>
      <c r="G183" s="710">
        <f>SUM(C183:F183)</f>
        <v>83.5</v>
      </c>
      <c r="H183" s="495"/>
      <c r="I183" s="1555">
        <f>15+8</f>
        <v>23</v>
      </c>
      <c r="J183" s="1554">
        <f>16.5+7</f>
        <v>23.5</v>
      </c>
      <c r="K183" s="1554">
        <f>17+8</f>
        <v>25</v>
      </c>
      <c r="L183" s="1554">
        <f>16.5+13</f>
        <v>29.5</v>
      </c>
      <c r="M183" s="710">
        <f>SUM(I183:L183)</f>
        <v>101</v>
      </c>
      <c r="N183" s="495"/>
      <c r="O183" s="1555">
        <f>15+10</f>
        <v>25</v>
      </c>
      <c r="P183" s="1554">
        <f>6+8</f>
        <v>14</v>
      </c>
      <c r="Q183" s="1554">
        <f>7+12</f>
        <v>19</v>
      </c>
      <c r="R183" s="1554">
        <f>8+13</f>
        <v>21</v>
      </c>
      <c r="S183" s="710">
        <f>SUM(O183:R183)</f>
        <v>79</v>
      </c>
      <c r="T183" s="702"/>
      <c r="U183" s="1555">
        <f>9+14</f>
        <v>23</v>
      </c>
      <c r="V183" s="1554">
        <f>8+12</f>
        <v>20</v>
      </c>
      <c r="W183" s="1554">
        <f>11+14</f>
        <v>25</v>
      </c>
      <c r="X183" s="1554">
        <f>10+17</f>
        <v>27</v>
      </c>
      <c r="Y183" s="710">
        <f>SUM(U183:X183)</f>
        <v>95</v>
      </c>
      <c r="Z183" s="702"/>
      <c r="AA183" s="1555">
        <f>7+10</f>
        <v>17</v>
      </c>
      <c r="AB183" s="1554">
        <f>8+11</f>
        <v>19</v>
      </c>
      <c r="AC183" s="1554">
        <f>8+12+1</f>
        <v>21</v>
      </c>
      <c r="AD183" s="1554">
        <f>9+16+2</f>
        <v>27</v>
      </c>
      <c r="AE183" s="710">
        <f>SUM(AA183:AD183)</f>
        <v>84</v>
      </c>
      <c r="AF183" s="702"/>
      <c r="AG183" s="1555">
        <f>10+15+1</f>
        <v>26</v>
      </c>
      <c r="AH183" s="1554">
        <f>5+10+2</f>
        <v>17</v>
      </c>
      <c r="AI183" s="1554">
        <v>23</v>
      </c>
      <c r="AJ183" s="1554">
        <f>16+15</f>
        <v>31</v>
      </c>
      <c r="AK183" s="710">
        <f>SUM(AG183:AJ183)</f>
        <v>97</v>
      </c>
      <c r="AL183" s="705"/>
      <c r="AM183" s="1555">
        <f>13+13</f>
        <v>26</v>
      </c>
      <c r="AN183" s="1554">
        <f>12+13</f>
        <v>25</v>
      </c>
      <c r="AO183" s="1554">
        <v>30</v>
      </c>
      <c r="AP183" s="1554">
        <f>18+17</f>
        <v>35</v>
      </c>
      <c r="AQ183" s="710">
        <f>SUM(AM183:AP183)</f>
        <v>116</v>
      </c>
      <c r="AR183" s="705"/>
      <c r="AS183" s="1555">
        <f>16+15</f>
        <v>31</v>
      </c>
      <c r="AT183" s="1554">
        <f>12+13</f>
        <v>25</v>
      </c>
      <c r="AU183" s="1554">
        <v>30</v>
      </c>
      <c r="AV183" s="705">
        <f>AV153</f>
        <v>33.972960000000022</v>
      </c>
      <c r="AW183" s="710">
        <f>SUM(AS183:AV183)</f>
        <v>119.97296000000003</v>
      </c>
      <c r="AX183" s="705"/>
      <c r="AY183" s="706">
        <f>AY153</f>
        <v>35.401217408250176</v>
      </c>
      <c r="AZ183" s="705">
        <f>AZ153</f>
        <v>33.589084972594492</v>
      </c>
      <c r="BA183" s="705">
        <f>BA153</f>
        <v>40.007331386244303</v>
      </c>
      <c r="BB183" s="705">
        <f>BB153</f>
        <v>44.599777161957547</v>
      </c>
      <c r="BC183" s="710">
        <f>SUM(AY183:BB183)</f>
        <v>153.59741092904653</v>
      </c>
      <c r="BD183" s="705"/>
      <c r="BE183" s="706">
        <f>BE153</f>
        <v>40.780478116800985</v>
      </c>
      <c r="BF183" s="705">
        <f>BF153</f>
        <v>38.782378270950645</v>
      </c>
      <c r="BG183" s="705">
        <f>BG153</f>
        <v>42.402113860196977</v>
      </c>
      <c r="BH183" s="705">
        <f>BH153</f>
        <v>41.520516356858579</v>
      </c>
      <c r="BI183" s="710">
        <f>SUM(BE183:BH183)</f>
        <v>163.48548660480719</v>
      </c>
      <c r="BJ183" s="705"/>
      <c r="BK183" s="706">
        <f>BK153</f>
        <v>42.073212678637901</v>
      </c>
      <c r="BL183" s="705">
        <f>BL153</f>
        <v>45.903394097747935</v>
      </c>
      <c r="BM183" s="705">
        <f>BM153</f>
        <v>38.297016292890817</v>
      </c>
      <c r="BN183" s="705">
        <f>BN153</f>
        <v>49.260215811957799</v>
      </c>
      <c r="BO183" s="710">
        <f>SUM(BK183:BN183)</f>
        <v>175.53383888123446</v>
      </c>
      <c r="BP183" s="705"/>
      <c r="BQ183" s="706">
        <f>BQ153</f>
        <v>49.096171544756913</v>
      </c>
      <c r="BR183" s="705">
        <f>BR153</f>
        <v>54.109382619474836</v>
      </c>
      <c r="BS183" s="705">
        <f>BS153</f>
        <v>52.105285732059983</v>
      </c>
      <c r="BT183" s="705">
        <f>BT153</f>
        <v>59.523309455332907</v>
      </c>
      <c r="BU183" s="710">
        <f>SUM(BQ183:BT183)</f>
        <v>214.83414935162463</v>
      </c>
      <c r="BV183" s="705"/>
      <c r="BW183" s="706">
        <f>BW153</f>
        <v>53.351918091732855</v>
      </c>
      <c r="BX183" s="705">
        <f>BX153</f>
        <v>58.72295700599625</v>
      </c>
      <c r="BY183" s="705">
        <f>BY153</f>
        <v>57.201822733369141</v>
      </c>
      <c r="BZ183" s="705">
        <f>BZ153</f>
        <v>65.097080471570905</v>
      </c>
      <c r="CA183" s="710">
        <f>SUM(BW183:BZ183)</f>
        <v>234.37377830266917</v>
      </c>
      <c r="CB183" s="705"/>
      <c r="CC183" s="706">
        <f>CC153</f>
        <v>57.917436129122471</v>
      </c>
      <c r="CD183" s="705">
        <f>CD153</f>
        <v>64.28731277953537</v>
      </c>
      <c r="CE183" s="705">
        <f>CE153</f>
        <v>62.915258138999675</v>
      </c>
      <c r="CF183" s="705">
        <f>CF153</f>
        <v>71.280825045940233</v>
      </c>
      <c r="CG183" s="710">
        <f>SUM(CC183:CF183)</f>
        <v>256.40083209359773</v>
      </c>
      <c r="CH183" s="495"/>
      <c r="CI183" s="706">
        <f>CI153</f>
        <v>62.860464527519774</v>
      </c>
      <c r="CJ183" s="705">
        <f>CJ153</f>
        <v>70.380977488142406</v>
      </c>
      <c r="CK183" s="705">
        <f>CK153</f>
        <v>69.235985453277721</v>
      </c>
      <c r="CL183" s="705">
        <f>CL153</f>
        <v>78.092227483500977</v>
      </c>
      <c r="CM183" s="710">
        <f>SUM(CI183:CL183)</f>
        <v>280.56965495244089</v>
      </c>
      <c r="CN183" s="495"/>
      <c r="CO183" s="495"/>
      <c r="CP183" s="64"/>
    </row>
    <row r="184" spans="1:94" hidden="1" outlineLevel="1">
      <c r="A184" s="894" t="s">
        <v>376</v>
      </c>
      <c r="B184" s="495"/>
      <c r="C184" s="749">
        <f>C182-C183</f>
        <v>54.5</v>
      </c>
      <c r="D184" s="750">
        <f>D182-D183</f>
        <v>41</v>
      </c>
      <c r="E184" s="750">
        <f>E182-E183</f>
        <v>55</v>
      </c>
      <c r="F184" s="750">
        <f>F182-F183</f>
        <v>73</v>
      </c>
      <c r="G184" s="703">
        <f>G182-G183</f>
        <v>223.5</v>
      </c>
      <c r="H184" s="495"/>
      <c r="I184" s="749">
        <f>I182-I183</f>
        <v>64</v>
      </c>
      <c r="J184" s="750">
        <f>J182-J183</f>
        <v>61.5</v>
      </c>
      <c r="K184" s="750">
        <f>K182-K183</f>
        <v>77</v>
      </c>
      <c r="L184" s="750">
        <f>L182-L183</f>
        <v>106.5</v>
      </c>
      <c r="M184" s="703">
        <f t="shared" ref="M184:AJ184" si="96">M182-M183</f>
        <v>309</v>
      </c>
      <c r="N184" s="495"/>
      <c r="O184" s="749">
        <f t="shared" si="96"/>
        <v>76.613</v>
      </c>
      <c r="P184" s="750">
        <f t="shared" si="96"/>
        <v>74.575000000000045</v>
      </c>
      <c r="Q184" s="750">
        <f t="shared" si="96"/>
        <v>71.993000000000052</v>
      </c>
      <c r="R184" s="750">
        <f t="shared" si="96"/>
        <v>87.482000000000028</v>
      </c>
      <c r="S184" s="703">
        <f t="shared" si="96"/>
        <v>310.66300000000001</v>
      </c>
      <c r="T184" s="705"/>
      <c r="U184" s="749">
        <f t="shared" si="96"/>
        <v>99.656000000000006</v>
      </c>
      <c r="V184" s="750">
        <f t="shared" si="96"/>
        <v>83.100999999999999</v>
      </c>
      <c r="W184" s="750">
        <f t="shared" si="96"/>
        <v>101.80200000000002</v>
      </c>
      <c r="X184" s="750">
        <f t="shared" si="96"/>
        <v>124.15700000000004</v>
      </c>
      <c r="Y184" s="703">
        <f t="shared" si="96"/>
        <v>408.71600000000035</v>
      </c>
      <c r="Z184" s="705"/>
      <c r="AA184" s="749">
        <f t="shared" si="96"/>
        <v>96.838999999999942</v>
      </c>
      <c r="AB184" s="750">
        <f t="shared" si="96"/>
        <v>114.70699999999999</v>
      </c>
      <c r="AC184" s="750">
        <f t="shared" si="96"/>
        <v>116.35500000000002</v>
      </c>
      <c r="AD184" s="705">
        <f t="shared" si="96"/>
        <v>136.60300000000007</v>
      </c>
      <c r="AE184" s="710">
        <f t="shared" si="96"/>
        <v>464.50399999999991</v>
      </c>
      <c r="AF184" s="705"/>
      <c r="AG184" s="749">
        <f t="shared" si="96"/>
        <v>128</v>
      </c>
      <c r="AH184" s="750">
        <f>AH182-AH183</f>
        <v>115</v>
      </c>
      <c r="AI184" s="750">
        <f t="shared" si="96"/>
        <v>130</v>
      </c>
      <c r="AJ184" s="705">
        <f t="shared" si="96"/>
        <v>163</v>
      </c>
      <c r="AK184" s="710">
        <f>AK182-AK183</f>
        <v>536</v>
      </c>
      <c r="AL184" s="705"/>
      <c r="AM184" s="706">
        <f>AM182-AM183</f>
        <v>137.00000000000011</v>
      </c>
      <c r="AN184" s="705">
        <f>AN182-AN183</f>
        <v>153</v>
      </c>
      <c r="AO184" s="750">
        <f>AO182-AO183</f>
        <v>144</v>
      </c>
      <c r="AP184" s="750">
        <f>AP182-AP183</f>
        <v>182</v>
      </c>
      <c r="AQ184" s="710">
        <f>AQ182-AQ183</f>
        <v>616.00000000000011</v>
      </c>
      <c r="AR184" s="705"/>
      <c r="AS184" s="706">
        <f>AS182-AS183</f>
        <v>162</v>
      </c>
      <c r="AT184" s="705">
        <f>AT182-AT183</f>
        <v>141.94100000000003</v>
      </c>
      <c r="AU184" s="750">
        <f>AU182-AU183</f>
        <v>160.69799999999998</v>
      </c>
      <c r="AV184" s="705">
        <f>AV182-AV183</f>
        <v>178.3580400000001</v>
      </c>
      <c r="AW184" s="710">
        <f>AW182-AW183</f>
        <v>642.99704000000008</v>
      </c>
      <c r="AX184" s="705"/>
      <c r="AY184" s="706">
        <f>AY182-AY183</f>
        <v>141.06778259174988</v>
      </c>
      <c r="AZ184" s="705">
        <f>AZ182-AZ183</f>
        <v>135.50991502740555</v>
      </c>
      <c r="BA184" s="705">
        <f>BA182-BA183</f>
        <v>159.54166861375569</v>
      </c>
      <c r="BB184" s="705">
        <f>BB182-BB183</f>
        <v>178.41822283804248</v>
      </c>
      <c r="BC184" s="710">
        <f>BC182-BC183</f>
        <v>614.53758907095357</v>
      </c>
      <c r="BD184" s="705"/>
      <c r="BE184" s="706">
        <f>BE182-BE183</f>
        <v>164.55352188319907</v>
      </c>
      <c r="BF184" s="705">
        <f>BF182-BF183</f>
        <v>156.35762172904947</v>
      </c>
      <c r="BG184" s="705">
        <f>BG182-BG183</f>
        <v>169.42188613980298</v>
      </c>
      <c r="BH184" s="705">
        <f>BH182-BH183</f>
        <v>205.57478364314136</v>
      </c>
      <c r="BI184" s="710">
        <f>BI182-BI183</f>
        <v>695.90781339519287</v>
      </c>
      <c r="BJ184" s="705"/>
      <c r="BK184" s="706">
        <f>BK182-BK183</f>
        <v>181.15778732136209</v>
      </c>
      <c r="BL184" s="705">
        <f>BL182-BL183</f>
        <v>195.26260590225201</v>
      </c>
      <c r="BM184" s="705">
        <f>BM182-BM183</f>
        <v>197.91908370710917</v>
      </c>
      <c r="BN184" s="705">
        <f>BN182-BN183</f>
        <v>224.36078418804217</v>
      </c>
      <c r="BO184" s="710">
        <f>BO182-BO183</f>
        <v>798.70026111876541</v>
      </c>
      <c r="BP184" s="705"/>
      <c r="BQ184" s="706">
        <f>BQ182-BQ183</f>
        <v>219.63642845524302</v>
      </c>
      <c r="BR184" s="705">
        <f>BR182-BR183</f>
        <v>242.06350863072163</v>
      </c>
      <c r="BS184" s="705">
        <f>BS182-BS183</f>
        <v>233.09798914558621</v>
      </c>
      <c r="BT184" s="705">
        <f>BT182-BT183</f>
        <v>266.28322916558784</v>
      </c>
      <c r="BU184" s="710">
        <f>BU182-BU183</f>
        <v>961.08115539713879</v>
      </c>
      <c r="BV184" s="705"/>
      <c r="BW184" s="706">
        <f>BW182-BW183</f>
        <v>243.04762686233857</v>
      </c>
      <c r="BX184" s="705">
        <f>BX182-BX183</f>
        <v>267.51569302731627</v>
      </c>
      <c r="BY184" s="705">
        <f>BY182-BY183</f>
        <v>260.58608134090389</v>
      </c>
      <c r="BZ184" s="705">
        <f>BZ182-BZ183</f>
        <v>296.55336659271194</v>
      </c>
      <c r="CA184" s="710">
        <f>CA182-CA183</f>
        <v>1067.7027678232707</v>
      </c>
      <c r="CB184" s="705"/>
      <c r="CC184" s="706">
        <f>CC182-CC183</f>
        <v>263.84609792155794</v>
      </c>
      <c r="CD184" s="705">
        <f>CD182-CD183</f>
        <v>292.86442488455009</v>
      </c>
      <c r="CE184" s="705">
        <f>CE182-CE183</f>
        <v>286.61395374433187</v>
      </c>
      <c r="CF184" s="705">
        <f>CF182-CF183</f>
        <v>324.72375854261668</v>
      </c>
      <c r="CG184" s="710">
        <f>CG182-CG183</f>
        <v>1168.0482350930565</v>
      </c>
      <c r="CH184" s="495"/>
      <c r="CI184" s="706">
        <f>CI182-CI183</f>
        <v>286.36433840314567</v>
      </c>
      <c r="CJ184" s="705">
        <f>CJ182-CJ183</f>
        <v>320.62445300153763</v>
      </c>
      <c r="CK184" s="705">
        <f>CK182-CK183</f>
        <v>315.4083781760429</v>
      </c>
      <c r="CL184" s="705">
        <f>CL182-CL183</f>
        <v>355.75348075817112</v>
      </c>
      <c r="CM184" s="710">
        <f>CM182-CM183</f>
        <v>1278.1506503388973</v>
      </c>
      <c r="CN184" s="495"/>
      <c r="CO184" s="495"/>
      <c r="CP184" s="64"/>
    </row>
    <row r="185" spans="1:94" hidden="1" outlineLevel="1">
      <c r="A185" s="932" t="s">
        <v>377</v>
      </c>
      <c r="B185" s="933"/>
      <c r="C185" s="934">
        <f>C184*4</f>
        <v>218</v>
      </c>
      <c r="D185" s="935">
        <f>D184*4</f>
        <v>164</v>
      </c>
      <c r="E185" s="935">
        <f>E184*4</f>
        <v>220</v>
      </c>
      <c r="F185" s="935">
        <f>F184*4</f>
        <v>292</v>
      </c>
      <c r="G185" s="936">
        <f>G184</f>
        <v>223.5</v>
      </c>
      <c r="H185" s="933"/>
      <c r="I185" s="934">
        <f>I184*4</f>
        <v>256</v>
      </c>
      <c r="J185" s="935">
        <f>J184*4</f>
        <v>246</v>
      </c>
      <c r="K185" s="935">
        <f>K184*4</f>
        <v>308</v>
      </c>
      <c r="L185" s="935">
        <f>L184*4</f>
        <v>426</v>
      </c>
      <c r="M185" s="936">
        <f>M184</f>
        <v>309</v>
      </c>
      <c r="N185" s="933"/>
      <c r="O185" s="934">
        <f>O184*4</f>
        <v>306.452</v>
      </c>
      <c r="P185" s="935">
        <f>P184*4</f>
        <v>298.30000000000018</v>
      </c>
      <c r="Q185" s="935">
        <f>Q184*4</f>
        <v>287.97200000000021</v>
      </c>
      <c r="R185" s="935">
        <f>R184*4</f>
        <v>349.92800000000011</v>
      </c>
      <c r="S185" s="936">
        <f>S184</f>
        <v>310.66300000000001</v>
      </c>
      <c r="T185" s="937"/>
      <c r="U185" s="934">
        <f>U184*4</f>
        <v>398.62400000000002</v>
      </c>
      <c r="V185" s="935">
        <f>V184*4</f>
        <v>332.404</v>
      </c>
      <c r="W185" s="935">
        <f>W184*4</f>
        <v>407.20800000000008</v>
      </c>
      <c r="X185" s="935">
        <f>X184*4</f>
        <v>496.62800000000016</v>
      </c>
      <c r="Y185" s="936">
        <f>Y184</f>
        <v>408.71600000000035</v>
      </c>
      <c r="Z185" s="937"/>
      <c r="AA185" s="934">
        <f>AA184*4</f>
        <v>387.35599999999977</v>
      </c>
      <c r="AB185" s="935">
        <f>AB184*4</f>
        <v>458.82799999999997</v>
      </c>
      <c r="AC185" s="935">
        <f>AC184*4</f>
        <v>465.42000000000007</v>
      </c>
      <c r="AD185" s="937">
        <f>AD184*4</f>
        <v>546.41200000000026</v>
      </c>
      <c r="AE185" s="936">
        <f>AE184</f>
        <v>464.50399999999991</v>
      </c>
      <c r="AF185" s="937"/>
      <c r="AG185" s="934">
        <f>AG184*4</f>
        <v>512</v>
      </c>
      <c r="AH185" s="935">
        <f>AH184*4</f>
        <v>460</v>
      </c>
      <c r="AI185" s="935">
        <f>AI184*4</f>
        <v>520</v>
      </c>
      <c r="AJ185" s="937">
        <f>AJ184*4</f>
        <v>652</v>
      </c>
      <c r="AK185" s="936">
        <f>AK184</f>
        <v>536</v>
      </c>
      <c r="AL185" s="937"/>
      <c r="AM185" s="938">
        <f>AM184*4</f>
        <v>548.00000000000045</v>
      </c>
      <c r="AN185" s="937">
        <f>AN184*4</f>
        <v>612</v>
      </c>
      <c r="AO185" s="935">
        <f>AO184*4</f>
        <v>576</v>
      </c>
      <c r="AP185" s="935">
        <f>AP184*4</f>
        <v>728</v>
      </c>
      <c r="AQ185" s="936">
        <f>AQ184</f>
        <v>616.00000000000011</v>
      </c>
      <c r="AR185" s="937"/>
      <c r="AS185" s="938">
        <f>AS184*4</f>
        <v>648</v>
      </c>
      <c r="AT185" s="937">
        <f>AT184*4</f>
        <v>567.76400000000012</v>
      </c>
      <c r="AU185" s="935">
        <f>AU184*4</f>
        <v>642.79199999999992</v>
      </c>
      <c r="AV185" s="937">
        <f>AV184*4</f>
        <v>713.43216000000041</v>
      </c>
      <c r="AW185" s="936">
        <f>AW184</f>
        <v>642.99704000000008</v>
      </c>
      <c r="AX185" s="937"/>
      <c r="AY185" s="938">
        <f>AY184*4</f>
        <v>564.2711303669995</v>
      </c>
      <c r="AZ185" s="937">
        <f>AZ184*4</f>
        <v>542.03966010962222</v>
      </c>
      <c r="BA185" s="937">
        <f>BA184*4</f>
        <v>638.16667445502276</v>
      </c>
      <c r="BB185" s="937">
        <f>BB184*4</f>
        <v>713.67289135216993</v>
      </c>
      <c r="BC185" s="936">
        <f>BC184</f>
        <v>614.53758907095357</v>
      </c>
      <c r="BD185" s="937"/>
      <c r="BE185" s="938">
        <f>BE184*4</f>
        <v>658.21408753279627</v>
      </c>
      <c r="BF185" s="937">
        <f>BF184*4</f>
        <v>625.43048691619788</v>
      </c>
      <c r="BG185" s="937">
        <f>BG184*4</f>
        <v>677.68754455921191</v>
      </c>
      <c r="BH185" s="937">
        <f>BH184*4</f>
        <v>822.29913457256544</v>
      </c>
      <c r="BI185" s="936">
        <f>BI184</f>
        <v>695.90781339519287</v>
      </c>
      <c r="BJ185" s="937"/>
      <c r="BK185" s="938">
        <f>BK184*4</f>
        <v>724.63114928544837</v>
      </c>
      <c r="BL185" s="937">
        <f>BL184*4</f>
        <v>781.05042360900802</v>
      </c>
      <c r="BM185" s="937">
        <f>BM184*4</f>
        <v>791.67633482843667</v>
      </c>
      <c r="BN185" s="937">
        <f>BN184*4</f>
        <v>897.4431367521687</v>
      </c>
      <c r="BO185" s="936">
        <f>BO184</f>
        <v>798.70026111876541</v>
      </c>
      <c r="BP185" s="937"/>
      <c r="BQ185" s="938">
        <f>BQ184*4</f>
        <v>878.54571382097208</v>
      </c>
      <c r="BR185" s="937">
        <f>BR184*4</f>
        <v>968.25403452288651</v>
      </c>
      <c r="BS185" s="937">
        <f>BS184*4</f>
        <v>932.39195658234485</v>
      </c>
      <c r="BT185" s="937">
        <f>BT184*4</f>
        <v>1065.1329166623514</v>
      </c>
      <c r="BU185" s="936">
        <f>BU184</f>
        <v>961.08115539713879</v>
      </c>
      <c r="BV185" s="937"/>
      <c r="BW185" s="938">
        <f>BW184*4</f>
        <v>972.1905074493543</v>
      </c>
      <c r="BX185" s="937">
        <f>BX184*4</f>
        <v>1070.0627721092651</v>
      </c>
      <c r="BY185" s="937">
        <f>BY184*4</f>
        <v>1042.3443253636156</v>
      </c>
      <c r="BZ185" s="937">
        <f>BZ184*4</f>
        <v>1186.2134663708478</v>
      </c>
      <c r="CA185" s="936">
        <f>CA184</f>
        <v>1067.7027678232707</v>
      </c>
      <c r="CB185" s="935"/>
      <c r="CC185" s="938">
        <f>CC184*4</f>
        <v>1055.3843916862318</v>
      </c>
      <c r="CD185" s="937">
        <f>CD184*4</f>
        <v>1171.4576995382004</v>
      </c>
      <c r="CE185" s="937">
        <f>CE184*4</f>
        <v>1146.4558149773275</v>
      </c>
      <c r="CF185" s="937">
        <f>CF184*4</f>
        <v>1298.8950341704667</v>
      </c>
      <c r="CG185" s="936">
        <f>CG184</f>
        <v>1168.0482350930565</v>
      </c>
      <c r="CH185" s="933"/>
      <c r="CI185" s="938">
        <f>CI184*4</f>
        <v>1145.4573536125827</v>
      </c>
      <c r="CJ185" s="937">
        <f>CJ184*4</f>
        <v>1282.4978120061505</v>
      </c>
      <c r="CK185" s="937">
        <f>CK184*4</f>
        <v>1261.6335127041716</v>
      </c>
      <c r="CL185" s="937">
        <f>CL184*4</f>
        <v>1423.0139230326845</v>
      </c>
      <c r="CM185" s="936">
        <f>CM184</f>
        <v>1278.1506503388973</v>
      </c>
      <c r="CN185" s="933"/>
      <c r="CO185" s="933"/>
      <c r="CP185" s="939"/>
    </row>
    <row r="186" spans="1:94" collapsed="1">
      <c r="A186" s="932"/>
      <c r="B186" s="79"/>
      <c r="C186" s="940"/>
      <c r="D186" s="916"/>
      <c r="E186" s="916"/>
      <c r="F186" s="916"/>
      <c r="G186" s="941"/>
      <c r="H186" s="79"/>
      <c r="I186" s="940"/>
      <c r="J186" s="916"/>
      <c r="K186" s="916"/>
      <c r="L186" s="916"/>
      <c r="M186" s="941"/>
      <c r="N186" s="79"/>
      <c r="O186" s="940"/>
      <c r="P186" s="916"/>
      <c r="Q186" s="916"/>
      <c r="R186" s="916"/>
      <c r="S186" s="941"/>
      <c r="T186" s="916"/>
      <c r="U186" s="940"/>
      <c r="V186" s="916"/>
      <c r="W186" s="916"/>
      <c r="X186" s="916"/>
      <c r="Y186" s="941"/>
      <c r="Z186" s="916"/>
      <c r="AA186" s="942"/>
      <c r="AB186" s="943"/>
      <c r="AC186" s="943"/>
      <c r="AD186" s="916"/>
      <c r="AE186" s="941"/>
      <c r="AF186" s="916"/>
      <c r="AG186" s="942"/>
      <c r="AH186" s="916"/>
      <c r="AI186" s="943"/>
      <c r="AJ186" s="916"/>
      <c r="AK186" s="941"/>
      <c r="AL186" s="916"/>
      <c r="AM186" s="940"/>
      <c r="AN186" s="916"/>
      <c r="AO186" s="943"/>
      <c r="AP186" s="943"/>
      <c r="AQ186" s="941"/>
      <c r="AR186" s="916"/>
      <c r="AS186" s="940"/>
      <c r="AT186" s="916"/>
      <c r="AU186" s="943"/>
      <c r="AV186" s="916"/>
      <c r="AW186" s="941"/>
      <c r="AX186" s="916"/>
      <c r="AY186" s="940"/>
      <c r="AZ186" s="916"/>
      <c r="BA186" s="916"/>
      <c r="BB186" s="916"/>
      <c r="BC186" s="941"/>
      <c r="BD186" s="916"/>
      <c r="BE186" s="940"/>
      <c r="BF186" s="916"/>
      <c r="BG186" s="916"/>
      <c r="BH186" s="916"/>
      <c r="BI186" s="941"/>
      <c r="BJ186" s="916"/>
      <c r="BK186" s="940"/>
      <c r="BL186" s="916"/>
      <c r="BM186" s="916"/>
      <c r="BN186" s="916"/>
      <c r="BO186" s="941"/>
      <c r="BP186" s="916"/>
      <c r="BQ186" s="940"/>
      <c r="BR186" s="916"/>
      <c r="BS186" s="916"/>
      <c r="BT186" s="916"/>
      <c r="BU186" s="941"/>
      <c r="BV186" s="916"/>
      <c r="BW186" s="940"/>
      <c r="BX186" s="916"/>
      <c r="BY186" s="916"/>
      <c r="BZ186" s="916"/>
      <c r="CA186" s="941"/>
      <c r="CB186" s="916"/>
      <c r="CC186" s="940"/>
      <c r="CD186" s="916"/>
      <c r="CE186" s="916"/>
      <c r="CF186" s="916"/>
      <c r="CG186" s="941"/>
      <c r="CH186" s="6"/>
      <c r="CI186" s="940"/>
      <c r="CJ186" s="916"/>
      <c r="CK186" s="916"/>
      <c r="CL186" s="916"/>
      <c r="CM186" s="941"/>
      <c r="CN186" s="6"/>
      <c r="CO186" s="6"/>
      <c r="CP186" s="6"/>
    </row>
    <row r="187" spans="1:94" hidden="1" outlineLevel="1">
      <c r="A187" s="894" t="s">
        <v>378</v>
      </c>
      <c r="B187" s="495"/>
      <c r="C187" s="1555">
        <v>974</v>
      </c>
      <c r="D187" s="1554">
        <v>1007</v>
      </c>
      <c r="E187" s="1554">
        <v>1271</v>
      </c>
      <c r="F187" s="1554">
        <v>1263</v>
      </c>
      <c r="G187" s="710">
        <f>F187</f>
        <v>1263</v>
      </c>
      <c r="H187" s="495"/>
      <c r="I187" s="1555">
        <v>1392</v>
      </c>
      <c r="J187" s="1554">
        <v>1428</v>
      </c>
      <c r="K187" s="1554">
        <v>1487</v>
      </c>
      <c r="L187" s="1554">
        <v>1505</v>
      </c>
      <c r="M187" s="710">
        <f>L187</f>
        <v>1505</v>
      </c>
      <c r="N187" s="495"/>
      <c r="O187" s="1555">
        <v>1563</v>
      </c>
      <c r="P187" s="1554">
        <v>1519</v>
      </c>
      <c r="Q187" s="1554">
        <v>1449</v>
      </c>
      <c r="R187" s="1554">
        <v>1483</v>
      </c>
      <c r="S187" s="710">
        <f>R187</f>
        <v>1483</v>
      </c>
      <c r="T187" s="702"/>
      <c r="U187" s="1555">
        <v>1691</v>
      </c>
      <c r="V187" s="1554">
        <v>1634</v>
      </c>
      <c r="W187" s="1554">
        <v>3085</v>
      </c>
      <c r="X187" s="1554">
        <v>3199</v>
      </c>
      <c r="Y187" s="710">
        <f>X187</f>
        <v>3199</v>
      </c>
      <c r="Z187" s="702"/>
      <c r="AA187" s="1555">
        <v>3423</v>
      </c>
      <c r="AB187" s="1554">
        <v>3608</v>
      </c>
      <c r="AC187" s="1554">
        <v>3603</v>
      </c>
      <c r="AD187" s="1554">
        <v>3609</v>
      </c>
      <c r="AE187" s="710">
        <f>AD187</f>
        <v>3609</v>
      </c>
      <c r="AF187" s="702"/>
      <c r="AG187" s="1555">
        <v>3546</v>
      </c>
      <c r="AH187" s="1554">
        <v>3553</v>
      </c>
      <c r="AI187" s="1554">
        <v>5846</v>
      </c>
      <c r="AJ187" s="1554">
        <v>5840</v>
      </c>
      <c r="AK187" s="710">
        <f>AJ187</f>
        <v>5840</v>
      </c>
      <c r="AL187" s="705"/>
      <c r="AM187" s="1555">
        <v>5954</v>
      </c>
      <c r="AN187" s="1554">
        <v>5996</v>
      </c>
      <c r="AO187" s="1554">
        <v>5984</v>
      </c>
      <c r="AP187" s="1554">
        <v>6047</v>
      </c>
      <c r="AQ187" s="710">
        <f>AP187</f>
        <v>6047</v>
      </c>
      <c r="AR187" s="705"/>
      <c r="AS187" s="1555">
        <v>6044</v>
      </c>
      <c r="AT187" s="1554">
        <v>6084</v>
      </c>
      <c r="AU187" s="1554">
        <v>6096</v>
      </c>
      <c r="AV187" s="705">
        <f>AV11+AV12+AV16+AV17+AV18</f>
        <v>4987</v>
      </c>
      <c r="AW187" s="710">
        <f>AV187</f>
        <v>4987</v>
      </c>
      <c r="AX187" s="705"/>
      <c r="AY187" s="706">
        <f>AY11+AY12+AY16+AY17+AY18</f>
        <v>4696</v>
      </c>
      <c r="AZ187" s="705">
        <f>AZ11+AZ12+AZ16+AZ17+AZ18</f>
        <v>4582</v>
      </c>
      <c r="BA187" s="705">
        <f>BA11+BA12+BA16+BA17+BA18</f>
        <v>4566</v>
      </c>
      <c r="BB187" s="705">
        <f>BB11+BB12+BB16+BB17+BB18</f>
        <v>4562</v>
      </c>
      <c r="BC187" s="710">
        <f>BB187</f>
        <v>4562</v>
      </c>
      <c r="BD187" s="705"/>
      <c r="BE187" s="706">
        <f>BE11+BE12+BE16+BE17+BE18</f>
        <v>4756</v>
      </c>
      <c r="BF187" s="705">
        <f>BF11+BF12+BF16+BF17+BF18</f>
        <v>4813</v>
      </c>
      <c r="BG187" s="705">
        <f>BG11+BG12+BG16+BG17+BG18</f>
        <v>4723</v>
      </c>
      <c r="BH187" s="705">
        <f>BH11+BH12+BH16+BH17+BH18</f>
        <v>4728</v>
      </c>
      <c r="BI187" s="710">
        <f>BH187</f>
        <v>4728</v>
      </c>
      <c r="BJ187" s="705"/>
      <c r="BK187" s="706">
        <f>BK11+BK12+BK16+BK17+BK18</f>
        <v>4831</v>
      </c>
      <c r="BL187" s="705">
        <f>BL11+BL12+BL16+BL17+BL18</f>
        <v>4841</v>
      </c>
      <c r="BM187" s="705">
        <f>BM11+BM12+BM16+BM17+BM18</f>
        <v>4947</v>
      </c>
      <c r="BN187" s="705">
        <f>BN11+BN12+BN16+BN17+BN18</f>
        <v>5024</v>
      </c>
      <c r="BO187" s="710">
        <f>BN187</f>
        <v>5024</v>
      </c>
      <c r="BP187" s="705"/>
      <c r="BQ187" s="706">
        <f>BQ11+BQ12+BQ16+BQ17+BQ18</f>
        <v>5125</v>
      </c>
      <c r="BR187" s="705">
        <f>BR11+BR12+BR16+BR17+BR18</f>
        <v>5138.4896012430117</v>
      </c>
      <c r="BS187" s="705">
        <f>BS11+BS12+BS16+BS17+BS18</f>
        <v>5130.928810557557</v>
      </c>
      <c r="BT187" s="705">
        <f>BT11+BT12+BT16+BT17+BT18</f>
        <v>5181.88980732649</v>
      </c>
      <c r="BU187" s="710">
        <f>BT187</f>
        <v>5181.88980732649</v>
      </c>
      <c r="BV187" s="705"/>
      <c r="BW187" s="706">
        <f>BW11+BW12+BW16+BW17+BW18</f>
        <v>5232.3343180325128</v>
      </c>
      <c r="BX187" s="705">
        <f>BX11+BX12+BX16+BX17+BX18</f>
        <v>5234.1729714175208</v>
      </c>
      <c r="BY187" s="705">
        <f>BY11+BY12+BY16+BY17+BY18</f>
        <v>5230.6360125055726</v>
      </c>
      <c r="BZ187" s="705">
        <f>BZ11+BZ12+BZ16+BZ17+BZ18</f>
        <v>5268.5304753969967</v>
      </c>
      <c r="CA187" s="710">
        <f>BZ187</f>
        <v>5268.5304753969967</v>
      </c>
      <c r="CB187" s="705"/>
      <c r="CC187" s="706">
        <f>CC11+CC12+CC16+CC17+CC18</f>
        <v>5297.2697032384767</v>
      </c>
      <c r="CD187" s="705">
        <f>CD11+CD12+CD16+CD17+CD18</f>
        <v>5307.0324738370646</v>
      </c>
      <c r="CE187" s="705">
        <f>CE11+CE12+CE16+CE17+CE18</f>
        <v>5319.7165441708376</v>
      </c>
      <c r="CF187" s="705">
        <f>CF11+CF12+CF16+CF17+CF18</f>
        <v>5359.03072736386</v>
      </c>
      <c r="CG187" s="710">
        <f>CF187</f>
        <v>5359.03072736386</v>
      </c>
      <c r="CH187" s="495"/>
      <c r="CI187" s="706">
        <f>CI11+CI12+CI16+CI17+CI18</f>
        <v>5377.6228811968522</v>
      </c>
      <c r="CJ187" s="705">
        <f>CJ11+CJ12+CJ16+CJ17+CJ18</f>
        <v>5391.1881697806202</v>
      </c>
      <c r="CK187" s="705">
        <f>CK11+CK12+CK16+CK17+CK18</f>
        <v>5419.7112554553314</v>
      </c>
      <c r="CL187" s="705">
        <f>CL11+CL12+CL16+CL17+CL18</f>
        <v>5453.1152945946997</v>
      </c>
      <c r="CM187" s="710">
        <f>CL187</f>
        <v>5453.1152945946997</v>
      </c>
      <c r="CN187" s="495"/>
      <c r="CO187" s="495"/>
      <c r="CP187" s="64"/>
    </row>
    <row r="188" spans="1:94" hidden="1" outlineLevel="1">
      <c r="A188" s="894" t="s">
        <v>379</v>
      </c>
      <c r="B188" s="495"/>
      <c r="C188" s="1555">
        <v>250</v>
      </c>
      <c r="D188" s="1554">
        <v>269</v>
      </c>
      <c r="E188" s="1554">
        <v>293</v>
      </c>
      <c r="F188" s="1554">
        <v>287</v>
      </c>
      <c r="G188" s="710">
        <f>F188</f>
        <v>287</v>
      </c>
      <c r="H188" s="495"/>
      <c r="I188" s="1555">
        <v>267</v>
      </c>
      <c r="J188" s="1554">
        <v>327</v>
      </c>
      <c r="K188" s="1554">
        <v>301</v>
      </c>
      <c r="L188" s="1554">
        <v>322</v>
      </c>
      <c r="M188" s="710">
        <f>L188</f>
        <v>322</v>
      </c>
      <c r="N188" s="495"/>
      <c r="O188" s="1555">
        <v>283</v>
      </c>
      <c r="P188" s="1554">
        <v>293</v>
      </c>
      <c r="Q188" s="1554">
        <v>295</v>
      </c>
      <c r="R188" s="1554">
        <v>344</v>
      </c>
      <c r="S188" s="710">
        <f>R188</f>
        <v>344</v>
      </c>
      <c r="T188" s="702"/>
      <c r="U188" s="1555">
        <v>369</v>
      </c>
      <c r="V188" s="1554">
        <v>410</v>
      </c>
      <c r="W188" s="1554">
        <v>529</v>
      </c>
      <c r="X188" s="1554">
        <v>590</v>
      </c>
      <c r="Y188" s="710">
        <f>X188</f>
        <v>590</v>
      </c>
      <c r="Z188" s="702"/>
      <c r="AA188" s="1555">
        <v>540</v>
      </c>
      <c r="AB188" s="1554">
        <v>646</v>
      </c>
      <c r="AC188" s="1554">
        <v>595</v>
      </c>
      <c r="AD188" s="1554">
        <v>626</v>
      </c>
      <c r="AE188" s="710">
        <f>AD188</f>
        <v>626</v>
      </c>
      <c r="AF188" s="702"/>
      <c r="AG188" s="1555">
        <v>560</v>
      </c>
      <c r="AH188" s="1554">
        <v>613</v>
      </c>
      <c r="AI188" s="1554">
        <v>611</v>
      </c>
      <c r="AJ188" s="1554">
        <v>648</v>
      </c>
      <c r="AK188" s="710">
        <f>AJ188</f>
        <v>648</v>
      </c>
      <c r="AL188" s="705"/>
      <c r="AM188" s="1555">
        <v>634</v>
      </c>
      <c r="AN188" s="1554">
        <v>679</v>
      </c>
      <c r="AO188" s="1554">
        <v>646</v>
      </c>
      <c r="AP188" s="1554">
        <v>695</v>
      </c>
      <c r="AQ188" s="710">
        <f>AP188</f>
        <v>695</v>
      </c>
      <c r="AR188" s="705"/>
      <c r="AS188" s="1555">
        <v>662</v>
      </c>
      <c r="AT188" s="1554">
        <v>743</v>
      </c>
      <c r="AU188" s="1554">
        <v>665</v>
      </c>
      <c r="AV188" s="705">
        <f>AV25+AV26+AV27+AV30</f>
        <v>1079</v>
      </c>
      <c r="AW188" s="710">
        <f>AV188</f>
        <v>1079</v>
      </c>
      <c r="AX188" s="705"/>
      <c r="AY188" s="706">
        <f>AY25+AY26+AY27+AY30</f>
        <v>928</v>
      </c>
      <c r="AZ188" s="705">
        <f>AZ25+AZ26+AZ27+AZ30</f>
        <v>930</v>
      </c>
      <c r="BA188" s="705">
        <f>BA25+BA26+BA27+BA30</f>
        <v>853</v>
      </c>
      <c r="BB188" s="705">
        <f>BB25+BB26+BB27+BB30</f>
        <v>976</v>
      </c>
      <c r="BC188" s="710">
        <f>BB188</f>
        <v>976</v>
      </c>
      <c r="BD188" s="705"/>
      <c r="BE188" s="706">
        <f>BE25+BE26+BE27+BE30</f>
        <v>867</v>
      </c>
      <c r="BF188" s="705">
        <f>BF25+BF26+BF27+BF30</f>
        <v>898</v>
      </c>
      <c r="BG188" s="705">
        <f>BG25+BG26+BG27+BG30</f>
        <v>916</v>
      </c>
      <c r="BH188" s="705">
        <f>BH25+BH26+BH27+BH30</f>
        <v>945</v>
      </c>
      <c r="BI188" s="710">
        <f>BH188</f>
        <v>945</v>
      </c>
      <c r="BJ188" s="705"/>
      <c r="BK188" s="706">
        <f>BK25+BK26+BK27+BK30</f>
        <v>899</v>
      </c>
      <c r="BL188" s="705">
        <f>BL25+BL26+BL27+BL30</f>
        <v>946</v>
      </c>
      <c r="BM188" s="705">
        <f>BM25+BM26+BM27+BM30</f>
        <v>961</v>
      </c>
      <c r="BN188" s="705">
        <f>BN25+BN26+BN27+BN30</f>
        <v>1053</v>
      </c>
      <c r="BO188" s="710">
        <f>BN188</f>
        <v>1053</v>
      </c>
      <c r="BP188" s="705"/>
      <c r="BQ188" s="706">
        <f>BQ25+BQ26+BQ27+BQ30</f>
        <v>1016</v>
      </c>
      <c r="BR188" s="705">
        <f>BR25+BR26+BR27+BR30</f>
        <v>1061.8428997283959</v>
      </c>
      <c r="BS188" s="705">
        <f>BS25+BS26+BS27+BS30</f>
        <v>1056.9224447104241</v>
      </c>
      <c r="BT188" s="705">
        <f>BT25+BT26+BT27+BT30</f>
        <v>1150.7615168881484</v>
      </c>
      <c r="BU188" s="710">
        <f>BT188</f>
        <v>1150.7615168881484</v>
      </c>
      <c r="BV188" s="705"/>
      <c r="BW188" s="706">
        <f>BW25+BW26+BW27+BW30</f>
        <v>1061.7024285657726</v>
      </c>
      <c r="BX188" s="705">
        <f>BX25+BX26+BX27+BX30</f>
        <v>1109.56399048154</v>
      </c>
      <c r="BY188" s="705">
        <f>BY25+BY26+BY27+BY30</f>
        <v>1118.770782126383</v>
      </c>
      <c r="BZ188" s="705">
        <f>BZ25+BZ26+BZ27+BZ30</f>
        <v>1215.2881460669446</v>
      </c>
      <c r="CA188" s="710">
        <f>BZ188</f>
        <v>1215.2881460669446</v>
      </c>
      <c r="CB188" s="705"/>
      <c r="CC188" s="706">
        <f>CC25+CC26+CC27+CC30</f>
        <v>1103.3157980438195</v>
      </c>
      <c r="CD188" s="705">
        <f>CD25+CD26+CD27+CD30</f>
        <v>1153.7980409081154</v>
      </c>
      <c r="CE188" s="705">
        <f>CE25+CE26+CE27+CE30</f>
        <v>1173.7791037954216</v>
      </c>
      <c r="CF188" s="705">
        <f>CF25+CF26+CF27+CF30</f>
        <v>1270.7660750433108</v>
      </c>
      <c r="CG188" s="710">
        <f>CF188</f>
        <v>1270.7660750433108</v>
      </c>
      <c r="CH188" s="495"/>
      <c r="CI188" s="706">
        <f>CI25+CI26+CI27+CI30</f>
        <v>1149.6446494024053</v>
      </c>
      <c r="CJ188" s="705">
        <f>CJ25+CJ26+CJ27+CJ30</f>
        <v>1203.1833269712563</v>
      </c>
      <c r="CK188" s="705">
        <f>CK25+CK26+CK27+CK30</f>
        <v>1236.914884887422</v>
      </c>
      <c r="CL188" s="705">
        <f>CL25+CL26+CL27+CL30</f>
        <v>1333.7471233119454</v>
      </c>
      <c r="CM188" s="710">
        <f>CL188</f>
        <v>1333.7471233119454</v>
      </c>
      <c r="CN188" s="495"/>
      <c r="CO188" s="495"/>
      <c r="CP188" s="64"/>
    </row>
    <row r="189" spans="1:94" hidden="1" outlineLevel="1">
      <c r="A189" s="894" t="s">
        <v>380</v>
      </c>
      <c r="B189" s="495"/>
      <c r="C189" s="749">
        <f>C187-C188</f>
        <v>724</v>
      </c>
      <c r="D189" s="750">
        <f>D187-D188</f>
        <v>738</v>
      </c>
      <c r="E189" s="750">
        <f>E187-E188</f>
        <v>978</v>
      </c>
      <c r="F189" s="750">
        <f>F187-F188</f>
        <v>976</v>
      </c>
      <c r="G189" s="703">
        <f>G187-G188</f>
        <v>976</v>
      </c>
      <c r="H189" s="495"/>
      <c r="I189" s="749">
        <f>I187-I188</f>
        <v>1125</v>
      </c>
      <c r="J189" s="750">
        <f>J187-J188</f>
        <v>1101</v>
      </c>
      <c r="K189" s="750">
        <f>K187-K188</f>
        <v>1186</v>
      </c>
      <c r="L189" s="750">
        <f>L187-L188</f>
        <v>1183</v>
      </c>
      <c r="M189" s="703">
        <f>M187-M188</f>
        <v>1183</v>
      </c>
      <c r="N189" s="495"/>
      <c r="O189" s="749">
        <f>O187-O188</f>
        <v>1280</v>
      </c>
      <c r="P189" s="750">
        <f>P187-P188</f>
        <v>1226</v>
      </c>
      <c r="Q189" s="750">
        <f>Q187-Q188</f>
        <v>1154</v>
      </c>
      <c r="R189" s="750">
        <f>R187-R188</f>
        <v>1139</v>
      </c>
      <c r="S189" s="703">
        <f>S187-S188</f>
        <v>1139</v>
      </c>
      <c r="T189" s="705"/>
      <c r="U189" s="749">
        <f>U187-U188</f>
        <v>1322</v>
      </c>
      <c r="V189" s="750">
        <f>V187-V188</f>
        <v>1224</v>
      </c>
      <c r="W189" s="750">
        <f>W187-W188</f>
        <v>2556</v>
      </c>
      <c r="X189" s="750">
        <f>X187-X188</f>
        <v>2609</v>
      </c>
      <c r="Y189" s="703">
        <f>Y187-Y188</f>
        <v>2609</v>
      </c>
      <c r="Z189" s="705"/>
      <c r="AA189" s="749">
        <f>AA187-AA188</f>
        <v>2883</v>
      </c>
      <c r="AB189" s="750">
        <f>AB187-AB188</f>
        <v>2962</v>
      </c>
      <c r="AC189" s="750">
        <f>AC187-AC188</f>
        <v>3008</v>
      </c>
      <c r="AD189" s="750">
        <f>AD187-AD188</f>
        <v>2983</v>
      </c>
      <c r="AE189" s="710">
        <f>AE187-AE188</f>
        <v>2983</v>
      </c>
      <c r="AF189" s="705"/>
      <c r="AG189" s="749">
        <f>AG187-AG188</f>
        <v>2986</v>
      </c>
      <c r="AH189" s="750">
        <f>AH187-AH188</f>
        <v>2940</v>
      </c>
      <c r="AI189" s="750">
        <f>AI187-AI188</f>
        <v>5235</v>
      </c>
      <c r="AJ189" s="750">
        <f>AJ187-AJ188</f>
        <v>5192</v>
      </c>
      <c r="AK189" s="710">
        <f>AK187-AK188</f>
        <v>5192</v>
      </c>
      <c r="AL189" s="705"/>
      <c r="AM189" s="749">
        <f>AM187-AM188</f>
        <v>5320</v>
      </c>
      <c r="AN189" s="750">
        <f>AN187-AN188</f>
        <v>5317</v>
      </c>
      <c r="AO189" s="750">
        <f>AO187-AO188</f>
        <v>5338</v>
      </c>
      <c r="AP189" s="750">
        <f>AP187-AP188</f>
        <v>5352</v>
      </c>
      <c r="AQ189" s="710">
        <f>AQ187-AQ188</f>
        <v>5352</v>
      </c>
      <c r="AR189" s="705"/>
      <c r="AS189" s="749">
        <f>AS187-AS188</f>
        <v>5382</v>
      </c>
      <c r="AT189" s="750">
        <f>AT187-AT188</f>
        <v>5341</v>
      </c>
      <c r="AU189" s="750">
        <f>AU187-AU188</f>
        <v>5431</v>
      </c>
      <c r="AV189" s="750">
        <f>AV187-AV188</f>
        <v>3908</v>
      </c>
      <c r="AW189" s="710">
        <f>AW187-AW188</f>
        <v>3908</v>
      </c>
      <c r="AX189" s="705"/>
      <c r="AY189" s="749">
        <f>AY187-AY188</f>
        <v>3768</v>
      </c>
      <c r="AZ189" s="750">
        <f>AZ187-AZ188</f>
        <v>3652</v>
      </c>
      <c r="BA189" s="750">
        <f>BA187-BA188</f>
        <v>3713</v>
      </c>
      <c r="BB189" s="750">
        <f>BB187-BB188</f>
        <v>3586</v>
      </c>
      <c r="BC189" s="710">
        <f>BC187-BC188</f>
        <v>3586</v>
      </c>
      <c r="BD189" s="705"/>
      <c r="BE189" s="749">
        <f>BE187-BE188</f>
        <v>3889</v>
      </c>
      <c r="BF189" s="750">
        <f>BF187-BF188</f>
        <v>3915</v>
      </c>
      <c r="BG189" s="750">
        <f>BG187-BG188</f>
        <v>3807</v>
      </c>
      <c r="BH189" s="750">
        <f>BH187-BH188</f>
        <v>3783</v>
      </c>
      <c r="BI189" s="710">
        <f>BI187-BI188</f>
        <v>3783</v>
      </c>
      <c r="BJ189" s="705"/>
      <c r="BK189" s="749">
        <f>BK187-BK188</f>
        <v>3932</v>
      </c>
      <c r="BL189" s="750">
        <f>BL187-BL188</f>
        <v>3895</v>
      </c>
      <c r="BM189" s="750">
        <f>BM187-BM188</f>
        <v>3986</v>
      </c>
      <c r="BN189" s="750">
        <f>BN187-BN188</f>
        <v>3971</v>
      </c>
      <c r="BO189" s="710">
        <f>BO187-BO188</f>
        <v>3971</v>
      </c>
      <c r="BP189" s="705"/>
      <c r="BQ189" s="749">
        <f>BQ187-BQ188</f>
        <v>4109</v>
      </c>
      <c r="BR189" s="750">
        <f>BR187-BR188</f>
        <v>4076.6467015146159</v>
      </c>
      <c r="BS189" s="750">
        <f>BS187-BS188</f>
        <v>4074.0063658471327</v>
      </c>
      <c r="BT189" s="750">
        <f>BT187-BT188</f>
        <v>4031.1282904383415</v>
      </c>
      <c r="BU189" s="710">
        <f>BU187-BU188</f>
        <v>4031.1282904383415</v>
      </c>
      <c r="BV189" s="705"/>
      <c r="BW189" s="749">
        <f>BW187-BW188</f>
        <v>4170.6318894667402</v>
      </c>
      <c r="BX189" s="750">
        <f>BX187-BX188</f>
        <v>4124.608980935981</v>
      </c>
      <c r="BY189" s="750">
        <f>BY187-BY188</f>
        <v>4111.8652303791896</v>
      </c>
      <c r="BZ189" s="750">
        <f>BZ187-BZ188</f>
        <v>4053.2423293300521</v>
      </c>
      <c r="CA189" s="710">
        <f>CA187-CA188</f>
        <v>4053.2423293300521</v>
      </c>
      <c r="CB189" s="705"/>
      <c r="CC189" s="749">
        <f>CC187-CC188</f>
        <v>4193.9539051946576</v>
      </c>
      <c r="CD189" s="750">
        <f>CD187-CD188</f>
        <v>4153.234432928949</v>
      </c>
      <c r="CE189" s="750">
        <f>CE187-CE188</f>
        <v>4145.9374403754155</v>
      </c>
      <c r="CF189" s="750">
        <f>CF187-CF188</f>
        <v>4088.2646523205494</v>
      </c>
      <c r="CG189" s="710">
        <f>CG187-CG188</f>
        <v>4088.2646523205494</v>
      </c>
      <c r="CH189" s="495"/>
      <c r="CI189" s="749">
        <f>CI187-CI188</f>
        <v>4227.9782317944464</v>
      </c>
      <c r="CJ189" s="750">
        <f>CJ187-CJ188</f>
        <v>4188.0048428093642</v>
      </c>
      <c r="CK189" s="750">
        <f>CK187-CK188</f>
        <v>4182.7963705679094</v>
      </c>
      <c r="CL189" s="750">
        <f>CL187-CL188</f>
        <v>4119.3681712827547</v>
      </c>
      <c r="CM189" s="710">
        <f>CM187-CM188</f>
        <v>4119.3681712827547</v>
      </c>
      <c r="CN189" s="495"/>
      <c r="CO189" s="495"/>
      <c r="CP189" s="86"/>
    </row>
    <row r="190" spans="1:94" collapsed="1">
      <c r="A190" s="944" t="s">
        <v>381</v>
      </c>
      <c r="B190" s="74"/>
      <c r="C190" s="878">
        <f>C189</f>
        <v>724</v>
      </c>
      <c r="D190" s="879">
        <f>AVERAGE(C189,D189)</f>
        <v>731</v>
      </c>
      <c r="E190" s="879">
        <f>AVERAGE(D189,E189)</f>
        <v>858</v>
      </c>
      <c r="F190" s="879">
        <f>AVERAGE(E189,F189)</f>
        <v>977</v>
      </c>
      <c r="G190" s="881">
        <f>AVERAGE(C189,D189,E189,F189)</f>
        <v>854</v>
      </c>
      <c r="H190" s="74"/>
      <c r="I190" s="878">
        <f>AVERAGE(F189,I189)</f>
        <v>1050.5</v>
      </c>
      <c r="J190" s="879">
        <f>AVERAGE(I189,J189)</f>
        <v>1113</v>
      </c>
      <c r="K190" s="879">
        <f>AVERAGE(J189,K189)</f>
        <v>1143.5</v>
      </c>
      <c r="L190" s="879">
        <f>AVERAGE(K189,L189)</f>
        <v>1184.5</v>
      </c>
      <c r="M190" s="881">
        <f>AVERAGE(F189,I189,J189,K189,L189)</f>
        <v>1114.2</v>
      </c>
      <c r="N190" s="74"/>
      <c r="O190" s="878">
        <f>AVERAGE(L189,O189)</f>
        <v>1231.5</v>
      </c>
      <c r="P190" s="879">
        <f>AVERAGE(O189,P189)</f>
        <v>1253</v>
      </c>
      <c r="Q190" s="879">
        <f>AVERAGE(P189,Q189)</f>
        <v>1190</v>
      </c>
      <c r="R190" s="879">
        <f>AVERAGE(Q189,R189)</f>
        <v>1146.5</v>
      </c>
      <c r="S190" s="881">
        <f>AVERAGE(L189,O189,P189,Q189,R189)</f>
        <v>1196.4000000000001</v>
      </c>
      <c r="T190" s="945"/>
      <c r="U190" s="878">
        <f>AVERAGE(R189,U189)</f>
        <v>1230.5</v>
      </c>
      <c r="V190" s="879">
        <f>AVERAGE(U189,V189)</f>
        <v>1273</v>
      </c>
      <c r="W190" s="879">
        <f>AVERAGE(V189,W189)</f>
        <v>1890</v>
      </c>
      <c r="X190" s="879">
        <f>AVERAGE(W189,X189)</f>
        <v>2582.5</v>
      </c>
      <c r="Y190" s="881">
        <f>AVERAGE(R189,U189,V189,W189,X189)</f>
        <v>1770</v>
      </c>
      <c r="Z190" s="945"/>
      <c r="AA190" s="878">
        <f>AVERAGE(X189,AA189)</f>
        <v>2746</v>
      </c>
      <c r="AB190" s="879">
        <f>AVERAGE(AA189,AB189)</f>
        <v>2922.5</v>
      </c>
      <c r="AC190" s="879">
        <f>AVERAGE(AB189,AC189)</f>
        <v>2985</v>
      </c>
      <c r="AD190" s="879">
        <f>AVERAGE(AC189,AD189)</f>
        <v>2995.5</v>
      </c>
      <c r="AE190" s="881">
        <f>AVERAGE(X189,AA189,AB189,AC189,AD189)</f>
        <v>2889</v>
      </c>
      <c r="AF190" s="945"/>
      <c r="AG190" s="878">
        <f>AVERAGE(AD189,AG189)</f>
        <v>2984.5</v>
      </c>
      <c r="AH190" s="879">
        <f>AVERAGE(AG189,AH189)</f>
        <v>2963</v>
      </c>
      <c r="AI190" s="879">
        <f>AVERAGE(AH189,AI189)</f>
        <v>4087.5</v>
      </c>
      <c r="AJ190" s="879">
        <f>AVERAGE(AI189,AJ189)</f>
        <v>5213.5</v>
      </c>
      <c r="AK190" s="881">
        <f>AVERAGE(AD189,AG189,AH189,AI189,AJ189)</f>
        <v>3867.2</v>
      </c>
      <c r="AL190" s="945"/>
      <c r="AM190" s="878">
        <f>AVERAGE(AJ189,AM189)</f>
        <v>5256</v>
      </c>
      <c r="AN190" s="879">
        <f>AVERAGE(AM189,AN189)</f>
        <v>5318.5</v>
      </c>
      <c r="AO190" s="879">
        <f>AVERAGE(AN189,AO189)</f>
        <v>5327.5</v>
      </c>
      <c r="AP190" s="879">
        <f>AVERAGE(AO189,AP189)</f>
        <v>5345</v>
      </c>
      <c r="AQ190" s="881">
        <f>AVERAGE(AJ189,AM189,AN189,AO189,AP189)</f>
        <v>5303.8</v>
      </c>
      <c r="AR190" s="945"/>
      <c r="AS190" s="878">
        <f>AVERAGE(AP189,AS189)</f>
        <v>5367</v>
      </c>
      <c r="AT190" s="879">
        <f>AVERAGE(AS189,AT189)</f>
        <v>5361.5</v>
      </c>
      <c r="AU190" s="879">
        <f>AVERAGE(AT189,AU189)</f>
        <v>5386</v>
      </c>
      <c r="AV190" s="879">
        <f>AVERAGE(AU189,AV189)</f>
        <v>4669.5</v>
      </c>
      <c r="AW190" s="881">
        <f>AVERAGE(AP189,AS189,AT189,AU189,AV189)</f>
        <v>5082.8</v>
      </c>
      <c r="AX190" s="945"/>
      <c r="AY190" s="878">
        <f>AVERAGE(AV189,AY189)</f>
        <v>3838</v>
      </c>
      <c r="AZ190" s="879">
        <f>AVERAGE(AY189,AZ189)</f>
        <v>3710</v>
      </c>
      <c r="BA190" s="879">
        <f>AVERAGE(AZ189,BA189)</f>
        <v>3682.5</v>
      </c>
      <c r="BB190" s="879">
        <f>AVERAGE(BA189,BB189)</f>
        <v>3649.5</v>
      </c>
      <c r="BC190" s="881">
        <f>AVERAGE(AV189,AY189,AZ189,BA189,BB189)</f>
        <v>3725.4</v>
      </c>
      <c r="BD190" s="945"/>
      <c r="BE190" s="878">
        <f>AVERAGE(BB189,BE189)</f>
        <v>3737.5</v>
      </c>
      <c r="BF190" s="879">
        <f>AVERAGE(BE189,BF189)</f>
        <v>3902</v>
      </c>
      <c r="BG190" s="879">
        <f>AVERAGE(BF189,BG189)</f>
        <v>3861</v>
      </c>
      <c r="BH190" s="879">
        <f>AVERAGE(BG189,BH189)</f>
        <v>3795</v>
      </c>
      <c r="BI190" s="881">
        <f>AVERAGE(BB189,BE189,BF189,BG189,BH189)</f>
        <v>3796</v>
      </c>
      <c r="BJ190" s="945"/>
      <c r="BK190" s="878">
        <f>AVERAGE(BH189,BK189)</f>
        <v>3857.5</v>
      </c>
      <c r="BL190" s="879">
        <f>AVERAGE(BK189,BL189)</f>
        <v>3913.5</v>
      </c>
      <c r="BM190" s="879">
        <f>AVERAGE(BL189,BM189)</f>
        <v>3940.5</v>
      </c>
      <c r="BN190" s="879">
        <f>AVERAGE(BM189,BN189)</f>
        <v>3978.5</v>
      </c>
      <c r="BO190" s="881">
        <f>AVERAGE(BH189,BK189,BL189,BM189,BN189)</f>
        <v>3913.4</v>
      </c>
      <c r="BP190" s="945"/>
      <c r="BQ190" s="878">
        <f>AVERAGE(BN189,BQ189)</f>
        <v>4040</v>
      </c>
      <c r="BR190" s="879">
        <f>AVERAGE(BQ189,BR189)</f>
        <v>4092.8233507573077</v>
      </c>
      <c r="BS190" s="879">
        <f>AVERAGE(BR189,BS189)</f>
        <v>4075.3265336808745</v>
      </c>
      <c r="BT190" s="879">
        <f>AVERAGE(BS189,BT189)</f>
        <v>4052.5673281427371</v>
      </c>
      <c r="BU190" s="881">
        <f>AVERAGE(BN189,BQ189,BR189,BS189,BT189)</f>
        <v>4052.3562715600178</v>
      </c>
      <c r="BV190" s="945"/>
      <c r="BW190" s="878">
        <f>AVERAGE(BT189,BW189)</f>
        <v>4100.8800899525413</v>
      </c>
      <c r="BX190" s="879">
        <f>AVERAGE(BW189,BX189)</f>
        <v>4147.620435201361</v>
      </c>
      <c r="BY190" s="879">
        <f>AVERAGE(BX189,BY189)</f>
        <v>4118.2371056575848</v>
      </c>
      <c r="BZ190" s="879">
        <f>AVERAGE(BY189,BZ189)</f>
        <v>4082.5537798546211</v>
      </c>
      <c r="CA190" s="881">
        <f>AVERAGE(BT189,BW189,BX189,BY189,BZ189)</f>
        <v>4098.2953441100608</v>
      </c>
      <c r="CB190" s="935"/>
      <c r="CC190" s="878">
        <f>AVERAGE(BZ189,CC189)</f>
        <v>4123.5981172623551</v>
      </c>
      <c r="CD190" s="879">
        <f>AVERAGE(CC189,CD189)</f>
        <v>4173.5941690618038</v>
      </c>
      <c r="CE190" s="879">
        <f>AVERAGE(CD189,CE189)</f>
        <v>4149.5859366521818</v>
      </c>
      <c r="CF190" s="879">
        <f>AVERAGE(CE189,CF189)</f>
        <v>4117.1010463479824</v>
      </c>
      <c r="CG190" s="881">
        <f>AVERAGE(BZ189,CC189,CD189,CE189,CF189)</f>
        <v>4126.926552029925</v>
      </c>
      <c r="CH190" s="552"/>
      <c r="CI190" s="878">
        <f>AVERAGE(CF189,CI189)</f>
        <v>4158.1214420574979</v>
      </c>
      <c r="CJ190" s="879">
        <f>AVERAGE(CI189,CJ189)</f>
        <v>4207.9915373019048</v>
      </c>
      <c r="CK190" s="879">
        <f>AVERAGE(CJ189,CK189)</f>
        <v>4185.4006066886368</v>
      </c>
      <c r="CL190" s="879">
        <f>AVERAGE(CK189,CL189)</f>
        <v>4151.0822709253316</v>
      </c>
      <c r="CM190" s="881">
        <f>AVERAGE(CF189,CI189,CJ189,CK189,CL189)</f>
        <v>4161.2824537550059</v>
      </c>
      <c r="CN190" s="552"/>
      <c r="CO190" s="552"/>
      <c r="CP190" s="552"/>
    </row>
    <row r="191" spans="1:94">
      <c r="A191" s="6"/>
      <c r="B191" s="79"/>
      <c r="C191" s="328"/>
      <c r="D191" s="328"/>
      <c r="E191" s="328"/>
      <c r="F191" s="328"/>
      <c r="G191" s="328"/>
      <c r="H191" s="79"/>
      <c r="I191" s="328"/>
      <c r="J191" s="328"/>
      <c r="K191" s="328"/>
      <c r="L191" s="328"/>
      <c r="M191" s="328"/>
      <c r="N191" s="79"/>
      <c r="O191" s="328"/>
      <c r="P191" s="328"/>
      <c r="Q191" s="328"/>
      <c r="R191" s="328"/>
      <c r="S191" s="328"/>
      <c r="T191" s="916"/>
      <c r="U191" s="328"/>
      <c r="V191" s="328"/>
      <c r="W191" s="328"/>
      <c r="X191" s="328"/>
      <c r="Y191" s="328"/>
      <c r="Z191" s="916"/>
      <c r="AA191" s="946"/>
      <c r="AB191" s="946"/>
      <c r="AC191" s="946"/>
      <c r="AD191" s="328"/>
      <c r="AE191" s="328"/>
      <c r="AF191" s="916"/>
      <c r="AG191" s="328"/>
      <c r="AH191" s="328"/>
      <c r="AI191" s="328"/>
      <c r="AJ191" s="328"/>
      <c r="AK191" s="328"/>
      <c r="AL191" s="916"/>
      <c r="AM191" s="328"/>
      <c r="AN191" s="328"/>
      <c r="AO191" s="328"/>
      <c r="AP191" s="328"/>
      <c r="AQ191" s="328"/>
      <c r="AR191" s="916"/>
      <c r="AS191" s="328"/>
      <c r="AT191" s="328"/>
      <c r="AU191" s="328"/>
      <c r="AV191" s="328"/>
      <c r="AW191" s="328"/>
      <c r="AX191" s="916"/>
      <c r="AY191" s="328"/>
      <c r="AZ191" s="328"/>
      <c r="BA191" s="328"/>
      <c r="BB191" s="328"/>
      <c r="BC191" s="328"/>
      <c r="BD191" s="916"/>
      <c r="BE191" s="328"/>
      <c r="BF191" s="328"/>
      <c r="BG191" s="328"/>
      <c r="BH191" s="328"/>
      <c r="BI191" s="328"/>
      <c r="BJ191" s="916"/>
      <c r="BK191" s="328"/>
      <c r="BL191" s="328"/>
      <c r="BM191" s="328"/>
      <c r="BN191" s="328"/>
      <c r="BO191" s="328"/>
      <c r="BP191" s="916"/>
      <c r="BQ191" s="328"/>
      <c r="BR191" s="328"/>
      <c r="BS191" s="328"/>
      <c r="BT191" s="328"/>
      <c r="BU191" s="328"/>
      <c r="BV191" s="916"/>
      <c r="BW191" s="328"/>
      <c r="BX191" s="328"/>
      <c r="BY191" s="328"/>
      <c r="BZ191" s="328"/>
      <c r="CA191" s="328"/>
      <c r="CB191" s="328"/>
      <c r="CC191" s="328"/>
      <c r="CD191" s="328"/>
      <c r="CE191" s="328"/>
      <c r="CF191" s="328"/>
      <c r="CG191" s="328"/>
      <c r="CH191" s="6"/>
      <c r="CI191" s="328"/>
      <c r="CJ191" s="328"/>
      <c r="CK191" s="328"/>
      <c r="CL191" s="328"/>
      <c r="CM191" s="328"/>
      <c r="CN191" s="6"/>
      <c r="CO191" s="6"/>
      <c r="CP191" s="6"/>
    </row>
    <row r="192" spans="1:94">
      <c r="A192" s="6"/>
      <c r="B192" s="79"/>
      <c r="C192" s="328"/>
      <c r="D192" s="328"/>
      <c r="E192" s="328"/>
      <c r="F192" s="328"/>
      <c r="G192" s="328"/>
      <c r="H192" s="79"/>
      <c r="I192" s="328"/>
      <c r="J192" s="328"/>
      <c r="K192" s="328"/>
      <c r="L192" s="328"/>
      <c r="M192" s="328"/>
      <c r="N192" s="79"/>
      <c r="O192" s="328"/>
      <c r="P192" s="328"/>
      <c r="Q192" s="328"/>
      <c r="R192" s="328"/>
      <c r="S192" s="328"/>
      <c r="T192" s="916"/>
      <c r="U192" s="328"/>
      <c r="V192" s="328"/>
      <c r="W192" s="328"/>
      <c r="X192" s="328"/>
      <c r="Y192" s="328"/>
      <c r="Z192" s="916"/>
      <c r="AA192" s="328"/>
      <c r="AB192" s="328"/>
      <c r="AC192" s="328"/>
      <c r="AD192" s="328"/>
      <c r="AE192" s="328"/>
      <c r="AF192" s="916"/>
      <c r="AG192" s="328"/>
      <c r="AH192" s="328"/>
      <c r="AI192" s="328"/>
      <c r="AJ192" s="328"/>
      <c r="AK192" s="328"/>
      <c r="AL192" s="916"/>
      <c r="AM192" s="328"/>
      <c r="AN192" s="328"/>
      <c r="AO192" s="328"/>
      <c r="AP192" s="328"/>
      <c r="AQ192" s="328"/>
      <c r="AR192" s="916"/>
      <c r="AS192" s="328"/>
      <c r="AT192" s="328"/>
      <c r="AU192" s="328"/>
      <c r="AV192" s="328"/>
      <c r="AW192" s="328"/>
      <c r="AX192" s="916"/>
      <c r="AY192" s="328"/>
      <c r="AZ192" s="328"/>
      <c r="BA192" s="328"/>
      <c r="BB192" s="328"/>
      <c r="BC192" s="328"/>
      <c r="BD192" s="916"/>
      <c r="BE192" s="328"/>
      <c r="BF192" s="328"/>
      <c r="BG192" s="328"/>
      <c r="BH192" s="328"/>
      <c r="BI192" s="328"/>
      <c r="BJ192" s="916"/>
      <c r="BK192" s="328"/>
      <c r="BL192" s="328"/>
      <c r="BM192" s="328"/>
      <c r="BN192" s="328"/>
      <c r="BO192" s="328"/>
      <c r="BP192" s="916"/>
      <c r="BQ192" s="328"/>
      <c r="BR192" s="328"/>
      <c r="BS192" s="328"/>
      <c r="BT192" s="328"/>
      <c r="BU192" s="328"/>
      <c r="BV192" s="916"/>
      <c r="BW192" s="328"/>
      <c r="BX192" s="328"/>
      <c r="BY192" s="328"/>
      <c r="BZ192" s="328"/>
      <c r="CA192" s="328"/>
      <c r="CB192" s="328"/>
      <c r="CC192" s="328"/>
      <c r="CD192" s="328"/>
      <c r="CE192" s="328"/>
      <c r="CF192" s="328"/>
      <c r="CG192" s="328"/>
      <c r="CH192" s="6"/>
      <c r="CI192" s="328"/>
      <c r="CJ192" s="328"/>
      <c r="CK192" s="328"/>
      <c r="CL192" s="328"/>
      <c r="CM192" s="328"/>
      <c r="CN192" s="6"/>
      <c r="CO192" s="6"/>
      <c r="CP192" s="6"/>
    </row>
    <row r="193" spans="1:100">
      <c r="A193" s="2381" t="s">
        <v>298</v>
      </c>
      <c r="B193" s="2409"/>
      <c r="C193" s="2386"/>
      <c r="D193" s="2386"/>
      <c r="E193" s="2386"/>
      <c r="F193" s="2386"/>
      <c r="G193" s="2387"/>
      <c r="H193" s="2386"/>
      <c r="I193" s="2386"/>
      <c r="J193" s="2386"/>
      <c r="K193" s="2386"/>
      <c r="L193" s="2386"/>
      <c r="M193" s="2386"/>
      <c r="N193" s="2386"/>
      <c r="O193" s="2386"/>
      <c r="P193" s="2386"/>
      <c r="Q193" s="2386"/>
      <c r="R193" s="2386"/>
      <c r="S193" s="2386"/>
      <c r="T193" s="2386"/>
      <c r="U193" s="2386"/>
      <c r="V193" s="2386"/>
      <c r="W193" s="2386"/>
      <c r="X193" s="2386"/>
      <c r="Y193" s="2386"/>
      <c r="Z193" s="2386"/>
      <c r="AA193" s="2386"/>
      <c r="AB193" s="2386"/>
      <c r="AC193" s="2386"/>
      <c r="AD193" s="2386"/>
      <c r="AE193" s="2386"/>
      <c r="AF193" s="2386"/>
      <c r="AG193" s="2386"/>
      <c r="AH193" s="2386"/>
      <c r="AI193" s="2386"/>
      <c r="AJ193" s="2386"/>
      <c r="AK193" s="2386"/>
      <c r="AL193" s="2386"/>
      <c r="AM193" s="2386"/>
      <c r="AN193" s="2386"/>
      <c r="AO193" s="2386"/>
      <c r="AP193" s="2386"/>
      <c r="AQ193" s="2386"/>
      <c r="AR193" s="2386"/>
      <c r="AS193" s="2386"/>
      <c r="AT193" s="2386"/>
      <c r="AU193" s="2386"/>
      <c r="AV193" s="2386"/>
      <c r="AW193" s="2386"/>
      <c r="AX193" s="2386"/>
      <c r="AY193" s="2386"/>
      <c r="AZ193" s="2386"/>
      <c r="BA193" s="2386"/>
      <c r="BB193" s="2386"/>
      <c r="BC193" s="2386"/>
      <c r="BD193" s="2386"/>
      <c r="BE193" s="2386"/>
      <c r="BF193" s="2386"/>
      <c r="BG193" s="2386"/>
      <c r="BH193" s="2386"/>
      <c r="BI193" s="2386"/>
      <c r="BJ193" s="2386"/>
      <c r="BK193" s="2386"/>
      <c r="BL193" s="2386"/>
      <c r="BM193" s="2386"/>
      <c r="BN193" s="2386"/>
      <c r="BO193" s="2386"/>
      <c r="BP193" s="2386"/>
      <c r="BQ193" s="2386"/>
      <c r="BR193" s="2386"/>
      <c r="BS193" s="2386"/>
      <c r="BT193" s="2386"/>
      <c r="BU193" s="2386"/>
      <c r="BV193" s="2386"/>
      <c r="BW193" s="2386"/>
      <c r="BX193" s="2386"/>
      <c r="BY193" s="2386"/>
      <c r="BZ193" s="2386"/>
      <c r="CA193" s="2386"/>
      <c r="CB193" s="2386"/>
      <c r="CC193" s="2386"/>
      <c r="CD193" s="2386"/>
      <c r="CE193" s="2386"/>
      <c r="CF193" s="2386"/>
      <c r="CG193" s="2386"/>
      <c r="CH193" s="2386"/>
      <c r="CI193" s="2386"/>
      <c r="CJ193" s="2386"/>
      <c r="CK193" s="2386"/>
      <c r="CL193" s="2386"/>
      <c r="CM193" s="2386"/>
      <c r="CN193" s="6"/>
      <c r="CO193" s="6"/>
      <c r="CP193" s="6"/>
    </row>
    <row r="194" spans="1:100" s="6" customFormat="1">
      <c r="A194" s="2382" t="s">
        <v>249</v>
      </c>
      <c r="B194" s="79"/>
      <c r="C194" s="2410">
        <v>455</v>
      </c>
      <c r="D194" s="2411">
        <v>428</v>
      </c>
      <c r="E194" s="2411">
        <v>469</v>
      </c>
      <c r="F194" s="2411">
        <v>524</v>
      </c>
      <c r="G194" s="2412">
        <v>1876</v>
      </c>
      <c r="H194" s="2382"/>
      <c r="I194" s="2410">
        <v>531</v>
      </c>
      <c r="J194" s="2411">
        <v>530</v>
      </c>
      <c r="K194" s="2411">
        <v>540</v>
      </c>
      <c r="L194" s="2411">
        <v>594</v>
      </c>
      <c r="M194" s="2412">
        <v>2195</v>
      </c>
      <c r="N194" s="2382"/>
      <c r="O194" s="2410">
        <v>525</v>
      </c>
      <c r="P194" s="2411">
        <v>498</v>
      </c>
      <c r="Q194" s="2411">
        <v>496</v>
      </c>
      <c r="R194" s="2411">
        <v>544</v>
      </c>
      <c r="S194" s="2412">
        <v>2063</v>
      </c>
      <c r="T194" s="2382"/>
      <c r="U194" s="2410">
        <v>584</v>
      </c>
      <c r="V194" s="2411">
        <v>572</v>
      </c>
      <c r="W194" s="2411">
        <v>703</v>
      </c>
      <c r="X194" s="2411">
        <v>820</v>
      </c>
      <c r="Y194" s="2412">
        <v>2679</v>
      </c>
      <c r="Z194" s="2382"/>
      <c r="AA194" s="2410">
        <v>753</v>
      </c>
      <c r="AB194" s="2411">
        <v>845</v>
      </c>
      <c r="AC194" s="2411">
        <v>836</v>
      </c>
      <c r="AD194" s="2411">
        <v>876</v>
      </c>
      <c r="AE194" s="2412">
        <v>3310</v>
      </c>
      <c r="AF194" s="2382"/>
      <c r="AG194" s="2410">
        <v>857</v>
      </c>
      <c r="AH194" s="2411">
        <v>857</v>
      </c>
      <c r="AI194" s="2411">
        <v>878</v>
      </c>
      <c r="AJ194" s="2411">
        <v>951</v>
      </c>
      <c r="AK194" s="2412">
        <v>3543</v>
      </c>
      <c r="AL194" s="2382"/>
      <c r="AM194" s="2410">
        <v>958</v>
      </c>
      <c r="AN194" s="2411">
        <v>972</v>
      </c>
      <c r="AO194" s="2411">
        <v>951</v>
      </c>
      <c r="AP194" s="2411">
        <v>1013</v>
      </c>
      <c r="AQ194" s="2412">
        <v>3894</v>
      </c>
      <c r="AR194" s="2382"/>
      <c r="AS194" s="2410">
        <v>1008</v>
      </c>
      <c r="AT194" s="2411">
        <v>988</v>
      </c>
      <c r="AU194" s="2411">
        <v>1009</v>
      </c>
      <c r="AV194" s="2411">
        <v>1043</v>
      </c>
      <c r="AW194" s="2412">
        <v>4048</v>
      </c>
      <c r="AX194" s="2382"/>
      <c r="AY194" s="2410">
        <v>1026</v>
      </c>
      <c r="AZ194" s="2411">
        <v>963</v>
      </c>
      <c r="BA194" s="2411">
        <v>1014</v>
      </c>
      <c r="BB194" s="2411">
        <v>1035</v>
      </c>
      <c r="BC194" s="2412">
        <v>4038</v>
      </c>
      <c r="BD194" s="2382"/>
      <c r="BE194" s="2410">
        <v>1028</v>
      </c>
      <c r="BF194" s="2411">
        <v>1019</v>
      </c>
      <c r="BG194" s="2411">
        <v>1044</v>
      </c>
      <c r="BH194" s="2411">
        <v>1111</v>
      </c>
      <c r="BI194" s="2412">
        <v>4202</v>
      </c>
      <c r="BJ194" s="2382"/>
      <c r="BK194" s="2410">
        <v>1067</v>
      </c>
      <c r="BL194" s="2411">
        <v>1102</v>
      </c>
      <c r="BM194" s="2411">
        <v>1114</v>
      </c>
      <c r="BN194" s="2411">
        <v>1189</v>
      </c>
      <c r="BO194" s="2412">
        <v>4472</v>
      </c>
      <c r="BP194" s="2382"/>
      <c r="BQ194" s="2410">
        <v>1211</v>
      </c>
      <c r="BR194" s="2411">
        <v>1255.7039079464982</v>
      </c>
      <c r="BS194" s="2411">
        <v>1242.9393852446947</v>
      </c>
      <c r="BT194" s="2411">
        <v>1318.3618152719678</v>
      </c>
      <c r="BU194" s="2412">
        <v>5028.0051084631614</v>
      </c>
      <c r="BV194" s="2382"/>
      <c r="BW194" s="2410">
        <v>1292.5858578087939</v>
      </c>
      <c r="BX194" s="2411">
        <v>1340.5450876584282</v>
      </c>
      <c r="BY194" s="2411">
        <v>1343.5297424805874</v>
      </c>
      <c r="BZ194" s="2411">
        <v>1421.6563442949578</v>
      </c>
      <c r="CA194" s="2412">
        <v>5398.3170322427668</v>
      </c>
      <c r="CB194" s="2382"/>
      <c r="CC194" s="2410">
        <v>1368.6274699525202</v>
      </c>
      <c r="CD194" s="2411">
        <v>1423.4069091919321</v>
      </c>
      <c r="CE194" s="2411">
        <v>1437.5693250064248</v>
      </c>
      <c r="CF194" s="2411">
        <v>1516.0272040688433</v>
      </c>
      <c r="CG194" s="2412">
        <v>5745.6309082197204</v>
      </c>
      <c r="CH194" s="2382"/>
      <c r="CI194" s="2410">
        <v>1451.9030170982001</v>
      </c>
      <c r="CJ194" s="2411">
        <v>1514.6789441329943</v>
      </c>
      <c r="CK194" s="2411">
        <v>1543.5079788487205</v>
      </c>
      <c r="CL194" s="2411">
        <v>1621.3391531898897</v>
      </c>
      <c r="CM194" s="2412">
        <v>6131.429093269805</v>
      </c>
      <c r="CQ194"/>
      <c r="CR194"/>
      <c r="CS194"/>
      <c r="CT194"/>
      <c r="CU194"/>
      <c r="CV194"/>
    </row>
    <row r="195" spans="1:100" s="6" customFormat="1">
      <c r="A195" s="2382" t="s">
        <v>588</v>
      </c>
      <c r="B195" s="79"/>
      <c r="C195" s="2410">
        <v>75</v>
      </c>
      <c r="D195" s="2411">
        <v>54</v>
      </c>
      <c r="E195" s="2411">
        <v>77</v>
      </c>
      <c r="F195" s="2411">
        <v>101</v>
      </c>
      <c r="G195" s="2412">
        <v>307</v>
      </c>
      <c r="H195" s="2382"/>
      <c r="I195" s="2410">
        <v>87</v>
      </c>
      <c r="J195" s="2411">
        <v>85</v>
      </c>
      <c r="K195" s="2411">
        <v>102</v>
      </c>
      <c r="L195" s="2411">
        <v>136</v>
      </c>
      <c r="M195" s="2412">
        <v>410</v>
      </c>
      <c r="N195" s="2382"/>
      <c r="O195" s="2410">
        <v>101.613</v>
      </c>
      <c r="P195" s="2411">
        <v>88.575000000000045</v>
      </c>
      <c r="Q195" s="2411">
        <v>90.993000000000052</v>
      </c>
      <c r="R195" s="2411">
        <v>108.48200000000003</v>
      </c>
      <c r="S195" s="2412">
        <v>389.66300000000001</v>
      </c>
      <c r="T195" s="2382"/>
      <c r="U195" s="2410">
        <v>122.65600000000001</v>
      </c>
      <c r="V195" s="2411">
        <v>103.101</v>
      </c>
      <c r="W195" s="2411">
        <v>126.80200000000002</v>
      </c>
      <c r="X195" s="2411">
        <v>151.15700000000004</v>
      </c>
      <c r="Y195" s="2412">
        <v>503.71600000000035</v>
      </c>
      <c r="Z195" s="2382"/>
      <c r="AA195" s="2410">
        <v>113.83899999999994</v>
      </c>
      <c r="AB195" s="2411">
        <v>133.70699999999999</v>
      </c>
      <c r="AC195" s="2411">
        <v>137.35500000000002</v>
      </c>
      <c r="AD195" s="2411">
        <v>163.60300000000007</v>
      </c>
      <c r="AE195" s="2412">
        <v>548.50399999999991</v>
      </c>
      <c r="AF195" s="2382"/>
      <c r="AG195" s="2410">
        <v>154</v>
      </c>
      <c r="AH195" s="2411">
        <v>132</v>
      </c>
      <c r="AI195" s="2411">
        <v>153</v>
      </c>
      <c r="AJ195" s="2411">
        <v>194</v>
      </c>
      <c r="AK195" s="2412">
        <v>633</v>
      </c>
      <c r="AL195" s="2382"/>
      <c r="AM195" s="2410">
        <v>163.00000000000011</v>
      </c>
      <c r="AN195" s="2411">
        <v>178</v>
      </c>
      <c r="AO195" s="2411">
        <v>174</v>
      </c>
      <c r="AP195" s="2411">
        <v>217</v>
      </c>
      <c r="AQ195" s="2412">
        <v>732.00000000000011</v>
      </c>
      <c r="AR195" s="2382"/>
      <c r="AS195" s="2410">
        <v>193</v>
      </c>
      <c r="AT195" s="2411">
        <v>166.94100000000003</v>
      </c>
      <c r="AU195" s="2411">
        <v>190.69799999999998</v>
      </c>
      <c r="AV195" s="2411">
        <v>212.33100000000013</v>
      </c>
      <c r="AW195" s="2412">
        <v>762.97000000000014</v>
      </c>
      <c r="AX195" s="2382"/>
      <c r="AY195" s="2410">
        <v>176.46900000000005</v>
      </c>
      <c r="AZ195" s="2411">
        <v>169.09900000000005</v>
      </c>
      <c r="BA195" s="2411">
        <v>199.54899999999998</v>
      </c>
      <c r="BB195" s="2411">
        <v>223.01800000000003</v>
      </c>
      <c r="BC195" s="2412">
        <v>768.1350000000001</v>
      </c>
      <c r="BD195" s="2382"/>
      <c r="BE195" s="2410">
        <v>205.33400000000006</v>
      </c>
      <c r="BF195" s="2411">
        <v>195.1400000000001</v>
      </c>
      <c r="BG195" s="2411">
        <v>211.82399999999996</v>
      </c>
      <c r="BH195" s="2411">
        <v>247.09529999999995</v>
      </c>
      <c r="BI195" s="2412">
        <v>859.39330000000007</v>
      </c>
      <c r="BJ195" s="2382"/>
      <c r="BK195" s="2410">
        <v>223.23099999999999</v>
      </c>
      <c r="BL195" s="2411">
        <v>241.16599999999994</v>
      </c>
      <c r="BM195" s="2411">
        <v>236.21609999999998</v>
      </c>
      <c r="BN195" s="2411">
        <v>273.62099999999998</v>
      </c>
      <c r="BO195" s="2412">
        <v>974.2340999999999</v>
      </c>
      <c r="BP195" s="2382"/>
      <c r="BQ195" s="2410">
        <v>268.73259999999993</v>
      </c>
      <c r="BR195" s="2411">
        <v>296.17289125019647</v>
      </c>
      <c r="BS195" s="2411">
        <v>285.20327487764621</v>
      </c>
      <c r="BT195" s="2411">
        <v>325.80653862092072</v>
      </c>
      <c r="BU195" s="2412">
        <v>1175.9153047487634</v>
      </c>
      <c r="BV195" s="2382"/>
      <c r="BW195" s="2410">
        <v>296.39954495407142</v>
      </c>
      <c r="BX195" s="2411">
        <v>326.23865003331252</v>
      </c>
      <c r="BY195" s="2411">
        <v>317.787904074273</v>
      </c>
      <c r="BZ195" s="2411">
        <v>361.65044706428284</v>
      </c>
      <c r="CA195" s="2412">
        <v>1302.0765461259398</v>
      </c>
      <c r="CB195" s="2382"/>
      <c r="CC195" s="2410">
        <v>321.76353405068039</v>
      </c>
      <c r="CD195" s="2411">
        <v>357.15173766408543</v>
      </c>
      <c r="CE195" s="2411">
        <v>349.52921188333153</v>
      </c>
      <c r="CF195" s="2411">
        <v>396.0045835885569</v>
      </c>
      <c r="CG195" s="2412">
        <v>1424.4490671866542</v>
      </c>
      <c r="CH195" s="2382"/>
      <c r="CI195" s="2410">
        <v>349.22480293066542</v>
      </c>
      <c r="CJ195" s="2411">
        <v>391.00543048968007</v>
      </c>
      <c r="CK195" s="2411">
        <v>384.64436362932065</v>
      </c>
      <c r="CL195" s="2411">
        <v>433.84570824167213</v>
      </c>
      <c r="CM195" s="2412">
        <v>1558.7203052913383</v>
      </c>
      <c r="CQ195"/>
      <c r="CR195"/>
      <c r="CS195"/>
      <c r="CT195"/>
      <c r="CU195"/>
      <c r="CV195"/>
    </row>
    <row r="196" spans="1:100" s="6" customFormat="1">
      <c r="A196" s="2382" t="s">
        <v>468</v>
      </c>
      <c r="B196" s="79"/>
      <c r="C196" s="2413">
        <f>IS!C226</f>
        <v>0.19199999999999998</v>
      </c>
      <c r="D196" s="2414">
        <f>IS!D226</f>
        <v>0.19199999999999998</v>
      </c>
      <c r="E196" s="2414">
        <f>IS!E226</f>
        <v>0.19199999999999998</v>
      </c>
      <c r="F196" s="2414">
        <f>IS!F226</f>
        <v>0.19199999999999998</v>
      </c>
      <c r="G196" s="2415">
        <f>IS!G226</f>
        <v>0.19199999999999998</v>
      </c>
      <c r="H196" s="2382"/>
      <c r="I196" s="2413">
        <f>IS!I226</f>
        <v>0.21104294478527608</v>
      </c>
      <c r="J196" s="2414">
        <f>IS!J226</f>
        <v>0.21104294478527608</v>
      </c>
      <c r="K196" s="2414">
        <f>IS!K226</f>
        <v>0.21104294478527608</v>
      </c>
      <c r="L196" s="2414">
        <f>IS!L226</f>
        <v>0.21104294478527608</v>
      </c>
      <c r="M196" s="2415">
        <f>IS!M226</f>
        <v>0.21104294478527608</v>
      </c>
      <c r="N196" s="2382"/>
      <c r="O196" s="2413">
        <f>IS!O226</f>
        <v>0.2857142857142857</v>
      </c>
      <c r="P196" s="2414">
        <f>IS!P226</f>
        <v>0.2857142857142857</v>
      </c>
      <c r="Q196" s="2414">
        <f>IS!Q226</f>
        <v>0.2857142857142857</v>
      </c>
      <c r="R196" s="2414">
        <f>IS!R226</f>
        <v>0.2857142857142857</v>
      </c>
      <c r="S196" s="2415">
        <f>IS!S226</f>
        <v>0.2857142857142857</v>
      </c>
      <c r="T196" s="2382"/>
      <c r="U196" s="2413">
        <f>IS!U226</f>
        <v>0.2138728323699422</v>
      </c>
      <c r="V196" s="2414">
        <f>IS!V226</f>
        <v>0.2138728323699422</v>
      </c>
      <c r="W196" s="2414">
        <f>IS!W226</f>
        <v>0.2138728323699422</v>
      </c>
      <c r="X196" s="2414">
        <f>IS!X226</f>
        <v>0.2138728323699422</v>
      </c>
      <c r="Y196" s="2415">
        <f>IS!Y226</f>
        <v>0.2138728323699422</v>
      </c>
      <c r="Z196" s="2382"/>
      <c r="AA196" s="2413">
        <f>IS!AA226</f>
        <v>0.2005813953488372</v>
      </c>
      <c r="AB196" s="2414">
        <f>IS!AB226</f>
        <v>0.2005813953488372</v>
      </c>
      <c r="AC196" s="2414">
        <f>IS!AC226</f>
        <v>0.2005813953488372</v>
      </c>
      <c r="AD196" s="2414">
        <f>IS!AD226</f>
        <v>0.2005813953488372</v>
      </c>
      <c r="AE196" s="2415">
        <f>IS!AE226</f>
        <v>0.2005813953488372</v>
      </c>
      <c r="AF196" s="2382"/>
      <c r="AG196" s="2413">
        <f>IS!AG226</f>
        <v>0.2005813953488372</v>
      </c>
      <c r="AH196" s="2414">
        <f>IS!AH226</f>
        <v>0.2005813953488372</v>
      </c>
      <c r="AI196" s="2414">
        <f>IS!AI226</f>
        <v>0.2</v>
      </c>
      <c r="AJ196" s="2414">
        <f>IS!AJ226</f>
        <v>0.2</v>
      </c>
      <c r="AK196" s="2415">
        <f>IS!AK226</f>
        <v>0.2</v>
      </c>
      <c r="AL196" s="2382"/>
      <c r="AM196" s="2413">
        <f>IS!AM226</f>
        <v>0.2</v>
      </c>
      <c r="AN196" s="2414">
        <f>IS!AN226</f>
        <v>0.2</v>
      </c>
      <c r="AO196" s="2414">
        <f>IS!AO226</f>
        <v>0.2</v>
      </c>
      <c r="AP196" s="2414">
        <f>IS!AP226</f>
        <v>0.2</v>
      </c>
      <c r="AQ196" s="2415">
        <f>IS!AQ226</f>
        <v>0.19999999999999998</v>
      </c>
      <c r="AR196" s="2382"/>
      <c r="AS196" s="2413">
        <f>IS!AS226</f>
        <v>0.16</v>
      </c>
      <c r="AT196" s="2414">
        <f>IS!AT226</f>
        <v>0.16</v>
      </c>
      <c r="AU196" s="2414">
        <f>IS!AU226</f>
        <v>0.16</v>
      </c>
      <c r="AV196" s="2414">
        <f>IS!AV226</f>
        <v>0.16</v>
      </c>
      <c r="AW196" s="2415">
        <f>IS!AW226</f>
        <v>0.16</v>
      </c>
      <c r="AX196" s="2382"/>
      <c r="AY196" s="2413">
        <f>IS!AY226</f>
        <v>0.20060870412508808</v>
      </c>
      <c r="AZ196" s="2414">
        <f>IS!AZ226</f>
        <v>0.19863562157431139</v>
      </c>
      <c r="BA196" s="2414">
        <f>IS!BA226</f>
        <v>0.2004887590829536</v>
      </c>
      <c r="BB196" s="2414">
        <f>IS!BB226</f>
        <v>0.19998285861211892</v>
      </c>
      <c r="BC196" s="2415">
        <f>IS!BC226</f>
        <v>0.19996302053729786</v>
      </c>
      <c r="BD196" s="2382"/>
      <c r="BE196" s="2413">
        <f>IS!BE226</f>
        <v>0.19860557977149898</v>
      </c>
      <c r="BF196" s="2414">
        <f>IS!BF226</f>
        <v>0.19874130506790316</v>
      </c>
      <c r="BG196" s="2414">
        <f>IS!BG226</f>
        <v>0.2001761550164145</v>
      </c>
      <c r="BH196" s="2414">
        <f>IS!BH226</f>
        <v>0.16803442379057226</v>
      </c>
      <c r="BI196" s="2415">
        <f>IS!BI226</f>
        <v>0.19020546292466631</v>
      </c>
      <c r="BJ196" s="2382"/>
      <c r="BK196" s="2413">
        <f>IS!BK226</f>
        <v>0.18847387987617267</v>
      </c>
      <c r="BL196" s="2414">
        <f>IS!BL226</f>
        <v>0.19033940977479391</v>
      </c>
      <c r="BM196" s="2414">
        <f>IS!BM226</f>
        <v>0.16212703661135214</v>
      </c>
      <c r="BN196" s="2414">
        <f>IS!BN226</f>
        <v>0.18003083027968542</v>
      </c>
      <c r="BO196" s="2415">
        <f>IS!BO226</f>
        <v>0.18012562110032029</v>
      </c>
      <c r="BP196" s="2382"/>
      <c r="BQ196" s="2413">
        <f>IS!BQ226</f>
        <v>0.18269525745948548</v>
      </c>
      <c r="BR196" s="2414">
        <f>IS!BR226</f>
        <v>0.18269525745948548</v>
      </c>
      <c r="BS196" s="2414">
        <f>IS!BS226</f>
        <v>0.18269525745948548</v>
      </c>
      <c r="BT196" s="2414">
        <f>IS!BT226</f>
        <v>0.18269525745948548</v>
      </c>
      <c r="BU196" s="2415">
        <f>IS!BU226</f>
        <v>0.18269525745948545</v>
      </c>
      <c r="BV196" s="2382"/>
      <c r="BW196" s="2413">
        <f>IS!BW226</f>
        <v>0.18</v>
      </c>
      <c r="BX196" s="2414">
        <f>IS!BX226</f>
        <v>0.18</v>
      </c>
      <c r="BY196" s="2414">
        <f>IS!BY226</f>
        <v>0.18</v>
      </c>
      <c r="BZ196" s="2414">
        <f>IS!BZ226</f>
        <v>0.18</v>
      </c>
      <c r="CA196" s="2415">
        <f>IS!CA226</f>
        <v>0.18</v>
      </c>
      <c r="CB196" s="2382"/>
      <c r="CC196" s="2413">
        <f>IS!CC226</f>
        <v>0.18</v>
      </c>
      <c r="CD196" s="2414">
        <f>IS!CD226</f>
        <v>0.18</v>
      </c>
      <c r="CE196" s="2414">
        <f>IS!CE226</f>
        <v>0.18</v>
      </c>
      <c r="CF196" s="2414">
        <f>IS!CF226</f>
        <v>0.18</v>
      </c>
      <c r="CG196" s="2415">
        <f>IS!CG226</f>
        <v>0.18</v>
      </c>
      <c r="CH196" s="2382"/>
      <c r="CI196" s="2413">
        <f>IS!CI226</f>
        <v>0.18</v>
      </c>
      <c r="CJ196" s="2414">
        <f>IS!CJ226</f>
        <v>0.18</v>
      </c>
      <c r="CK196" s="2414">
        <f>IS!CK226</f>
        <v>0.18</v>
      </c>
      <c r="CL196" s="2414">
        <f>IS!CL226</f>
        <v>0.18</v>
      </c>
      <c r="CM196" s="2415">
        <f>IS!CM226</f>
        <v>0.18</v>
      </c>
      <c r="CQ196"/>
      <c r="CR196"/>
      <c r="CS196"/>
      <c r="CT196"/>
      <c r="CU196"/>
      <c r="CV196"/>
    </row>
    <row r="197" spans="1:100" s="6" customFormat="1">
      <c r="A197" s="2382" t="s">
        <v>589</v>
      </c>
      <c r="B197" s="79"/>
      <c r="C197" s="2388">
        <f>C195*C196</f>
        <v>14.399999999999999</v>
      </c>
      <c r="D197" s="2389">
        <f t="shared" ref="D197:G197" si="97">D195*D196</f>
        <v>10.367999999999999</v>
      </c>
      <c r="E197" s="2389">
        <f t="shared" si="97"/>
        <v>14.783999999999999</v>
      </c>
      <c r="F197" s="2389">
        <f t="shared" si="97"/>
        <v>19.391999999999996</v>
      </c>
      <c r="G197" s="2390">
        <f t="shared" si="97"/>
        <v>58.943999999999996</v>
      </c>
      <c r="H197" s="2382"/>
      <c r="I197" s="2388">
        <f>I195*I196</f>
        <v>18.360736196319017</v>
      </c>
      <c r="J197" s="2389">
        <f t="shared" ref="J197:M197" si="98">J195*J196</f>
        <v>17.938650306748468</v>
      </c>
      <c r="K197" s="2389">
        <f t="shared" si="98"/>
        <v>21.52638036809816</v>
      </c>
      <c r="L197" s="2389">
        <f t="shared" si="98"/>
        <v>28.701840490797547</v>
      </c>
      <c r="M197" s="2390">
        <f t="shared" si="98"/>
        <v>86.527607361963192</v>
      </c>
      <c r="N197" s="2382"/>
      <c r="O197" s="2388">
        <f>O195*O196</f>
        <v>29.032285714285713</v>
      </c>
      <c r="P197" s="2389">
        <f t="shared" ref="P197:S197" si="99">P195*P196</f>
        <v>25.307142857142868</v>
      </c>
      <c r="Q197" s="2389">
        <f t="shared" si="99"/>
        <v>25.998000000000012</v>
      </c>
      <c r="R197" s="2389">
        <f t="shared" si="99"/>
        <v>30.99485714285715</v>
      </c>
      <c r="S197" s="2390">
        <f t="shared" si="99"/>
        <v>111.33228571428572</v>
      </c>
      <c r="T197" s="2382"/>
      <c r="U197" s="2388">
        <f>U195*U196</f>
        <v>26.232786127167632</v>
      </c>
      <c r="V197" s="2389">
        <f t="shared" ref="V197:Y197" si="100">V195*V196</f>
        <v>22.050502890173412</v>
      </c>
      <c r="W197" s="2389">
        <f t="shared" si="100"/>
        <v>27.119502890173415</v>
      </c>
      <c r="X197" s="2389">
        <f t="shared" si="100"/>
        <v>32.328375722543363</v>
      </c>
      <c r="Y197" s="2390">
        <f t="shared" si="100"/>
        <v>107.73116763005788</v>
      </c>
      <c r="Z197" s="2382"/>
      <c r="AA197" s="2388">
        <f>AA195*AA196</f>
        <v>22.833985465116267</v>
      </c>
      <c r="AB197" s="2389">
        <f t="shared" ref="AB197:AE197" si="101">AB195*AB196</f>
        <v>26.819136627906975</v>
      </c>
      <c r="AC197" s="2389">
        <f t="shared" si="101"/>
        <v>27.550857558139537</v>
      </c>
      <c r="AD197" s="2389">
        <f t="shared" si="101"/>
        <v>32.815718023255826</v>
      </c>
      <c r="AE197" s="2390">
        <f t="shared" si="101"/>
        <v>110.01969767441858</v>
      </c>
      <c r="AF197" s="2382"/>
      <c r="AG197" s="2388">
        <f>AG195*AG196</f>
        <v>30.88953488372093</v>
      </c>
      <c r="AH197" s="2389">
        <f t="shared" ref="AH197:AK197" si="102">AH195*AH196</f>
        <v>26.47674418604651</v>
      </c>
      <c r="AI197" s="2389">
        <f t="shared" si="102"/>
        <v>30.6</v>
      </c>
      <c r="AJ197" s="2389">
        <f t="shared" si="102"/>
        <v>38.800000000000004</v>
      </c>
      <c r="AK197" s="2390">
        <f t="shared" si="102"/>
        <v>126.60000000000001</v>
      </c>
      <c r="AL197" s="2382"/>
      <c r="AM197" s="2388">
        <f>AM195*AM196</f>
        <v>32.600000000000023</v>
      </c>
      <c r="AN197" s="2389">
        <f t="shared" ref="AN197:AQ197" si="103">AN195*AN196</f>
        <v>35.6</v>
      </c>
      <c r="AO197" s="2389">
        <f t="shared" si="103"/>
        <v>34.800000000000004</v>
      </c>
      <c r="AP197" s="2389">
        <f t="shared" si="103"/>
        <v>43.400000000000006</v>
      </c>
      <c r="AQ197" s="2390">
        <f t="shared" si="103"/>
        <v>146.4</v>
      </c>
      <c r="AR197" s="2382"/>
      <c r="AS197" s="2388">
        <f>AS195*AS196</f>
        <v>30.88</v>
      </c>
      <c r="AT197" s="2389">
        <f t="shared" ref="AT197:AW197" si="104">AT195*AT196</f>
        <v>26.710560000000005</v>
      </c>
      <c r="AU197" s="2389">
        <f t="shared" si="104"/>
        <v>30.511679999999998</v>
      </c>
      <c r="AV197" s="2389">
        <f t="shared" si="104"/>
        <v>33.972960000000022</v>
      </c>
      <c r="AW197" s="2390">
        <f t="shared" si="104"/>
        <v>122.07520000000002</v>
      </c>
      <c r="AX197" s="2382"/>
      <c r="AY197" s="2388">
        <f>AY195*AY196</f>
        <v>35.401217408250176</v>
      </c>
      <c r="AZ197" s="2389">
        <f t="shared" ref="AZ197:BC197" si="105">AZ195*AZ196</f>
        <v>33.589084972594492</v>
      </c>
      <c r="BA197" s="2389">
        <f t="shared" si="105"/>
        <v>40.007331386244303</v>
      </c>
      <c r="BB197" s="2389">
        <f t="shared" si="105"/>
        <v>44.599777161957547</v>
      </c>
      <c r="BC197" s="2390">
        <f t="shared" si="105"/>
        <v>153.59859478041733</v>
      </c>
      <c r="BD197" s="2382"/>
      <c r="BE197" s="2388">
        <f>BE195*BE196</f>
        <v>40.780478116800985</v>
      </c>
      <c r="BF197" s="2389">
        <f t="shared" ref="BF197:BI197" si="106">BF195*BF196</f>
        <v>38.782378270950645</v>
      </c>
      <c r="BG197" s="2389">
        <f t="shared" si="106"/>
        <v>42.402113860196977</v>
      </c>
      <c r="BH197" s="2389">
        <f t="shared" si="106"/>
        <v>41.520516356858579</v>
      </c>
      <c r="BI197" s="2390">
        <f t="shared" si="106"/>
        <v>163.46130046085665</v>
      </c>
      <c r="BJ197" s="2382"/>
      <c r="BK197" s="2388">
        <f>BK195*BK196</f>
        <v>42.073212678637901</v>
      </c>
      <c r="BL197" s="2389">
        <f t="shared" ref="BL197:BO197" si="107">BL195*BL196</f>
        <v>45.903394097747935</v>
      </c>
      <c r="BM197" s="2389">
        <f t="shared" si="107"/>
        <v>38.297016292890817</v>
      </c>
      <c r="BN197" s="2389">
        <f t="shared" si="107"/>
        <v>49.260215811957799</v>
      </c>
      <c r="BO197" s="2390">
        <f t="shared" si="107"/>
        <v>175.48452235961153</v>
      </c>
      <c r="BP197" s="2382"/>
      <c r="BQ197" s="2388">
        <f>BQ195*BQ196</f>
        <v>49.096171544756913</v>
      </c>
      <c r="BR197" s="2389">
        <f t="shared" ref="BR197:BU197" si="108">BR195*BR196</f>
        <v>54.109382619474836</v>
      </c>
      <c r="BS197" s="2389">
        <f t="shared" si="108"/>
        <v>52.105285732059983</v>
      </c>
      <c r="BT197" s="2389">
        <f t="shared" si="108"/>
        <v>59.523309455332907</v>
      </c>
      <c r="BU197" s="2390">
        <f t="shared" si="108"/>
        <v>214.83414935162463</v>
      </c>
      <c r="BV197" s="2382"/>
      <c r="BW197" s="2388">
        <f>BW195*BW196</f>
        <v>53.351918091732855</v>
      </c>
      <c r="BX197" s="2389">
        <f t="shared" ref="BX197:CA197" si="109">BX195*BX196</f>
        <v>58.72295700599625</v>
      </c>
      <c r="BY197" s="2389">
        <f t="shared" si="109"/>
        <v>57.201822733369141</v>
      </c>
      <c r="BZ197" s="2389">
        <f t="shared" si="109"/>
        <v>65.097080471570905</v>
      </c>
      <c r="CA197" s="2390">
        <f t="shared" si="109"/>
        <v>234.37377830266917</v>
      </c>
      <c r="CB197" s="2382"/>
      <c r="CC197" s="2388">
        <f>CC195*CC196</f>
        <v>57.917436129122471</v>
      </c>
      <c r="CD197" s="2389">
        <f t="shared" ref="CD197:CG197" si="110">CD195*CD196</f>
        <v>64.28731277953537</v>
      </c>
      <c r="CE197" s="2389">
        <f t="shared" si="110"/>
        <v>62.915258138999675</v>
      </c>
      <c r="CF197" s="2389">
        <f t="shared" si="110"/>
        <v>71.280825045940233</v>
      </c>
      <c r="CG197" s="2390">
        <f t="shared" si="110"/>
        <v>256.40083209359773</v>
      </c>
      <c r="CH197" s="2382"/>
      <c r="CI197" s="2388">
        <f>CI195*CI196</f>
        <v>62.860464527519774</v>
      </c>
      <c r="CJ197" s="2389">
        <f t="shared" ref="CJ197:CM197" si="111">CJ195*CJ196</f>
        <v>70.380977488142406</v>
      </c>
      <c r="CK197" s="2389">
        <f t="shared" si="111"/>
        <v>69.235985453277721</v>
      </c>
      <c r="CL197" s="2389">
        <f t="shared" si="111"/>
        <v>78.092227483500977</v>
      </c>
      <c r="CM197" s="2390">
        <f t="shared" si="111"/>
        <v>280.56965495244089</v>
      </c>
      <c r="CQ197"/>
      <c r="CR197"/>
      <c r="CS197"/>
      <c r="CT197"/>
      <c r="CU197"/>
      <c r="CV197"/>
    </row>
    <row r="198" spans="1:100" s="6" customFormat="1">
      <c r="A198" s="2383" t="s">
        <v>590</v>
      </c>
      <c r="B198" s="79"/>
      <c r="C198" s="2391">
        <f>C195-C197</f>
        <v>60.6</v>
      </c>
      <c r="D198" s="2392">
        <f t="shared" ref="D198:G198" si="112">D195-D197</f>
        <v>43.632000000000005</v>
      </c>
      <c r="E198" s="2392">
        <f t="shared" si="112"/>
        <v>62.216000000000001</v>
      </c>
      <c r="F198" s="2392">
        <f t="shared" si="112"/>
        <v>81.608000000000004</v>
      </c>
      <c r="G198" s="2393">
        <f t="shared" si="112"/>
        <v>248.05600000000001</v>
      </c>
      <c r="H198" s="2383"/>
      <c r="I198" s="2391">
        <f>I195-I197</f>
        <v>68.63926380368099</v>
      </c>
      <c r="J198" s="2392">
        <f t="shared" ref="J198:M198" si="113">J195-J197</f>
        <v>67.061349693251529</v>
      </c>
      <c r="K198" s="2392">
        <f t="shared" si="113"/>
        <v>80.47361963190184</v>
      </c>
      <c r="L198" s="2392">
        <f t="shared" si="113"/>
        <v>107.29815950920245</v>
      </c>
      <c r="M198" s="2393">
        <f t="shared" si="113"/>
        <v>323.47239263803681</v>
      </c>
      <c r="N198" s="2383"/>
      <c r="O198" s="2391">
        <f>O195-O197</f>
        <v>72.580714285714294</v>
      </c>
      <c r="P198" s="2392">
        <f t="shared" ref="P198:S198" si="114">P195-P197</f>
        <v>63.267857142857181</v>
      </c>
      <c r="Q198" s="2392">
        <f t="shared" si="114"/>
        <v>64.995000000000033</v>
      </c>
      <c r="R198" s="2392">
        <f t="shared" si="114"/>
        <v>77.487142857142885</v>
      </c>
      <c r="S198" s="2393">
        <f t="shared" si="114"/>
        <v>278.33071428571429</v>
      </c>
      <c r="T198" s="2383"/>
      <c r="U198" s="2391">
        <f>U195-U197</f>
        <v>96.423213872832378</v>
      </c>
      <c r="V198" s="2392">
        <f t="shared" ref="V198:Y198" si="115">V195-V197</f>
        <v>81.05049710982658</v>
      </c>
      <c r="W198" s="2392">
        <f t="shared" si="115"/>
        <v>99.682497109826613</v>
      </c>
      <c r="X198" s="2392">
        <f t="shared" si="115"/>
        <v>118.82862427745667</v>
      </c>
      <c r="Y198" s="2393">
        <f t="shared" si="115"/>
        <v>395.98483236994247</v>
      </c>
      <c r="Z198" s="2383"/>
      <c r="AA198" s="2391">
        <f>AA195-AA197</f>
        <v>91.005014534883671</v>
      </c>
      <c r="AB198" s="2392">
        <f t="shared" ref="AB198:AE198" si="116">AB195-AB197</f>
        <v>106.88786337209302</v>
      </c>
      <c r="AC198" s="2392">
        <f t="shared" si="116"/>
        <v>109.80414244186048</v>
      </c>
      <c r="AD198" s="2392">
        <f t="shared" si="116"/>
        <v>130.78728197674423</v>
      </c>
      <c r="AE198" s="2393">
        <f t="shared" si="116"/>
        <v>438.48430232558133</v>
      </c>
      <c r="AF198" s="2383"/>
      <c r="AG198" s="2391">
        <f>AG195-AG197</f>
        <v>123.11046511627907</v>
      </c>
      <c r="AH198" s="2392">
        <f t="shared" ref="AH198:AK198" si="117">AH195-AH197</f>
        <v>105.52325581395348</v>
      </c>
      <c r="AI198" s="2392">
        <f t="shared" si="117"/>
        <v>122.4</v>
      </c>
      <c r="AJ198" s="2392">
        <f t="shared" si="117"/>
        <v>155.19999999999999</v>
      </c>
      <c r="AK198" s="2393">
        <f t="shared" si="117"/>
        <v>506.4</v>
      </c>
      <c r="AL198" s="2383"/>
      <c r="AM198" s="2391">
        <f>AM195-AM197</f>
        <v>130.40000000000009</v>
      </c>
      <c r="AN198" s="2392">
        <f t="shared" ref="AN198:AQ198" si="118">AN195-AN197</f>
        <v>142.4</v>
      </c>
      <c r="AO198" s="2392">
        <f t="shared" si="118"/>
        <v>139.19999999999999</v>
      </c>
      <c r="AP198" s="2392">
        <f t="shared" si="118"/>
        <v>173.6</v>
      </c>
      <c r="AQ198" s="2393">
        <f t="shared" si="118"/>
        <v>585.60000000000014</v>
      </c>
      <c r="AR198" s="2383"/>
      <c r="AS198" s="2391">
        <f>AS195-AS197</f>
        <v>162.12</v>
      </c>
      <c r="AT198" s="2392">
        <f t="shared" ref="AT198:AW198" si="119">AT195-AT197</f>
        <v>140.23044000000002</v>
      </c>
      <c r="AU198" s="2392">
        <f t="shared" si="119"/>
        <v>160.18631999999997</v>
      </c>
      <c r="AV198" s="2392">
        <f t="shared" si="119"/>
        <v>178.3580400000001</v>
      </c>
      <c r="AW198" s="2393">
        <f t="shared" si="119"/>
        <v>640.89480000000015</v>
      </c>
      <c r="AX198" s="2383"/>
      <c r="AY198" s="2391">
        <f>AY195-AY197</f>
        <v>141.06778259174988</v>
      </c>
      <c r="AZ198" s="2392">
        <f t="shared" ref="AZ198:BC198" si="120">AZ195-AZ197</f>
        <v>135.50991502740555</v>
      </c>
      <c r="BA198" s="2392">
        <f t="shared" si="120"/>
        <v>159.54166861375569</v>
      </c>
      <c r="BB198" s="2392">
        <f t="shared" si="120"/>
        <v>178.41822283804248</v>
      </c>
      <c r="BC198" s="2393">
        <f t="shared" si="120"/>
        <v>614.53640521958278</v>
      </c>
      <c r="BD198" s="2383"/>
      <c r="BE198" s="2391">
        <f>BE195-BE197</f>
        <v>164.55352188319907</v>
      </c>
      <c r="BF198" s="2392">
        <f t="shared" ref="BF198:BI198" si="121">BF195-BF197</f>
        <v>156.35762172904947</v>
      </c>
      <c r="BG198" s="2392">
        <f t="shared" si="121"/>
        <v>169.42188613980298</v>
      </c>
      <c r="BH198" s="2392">
        <f t="shared" si="121"/>
        <v>205.57478364314136</v>
      </c>
      <c r="BI198" s="2393">
        <f t="shared" si="121"/>
        <v>695.93199953914336</v>
      </c>
      <c r="BJ198" s="2383"/>
      <c r="BK198" s="2391">
        <f>BK195-BK197</f>
        <v>181.15778732136209</v>
      </c>
      <c r="BL198" s="2392">
        <f t="shared" ref="BL198:BO198" si="122">BL195-BL197</f>
        <v>195.26260590225201</v>
      </c>
      <c r="BM198" s="2392">
        <f t="shared" si="122"/>
        <v>197.91908370710917</v>
      </c>
      <c r="BN198" s="2392">
        <f t="shared" si="122"/>
        <v>224.36078418804217</v>
      </c>
      <c r="BO198" s="2393">
        <f t="shared" si="122"/>
        <v>798.74957764038834</v>
      </c>
      <c r="BP198" s="2383"/>
      <c r="BQ198" s="2391">
        <f>BQ195-BQ197</f>
        <v>219.63642845524302</v>
      </c>
      <c r="BR198" s="2392">
        <f t="shared" ref="BR198:BU198" si="123">BR195-BR197</f>
        <v>242.06350863072163</v>
      </c>
      <c r="BS198" s="2392">
        <f t="shared" si="123"/>
        <v>233.09798914558621</v>
      </c>
      <c r="BT198" s="2392">
        <f t="shared" si="123"/>
        <v>266.28322916558784</v>
      </c>
      <c r="BU198" s="2393">
        <f t="shared" si="123"/>
        <v>961.08115539713879</v>
      </c>
      <c r="BV198" s="2383"/>
      <c r="BW198" s="2391">
        <f>BW195-BW197</f>
        <v>243.04762686233857</v>
      </c>
      <c r="BX198" s="2392">
        <f t="shared" ref="BX198:CA198" si="124">BX195-BX197</f>
        <v>267.51569302731627</v>
      </c>
      <c r="BY198" s="2392">
        <f t="shared" si="124"/>
        <v>260.58608134090389</v>
      </c>
      <c r="BZ198" s="2392">
        <f t="shared" si="124"/>
        <v>296.55336659271194</v>
      </c>
      <c r="CA198" s="2393">
        <f t="shared" si="124"/>
        <v>1067.7027678232707</v>
      </c>
      <c r="CB198" s="2383"/>
      <c r="CC198" s="2391">
        <f>CC195-CC197</f>
        <v>263.84609792155794</v>
      </c>
      <c r="CD198" s="2392">
        <f t="shared" ref="CD198:CG198" si="125">CD195-CD197</f>
        <v>292.86442488455009</v>
      </c>
      <c r="CE198" s="2392">
        <f t="shared" si="125"/>
        <v>286.61395374433187</v>
      </c>
      <c r="CF198" s="2392">
        <f t="shared" si="125"/>
        <v>324.72375854261668</v>
      </c>
      <c r="CG198" s="2393">
        <f t="shared" si="125"/>
        <v>1168.0482350930565</v>
      </c>
      <c r="CH198" s="2383"/>
      <c r="CI198" s="2391">
        <f>CI195-CI197</f>
        <v>286.36433840314567</v>
      </c>
      <c r="CJ198" s="2392">
        <f t="shared" ref="CJ198:CM198" si="126">CJ195-CJ197</f>
        <v>320.62445300153763</v>
      </c>
      <c r="CK198" s="2392">
        <f t="shared" si="126"/>
        <v>315.4083781760429</v>
      </c>
      <c r="CL198" s="2392">
        <f t="shared" si="126"/>
        <v>355.75348075817112</v>
      </c>
      <c r="CM198" s="2393">
        <f t="shared" si="126"/>
        <v>1278.1506503388973</v>
      </c>
      <c r="CQ198"/>
      <c r="CR198"/>
      <c r="CS198"/>
      <c r="CT198"/>
      <c r="CU198"/>
      <c r="CV198"/>
    </row>
    <row r="199" spans="1:100" s="6" customFormat="1">
      <c r="A199" s="2383" t="s">
        <v>591</v>
      </c>
      <c r="B199" s="79"/>
      <c r="C199" s="2394">
        <f>C198/C194</f>
        <v>0.13318681318681319</v>
      </c>
      <c r="D199" s="2395">
        <f t="shared" ref="D199:G199" si="127">D198/D194</f>
        <v>0.10194392523364487</v>
      </c>
      <c r="E199" s="2395">
        <f t="shared" si="127"/>
        <v>0.13265671641791044</v>
      </c>
      <c r="F199" s="2395">
        <f t="shared" si="127"/>
        <v>0.15574045801526717</v>
      </c>
      <c r="G199" s="2396">
        <f t="shared" si="127"/>
        <v>0.13222601279317697</v>
      </c>
      <c r="H199" s="2383"/>
      <c r="I199" s="2394">
        <f>I198/I194</f>
        <v>0.12926415028941807</v>
      </c>
      <c r="J199" s="2395">
        <f t="shared" ref="J199:M199" si="128">J198/J194</f>
        <v>0.12653084847783308</v>
      </c>
      <c r="K199" s="2395">
        <f t="shared" si="128"/>
        <v>0.14902522154055897</v>
      </c>
      <c r="L199" s="2395">
        <f t="shared" si="128"/>
        <v>0.18063663217037448</v>
      </c>
      <c r="M199" s="2396">
        <f t="shared" si="128"/>
        <v>0.14736783263691883</v>
      </c>
      <c r="N199" s="2383"/>
      <c r="O199" s="2394">
        <f>O198/O194</f>
        <v>0.13824897959183674</v>
      </c>
      <c r="P199" s="2395">
        <f t="shared" ref="P199:S199" si="129">P198/P194</f>
        <v>0.12704388984509474</v>
      </c>
      <c r="Q199" s="2395">
        <f t="shared" si="129"/>
        <v>0.13103830645161296</v>
      </c>
      <c r="R199" s="2395">
        <f t="shared" si="129"/>
        <v>0.14243960084033619</v>
      </c>
      <c r="S199" s="2396">
        <f t="shared" si="129"/>
        <v>0.13491551831590609</v>
      </c>
      <c r="T199" s="2383"/>
      <c r="U199" s="2394">
        <f>U198/U194</f>
        <v>0.16510824293293216</v>
      </c>
      <c r="V199" s="2395">
        <f t="shared" ref="V199:Y199" si="130">V198/V194</f>
        <v>0.1416966732689276</v>
      </c>
      <c r="W199" s="2395">
        <f t="shared" si="130"/>
        <v>0.14179587071099092</v>
      </c>
      <c r="X199" s="2395">
        <f t="shared" si="130"/>
        <v>0.14491295643592278</v>
      </c>
      <c r="Y199" s="2396">
        <f t="shared" si="130"/>
        <v>0.14781068770807856</v>
      </c>
      <c r="Z199" s="2383"/>
      <c r="AA199" s="2394">
        <f>AA198/AA194</f>
        <v>0.12085659300781364</v>
      </c>
      <c r="AB199" s="2395">
        <f t="shared" ref="AB199:AE199" si="131">AB198/AB194</f>
        <v>0.12649451286638227</v>
      </c>
      <c r="AC199" s="2395">
        <f t="shared" si="131"/>
        <v>0.13134466799265607</v>
      </c>
      <c r="AD199" s="2395">
        <f t="shared" si="131"/>
        <v>0.14930055020176281</v>
      </c>
      <c r="AE199" s="2396">
        <f t="shared" si="131"/>
        <v>0.13247259888990373</v>
      </c>
      <c r="AF199" s="2383"/>
      <c r="AG199" s="2394">
        <f>AG198/AG194</f>
        <v>0.14365281810534314</v>
      </c>
      <c r="AH199" s="2395">
        <f t="shared" ref="AH199:AK199" si="132">AH198/AH194</f>
        <v>0.12313098694743697</v>
      </c>
      <c r="AI199" s="2395">
        <f t="shared" si="132"/>
        <v>0.13940774487471527</v>
      </c>
      <c r="AJ199" s="2395">
        <f t="shared" si="132"/>
        <v>0.16319663512092533</v>
      </c>
      <c r="AK199" s="2396">
        <f t="shared" si="132"/>
        <v>0.14292972057578324</v>
      </c>
      <c r="AL199" s="2383"/>
      <c r="AM199" s="2394">
        <f>AM198/AM194</f>
        <v>0.1361169102296452</v>
      </c>
      <c r="AN199" s="2395">
        <f t="shared" ref="AN199:AQ199" si="133">AN198/AN194</f>
        <v>0.14650205761316873</v>
      </c>
      <c r="AO199" s="2395">
        <f t="shared" si="133"/>
        <v>0.14637223974763405</v>
      </c>
      <c r="AP199" s="2395">
        <f t="shared" si="133"/>
        <v>0.17137216189536031</v>
      </c>
      <c r="AQ199" s="2396">
        <f t="shared" si="133"/>
        <v>0.15038520801232669</v>
      </c>
      <c r="AR199" s="2383"/>
      <c r="AS199" s="2394">
        <f>AS198/AS194</f>
        <v>0.16083333333333333</v>
      </c>
      <c r="AT199" s="2395">
        <f t="shared" ref="AT199:AW199" si="134">AT198/AT194</f>
        <v>0.14193364372469638</v>
      </c>
      <c r="AU199" s="2395">
        <f t="shared" si="134"/>
        <v>0.15875750247770065</v>
      </c>
      <c r="AV199" s="2395">
        <f t="shared" si="134"/>
        <v>0.1710048322147652</v>
      </c>
      <c r="AW199" s="2396">
        <f t="shared" si="134"/>
        <v>0.15832381422924904</v>
      </c>
      <c r="AX199" s="2383"/>
      <c r="AY199" s="2394">
        <f>AY198/AY194</f>
        <v>0.13749296548903497</v>
      </c>
      <c r="AZ199" s="2395">
        <f t="shared" ref="AZ199:BC199" si="135">AZ198/AZ194</f>
        <v>0.14071642266604939</v>
      </c>
      <c r="BA199" s="2395">
        <f t="shared" si="135"/>
        <v>0.15733892368220481</v>
      </c>
      <c r="BB199" s="2395">
        <f t="shared" si="135"/>
        <v>0.17238475636525843</v>
      </c>
      <c r="BC199" s="2396">
        <f t="shared" si="135"/>
        <v>0.15218831233768765</v>
      </c>
      <c r="BD199" s="2383"/>
      <c r="BE199" s="2394">
        <f>BE198/BE194</f>
        <v>0.16007151934163333</v>
      </c>
      <c r="BF199" s="2395">
        <f t="shared" ref="BF199:BI199" si="136">BF198/BF194</f>
        <v>0.15344221955745777</v>
      </c>
      <c r="BG199" s="2395">
        <f t="shared" si="136"/>
        <v>0.16228150013391091</v>
      </c>
      <c r="BH199" s="2395">
        <f t="shared" si="136"/>
        <v>0.18503580885971319</v>
      </c>
      <c r="BI199" s="2396">
        <f t="shared" si="136"/>
        <v>0.16561922882892513</v>
      </c>
      <c r="BJ199" s="2383"/>
      <c r="BK199" s="2394">
        <f>BK198/BK194</f>
        <v>0.16978236862358209</v>
      </c>
      <c r="BL199" s="2395">
        <f t="shared" ref="BL199:BO199" si="137">BL198/BL194</f>
        <v>0.17718929755195281</v>
      </c>
      <c r="BM199" s="2395">
        <f t="shared" si="137"/>
        <v>0.17766524569758452</v>
      </c>
      <c r="BN199" s="2395">
        <f t="shared" si="137"/>
        <v>0.18869704305133908</v>
      </c>
      <c r="BO199" s="2396">
        <f t="shared" si="137"/>
        <v>0.17861126512531045</v>
      </c>
      <c r="BP199" s="2383"/>
      <c r="BQ199" s="2394">
        <f>BQ198/BQ194</f>
        <v>0.18136781870788027</v>
      </c>
      <c r="BR199" s="2395">
        <f t="shared" ref="BR199:BU199" si="138">BR198/BR194</f>
        <v>0.19277116770829961</v>
      </c>
      <c r="BS199" s="2395">
        <f t="shared" si="138"/>
        <v>0.18753769645789825</v>
      </c>
      <c r="BT199" s="2395">
        <f t="shared" si="138"/>
        <v>0.20198038662903453</v>
      </c>
      <c r="BU199" s="2396">
        <f t="shared" si="138"/>
        <v>0.19114562031359963</v>
      </c>
      <c r="BV199" s="2383"/>
      <c r="BW199" s="2394">
        <f>BW198/BW194</f>
        <v>0.18803209503959423</v>
      </c>
      <c r="BX199" s="2395">
        <f t="shared" ref="BX199:CA199" si="139">BX198/BX194</f>
        <v>0.19955740056053933</v>
      </c>
      <c r="BY199" s="2395">
        <f t="shared" si="139"/>
        <v>0.19395631752802009</v>
      </c>
      <c r="BZ199" s="2395">
        <f t="shared" si="139"/>
        <v>0.2085970831015295</v>
      </c>
      <c r="CA199" s="2396">
        <f t="shared" si="139"/>
        <v>0.1977843763984507</v>
      </c>
      <c r="CB199" s="2383"/>
      <c r="CC199" s="2394">
        <f>CC198/CC194</f>
        <v>0.19278153019295394</v>
      </c>
      <c r="CD199" s="2395">
        <f t="shared" ref="CD199:CG199" si="140">CD198/CD194</f>
        <v>0.20574891339456064</v>
      </c>
      <c r="CE199" s="2395">
        <f t="shared" si="140"/>
        <v>0.19937400496706545</v>
      </c>
      <c r="CF199" s="2395">
        <f t="shared" si="140"/>
        <v>0.21419388627796079</v>
      </c>
      <c r="CG199" s="2396">
        <f t="shared" si="140"/>
        <v>0.20329329428767212</v>
      </c>
      <c r="CH199" s="2383"/>
      <c r="CI199" s="2394">
        <f>CI198/CI194</f>
        <v>0.19723379249908762</v>
      </c>
      <c r="CJ199" s="2395">
        <f t="shared" ref="CJ199:CM199" si="141">CJ198/CJ194</f>
        <v>0.21167816073726686</v>
      </c>
      <c r="CK199" s="2395">
        <f t="shared" si="141"/>
        <v>0.20434515564428846</v>
      </c>
      <c r="CL199" s="2395">
        <f t="shared" si="141"/>
        <v>0.21941953357398852</v>
      </c>
      <c r="CM199" s="2396">
        <f t="shared" si="141"/>
        <v>0.20845884880930385</v>
      </c>
      <c r="CQ199"/>
      <c r="CR199"/>
      <c r="CS199"/>
      <c r="CT199"/>
      <c r="CU199"/>
      <c r="CV199"/>
    </row>
    <row r="200" spans="1:100" s="6" customFormat="1">
      <c r="A200" s="2382"/>
      <c r="B200" s="79"/>
      <c r="C200" s="2397"/>
      <c r="D200" s="2398"/>
      <c r="E200" s="2398"/>
      <c r="F200" s="2398"/>
      <c r="G200" s="2399"/>
      <c r="H200" s="2382"/>
      <c r="I200" s="2397"/>
      <c r="J200" s="2398"/>
      <c r="K200" s="2398"/>
      <c r="L200" s="2398"/>
      <c r="M200" s="2399"/>
      <c r="N200" s="2382"/>
      <c r="O200" s="2397"/>
      <c r="P200" s="2398"/>
      <c r="Q200" s="2398"/>
      <c r="R200" s="2398"/>
      <c r="S200" s="2399"/>
      <c r="T200" s="2382"/>
      <c r="U200" s="2397"/>
      <c r="V200" s="2398"/>
      <c r="W200" s="2398"/>
      <c r="X200" s="2398"/>
      <c r="Y200" s="2399"/>
      <c r="Z200" s="2382"/>
      <c r="AA200" s="2397"/>
      <c r="AB200" s="2398"/>
      <c r="AC200" s="2398"/>
      <c r="AD200" s="2398"/>
      <c r="AE200" s="2399"/>
      <c r="AF200" s="2382"/>
      <c r="AG200" s="2397"/>
      <c r="AH200" s="2398"/>
      <c r="AI200" s="2398"/>
      <c r="AJ200" s="2398"/>
      <c r="AK200" s="2399"/>
      <c r="AL200" s="2382"/>
      <c r="AM200" s="2397"/>
      <c r="AN200" s="2398"/>
      <c r="AO200" s="2398"/>
      <c r="AP200" s="2398"/>
      <c r="AQ200" s="2399"/>
      <c r="AR200" s="2382"/>
      <c r="AS200" s="2397"/>
      <c r="AT200" s="2398"/>
      <c r="AU200" s="2398"/>
      <c r="AV200" s="2398"/>
      <c r="AW200" s="2399"/>
      <c r="AX200" s="2382"/>
      <c r="AY200" s="2397"/>
      <c r="AZ200" s="2398"/>
      <c r="BA200" s="2398"/>
      <c r="BB200" s="2398"/>
      <c r="BC200" s="2399"/>
      <c r="BD200" s="2382"/>
      <c r="BE200" s="2397"/>
      <c r="BF200" s="2398"/>
      <c r="BG200" s="2398"/>
      <c r="BH200" s="2398"/>
      <c r="BI200" s="2399"/>
      <c r="BJ200" s="2382"/>
      <c r="BK200" s="2397"/>
      <c r="BL200" s="2398"/>
      <c r="BM200" s="2398"/>
      <c r="BN200" s="2398"/>
      <c r="BO200" s="2399"/>
      <c r="BP200" s="2382"/>
      <c r="BQ200" s="2397"/>
      <c r="BR200" s="2398"/>
      <c r="BS200" s="2398"/>
      <c r="BT200" s="2398"/>
      <c r="BU200" s="2399"/>
      <c r="BV200" s="2382"/>
      <c r="BW200" s="2397"/>
      <c r="BX200" s="2398"/>
      <c r="BY200" s="2398"/>
      <c r="BZ200" s="2398"/>
      <c r="CA200" s="2399"/>
      <c r="CB200" s="2382"/>
      <c r="CC200" s="2397"/>
      <c r="CD200" s="2398"/>
      <c r="CE200" s="2398"/>
      <c r="CF200" s="2398"/>
      <c r="CG200" s="2399"/>
      <c r="CH200" s="2382"/>
      <c r="CI200" s="2397"/>
      <c r="CJ200" s="2398"/>
      <c r="CK200" s="2398"/>
      <c r="CL200" s="2398"/>
      <c r="CM200" s="2399"/>
      <c r="CQ200"/>
      <c r="CR200"/>
      <c r="CS200"/>
      <c r="CT200"/>
      <c r="CU200"/>
      <c r="CV200"/>
    </row>
    <row r="201" spans="1:100" s="6" customFormat="1">
      <c r="A201" s="2383" t="s">
        <v>592</v>
      </c>
      <c r="B201" s="79"/>
      <c r="C201" s="2397"/>
      <c r="D201" s="2398"/>
      <c r="E201" s="2398"/>
      <c r="F201" s="2398"/>
      <c r="G201" s="2399"/>
      <c r="H201" s="2382"/>
      <c r="I201" s="2397"/>
      <c r="J201" s="2398"/>
      <c r="K201" s="2398"/>
      <c r="L201" s="2398"/>
      <c r="M201" s="2399"/>
      <c r="N201" s="2382"/>
      <c r="O201" s="2397"/>
      <c r="P201" s="2398"/>
      <c r="Q201" s="2398"/>
      <c r="R201" s="2398"/>
      <c r="S201" s="2399"/>
      <c r="T201" s="2382"/>
      <c r="U201" s="2397"/>
      <c r="V201" s="2398"/>
      <c r="W201" s="2398"/>
      <c r="X201" s="2398"/>
      <c r="Y201" s="2399"/>
      <c r="Z201" s="2382"/>
      <c r="AA201" s="2397"/>
      <c r="AB201" s="2398"/>
      <c r="AC201" s="2398"/>
      <c r="AD201" s="2398"/>
      <c r="AE201" s="2399"/>
      <c r="AF201" s="2382"/>
      <c r="AG201" s="2397"/>
      <c r="AH201" s="2398"/>
      <c r="AI201" s="2398"/>
      <c r="AJ201" s="2398"/>
      <c r="AK201" s="2399"/>
      <c r="AL201" s="2382"/>
      <c r="AM201" s="2397"/>
      <c r="AN201" s="2398"/>
      <c r="AO201" s="2398"/>
      <c r="AP201" s="2398"/>
      <c r="AQ201" s="2399"/>
      <c r="AR201" s="2382"/>
      <c r="AS201" s="2397"/>
      <c r="AT201" s="2398"/>
      <c r="AU201" s="2398"/>
      <c r="AV201" s="2398"/>
      <c r="AW201" s="2399"/>
      <c r="AX201" s="2382"/>
      <c r="AY201" s="2397"/>
      <c r="AZ201" s="2398"/>
      <c r="BA201" s="2398"/>
      <c r="BB201" s="2398"/>
      <c r="BC201" s="2399"/>
      <c r="BD201" s="2382"/>
      <c r="BE201" s="2397"/>
      <c r="BF201" s="2398"/>
      <c r="BG201" s="2398"/>
      <c r="BH201" s="2398"/>
      <c r="BI201" s="2399"/>
      <c r="BJ201" s="2382"/>
      <c r="BK201" s="2397"/>
      <c r="BL201" s="2398"/>
      <c r="BM201" s="2398"/>
      <c r="BN201" s="2398"/>
      <c r="BO201" s="2399"/>
      <c r="BP201" s="2382"/>
      <c r="BQ201" s="2397"/>
      <c r="BR201" s="2398"/>
      <c r="BS201" s="2398"/>
      <c r="BT201" s="2398"/>
      <c r="BU201" s="2399"/>
      <c r="BV201" s="2382"/>
      <c r="BW201" s="2397"/>
      <c r="BX201" s="2398"/>
      <c r="BY201" s="2398"/>
      <c r="BZ201" s="2398"/>
      <c r="CA201" s="2399"/>
      <c r="CB201" s="2382"/>
      <c r="CC201" s="2397"/>
      <c r="CD201" s="2398"/>
      <c r="CE201" s="2398"/>
      <c r="CF201" s="2398"/>
      <c r="CG201" s="2399"/>
      <c r="CH201" s="2382"/>
      <c r="CI201" s="2397"/>
      <c r="CJ201" s="2398"/>
      <c r="CK201" s="2398"/>
      <c r="CL201" s="2398"/>
      <c r="CM201" s="2399"/>
      <c r="CQ201"/>
      <c r="CR201"/>
      <c r="CS201"/>
      <c r="CT201"/>
      <c r="CU201"/>
      <c r="CV201"/>
    </row>
    <row r="202" spans="1:100" s="6" customFormat="1">
      <c r="A202" s="2382" t="s">
        <v>292</v>
      </c>
      <c r="B202" s="79"/>
      <c r="C202" s="2416">
        <f t="shared" ref="C202:D202" si="142">C50</f>
        <v>1500</v>
      </c>
      <c r="D202" s="1847">
        <f t="shared" si="142"/>
        <v>1500</v>
      </c>
      <c r="E202" s="1847">
        <f>E50</f>
        <v>1500</v>
      </c>
      <c r="F202" s="1847">
        <f t="shared" ref="F202:G202" si="143">F50</f>
        <v>2087</v>
      </c>
      <c r="G202" s="1846">
        <f t="shared" si="143"/>
        <v>2087</v>
      </c>
      <c r="H202" s="2382"/>
      <c r="I202" s="2416">
        <f t="shared" ref="I202:J202" si="144">I50</f>
        <v>2126</v>
      </c>
      <c r="J202" s="1847">
        <f t="shared" si="144"/>
        <v>2374</v>
      </c>
      <c r="K202" s="1847">
        <f>K50</f>
        <v>2315</v>
      </c>
      <c r="L202" s="1847">
        <f t="shared" ref="L202:M202" si="145">L50</f>
        <v>2125</v>
      </c>
      <c r="M202" s="1846">
        <f t="shared" si="145"/>
        <v>2125</v>
      </c>
      <c r="N202" s="2382"/>
      <c r="O202" s="2416">
        <f t="shared" ref="O202:P202" si="146">O50</f>
        <v>2204</v>
      </c>
      <c r="P202" s="1847">
        <f t="shared" si="146"/>
        <v>2154</v>
      </c>
      <c r="Q202" s="1847">
        <f>Q50</f>
        <v>2153</v>
      </c>
      <c r="R202" s="1847">
        <f t="shared" ref="R202:S202" si="147">R50</f>
        <v>2905</v>
      </c>
      <c r="S202" s="1846">
        <f t="shared" si="147"/>
        <v>2905</v>
      </c>
      <c r="T202" s="2382"/>
      <c r="U202" s="2416">
        <f t="shared" ref="U202:V202" si="148">U50</f>
        <v>2911</v>
      </c>
      <c r="V202" s="1847">
        <f t="shared" si="148"/>
        <v>2894</v>
      </c>
      <c r="W202" s="1847">
        <f>W50</f>
        <v>3678</v>
      </c>
      <c r="X202" s="1847">
        <f t="shared" ref="X202:Y202" si="149">X50</f>
        <v>3691</v>
      </c>
      <c r="Y202" s="1846">
        <f t="shared" si="149"/>
        <v>3691</v>
      </c>
      <c r="Z202" s="2382"/>
      <c r="AA202" s="2416">
        <f t="shared" ref="AA202:AB202" si="150">AA50</f>
        <v>2139</v>
      </c>
      <c r="AB202" s="1847">
        <f t="shared" si="150"/>
        <v>2144</v>
      </c>
      <c r="AC202" s="1847">
        <f>AC50</f>
        <v>2168</v>
      </c>
      <c r="AD202" s="1847">
        <f t="shared" ref="AD202:AE202" si="151">AD50</f>
        <v>2185</v>
      </c>
      <c r="AE202" s="1846">
        <f t="shared" si="151"/>
        <v>2185</v>
      </c>
      <c r="AF202" s="2382"/>
      <c r="AG202" s="2416">
        <f t="shared" ref="AG202:AH202" si="152">AG50</f>
        <v>2181</v>
      </c>
      <c r="AH202" s="1847">
        <f t="shared" si="152"/>
        <v>2177</v>
      </c>
      <c r="AI202" s="1847">
        <f>AI50</f>
        <v>2214</v>
      </c>
      <c r="AJ202" s="1847">
        <f t="shared" ref="AJ202:AK202" si="153">AJ50</f>
        <v>2362</v>
      </c>
      <c r="AK202" s="1846">
        <f t="shared" si="153"/>
        <v>2362</v>
      </c>
      <c r="AL202" s="2382"/>
      <c r="AM202" s="2416">
        <f t="shared" ref="AM202:AN202" si="154">AM50</f>
        <v>2361</v>
      </c>
      <c r="AN202" s="1847">
        <f t="shared" si="154"/>
        <v>2356</v>
      </c>
      <c r="AO202" s="1847">
        <f>AO50</f>
        <v>2701</v>
      </c>
      <c r="AP202" s="1847">
        <f t="shared" ref="AP202:AQ202" si="155">AP50</f>
        <v>2699</v>
      </c>
      <c r="AQ202" s="1846">
        <f t="shared" si="155"/>
        <v>2699</v>
      </c>
      <c r="AR202" s="2382"/>
      <c r="AS202" s="2416">
        <f t="shared" ref="AS202:AT202" si="156">AS50</f>
        <v>2695</v>
      </c>
      <c r="AT202" s="1847">
        <f t="shared" si="156"/>
        <v>2693</v>
      </c>
      <c r="AU202" s="1847">
        <f>AU50</f>
        <v>2216</v>
      </c>
      <c r="AV202" s="1847">
        <f t="shared" ref="AV202:AW202" si="157">AV50</f>
        <v>2286</v>
      </c>
      <c r="AW202" s="1846">
        <f t="shared" si="157"/>
        <v>2286</v>
      </c>
      <c r="AX202" s="2382"/>
      <c r="AY202" s="2416">
        <f t="shared" ref="AY202:AZ202" si="158">AY50</f>
        <v>1658</v>
      </c>
      <c r="AZ202" s="1847">
        <f t="shared" si="158"/>
        <v>1656</v>
      </c>
      <c r="BA202" s="1847">
        <f>BA50</f>
        <v>1655</v>
      </c>
      <c r="BB202" s="1847">
        <f t="shared" ref="BB202:BC202" si="159">BB50</f>
        <v>1655</v>
      </c>
      <c r="BC202" s="1846">
        <f t="shared" si="159"/>
        <v>1655</v>
      </c>
      <c r="BD202" s="2382"/>
      <c r="BE202" s="2416">
        <f t="shared" ref="BE202:BF202" si="160">BE50</f>
        <v>1733</v>
      </c>
      <c r="BF202" s="1847">
        <f t="shared" si="160"/>
        <v>1889</v>
      </c>
      <c r="BG202" s="1847">
        <f>BG50</f>
        <v>1887</v>
      </c>
      <c r="BH202" s="1847">
        <f t="shared" ref="BH202:BI202" si="161">BH50</f>
        <v>1912</v>
      </c>
      <c r="BI202" s="1846">
        <f t="shared" si="161"/>
        <v>1912</v>
      </c>
      <c r="BJ202" s="2382"/>
      <c r="BK202" s="2416">
        <f t="shared" ref="BK202:BL202" si="162">BK50</f>
        <v>1992</v>
      </c>
      <c r="BL202" s="1847">
        <f t="shared" si="162"/>
        <v>2043</v>
      </c>
      <c r="BM202" s="1847">
        <f>BM50</f>
        <v>2081</v>
      </c>
      <c r="BN202" s="1847">
        <f t="shared" ref="BN202:BO202" si="163">BN50</f>
        <v>2011</v>
      </c>
      <c r="BO202" s="1846">
        <f t="shared" si="163"/>
        <v>2011</v>
      </c>
      <c r="BP202" s="2382"/>
      <c r="BQ202" s="2416">
        <f t="shared" ref="BQ202:BR202" si="164">BQ50</f>
        <v>2145</v>
      </c>
      <c r="BR202" s="1847">
        <f t="shared" si="164"/>
        <v>2145</v>
      </c>
      <c r="BS202" s="1847">
        <f>BS50</f>
        <v>2145</v>
      </c>
      <c r="BT202" s="1847">
        <f t="shared" ref="BT202:BU202" si="165">BT50</f>
        <v>2145</v>
      </c>
      <c r="BU202" s="1846">
        <f t="shared" si="165"/>
        <v>2145</v>
      </c>
      <c r="BV202" s="2382"/>
      <c r="BW202" s="2416">
        <f t="shared" ref="BW202:BX202" si="166">BW50</f>
        <v>2145</v>
      </c>
      <c r="BX202" s="1847">
        <f t="shared" si="166"/>
        <v>2145</v>
      </c>
      <c r="BY202" s="1847">
        <f>BY50</f>
        <v>2145</v>
      </c>
      <c r="BZ202" s="1847">
        <f t="shared" ref="BZ202:CA202" si="167">BZ50</f>
        <v>2145</v>
      </c>
      <c r="CA202" s="1846">
        <f t="shared" si="167"/>
        <v>2145</v>
      </c>
      <c r="CB202" s="2382"/>
      <c r="CC202" s="2416">
        <f t="shared" ref="CC202:CD202" si="168">CC50</f>
        <v>1636</v>
      </c>
      <c r="CD202" s="1847">
        <f t="shared" si="168"/>
        <v>1636</v>
      </c>
      <c r="CE202" s="1847">
        <f>CE50</f>
        <v>1636</v>
      </c>
      <c r="CF202" s="1847">
        <f t="shared" ref="CF202:CG202" si="169">CF50</f>
        <v>1636</v>
      </c>
      <c r="CG202" s="1846">
        <f t="shared" si="169"/>
        <v>1636</v>
      </c>
      <c r="CH202" s="2382"/>
      <c r="CI202" s="2416">
        <f t="shared" ref="CI202:CJ202" si="170">CI50</f>
        <v>1238</v>
      </c>
      <c r="CJ202" s="1847">
        <f t="shared" si="170"/>
        <v>1238</v>
      </c>
      <c r="CK202" s="1847">
        <f>CK50</f>
        <v>1238</v>
      </c>
      <c r="CL202" s="1847">
        <f t="shared" ref="CL202:CM202" si="171">CL50</f>
        <v>1238</v>
      </c>
      <c r="CM202" s="1846">
        <f t="shared" si="171"/>
        <v>1238</v>
      </c>
      <c r="CQ202"/>
      <c r="CR202"/>
      <c r="CS202"/>
      <c r="CT202"/>
      <c r="CU202"/>
      <c r="CV202"/>
    </row>
    <row r="203" spans="1:100" s="6" customFormat="1">
      <c r="A203" s="2382" t="s">
        <v>593</v>
      </c>
      <c r="B203" s="79"/>
      <c r="C203" s="2417">
        <v>0</v>
      </c>
      <c r="D203" s="2418">
        <v>0</v>
      </c>
      <c r="E203" s="2418">
        <v>0</v>
      </c>
      <c r="F203" s="2418">
        <v>0</v>
      </c>
      <c r="G203" s="2419">
        <v>0</v>
      </c>
      <c r="H203" s="2382"/>
      <c r="I203" s="2417">
        <v>0</v>
      </c>
      <c r="J203" s="2418">
        <v>0</v>
      </c>
      <c r="K203" s="2418">
        <v>0</v>
      </c>
      <c r="L203" s="2418">
        <v>0</v>
      </c>
      <c r="M203" s="2419">
        <v>0</v>
      </c>
      <c r="N203" s="2382"/>
      <c r="O203" s="2417">
        <v>0</v>
      </c>
      <c r="P203" s="2418">
        <v>0</v>
      </c>
      <c r="Q203" s="2418">
        <v>0</v>
      </c>
      <c r="R203" s="2418">
        <v>0</v>
      </c>
      <c r="S203" s="2419">
        <v>0</v>
      </c>
      <c r="T203" s="2382"/>
      <c r="U203" s="2417">
        <v>0</v>
      </c>
      <c r="V203" s="2418">
        <v>0</v>
      </c>
      <c r="W203" s="2418">
        <v>0</v>
      </c>
      <c r="X203" s="2418">
        <v>0</v>
      </c>
      <c r="Y203" s="2419">
        <v>0</v>
      </c>
      <c r="Z203" s="2382"/>
      <c r="AA203" s="2417">
        <v>0</v>
      </c>
      <c r="AB203" s="2418">
        <v>0</v>
      </c>
      <c r="AC203" s="2418">
        <v>0</v>
      </c>
      <c r="AD203" s="2418">
        <v>0</v>
      </c>
      <c r="AE203" s="2419">
        <v>0</v>
      </c>
      <c r="AF203" s="2382"/>
      <c r="AG203" s="2417">
        <v>0</v>
      </c>
      <c r="AH203" s="2418">
        <v>0</v>
      </c>
      <c r="AI203" s="2418">
        <v>0</v>
      </c>
      <c r="AJ203" s="2418">
        <v>0</v>
      </c>
      <c r="AK203" s="2419">
        <v>0</v>
      </c>
      <c r="AL203" s="2382"/>
      <c r="AM203" s="2417">
        <v>0</v>
      </c>
      <c r="AN203" s="2418">
        <v>0</v>
      </c>
      <c r="AO203" s="2418">
        <v>0</v>
      </c>
      <c r="AP203" s="2418">
        <v>0</v>
      </c>
      <c r="AQ203" s="2419">
        <v>0</v>
      </c>
      <c r="AR203" s="2382"/>
      <c r="AS203" s="2417">
        <v>0</v>
      </c>
      <c r="AT203" s="2418">
        <v>0</v>
      </c>
      <c r="AU203" s="2418">
        <v>0</v>
      </c>
      <c r="AV203" s="2418">
        <v>0</v>
      </c>
      <c r="AW203" s="2419">
        <v>0</v>
      </c>
      <c r="AX203" s="2382"/>
      <c r="AY203" s="2417">
        <v>0</v>
      </c>
      <c r="AZ203" s="2418">
        <v>0</v>
      </c>
      <c r="BA203" s="2418">
        <v>0</v>
      </c>
      <c r="BB203" s="2418">
        <v>0</v>
      </c>
      <c r="BC203" s="2419">
        <v>0</v>
      </c>
      <c r="BD203" s="2382"/>
      <c r="BE203" s="2417">
        <v>0</v>
      </c>
      <c r="BF203" s="2418">
        <v>0</v>
      </c>
      <c r="BG203" s="2418">
        <v>0</v>
      </c>
      <c r="BH203" s="2418">
        <v>0</v>
      </c>
      <c r="BI203" s="2419">
        <v>0</v>
      </c>
      <c r="BJ203" s="2382"/>
      <c r="BK203" s="2417">
        <v>0</v>
      </c>
      <c r="BL203" s="2418">
        <v>0</v>
      </c>
      <c r="BM203" s="2418">
        <v>0</v>
      </c>
      <c r="BN203" s="2418">
        <v>0</v>
      </c>
      <c r="BO203" s="2419">
        <v>0</v>
      </c>
      <c r="BP203" s="2382"/>
      <c r="BQ203" s="2417">
        <v>0</v>
      </c>
      <c r="BR203" s="2418">
        <v>0</v>
      </c>
      <c r="BS203" s="2418">
        <v>0</v>
      </c>
      <c r="BT203" s="2418">
        <v>0</v>
      </c>
      <c r="BU203" s="2419">
        <v>0</v>
      </c>
      <c r="BV203" s="2382"/>
      <c r="BW203" s="2417">
        <v>0</v>
      </c>
      <c r="BX203" s="2418">
        <v>0</v>
      </c>
      <c r="BY203" s="2418">
        <v>0</v>
      </c>
      <c r="BZ203" s="2418">
        <v>0</v>
      </c>
      <c r="CA203" s="2419">
        <v>0</v>
      </c>
      <c r="CB203" s="2382"/>
      <c r="CC203" s="2417">
        <v>0</v>
      </c>
      <c r="CD203" s="2418">
        <v>0</v>
      </c>
      <c r="CE203" s="2418">
        <v>0</v>
      </c>
      <c r="CF203" s="2418">
        <v>0</v>
      </c>
      <c r="CG203" s="2419">
        <v>0</v>
      </c>
      <c r="CH203" s="2382"/>
      <c r="CI203" s="2417">
        <v>0</v>
      </c>
      <c r="CJ203" s="2418">
        <v>0</v>
      </c>
      <c r="CK203" s="2418">
        <v>0</v>
      </c>
      <c r="CL203" s="2418">
        <v>0</v>
      </c>
      <c r="CM203" s="2419">
        <v>0</v>
      </c>
      <c r="CQ203"/>
      <c r="CR203"/>
      <c r="CS203"/>
      <c r="CT203"/>
      <c r="CU203"/>
      <c r="CV203"/>
    </row>
    <row r="204" spans="1:100" s="6" customFormat="1">
      <c r="A204" s="2382" t="s">
        <v>594</v>
      </c>
      <c r="B204" s="79"/>
      <c r="C204" s="2416">
        <f>C35+C34</f>
        <v>271.73611111111114</v>
      </c>
      <c r="D204" s="1847">
        <f t="shared" ref="D204:G204" si="172">D35+D34</f>
        <v>273.85353535353539</v>
      </c>
      <c r="E204" s="1847">
        <f t="shared" si="172"/>
        <v>305.61489898989902</v>
      </c>
      <c r="F204" s="1847">
        <f t="shared" si="172"/>
        <v>302.79166666666669</v>
      </c>
      <c r="G204" s="1846">
        <f t="shared" si="172"/>
        <v>302.79166666666669</v>
      </c>
      <c r="H204" s="2382"/>
      <c r="I204" s="2416">
        <f>I35+I34</f>
        <v>599.93686868686871</v>
      </c>
      <c r="J204" s="1847">
        <f t="shared" ref="J204:M204" si="173">J35+J34</f>
        <v>515.94570707070716</v>
      </c>
      <c r="K204" s="1847">
        <f t="shared" si="173"/>
        <v>520.18055555555566</v>
      </c>
      <c r="L204" s="1847">
        <f t="shared" si="173"/>
        <v>472.18560606060612</v>
      </c>
      <c r="M204" s="1846">
        <f t="shared" si="173"/>
        <v>472.18560606060612</v>
      </c>
      <c r="N204" s="2382"/>
      <c r="O204" s="2416">
        <f>O35+O34</f>
        <v>1017.5151515151516</v>
      </c>
      <c r="P204" s="1847">
        <f t="shared" ref="P204:S204" si="174">P35+P34</f>
        <v>739.25252525252529</v>
      </c>
      <c r="Q204" s="1847">
        <f t="shared" si="174"/>
        <v>774.66414141414145</v>
      </c>
      <c r="R204" s="1847">
        <f t="shared" si="174"/>
        <v>902.42803030303037</v>
      </c>
      <c r="S204" s="1846">
        <f t="shared" si="174"/>
        <v>902.42803030303037</v>
      </c>
      <c r="T204" s="2382"/>
      <c r="U204" s="2416">
        <f>U35+U34</f>
        <v>862.25505050505058</v>
      </c>
      <c r="V204" s="1847">
        <f t="shared" ref="V204:Y204" si="175">V35+V34</f>
        <v>871.19444444444457</v>
      </c>
      <c r="W204" s="1847">
        <f t="shared" si="175"/>
        <v>990.3598484848485</v>
      </c>
      <c r="X204" s="1847">
        <f t="shared" si="175"/>
        <v>978.12373737373741</v>
      </c>
      <c r="Y204" s="1846">
        <f t="shared" si="175"/>
        <v>978.12373737373741</v>
      </c>
      <c r="Z204" s="2382"/>
      <c r="AA204" s="2416">
        <f>AA35+AA34</f>
        <v>957.41919191919192</v>
      </c>
      <c r="AB204" s="1847">
        <f t="shared" ref="AB204:AE204" si="176">AB35+AB34</f>
        <v>740.47601010101016</v>
      </c>
      <c r="AC204" s="1847">
        <f t="shared" si="176"/>
        <v>687.59848484848487</v>
      </c>
      <c r="AD204" s="1847">
        <f t="shared" si="176"/>
        <v>782.83459595959607</v>
      </c>
      <c r="AE204" s="1846">
        <f t="shared" si="176"/>
        <v>782.83459595959607</v>
      </c>
      <c r="AF204" s="2382"/>
      <c r="AG204" s="2416">
        <f>AG35+AG34</f>
        <v>775.6578282828284</v>
      </c>
      <c r="AH204" s="1847">
        <f t="shared" ref="AH204:AK204" si="177">AH35+AH34</f>
        <v>736.95202020202032</v>
      </c>
      <c r="AI204" s="1847">
        <f t="shared" si="177"/>
        <v>841.41035353535358</v>
      </c>
      <c r="AJ204" s="1847">
        <f t="shared" si="177"/>
        <v>1113</v>
      </c>
      <c r="AK204" s="1846">
        <f t="shared" si="177"/>
        <v>1113</v>
      </c>
      <c r="AL204" s="2382"/>
      <c r="AM204" s="2416">
        <f>AM35+AM34</f>
        <v>1125.0586034912717</v>
      </c>
      <c r="AN204" s="1847">
        <f t="shared" ref="AN204:AQ204" si="178">AN35+AN34</f>
        <v>1046.1708229426436</v>
      </c>
      <c r="AO204" s="1847">
        <f t="shared" si="178"/>
        <v>1021.7855361596011</v>
      </c>
      <c r="AP204" s="1847">
        <f t="shared" si="178"/>
        <v>873</v>
      </c>
      <c r="AQ204" s="1846">
        <f t="shared" si="178"/>
        <v>873</v>
      </c>
      <c r="AR204" s="2382"/>
      <c r="AS204" s="2416">
        <f>AS35+AS34</f>
        <v>750</v>
      </c>
      <c r="AT204" s="1847">
        <f t="shared" ref="AT204:AW204" si="179">AT35+AT34</f>
        <v>790</v>
      </c>
      <c r="AU204" s="1847">
        <f t="shared" si="179"/>
        <v>793</v>
      </c>
      <c r="AV204" s="1847">
        <f t="shared" si="179"/>
        <v>2165</v>
      </c>
      <c r="AW204" s="1846">
        <f t="shared" si="179"/>
        <v>2165</v>
      </c>
      <c r="AX204" s="2382"/>
      <c r="AY204" s="2416">
        <f>AY35+AY34</f>
        <v>693</v>
      </c>
      <c r="AZ204" s="1847">
        <f t="shared" ref="AZ204:BC204" si="180">AZ35+AZ34</f>
        <v>665</v>
      </c>
      <c r="BA204" s="1847">
        <f t="shared" si="180"/>
        <v>637</v>
      </c>
      <c r="BB204" s="1847">
        <f t="shared" si="180"/>
        <v>678</v>
      </c>
      <c r="BC204" s="1846">
        <f t="shared" si="180"/>
        <v>678</v>
      </c>
      <c r="BD204" s="2382"/>
      <c r="BE204" s="2416">
        <f>BE35+BE34</f>
        <v>654</v>
      </c>
      <c r="BF204" s="1847">
        <f t="shared" ref="BF204:BI204" si="181">BF35+BF34</f>
        <v>688</v>
      </c>
      <c r="BG204" s="1847">
        <f t="shared" si="181"/>
        <v>585</v>
      </c>
      <c r="BH204" s="1847">
        <f t="shared" si="181"/>
        <v>699</v>
      </c>
      <c r="BI204" s="1846">
        <f t="shared" si="181"/>
        <v>699</v>
      </c>
      <c r="BJ204" s="2382"/>
      <c r="BK204" s="2416">
        <f>BK35+BK34</f>
        <v>681</v>
      </c>
      <c r="BL204" s="1847">
        <f t="shared" ref="BL204:BO204" si="182">BL35+BL34</f>
        <v>652</v>
      </c>
      <c r="BM204" s="1847">
        <f t="shared" si="182"/>
        <v>608</v>
      </c>
      <c r="BN204" s="1847">
        <f t="shared" si="182"/>
        <v>535</v>
      </c>
      <c r="BO204" s="1846">
        <f t="shared" si="182"/>
        <v>535</v>
      </c>
      <c r="BP204" s="2382"/>
      <c r="BQ204" s="2416">
        <f>BQ35+BQ34</f>
        <v>1011</v>
      </c>
      <c r="BR204" s="1847">
        <f t="shared" ref="BR204:BU204" si="183">BR35+BR34</f>
        <v>1011</v>
      </c>
      <c r="BS204" s="1847">
        <f t="shared" si="183"/>
        <v>1011</v>
      </c>
      <c r="BT204" s="1847">
        <f t="shared" si="183"/>
        <v>1011</v>
      </c>
      <c r="BU204" s="1846">
        <f t="shared" si="183"/>
        <v>1011</v>
      </c>
      <c r="BV204" s="2382"/>
      <c r="BW204" s="2416">
        <f>BW35+BW34</f>
        <v>1011</v>
      </c>
      <c r="BX204" s="1847">
        <f t="shared" ref="BX204:CA204" si="184">BX35+BX34</f>
        <v>1011</v>
      </c>
      <c r="BY204" s="1847">
        <f t="shared" si="184"/>
        <v>1011</v>
      </c>
      <c r="BZ204" s="1847">
        <f t="shared" si="184"/>
        <v>1011</v>
      </c>
      <c r="CA204" s="1846">
        <f t="shared" si="184"/>
        <v>1011</v>
      </c>
      <c r="CB204" s="2382"/>
      <c r="CC204" s="2416">
        <f>CC35+CC34</f>
        <v>1011</v>
      </c>
      <c r="CD204" s="1847">
        <f t="shared" ref="CD204:CG204" si="185">CD35+CD34</f>
        <v>1011</v>
      </c>
      <c r="CE204" s="1847">
        <f t="shared" si="185"/>
        <v>1011</v>
      </c>
      <c r="CF204" s="1847">
        <f t="shared" si="185"/>
        <v>1011</v>
      </c>
      <c r="CG204" s="1846">
        <f t="shared" si="185"/>
        <v>1011</v>
      </c>
      <c r="CH204" s="2382"/>
      <c r="CI204" s="2416">
        <f>CI35+CI34</f>
        <v>1011</v>
      </c>
      <c r="CJ204" s="1847">
        <f t="shared" ref="CJ204:CM204" si="186">CJ35+CJ34</f>
        <v>1011</v>
      </c>
      <c r="CK204" s="1847">
        <f t="shared" si="186"/>
        <v>1011</v>
      </c>
      <c r="CL204" s="1847">
        <f t="shared" si="186"/>
        <v>1011</v>
      </c>
      <c r="CM204" s="1846">
        <f t="shared" si="186"/>
        <v>1011</v>
      </c>
      <c r="CQ204"/>
      <c r="CR204"/>
      <c r="CS204"/>
      <c r="CT204"/>
      <c r="CU204"/>
      <c r="CV204"/>
    </row>
    <row r="205" spans="1:100" s="6" customFormat="1">
      <c r="A205" s="2384" t="s">
        <v>595</v>
      </c>
      <c r="B205" s="79"/>
      <c r="C205" s="2397"/>
      <c r="D205" s="2398"/>
      <c r="E205" s="2398"/>
      <c r="F205" s="2398"/>
      <c r="G205" s="2399"/>
      <c r="H205" s="2382"/>
      <c r="I205" s="2397"/>
      <c r="J205" s="2398"/>
      <c r="K205" s="2398"/>
      <c r="L205" s="2398"/>
      <c r="M205" s="2399"/>
      <c r="N205" s="2382"/>
      <c r="O205" s="2397"/>
      <c r="P205" s="2398"/>
      <c r="Q205" s="2398"/>
      <c r="R205" s="2398"/>
      <c r="S205" s="2399"/>
      <c r="T205" s="2382"/>
      <c r="U205" s="2397"/>
      <c r="V205" s="2398"/>
      <c r="W205" s="2398"/>
      <c r="X205" s="2398"/>
      <c r="Y205" s="2399"/>
      <c r="Z205" s="2382"/>
      <c r="AA205" s="2397"/>
      <c r="AB205" s="2398"/>
      <c r="AC205" s="2398"/>
      <c r="AD205" s="2398"/>
      <c r="AE205" s="2399"/>
      <c r="AF205" s="2382"/>
      <c r="AG205" s="2397"/>
      <c r="AH205" s="2398"/>
      <c r="AI205" s="2398"/>
      <c r="AJ205" s="2398"/>
      <c r="AK205" s="2399"/>
      <c r="AL205" s="2382"/>
      <c r="AM205" s="2397"/>
      <c r="AN205" s="2398"/>
      <c r="AO205" s="2398"/>
      <c r="AP205" s="2398"/>
      <c r="AQ205" s="2399"/>
      <c r="AR205" s="2382"/>
      <c r="AS205" s="2397"/>
      <c r="AT205" s="2398"/>
      <c r="AU205" s="2398"/>
      <c r="AV205" s="2398"/>
      <c r="AW205" s="2399"/>
      <c r="AX205" s="2382"/>
      <c r="AY205" s="2397"/>
      <c r="AZ205" s="2398"/>
      <c r="BA205" s="2398"/>
      <c r="BB205" s="2398"/>
      <c r="BC205" s="2399"/>
      <c r="BD205" s="2382"/>
      <c r="BE205" s="2397"/>
      <c r="BF205" s="2398"/>
      <c r="BG205" s="2398"/>
      <c r="BH205" s="2398"/>
      <c r="BI205" s="2399"/>
      <c r="BJ205" s="2382"/>
      <c r="BK205" s="2397"/>
      <c r="BL205" s="2398"/>
      <c r="BM205" s="2398"/>
      <c r="BN205" s="2398"/>
      <c r="BO205" s="2399"/>
      <c r="BP205" s="2382"/>
      <c r="BQ205" s="2397"/>
      <c r="BR205" s="2398"/>
      <c r="BS205" s="2398"/>
      <c r="BT205" s="2398"/>
      <c r="BU205" s="2399"/>
      <c r="BV205" s="2382"/>
      <c r="BW205" s="2397"/>
      <c r="BX205" s="2398"/>
      <c r="BY205" s="2398"/>
      <c r="BZ205" s="2398"/>
      <c r="CA205" s="2399"/>
      <c r="CB205" s="2382"/>
      <c r="CC205" s="2397"/>
      <c r="CD205" s="2398"/>
      <c r="CE205" s="2398"/>
      <c r="CF205" s="2398"/>
      <c r="CG205" s="2399"/>
      <c r="CH205" s="2382"/>
      <c r="CI205" s="2397"/>
      <c r="CJ205" s="2398"/>
      <c r="CK205" s="2398"/>
      <c r="CL205" s="2398"/>
      <c r="CM205" s="2399"/>
      <c r="CQ205"/>
      <c r="CR205"/>
      <c r="CS205"/>
      <c r="CT205"/>
      <c r="CU205"/>
      <c r="CV205"/>
    </row>
    <row r="206" spans="1:100" s="6" customFormat="1">
      <c r="A206" s="2383" t="s">
        <v>596</v>
      </c>
      <c r="B206" s="79"/>
      <c r="C206" s="2397"/>
      <c r="D206" s="2398"/>
      <c r="E206" s="2398"/>
      <c r="F206" s="2398"/>
      <c r="G206" s="2399"/>
      <c r="H206" s="2382"/>
      <c r="I206" s="2397"/>
      <c r="J206" s="2398"/>
      <c r="K206" s="2398"/>
      <c r="L206" s="2398"/>
      <c r="M206" s="2399"/>
      <c r="N206" s="2382"/>
      <c r="O206" s="2397"/>
      <c r="P206" s="2398"/>
      <c r="Q206" s="2398"/>
      <c r="R206" s="2398"/>
      <c r="S206" s="2399"/>
      <c r="T206" s="2382"/>
      <c r="U206" s="2397"/>
      <c r="V206" s="2398"/>
      <c r="W206" s="2398"/>
      <c r="X206" s="2398"/>
      <c r="Y206" s="2399"/>
      <c r="Z206" s="2382"/>
      <c r="AA206" s="2397"/>
      <c r="AB206" s="2398"/>
      <c r="AC206" s="2398"/>
      <c r="AD206" s="2398"/>
      <c r="AE206" s="2399"/>
      <c r="AF206" s="2382"/>
      <c r="AG206" s="2397"/>
      <c r="AH206" s="2398"/>
      <c r="AI206" s="2398"/>
      <c r="AJ206" s="2398"/>
      <c r="AK206" s="2399"/>
      <c r="AL206" s="2382"/>
      <c r="AM206" s="2397"/>
      <c r="AN206" s="2398"/>
      <c r="AO206" s="2398"/>
      <c r="AP206" s="2398"/>
      <c r="AQ206" s="2399"/>
      <c r="AR206" s="2382"/>
      <c r="AS206" s="2397"/>
      <c r="AT206" s="2398"/>
      <c r="AU206" s="2398"/>
      <c r="AV206" s="2398"/>
      <c r="AW206" s="2399"/>
      <c r="AX206" s="2382"/>
      <c r="AY206" s="2397"/>
      <c r="AZ206" s="2398"/>
      <c r="BA206" s="2398"/>
      <c r="BB206" s="2398"/>
      <c r="BC206" s="2399"/>
      <c r="BD206" s="2382"/>
      <c r="BE206" s="2397"/>
      <c r="BF206" s="2398"/>
      <c r="BG206" s="2398"/>
      <c r="BH206" s="2398"/>
      <c r="BI206" s="2399"/>
      <c r="BJ206" s="2382"/>
      <c r="BK206" s="2397"/>
      <c r="BL206" s="2398"/>
      <c r="BM206" s="2398"/>
      <c r="BN206" s="2398"/>
      <c r="BO206" s="2399"/>
      <c r="BP206" s="2382"/>
      <c r="BQ206" s="2397"/>
      <c r="BR206" s="2398"/>
      <c r="BS206" s="2398"/>
      <c r="BT206" s="2398"/>
      <c r="BU206" s="2399"/>
      <c r="BV206" s="2382"/>
      <c r="BW206" s="2397"/>
      <c r="BX206" s="2398"/>
      <c r="BY206" s="2398"/>
      <c r="BZ206" s="2398"/>
      <c r="CA206" s="2399"/>
      <c r="CB206" s="2382"/>
      <c r="CC206" s="2397"/>
      <c r="CD206" s="2398"/>
      <c r="CE206" s="2398"/>
      <c r="CF206" s="2398"/>
      <c r="CG206" s="2399"/>
      <c r="CH206" s="2382"/>
      <c r="CI206" s="2397"/>
      <c r="CJ206" s="2398"/>
      <c r="CK206" s="2398"/>
      <c r="CL206" s="2398"/>
      <c r="CM206" s="2399"/>
      <c r="CQ206"/>
      <c r="CR206"/>
      <c r="CS206"/>
      <c r="CT206"/>
      <c r="CU206"/>
      <c r="CV206"/>
    </row>
    <row r="207" spans="1:100" s="6" customFormat="1">
      <c r="A207" s="2382" t="s">
        <v>597</v>
      </c>
      <c r="B207" s="79"/>
      <c r="C207" s="2416">
        <f>C44</f>
        <v>0</v>
      </c>
      <c r="D207" s="1847">
        <f t="shared" ref="D207:G207" si="187">D44</f>
        <v>0</v>
      </c>
      <c r="E207" s="1847">
        <f t="shared" si="187"/>
        <v>0</v>
      </c>
      <c r="F207" s="1847">
        <f t="shared" si="187"/>
        <v>0</v>
      </c>
      <c r="G207" s="1846">
        <f t="shared" si="187"/>
        <v>0</v>
      </c>
      <c r="H207" s="2382"/>
      <c r="I207" s="2416">
        <f>I44</f>
        <v>0</v>
      </c>
      <c r="J207" s="1847">
        <f t="shared" ref="J207:M207" si="188">J44</f>
        <v>0</v>
      </c>
      <c r="K207" s="1847">
        <f t="shared" si="188"/>
        <v>0</v>
      </c>
      <c r="L207" s="1847">
        <f t="shared" si="188"/>
        <v>0</v>
      </c>
      <c r="M207" s="1846">
        <f t="shared" si="188"/>
        <v>0</v>
      </c>
      <c r="N207" s="2382"/>
      <c r="O207" s="2416">
        <f>O44</f>
        <v>0</v>
      </c>
      <c r="P207" s="1847">
        <f t="shared" ref="P207:S207" si="189">P44</f>
        <v>0</v>
      </c>
      <c r="Q207" s="1847">
        <f t="shared" si="189"/>
        <v>0</v>
      </c>
      <c r="R207" s="1847">
        <f t="shared" si="189"/>
        <v>8</v>
      </c>
      <c r="S207" s="1846">
        <f t="shared" si="189"/>
        <v>8</v>
      </c>
      <c r="T207" s="2382"/>
      <c r="U207" s="2416">
        <f>U44</f>
        <v>8</v>
      </c>
      <c r="V207" s="1847">
        <f t="shared" ref="V207:Y207" si="190">V44</f>
        <v>8</v>
      </c>
      <c r="W207" s="1847">
        <f t="shared" si="190"/>
        <v>8</v>
      </c>
      <c r="X207" s="1847">
        <f t="shared" si="190"/>
        <v>8</v>
      </c>
      <c r="Y207" s="1846">
        <f t="shared" si="190"/>
        <v>8</v>
      </c>
      <c r="Z207" s="2382"/>
      <c r="AA207" s="2416">
        <f>AA44</f>
        <v>7</v>
      </c>
      <c r="AB207" s="1847">
        <f t="shared" ref="AB207:AE207" si="191">AB44</f>
        <v>8</v>
      </c>
      <c r="AC207" s="1847">
        <f t="shared" si="191"/>
        <v>8</v>
      </c>
      <c r="AD207" s="1847">
        <f t="shared" si="191"/>
        <v>8</v>
      </c>
      <c r="AE207" s="1846">
        <f t="shared" si="191"/>
        <v>8</v>
      </c>
      <c r="AF207" s="2382"/>
      <c r="AG207" s="2416">
        <f>AG44</f>
        <v>3</v>
      </c>
      <c r="AH207" s="1847">
        <f t="shared" ref="AH207:AK207" si="192">AH44</f>
        <v>3</v>
      </c>
      <c r="AI207" s="1847">
        <f t="shared" si="192"/>
        <v>3</v>
      </c>
      <c r="AJ207" s="1847">
        <f t="shared" si="192"/>
        <v>3</v>
      </c>
      <c r="AK207" s="1846">
        <f t="shared" si="192"/>
        <v>3</v>
      </c>
      <c r="AL207" s="2382"/>
      <c r="AM207" s="2416">
        <f>AM44</f>
        <v>3</v>
      </c>
      <c r="AN207" s="1847">
        <f t="shared" ref="AN207:AQ207" si="193">AN44</f>
        <v>3</v>
      </c>
      <c r="AO207" s="1847">
        <f t="shared" si="193"/>
        <v>3</v>
      </c>
      <c r="AP207" s="1847">
        <f t="shared" si="193"/>
        <v>3</v>
      </c>
      <c r="AQ207" s="1846">
        <f t="shared" si="193"/>
        <v>3</v>
      </c>
      <c r="AR207" s="2382"/>
      <c r="AS207" s="2416">
        <f>AS44</f>
        <v>3</v>
      </c>
      <c r="AT207" s="1847">
        <f t="shared" ref="AT207:AW207" si="194">AT44</f>
        <v>3</v>
      </c>
      <c r="AU207" s="1847">
        <f t="shared" si="194"/>
        <v>3</v>
      </c>
      <c r="AV207" s="1847">
        <f t="shared" si="194"/>
        <v>3</v>
      </c>
      <c r="AW207" s="1846">
        <f t="shared" si="194"/>
        <v>3</v>
      </c>
      <c r="AX207" s="2382"/>
      <c r="AY207" s="2416">
        <f>AY44</f>
        <v>3</v>
      </c>
      <c r="AZ207" s="1847">
        <f t="shared" ref="AZ207:BC207" si="195">AZ44</f>
        <v>3</v>
      </c>
      <c r="BA207" s="1847">
        <f t="shared" si="195"/>
        <v>3</v>
      </c>
      <c r="BB207" s="1847">
        <f t="shared" si="195"/>
        <v>3</v>
      </c>
      <c r="BC207" s="1846">
        <f t="shared" si="195"/>
        <v>3</v>
      </c>
      <c r="BD207" s="2382"/>
      <c r="BE207" s="2416">
        <f>BE44</f>
        <v>3</v>
      </c>
      <c r="BF207" s="1847">
        <f t="shared" ref="BF207:BI207" si="196">BF44</f>
        <v>3</v>
      </c>
      <c r="BG207" s="1847">
        <f t="shared" si="196"/>
        <v>3</v>
      </c>
      <c r="BH207" s="1847">
        <f t="shared" si="196"/>
        <v>3</v>
      </c>
      <c r="BI207" s="1846">
        <f t="shared" si="196"/>
        <v>3</v>
      </c>
      <c r="BJ207" s="2382"/>
      <c r="BK207" s="2416">
        <f>BK44</f>
        <v>3</v>
      </c>
      <c r="BL207" s="1847">
        <f t="shared" ref="BL207:BO207" si="197">BL44</f>
        <v>3</v>
      </c>
      <c r="BM207" s="1847">
        <f t="shared" si="197"/>
        <v>3</v>
      </c>
      <c r="BN207" s="1847">
        <f t="shared" si="197"/>
        <v>4</v>
      </c>
      <c r="BO207" s="1846">
        <f t="shared" si="197"/>
        <v>4</v>
      </c>
      <c r="BP207" s="2382"/>
      <c r="BQ207" s="2416">
        <f>BQ44</f>
        <v>4</v>
      </c>
      <c r="BR207" s="1847">
        <f t="shared" ref="BR207:BU207" si="198">BR44</f>
        <v>4</v>
      </c>
      <c r="BS207" s="1847">
        <f t="shared" si="198"/>
        <v>4</v>
      </c>
      <c r="BT207" s="1847">
        <f t="shared" si="198"/>
        <v>4</v>
      </c>
      <c r="BU207" s="1846">
        <f t="shared" si="198"/>
        <v>4</v>
      </c>
      <c r="BV207" s="2382"/>
      <c r="BW207" s="2416">
        <f>BW44</f>
        <v>4</v>
      </c>
      <c r="BX207" s="1847">
        <f t="shared" ref="BX207:CA207" si="199">BX44</f>
        <v>4</v>
      </c>
      <c r="BY207" s="1847">
        <f t="shared" si="199"/>
        <v>4</v>
      </c>
      <c r="BZ207" s="1847">
        <f t="shared" si="199"/>
        <v>4</v>
      </c>
      <c r="CA207" s="1846">
        <f t="shared" si="199"/>
        <v>4</v>
      </c>
      <c r="CB207" s="2382"/>
      <c r="CC207" s="2416">
        <f>CC44</f>
        <v>4</v>
      </c>
      <c r="CD207" s="1847">
        <f t="shared" ref="CD207:CG207" si="200">CD44</f>
        <v>4</v>
      </c>
      <c r="CE207" s="1847">
        <f t="shared" si="200"/>
        <v>4</v>
      </c>
      <c r="CF207" s="1847">
        <f t="shared" si="200"/>
        <v>4</v>
      </c>
      <c r="CG207" s="1846">
        <f t="shared" si="200"/>
        <v>4</v>
      </c>
      <c r="CH207" s="2382"/>
      <c r="CI207" s="2416">
        <f>CI44</f>
        <v>4</v>
      </c>
      <c r="CJ207" s="1847">
        <f t="shared" ref="CJ207:CM207" si="201">CJ44</f>
        <v>4</v>
      </c>
      <c r="CK207" s="1847">
        <f t="shared" si="201"/>
        <v>4</v>
      </c>
      <c r="CL207" s="1847">
        <f t="shared" si="201"/>
        <v>4</v>
      </c>
      <c r="CM207" s="1846">
        <f t="shared" si="201"/>
        <v>4</v>
      </c>
      <c r="CQ207"/>
      <c r="CR207"/>
      <c r="CS207"/>
      <c r="CT207"/>
      <c r="CU207"/>
      <c r="CV207"/>
    </row>
    <row r="208" spans="1:100" s="6" customFormat="1">
      <c r="A208" s="2382" t="s">
        <v>598</v>
      </c>
      <c r="B208" s="79"/>
      <c r="C208" s="2416">
        <f t="shared" ref="C208:D208" si="202">C37</f>
        <v>0</v>
      </c>
      <c r="D208" s="1847">
        <f t="shared" si="202"/>
        <v>0</v>
      </c>
      <c r="E208" s="1847">
        <f>E37</f>
        <v>0</v>
      </c>
      <c r="F208" s="1847">
        <f t="shared" ref="F208:G208" si="203">F37</f>
        <v>0</v>
      </c>
      <c r="G208" s="1846">
        <f t="shared" si="203"/>
        <v>0</v>
      </c>
      <c r="H208" s="2382"/>
      <c r="I208" s="2416">
        <f t="shared" ref="I208:J208" si="204">I37</f>
        <v>0</v>
      </c>
      <c r="J208" s="1847">
        <f t="shared" si="204"/>
        <v>0</v>
      </c>
      <c r="K208" s="1847">
        <f>K37</f>
        <v>0</v>
      </c>
      <c r="L208" s="1847">
        <f t="shared" ref="L208:M208" si="205">L37</f>
        <v>0</v>
      </c>
      <c r="M208" s="1846">
        <f t="shared" si="205"/>
        <v>0</v>
      </c>
      <c r="N208" s="2382"/>
      <c r="O208" s="2416">
        <f t="shared" ref="O208:P208" si="206">O37</f>
        <v>0</v>
      </c>
      <c r="P208" s="1847">
        <f t="shared" si="206"/>
        <v>0</v>
      </c>
      <c r="Q208" s="1847">
        <f>Q37</f>
        <v>0</v>
      </c>
      <c r="R208" s="1847">
        <f t="shared" ref="R208:S208" si="207">R37</f>
        <v>0</v>
      </c>
      <c r="S208" s="1846">
        <f t="shared" si="207"/>
        <v>0</v>
      </c>
      <c r="T208" s="2382"/>
      <c r="U208" s="2416">
        <f t="shared" ref="U208:V208" si="208">U37</f>
        <v>0</v>
      </c>
      <c r="V208" s="1847">
        <f t="shared" si="208"/>
        <v>0</v>
      </c>
      <c r="W208" s="1847">
        <f>W37</f>
        <v>0</v>
      </c>
      <c r="X208" s="1847">
        <f t="shared" ref="X208:Y208" si="209">X37</f>
        <v>0</v>
      </c>
      <c r="Y208" s="1846">
        <f t="shared" si="209"/>
        <v>0</v>
      </c>
      <c r="Z208" s="2382"/>
      <c r="AA208" s="2416">
        <f t="shared" ref="AA208:AB208" si="210">AA37</f>
        <v>0</v>
      </c>
      <c r="AB208" s="1847">
        <f t="shared" si="210"/>
        <v>0</v>
      </c>
      <c r="AC208" s="1847">
        <f>AC37</f>
        <v>0</v>
      </c>
      <c r="AD208" s="1847">
        <f t="shared" ref="AD208:AE208" si="211">AD37</f>
        <v>0</v>
      </c>
      <c r="AE208" s="1846">
        <f t="shared" si="211"/>
        <v>0</v>
      </c>
      <c r="AF208" s="2382"/>
      <c r="AG208" s="2416">
        <f t="shared" ref="AG208:AH208" si="212">AG37</f>
        <v>0</v>
      </c>
      <c r="AH208" s="1847">
        <f t="shared" si="212"/>
        <v>0</v>
      </c>
      <c r="AI208" s="1847">
        <f>AI37</f>
        <v>0</v>
      </c>
      <c r="AJ208" s="1847">
        <f t="shared" ref="AJ208:AK208" si="213">AJ37</f>
        <v>0</v>
      </c>
      <c r="AK208" s="1846">
        <f t="shared" si="213"/>
        <v>0</v>
      </c>
      <c r="AL208" s="2382"/>
      <c r="AM208" s="2416">
        <f t="shared" ref="AM208:AN208" si="214">AM37</f>
        <v>0</v>
      </c>
      <c r="AN208" s="1847">
        <f t="shared" si="214"/>
        <v>0</v>
      </c>
      <c r="AO208" s="1847">
        <f>AO37</f>
        <v>0</v>
      </c>
      <c r="AP208" s="1847">
        <f t="shared" ref="AP208:AQ208" si="215">AP37</f>
        <v>0</v>
      </c>
      <c r="AQ208" s="1846">
        <f t="shared" si="215"/>
        <v>0</v>
      </c>
      <c r="AR208" s="2382"/>
      <c r="AS208" s="2416">
        <f t="shared" ref="AS208:AT208" si="216">AS37</f>
        <v>0</v>
      </c>
      <c r="AT208" s="1847">
        <f t="shared" si="216"/>
        <v>0</v>
      </c>
      <c r="AU208" s="1847">
        <f>AU37</f>
        <v>0</v>
      </c>
      <c r="AV208" s="1847">
        <f t="shared" ref="AV208:AW208" si="217">AV37</f>
        <v>0</v>
      </c>
      <c r="AW208" s="1846">
        <f t="shared" si="217"/>
        <v>0</v>
      </c>
      <c r="AX208" s="2382"/>
      <c r="AY208" s="2416">
        <f t="shared" ref="AY208:AZ208" si="218">AY37</f>
        <v>0</v>
      </c>
      <c r="AZ208" s="1847">
        <f t="shared" si="218"/>
        <v>0</v>
      </c>
      <c r="BA208" s="1847">
        <f>BA37</f>
        <v>0</v>
      </c>
      <c r="BB208" s="1847">
        <f t="shared" ref="BB208:BC208" si="219">BB37</f>
        <v>0</v>
      </c>
      <c r="BC208" s="1846">
        <f t="shared" si="219"/>
        <v>0</v>
      </c>
      <c r="BD208" s="2382"/>
      <c r="BE208" s="2416">
        <f t="shared" ref="BE208:BF208" si="220">BE37</f>
        <v>0</v>
      </c>
      <c r="BF208" s="1847">
        <f t="shared" si="220"/>
        <v>0</v>
      </c>
      <c r="BG208" s="1847">
        <f>BG37</f>
        <v>0</v>
      </c>
      <c r="BH208" s="1847">
        <f t="shared" ref="BH208:BI208" si="221">BH37</f>
        <v>0</v>
      </c>
      <c r="BI208" s="1846">
        <f t="shared" si="221"/>
        <v>0</v>
      </c>
      <c r="BJ208" s="2382"/>
      <c r="BK208" s="2416">
        <f t="shared" ref="BK208:BL208" si="222">BK37</f>
        <v>0</v>
      </c>
      <c r="BL208" s="1847">
        <f t="shared" si="222"/>
        <v>0</v>
      </c>
      <c r="BM208" s="1847">
        <f>BM37</f>
        <v>0</v>
      </c>
      <c r="BN208" s="1847">
        <f t="shared" ref="BN208:BO208" si="223">BN37</f>
        <v>0</v>
      </c>
      <c r="BO208" s="1846">
        <f t="shared" si="223"/>
        <v>0</v>
      </c>
      <c r="BP208" s="2382"/>
      <c r="BQ208" s="2416">
        <f t="shared" ref="BQ208:BR208" si="224">BQ37</f>
        <v>0</v>
      </c>
      <c r="BR208" s="1847">
        <f t="shared" si="224"/>
        <v>0</v>
      </c>
      <c r="BS208" s="1847">
        <f>BS37</f>
        <v>0</v>
      </c>
      <c r="BT208" s="1847">
        <f t="shared" ref="BT208:BU208" si="225">BT37</f>
        <v>0</v>
      </c>
      <c r="BU208" s="1846">
        <f t="shared" si="225"/>
        <v>0</v>
      </c>
      <c r="BV208" s="2382"/>
      <c r="BW208" s="2416">
        <f t="shared" ref="BW208:BX208" si="226">BW37</f>
        <v>0</v>
      </c>
      <c r="BX208" s="1847">
        <f t="shared" si="226"/>
        <v>0</v>
      </c>
      <c r="BY208" s="1847">
        <f>BY37</f>
        <v>0</v>
      </c>
      <c r="BZ208" s="1847">
        <f t="shared" ref="BZ208:CA208" si="227">BZ37</f>
        <v>0</v>
      </c>
      <c r="CA208" s="1846">
        <f t="shared" si="227"/>
        <v>0</v>
      </c>
      <c r="CB208" s="2382"/>
      <c r="CC208" s="2416">
        <f t="shared" ref="CC208:CD208" si="228">CC37</f>
        <v>0</v>
      </c>
      <c r="CD208" s="1847">
        <f t="shared" si="228"/>
        <v>0</v>
      </c>
      <c r="CE208" s="1847">
        <f>CE37</f>
        <v>0</v>
      </c>
      <c r="CF208" s="1847">
        <f t="shared" ref="CF208:CG208" si="229">CF37</f>
        <v>0</v>
      </c>
      <c r="CG208" s="1846">
        <f t="shared" si="229"/>
        <v>0</v>
      </c>
      <c r="CH208" s="2382"/>
      <c r="CI208" s="2416">
        <f t="shared" ref="CI208:CJ208" si="230">CI37</f>
        <v>0</v>
      </c>
      <c r="CJ208" s="1847">
        <f t="shared" si="230"/>
        <v>0</v>
      </c>
      <c r="CK208" s="1847">
        <f>CK37</f>
        <v>0</v>
      </c>
      <c r="CL208" s="1847">
        <f t="shared" ref="CL208:CM208" si="231">CL37</f>
        <v>0</v>
      </c>
      <c r="CM208" s="1846">
        <f t="shared" si="231"/>
        <v>0</v>
      </c>
      <c r="CQ208"/>
      <c r="CR208"/>
      <c r="CS208"/>
      <c r="CT208"/>
      <c r="CU208"/>
      <c r="CV208"/>
    </row>
    <row r="209" spans="1:100" s="6" customFormat="1">
      <c r="A209" s="2382" t="s">
        <v>499</v>
      </c>
      <c r="B209" s="79"/>
      <c r="C209" s="2416">
        <f t="shared" ref="C209:D209" si="232">C45</f>
        <v>3023.0628499488971</v>
      </c>
      <c r="D209" s="1847">
        <f t="shared" si="232"/>
        <v>2996.5770004480169</v>
      </c>
      <c r="E209" s="1847">
        <f>E45</f>
        <v>2573.6278948439849</v>
      </c>
      <c r="F209" s="1847">
        <f t="shared" ref="F209:G209" si="233">F45</f>
        <v>2631.9874342112685</v>
      </c>
      <c r="G209" s="1846">
        <f t="shared" si="233"/>
        <v>2631.9874342112685</v>
      </c>
      <c r="H209" s="2382"/>
      <c r="I209" s="2416">
        <f t="shared" ref="I209:J209" si="234">I45</f>
        <v>2098.5245447360608</v>
      </c>
      <c r="J209" s="1847">
        <f t="shared" si="234"/>
        <v>2166.4184434473427</v>
      </c>
      <c r="K209" s="1847">
        <f>K45</f>
        <v>2150.5879377993401</v>
      </c>
      <c r="L209" s="1847">
        <f t="shared" ref="L209:M209" si="235">L45</f>
        <v>1989.466407063082</v>
      </c>
      <c r="M209" s="1846">
        <f t="shared" si="235"/>
        <v>1989.466407063082</v>
      </c>
      <c r="N209" s="2382"/>
      <c r="O209" s="2416">
        <f t="shared" ref="O209:P209" si="236">O45</f>
        <v>1507.1838343979871</v>
      </c>
      <c r="P209" s="1847">
        <f t="shared" si="236"/>
        <v>1514.7587315071128</v>
      </c>
      <c r="Q209" s="1847">
        <f>Q45</f>
        <v>1550.2741194586902</v>
      </c>
      <c r="R209" s="1847">
        <f t="shared" ref="R209:S209" si="237">R45</f>
        <v>1651.6141481525192</v>
      </c>
      <c r="S209" s="1846">
        <f t="shared" si="237"/>
        <v>1651.6141481525192</v>
      </c>
      <c r="T209" s="2382"/>
      <c r="U209" s="2416">
        <f t="shared" ref="U209:V209" si="238">U45</f>
        <v>1665.7075471553972</v>
      </c>
      <c r="V209" s="1847">
        <f t="shared" si="238"/>
        <v>1823.2283161777923</v>
      </c>
      <c r="W209" s="1847">
        <f>W45</f>
        <v>1850.846440114814</v>
      </c>
      <c r="X209" s="1847">
        <f t="shared" ref="X209:Y209" si="239">X45</f>
        <v>2328.2757626697148</v>
      </c>
      <c r="Y209" s="1846">
        <f t="shared" si="239"/>
        <v>2328.2757626697148</v>
      </c>
      <c r="Z209" s="2382"/>
      <c r="AA209" s="2416">
        <f t="shared" ref="AA209:AB209" si="240">AA45</f>
        <v>2245.4865375147788</v>
      </c>
      <c r="AB209" s="1847">
        <f t="shared" si="240"/>
        <v>2914.9225519865308</v>
      </c>
      <c r="AC209" s="1847">
        <f>AC45</f>
        <v>3018.1520548647673</v>
      </c>
      <c r="AD209" s="1847">
        <f t="shared" ref="AD209:AE209" si="241">AD45</f>
        <v>3311.1843419876814</v>
      </c>
      <c r="AE209" s="1846">
        <f t="shared" si="241"/>
        <v>3311.1843419876814</v>
      </c>
      <c r="AF209" s="2382"/>
      <c r="AG209" s="2416">
        <f t="shared" ref="AG209:AH209" si="242">AG45</f>
        <v>3369.2524068544112</v>
      </c>
      <c r="AH209" s="1847">
        <f t="shared" si="242"/>
        <v>3641.4936266393879</v>
      </c>
      <c r="AI209" s="1847">
        <f>AI45</f>
        <v>3611.3595784124273</v>
      </c>
      <c r="AJ209" s="1847">
        <f t="shared" ref="AJ209:AK209" si="243">AJ45</f>
        <v>3880</v>
      </c>
      <c r="AK209" s="1846">
        <f t="shared" si="243"/>
        <v>3880</v>
      </c>
      <c r="AL209" s="2382"/>
      <c r="AM209" s="2416">
        <f t="shared" ref="AM209:AN209" si="244">AM45</f>
        <v>4109.141899628492</v>
      </c>
      <c r="AN209" s="1847">
        <f t="shared" si="244"/>
        <v>4134.6270314357726</v>
      </c>
      <c r="AO209" s="1847">
        <f>AO45</f>
        <v>3552.5059255377</v>
      </c>
      <c r="AP209" s="1847">
        <f t="shared" ref="AP209:AQ209" si="245">AP45</f>
        <v>4044</v>
      </c>
      <c r="AQ209" s="1846">
        <f t="shared" si="245"/>
        <v>4044</v>
      </c>
      <c r="AR209" s="2382"/>
      <c r="AS209" s="2416">
        <f t="shared" ref="AS209:AT209" si="246">AS45</f>
        <v>4248</v>
      </c>
      <c r="AT209" s="1847">
        <f t="shared" si="246"/>
        <v>4364</v>
      </c>
      <c r="AU209" s="1847">
        <f>AU45</f>
        <v>4299</v>
      </c>
      <c r="AV209" s="1847">
        <f t="shared" ref="AV209:AW209" si="247">AV45</f>
        <v>5301</v>
      </c>
      <c r="AW209" s="1846">
        <f t="shared" si="247"/>
        <v>5301</v>
      </c>
      <c r="AX209" s="2382"/>
      <c r="AY209" s="2416">
        <f t="shared" ref="AY209:AZ209" si="248">AY45</f>
        <v>4240</v>
      </c>
      <c r="AZ209" s="1847">
        <f t="shared" si="248"/>
        <v>4161</v>
      </c>
      <c r="BA209" s="1847">
        <f>BA45</f>
        <v>4106</v>
      </c>
      <c r="BB209" s="1847">
        <f t="shared" ref="BB209:BC209" si="249">BB45</f>
        <v>4170</v>
      </c>
      <c r="BC209" s="1846">
        <f t="shared" si="249"/>
        <v>4170</v>
      </c>
      <c r="BD209" s="2382"/>
      <c r="BE209" s="2416">
        <f t="shared" ref="BE209:BF209" si="250">BE45</f>
        <v>4048</v>
      </c>
      <c r="BF209" s="1847">
        <f t="shared" si="250"/>
        <v>4165</v>
      </c>
      <c r="BG209" s="1847">
        <f>BG45</f>
        <v>4346</v>
      </c>
      <c r="BH209" s="1847">
        <f t="shared" ref="BH209:BI209" si="251">BH45</f>
        <v>4246</v>
      </c>
      <c r="BI209" s="1846">
        <f t="shared" si="251"/>
        <v>4246</v>
      </c>
      <c r="BJ209" s="2382"/>
      <c r="BK209" s="2416">
        <f t="shared" ref="BK209:BL209" si="252">BK45</f>
        <v>4300</v>
      </c>
      <c r="BL209" s="1847">
        <f t="shared" si="252"/>
        <v>4375</v>
      </c>
      <c r="BM209" s="1847">
        <f>BM45</f>
        <v>4611</v>
      </c>
      <c r="BN209" s="1847">
        <f t="shared" ref="BN209:BO209" si="253">BN45</f>
        <v>4830</v>
      </c>
      <c r="BO209" s="1846">
        <f t="shared" si="253"/>
        <v>4830</v>
      </c>
      <c r="BP209" s="2382"/>
      <c r="BQ209" s="2416">
        <f t="shared" ref="BQ209:BR209" si="254">BQ45</f>
        <v>4526</v>
      </c>
      <c r="BR209" s="1847">
        <f t="shared" si="254"/>
        <v>4598.92824988747</v>
      </c>
      <c r="BS209" s="1847">
        <f>BS45</f>
        <v>4663.8960819828226</v>
      </c>
      <c r="BT209" s="1847">
        <f t="shared" ref="BT209:BU209" si="255">BT45</f>
        <v>4758.901467128022</v>
      </c>
      <c r="BU209" s="1846">
        <f t="shared" si="255"/>
        <v>4758.901467128022</v>
      </c>
      <c r="BV209" s="2382"/>
      <c r="BW209" s="2416">
        <f t="shared" ref="BW209:BX209" si="256">BW45</f>
        <v>4864.5282437756714</v>
      </c>
      <c r="BX209" s="1847">
        <f t="shared" si="256"/>
        <v>4972.3272715401599</v>
      </c>
      <c r="BY209" s="1847">
        <f>BY45</f>
        <v>5074.3454695865576</v>
      </c>
      <c r="BZ209" s="1847">
        <f t="shared" ref="BZ209:CA209" si="257">BZ45</f>
        <v>5209.6025124162015</v>
      </c>
      <c r="CA209" s="1846">
        <f t="shared" si="257"/>
        <v>5209.6025124162015</v>
      </c>
      <c r="CB209" s="2382"/>
      <c r="CC209" s="2416">
        <f t="shared" ref="CC209:CD209" si="258">CC45</f>
        <v>5342.4286924023027</v>
      </c>
      <c r="CD209" s="1847">
        <f t="shared" si="258"/>
        <v>5545.7629467448096</v>
      </c>
      <c r="CE209" s="1847">
        <f>CE45</f>
        <v>5748.0746619040283</v>
      </c>
      <c r="CF209" s="1847">
        <f t="shared" ref="CF209:CG209" si="259">CF45</f>
        <v>5990.5746047689827</v>
      </c>
      <c r="CG209" s="1846">
        <f t="shared" si="259"/>
        <v>5990.5746047689827</v>
      </c>
      <c r="CH209" s="2382"/>
      <c r="CI209" s="2416">
        <f t="shared" ref="CI209:CJ209" si="260">CI45</f>
        <v>6227.4609482355909</v>
      </c>
      <c r="CJ209" s="1847">
        <f t="shared" si="260"/>
        <v>6393.0555057522533</v>
      </c>
      <c r="CK209" s="1847">
        <f>CK45</f>
        <v>6554.9051124858825</v>
      </c>
      <c r="CL209" s="1847">
        <f t="shared" ref="CL209:CM209" si="261">CL45</f>
        <v>6754.5925071155543</v>
      </c>
      <c r="CM209" s="1846">
        <f t="shared" si="261"/>
        <v>6754.5925071155543</v>
      </c>
      <c r="CQ209"/>
      <c r="CR209"/>
      <c r="CS209"/>
      <c r="CT209"/>
      <c r="CU209"/>
      <c r="CV209"/>
    </row>
    <row r="210" spans="1:100" s="6" customFormat="1">
      <c r="A210" s="2384" t="s">
        <v>599</v>
      </c>
      <c r="B210" s="79"/>
      <c r="C210" s="2397"/>
      <c r="D210" s="2398"/>
      <c r="E210" s="2398"/>
      <c r="F210" s="2398"/>
      <c r="G210" s="2399"/>
      <c r="H210" s="2382"/>
      <c r="I210" s="2397"/>
      <c r="J210" s="2398"/>
      <c r="K210" s="2398"/>
      <c r="L210" s="2398"/>
      <c r="M210" s="2399"/>
      <c r="N210" s="2382"/>
      <c r="O210" s="2397"/>
      <c r="P210" s="2398"/>
      <c r="Q210" s="2398"/>
      <c r="R210" s="2398"/>
      <c r="S210" s="2399"/>
      <c r="T210" s="2382"/>
      <c r="U210" s="2397"/>
      <c r="V210" s="2398"/>
      <c r="W210" s="2398"/>
      <c r="X210" s="2398"/>
      <c r="Y210" s="2399"/>
      <c r="Z210" s="2382"/>
      <c r="AA210" s="2397"/>
      <c r="AB210" s="2398"/>
      <c r="AC210" s="2398"/>
      <c r="AD210" s="2398"/>
      <c r="AE210" s="2399"/>
      <c r="AF210" s="2382"/>
      <c r="AG210" s="2397"/>
      <c r="AH210" s="2398"/>
      <c r="AI210" s="2398"/>
      <c r="AJ210" s="2398"/>
      <c r="AK210" s="2399"/>
      <c r="AL210" s="2382"/>
      <c r="AM210" s="2397"/>
      <c r="AN210" s="2398"/>
      <c r="AO210" s="2398"/>
      <c r="AP210" s="2398"/>
      <c r="AQ210" s="2399"/>
      <c r="AR210" s="2382"/>
      <c r="AS210" s="2397"/>
      <c r="AT210" s="2398"/>
      <c r="AU210" s="2398"/>
      <c r="AV210" s="2398"/>
      <c r="AW210" s="2399"/>
      <c r="AX210" s="2382"/>
      <c r="AY210" s="2397"/>
      <c r="AZ210" s="2398"/>
      <c r="BA210" s="2398"/>
      <c r="BB210" s="2398"/>
      <c r="BC210" s="2399"/>
      <c r="BD210" s="2382"/>
      <c r="BE210" s="2397"/>
      <c r="BF210" s="2398"/>
      <c r="BG210" s="2398"/>
      <c r="BH210" s="2398"/>
      <c r="BI210" s="2399"/>
      <c r="BJ210" s="2382"/>
      <c r="BK210" s="2397"/>
      <c r="BL210" s="2398"/>
      <c r="BM210" s="2398"/>
      <c r="BN210" s="2398"/>
      <c r="BO210" s="2399"/>
      <c r="BP210" s="2382"/>
      <c r="BQ210" s="2397"/>
      <c r="BR210" s="2398"/>
      <c r="BS210" s="2398"/>
      <c r="BT210" s="2398"/>
      <c r="BU210" s="2399"/>
      <c r="BV210" s="2382"/>
      <c r="BW210" s="2397"/>
      <c r="BX210" s="2398"/>
      <c r="BY210" s="2398"/>
      <c r="BZ210" s="2398"/>
      <c r="CA210" s="2399"/>
      <c r="CB210" s="2382"/>
      <c r="CC210" s="2397"/>
      <c r="CD210" s="2398"/>
      <c r="CE210" s="2398"/>
      <c r="CF210" s="2398"/>
      <c r="CG210" s="2399"/>
      <c r="CH210" s="2382"/>
      <c r="CI210" s="2397"/>
      <c r="CJ210" s="2398"/>
      <c r="CK210" s="2398"/>
      <c r="CL210" s="2398"/>
      <c r="CM210" s="2399"/>
      <c r="CQ210"/>
      <c r="CR210"/>
      <c r="CS210"/>
      <c r="CT210"/>
      <c r="CU210"/>
      <c r="CV210"/>
    </row>
    <row r="211" spans="1:100" s="6" customFormat="1">
      <c r="A211" s="2383" t="s">
        <v>600</v>
      </c>
      <c r="B211" s="79"/>
      <c r="C211" s="2397"/>
      <c r="D211" s="2398"/>
      <c r="E211" s="2398"/>
      <c r="F211" s="2398"/>
      <c r="G211" s="2399"/>
      <c r="H211" s="2382"/>
      <c r="I211" s="2397"/>
      <c r="J211" s="2398"/>
      <c r="K211" s="2398"/>
      <c r="L211" s="2398"/>
      <c r="M211" s="2399"/>
      <c r="N211" s="2382"/>
      <c r="O211" s="2397"/>
      <c r="P211" s="2398"/>
      <c r="Q211" s="2398"/>
      <c r="R211" s="2398"/>
      <c r="S211" s="2399"/>
      <c r="T211" s="2382"/>
      <c r="U211" s="2397"/>
      <c r="V211" s="2398"/>
      <c r="W211" s="2398"/>
      <c r="X211" s="2398"/>
      <c r="Y211" s="2399"/>
      <c r="Z211" s="2382"/>
      <c r="AA211" s="2397"/>
      <c r="AB211" s="2398"/>
      <c r="AC211" s="2398"/>
      <c r="AD211" s="2398"/>
      <c r="AE211" s="2399"/>
      <c r="AF211" s="2382"/>
      <c r="AG211" s="2397"/>
      <c r="AH211" s="2398"/>
      <c r="AI211" s="2398"/>
      <c r="AJ211" s="2398"/>
      <c r="AK211" s="2399"/>
      <c r="AL211" s="2382"/>
      <c r="AM211" s="2397"/>
      <c r="AN211" s="2398"/>
      <c r="AO211" s="2398"/>
      <c r="AP211" s="2398"/>
      <c r="AQ211" s="2399"/>
      <c r="AR211" s="2382"/>
      <c r="AS211" s="2397"/>
      <c r="AT211" s="2398"/>
      <c r="AU211" s="2398"/>
      <c r="AV211" s="2398"/>
      <c r="AW211" s="2399"/>
      <c r="AX211" s="2382"/>
      <c r="AY211" s="2397"/>
      <c r="AZ211" s="2398"/>
      <c r="BA211" s="2398"/>
      <c r="BB211" s="2398"/>
      <c r="BC211" s="2399"/>
      <c r="BD211" s="2382"/>
      <c r="BE211" s="2397"/>
      <c r="BF211" s="2398"/>
      <c r="BG211" s="2398"/>
      <c r="BH211" s="2398"/>
      <c r="BI211" s="2399"/>
      <c r="BJ211" s="2382"/>
      <c r="BK211" s="2397"/>
      <c r="BL211" s="2398"/>
      <c r="BM211" s="2398"/>
      <c r="BN211" s="2398"/>
      <c r="BO211" s="2399"/>
      <c r="BP211" s="2382"/>
      <c r="BQ211" s="2397"/>
      <c r="BR211" s="2398"/>
      <c r="BS211" s="2398"/>
      <c r="BT211" s="2398"/>
      <c r="BU211" s="2399"/>
      <c r="BV211" s="2382"/>
      <c r="BW211" s="2397"/>
      <c r="BX211" s="2398"/>
      <c r="BY211" s="2398"/>
      <c r="BZ211" s="2398"/>
      <c r="CA211" s="2399"/>
      <c r="CB211" s="2382"/>
      <c r="CC211" s="2397"/>
      <c r="CD211" s="2398"/>
      <c r="CE211" s="2398"/>
      <c r="CF211" s="2398"/>
      <c r="CG211" s="2399"/>
      <c r="CH211" s="2382"/>
      <c r="CI211" s="2397"/>
      <c r="CJ211" s="2398"/>
      <c r="CK211" s="2398"/>
      <c r="CL211" s="2398"/>
      <c r="CM211" s="2399"/>
      <c r="CQ211"/>
      <c r="CR211"/>
      <c r="CS211"/>
      <c r="CT211"/>
      <c r="CU211"/>
      <c r="CV211"/>
    </row>
    <row r="212" spans="1:100" s="6" customFormat="1">
      <c r="A212" s="2382" t="s">
        <v>601</v>
      </c>
      <c r="B212" s="79"/>
      <c r="C212" s="2416">
        <f t="shared" ref="C212:D212" si="262">-C9</f>
        <v>-2090</v>
      </c>
      <c r="D212" s="1847">
        <f t="shared" si="262"/>
        <v>-2050</v>
      </c>
      <c r="E212" s="1847">
        <f>-E9</f>
        <v>-1486</v>
      </c>
      <c r="F212" s="1847">
        <f t="shared" ref="F212:G212" si="263">-F9</f>
        <v>-1826</v>
      </c>
      <c r="G212" s="1846">
        <f t="shared" si="263"/>
        <v>-1826</v>
      </c>
      <c r="H212" s="2382"/>
      <c r="I212" s="2416">
        <f t="shared" ref="I212:J212" si="264">-I9</f>
        <v>-1385</v>
      </c>
      <c r="J212" s="1847">
        <f t="shared" si="264"/>
        <v>-1710</v>
      </c>
      <c r="K212" s="1847">
        <f>-K9</f>
        <v>-1640</v>
      </c>
      <c r="L212" s="1847">
        <f t="shared" ref="L212:M212" si="265">-L9</f>
        <v>-1405</v>
      </c>
      <c r="M212" s="1846">
        <f t="shared" si="265"/>
        <v>-1405</v>
      </c>
      <c r="N212" s="2382"/>
      <c r="O212" s="2416">
        <f t="shared" ref="O212:P212" si="266">-O9</f>
        <v>-1362</v>
      </c>
      <c r="P212" s="1847">
        <f t="shared" si="266"/>
        <v>-1400</v>
      </c>
      <c r="Q212" s="1847">
        <f>-Q9</f>
        <v>-1479</v>
      </c>
      <c r="R212" s="1847">
        <f t="shared" ref="R212:S212" si="267">-R9</f>
        <v>-2479</v>
      </c>
      <c r="S212" s="1846">
        <f t="shared" si="267"/>
        <v>-2479</v>
      </c>
      <c r="T212" s="2382"/>
      <c r="U212" s="2416">
        <f t="shared" ref="U212:V212" si="268">-U9</f>
        <v>-2481</v>
      </c>
      <c r="V212" s="1847">
        <f t="shared" si="268"/>
        <v>-2646</v>
      </c>
      <c r="W212" s="1847">
        <f>-W9</f>
        <v>-2317</v>
      </c>
      <c r="X212" s="1847">
        <f t="shared" ref="X212:Y212" si="269">-X9</f>
        <v>-2649</v>
      </c>
      <c r="Y212" s="1846">
        <f t="shared" si="269"/>
        <v>-2649</v>
      </c>
      <c r="Z212" s="2382"/>
      <c r="AA212" s="2416">
        <f t="shared" ref="AA212:AB212" si="270">-AA9</f>
        <v>-2638</v>
      </c>
      <c r="AB212" s="1847">
        <f t="shared" si="270"/>
        <v>-2975</v>
      </c>
      <c r="AC212" s="1847">
        <f>-AC9</f>
        <v>-3101</v>
      </c>
      <c r="AD212" s="1847">
        <f t="shared" ref="AD212:AE212" si="271">-AD9</f>
        <v>-3527</v>
      </c>
      <c r="AE212" s="1846">
        <f t="shared" si="271"/>
        <v>-3527</v>
      </c>
      <c r="AF212" s="2382"/>
      <c r="AG212" s="2416">
        <f t="shared" ref="AG212:AH212" si="272">-AG9</f>
        <v>-3662</v>
      </c>
      <c r="AH212" s="1847">
        <f t="shared" si="272"/>
        <v>-3896</v>
      </c>
      <c r="AI212" s="1847">
        <f>-AI9</f>
        <v>-1923</v>
      </c>
      <c r="AJ212" s="1847">
        <f t="shared" ref="AJ212:AK212" si="273">-AJ9</f>
        <v>-2351</v>
      </c>
      <c r="AK212" s="1846">
        <f t="shared" si="273"/>
        <v>-2351</v>
      </c>
      <c r="AL212" s="2382"/>
      <c r="AM212" s="2416">
        <f t="shared" ref="AM212:AN212" si="274">-AM9</f>
        <v>-2450</v>
      </c>
      <c r="AN212" s="1847">
        <f t="shared" si="274"/>
        <v>-2519</v>
      </c>
      <c r="AO212" s="1847">
        <f>-AO9</f>
        <v>-2330</v>
      </c>
      <c r="AP212" s="1847">
        <f t="shared" ref="AP212:AQ212" si="275">-AP9</f>
        <v>-2675</v>
      </c>
      <c r="AQ212" s="1846">
        <f t="shared" si="275"/>
        <v>-2675</v>
      </c>
      <c r="AR212" s="2382"/>
      <c r="AS212" s="2416">
        <f t="shared" ref="AS212:AT212" si="276">-AS9</f>
        <v>-2742</v>
      </c>
      <c r="AT212" s="1847">
        <f t="shared" si="276"/>
        <v>-2950</v>
      </c>
      <c r="AU212" s="1847">
        <f>-AU9</f>
        <v>-2391</v>
      </c>
      <c r="AV212" s="1847">
        <f t="shared" ref="AV212:AW212" si="277">-AV9</f>
        <v>-2218</v>
      </c>
      <c r="AW212" s="1846">
        <f t="shared" si="277"/>
        <v>-2218</v>
      </c>
      <c r="AX212" s="2382"/>
      <c r="AY212" s="2416">
        <f t="shared" ref="AY212:AZ212" si="278">-AY9</f>
        <v>-2118</v>
      </c>
      <c r="AZ212" s="1847">
        <f t="shared" si="278"/>
        <v>-2197</v>
      </c>
      <c r="BA212" s="1847">
        <f>-BA9</f>
        <v>-2075</v>
      </c>
      <c r="BB212" s="1847">
        <f t="shared" ref="BB212:BC212" si="279">-BB9</f>
        <v>-2003</v>
      </c>
      <c r="BC212" s="1846">
        <f t="shared" si="279"/>
        <v>-2003</v>
      </c>
      <c r="BD212" s="2382"/>
      <c r="BE212" s="2416">
        <f t="shared" ref="BE212:BF212" si="280">-BE9</f>
        <v>-1931</v>
      </c>
      <c r="BF212" s="1847">
        <f t="shared" si="280"/>
        <v>-2139</v>
      </c>
      <c r="BG212" s="1847">
        <f>-BG9</f>
        <v>-2199</v>
      </c>
      <c r="BH212" s="1847">
        <f t="shared" ref="BH212:BI212" si="281">-BH9</f>
        <v>-2289</v>
      </c>
      <c r="BI212" s="1846">
        <f t="shared" si="281"/>
        <v>-2289</v>
      </c>
      <c r="BJ212" s="2382"/>
      <c r="BK212" s="2416">
        <f t="shared" ref="BK212:BL212" si="282">-BK9</f>
        <v>-2241</v>
      </c>
      <c r="BL212" s="1847">
        <f t="shared" si="282"/>
        <v>-2389</v>
      </c>
      <c r="BM212" s="1847">
        <f>-BM9</f>
        <v>-2563</v>
      </c>
      <c r="BN212" s="1847">
        <f t="shared" ref="BN212:BO212" si="283">-BN9</f>
        <v>-2678</v>
      </c>
      <c r="BO212" s="1846">
        <f t="shared" si="283"/>
        <v>-2678</v>
      </c>
      <c r="BP212" s="2382"/>
      <c r="BQ212" s="2416">
        <f t="shared" ref="BQ212:BR212" si="284">-BQ9</f>
        <v>-2887</v>
      </c>
      <c r="BR212" s="1847">
        <f t="shared" si="284"/>
        <v>-2932.338783510741</v>
      </c>
      <c r="BS212" s="1847">
        <f>-BS9</f>
        <v>-3002.0140035582676</v>
      </c>
      <c r="BT212" s="1847">
        <f t="shared" ref="BT212:BU212" si="285">-BT9</f>
        <v>-3138.8838002958869</v>
      </c>
      <c r="BU212" s="1846">
        <f t="shared" si="285"/>
        <v>-3138.8838002958869</v>
      </c>
      <c r="BV212" s="2382"/>
      <c r="BW212" s="2416">
        <f t="shared" ref="BW212:BX212" si="286">-BW9</f>
        <v>-3156.7233860767842</v>
      </c>
      <c r="BX212" s="1847">
        <f t="shared" si="286"/>
        <v>-3245.4556896019385</v>
      </c>
      <c r="BY212" s="1847">
        <f>-BY9</f>
        <v>-3358.5384785890251</v>
      </c>
      <c r="BZ212" s="1847">
        <f t="shared" ref="BZ212:CA212" si="287">-BZ9</f>
        <v>-3550.7907818206868</v>
      </c>
      <c r="CA212" s="1846">
        <f t="shared" si="287"/>
        <v>-3550.7907818206868</v>
      </c>
      <c r="CB212" s="2382"/>
      <c r="CC212" s="2416">
        <f t="shared" ref="CC212:CD212" si="288">-CC9</f>
        <v>-3092.8201646124071</v>
      </c>
      <c r="CD212" s="1847">
        <f t="shared" si="288"/>
        <v>-3267.2801607217566</v>
      </c>
      <c r="CE212" s="1847">
        <f>-CE9</f>
        <v>-3473.2408100149532</v>
      </c>
      <c r="CF212" s="1847">
        <f t="shared" ref="CF212:CG212" si="289">-CF9</f>
        <v>-3772.5015225231014</v>
      </c>
      <c r="CG212" s="1846">
        <f t="shared" si="289"/>
        <v>-3772.5015225231014</v>
      </c>
      <c r="CH212" s="2382"/>
      <c r="CI212" s="2416">
        <f t="shared" ref="CI212:CJ212" si="290">-CI9</f>
        <v>-3535.4444376782776</v>
      </c>
      <c r="CJ212" s="1847">
        <f t="shared" si="290"/>
        <v>-3666.3970480529265</v>
      </c>
      <c r="CK212" s="1847">
        <f>-CK9</f>
        <v>-3827.2388963143726</v>
      </c>
      <c r="CL212" s="1847">
        <f t="shared" ref="CL212:CM212" si="291">-CL9</f>
        <v>-4090.4101075632775</v>
      </c>
      <c r="CM212" s="1846">
        <f t="shared" si="291"/>
        <v>-4090.4101075632775</v>
      </c>
      <c r="CQ212"/>
      <c r="CR212"/>
      <c r="CS212"/>
      <c r="CT212"/>
      <c r="CU212"/>
      <c r="CV212"/>
    </row>
    <row r="213" spans="1:100" s="6" customFormat="1">
      <c r="A213" s="2382" t="s">
        <v>602</v>
      </c>
      <c r="B213" s="79"/>
      <c r="C213" s="2417">
        <v>0</v>
      </c>
      <c r="D213" s="2418">
        <v>0</v>
      </c>
      <c r="E213" s="2418">
        <v>0</v>
      </c>
      <c r="F213" s="2418">
        <v>0</v>
      </c>
      <c r="G213" s="2419">
        <v>0</v>
      </c>
      <c r="H213" s="2382"/>
      <c r="I213" s="2417">
        <v>0</v>
      </c>
      <c r="J213" s="2418">
        <v>0</v>
      </c>
      <c r="K213" s="2418">
        <v>0</v>
      </c>
      <c r="L213" s="2418">
        <v>0</v>
      </c>
      <c r="M213" s="2419">
        <v>0</v>
      </c>
      <c r="N213" s="2382"/>
      <c r="O213" s="2417">
        <v>0</v>
      </c>
      <c r="P213" s="2418">
        <v>0</v>
      </c>
      <c r="Q213" s="2418">
        <v>0</v>
      </c>
      <c r="R213" s="2418">
        <v>0</v>
      </c>
      <c r="S213" s="2419">
        <v>0</v>
      </c>
      <c r="T213" s="2382"/>
      <c r="U213" s="2417">
        <v>0</v>
      </c>
      <c r="V213" s="2418">
        <v>0</v>
      </c>
      <c r="W213" s="2418">
        <v>0</v>
      </c>
      <c r="X213" s="2418">
        <v>0</v>
      </c>
      <c r="Y213" s="2419">
        <v>0</v>
      </c>
      <c r="Z213" s="2382"/>
      <c r="AA213" s="2417">
        <v>0</v>
      </c>
      <c r="AB213" s="2418">
        <v>0</v>
      </c>
      <c r="AC213" s="2418">
        <v>0</v>
      </c>
      <c r="AD213" s="2418">
        <v>0</v>
      </c>
      <c r="AE213" s="2419">
        <v>0</v>
      </c>
      <c r="AF213" s="2382"/>
      <c r="AG213" s="2417">
        <v>0</v>
      </c>
      <c r="AH213" s="2418">
        <v>0</v>
      </c>
      <c r="AI213" s="2418">
        <v>0</v>
      </c>
      <c r="AJ213" s="2418">
        <v>0</v>
      </c>
      <c r="AK213" s="2419">
        <v>0</v>
      </c>
      <c r="AL213" s="2382"/>
      <c r="AM213" s="2417">
        <v>0</v>
      </c>
      <c r="AN213" s="2418">
        <v>0</v>
      </c>
      <c r="AO213" s="2418">
        <v>0</v>
      </c>
      <c r="AP213" s="2418">
        <v>0</v>
      </c>
      <c r="AQ213" s="2419">
        <v>0</v>
      </c>
      <c r="AR213" s="2382"/>
      <c r="AS213" s="2417">
        <v>0</v>
      </c>
      <c r="AT213" s="2418">
        <v>0</v>
      </c>
      <c r="AU213" s="2418">
        <v>0</v>
      </c>
      <c r="AV213" s="2418">
        <v>0</v>
      </c>
      <c r="AW213" s="2419">
        <v>0</v>
      </c>
      <c r="AX213" s="2382"/>
      <c r="AY213" s="2417">
        <v>0</v>
      </c>
      <c r="AZ213" s="2418">
        <v>0</v>
      </c>
      <c r="BA213" s="2418">
        <v>0</v>
      </c>
      <c r="BB213" s="2418">
        <v>0</v>
      </c>
      <c r="BC213" s="2419">
        <v>0</v>
      </c>
      <c r="BD213" s="2382"/>
      <c r="BE213" s="2417">
        <v>0</v>
      </c>
      <c r="BF213" s="2418">
        <v>0</v>
      </c>
      <c r="BG213" s="2418">
        <v>0</v>
      </c>
      <c r="BH213" s="2418">
        <v>0</v>
      </c>
      <c r="BI213" s="2419">
        <v>0</v>
      </c>
      <c r="BJ213" s="2382"/>
      <c r="BK213" s="2417">
        <v>0</v>
      </c>
      <c r="BL213" s="2418">
        <v>0</v>
      </c>
      <c r="BM213" s="2418">
        <v>0</v>
      </c>
      <c r="BN213" s="2418">
        <v>0</v>
      </c>
      <c r="BO213" s="2419">
        <v>0</v>
      </c>
      <c r="BP213" s="2382"/>
      <c r="BQ213" s="2417">
        <v>0</v>
      </c>
      <c r="BR213" s="2418">
        <v>0</v>
      </c>
      <c r="BS213" s="2418">
        <v>0</v>
      </c>
      <c r="BT213" s="2418">
        <v>0</v>
      </c>
      <c r="BU213" s="2419">
        <v>0</v>
      </c>
      <c r="BV213" s="2382"/>
      <c r="BW213" s="2417">
        <v>0</v>
      </c>
      <c r="BX213" s="2418">
        <v>0</v>
      </c>
      <c r="BY213" s="2418">
        <v>0</v>
      </c>
      <c r="BZ213" s="2418">
        <v>0</v>
      </c>
      <c r="CA213" s="2419">
        <v>0</v>
      </c>
      <c r="CB213" s="2382"/>
      <c r="CC213" s="2417">
        <v>0</v>
      </c>
      <c r="CD213" s="2418">
        <v>0</v>
      </c>
      <c r="CE213" s="2418">
        <v>0</v>
      </c>
      <c r="CF213" s="2418">
        <v>0</v>
      </c>
      <c r="CG213" s="2419">
        <v>0</v>
      </c>
      <c r="CH213" s="2382"/>
      <c r="CI213" s="2417">
        <v>0</v>
      </c>
      <c r="CJ213" s="2418">
        <v>0</v>
      </c>
      <c r="CK213" s="2418">
        <v>0</v>
      </c>
      <c r="CL213" s="2418">
        <v>0</v>
      </c>
      <c r="CM213" s="2419">
        <v>0</v>
      </c>
      <c r="CQ213"/>
      <c r="CR213"/>
      <c r="CS213"/>
      <c r="CT213"/>
      <c r="CU213"/>
      <c r="CV213"/>
    </row>
    <row r="214" spans="1:100" s="6" customFormat="1">
      <c r="A214" s="2382" t="s">
        <v>603</v>
      </c>
      <c r="B214" s="79"/>
      <c r="C214" s="2416">
        <f t="shared" ref="C214:D214" si="292">-C17</f>
        <v>-115</v>
      </c>
      <c r="D214" s="1847">
        <f t="shared" si="292"/>
        <v>-116</v>
      </c>
      <c r="E214" s="1847">
        <f>-E17</f>
        <v>-238</v>
      </c>
      <c r="F214" s="1847">
        <f t="shared" ref="F214:G214" si="293">-F17</f>
        <v>-241</v>
      </c>
      <c r="G214" s="1846">
        <f t="shared" si="293"/>
        <v>-241</v>
      </c>
      <c r="H214" s="2382"/>
      <c r="I214" s="2416">
        <f t="shared" ref="I214:J214" si="294">-I17</f>
        <v>-272</v>
      </c>
      <c r="J214" s="1847">
        <f t="shared" si="294"/>
        <v>-285</v>
      </c>
      <c r="K214" s="1847">
        <f>-K17</f>
        <v>-301</v>
      </c>
      <c r="L214" s="1847">
        <f t="shared" ref="L214:M214" si="295">-L17</f>
        <v>-278</v>
      </c>
      <c r="M214" s="1846">
        <f t="shared" si="295"/>
        <v>-278</v>
      </c>
      <c r="N214" s="2382"/>
      <c r="O214" s="2416">
        <f t="shared" ref="O214:P214" si="296">-O17</f>
        <v>-278</v>
      </c>
      <c r="P214" s="1847">
        <f t="shared" si="296"/>
        <v>-278</v>
      </c>
      <c r="Q214" s="1847">
        <f>-Q17</f>
        <v>-272</v>
      </c>
      <c r="R214" s="1847">
        <f t="shared" ref="R214:S214" si="297">-R17</f>
        <v>-274</v>
      </c>
      <c r="S214" s="1846">
        <f t="shared" si="297"/>
        <v>-274</v>
      </c>
      <c r="T214" s="2382"/>
      <c r="U214" s="2416">
        <f t="shared" ref="U214:V214" si="298">-U17</f>
        <v>-274</v>
      </c>
      <c r="V214" s="1847">
        <f t="shared" si="298"/>
        <v>-273</v>
      </c>
      <c r="W214" s="1847">
        <f>-W17</f>
        <v>-1023</v>
      </c>
      <c r="X214" s="1847">
        <f t="shared" ref="X214:Y214" si="299">-X17</f>
        <v>-1058</v>
      </c>
      <c r="Y214" s="1846">
        <f t="shared" si="299"/>
        <v>-1058</v>
      </c>
      <c r="Z214" s="2382"/>
      <c r="AA214" s="2416">
        <f t="shared" ref="AA214:AB214" si="300">-AA17</f>
        <v>-1053</v>
      </c>
      <c r="AB214" s="1847">
        <f t="shared" si="300"/>
        <v>-1155</v>
      </c>
      <c r="AC214" s="1847">
        <f>-AC17</f>
        <v>-1142</v>
      </c>
      <c r="AD214" s="1847">
        <f t="shared" ref="AD214:AE214" si="301">-AD17</f>
        <v>-1132</v>
      </c>
      <c r="AE214" s="1846">
        <f t="shared" si="301"/>
        <v>-1132</v>
      </c>
      <c r="AF214" s="2382"/>
      <c r="AG214" s="2416">
        <f t="shared" ref="AG214:AH214" si="302">-AG17</f>
        <v>-1157</v>
      </c>
      <c r="AH214" s="1847">
        <f t="shared" si="302"/>
        <v>-1155</v>
      </c>
      <c r="AI214" s="1847">
        <f>-AI17</f>
        <v>-2497</v>
      </c>
      <c r="AJ214" s="1847">
        <f t="shared" ref="AJ214:AK214" si="303">-AJ17</f>
        <v>-2558</v>
      </c>
      <c r="AK214" s="1846">
        <f t="shared" si="303"/>
        <v>-2558</v>
      </c>
      <c r="AL214" s="2382"/>
      <c r="AM214" s="2416">
        <f t="shared" ref="AM214:AN214" si="304">-AM17</f>
        <v>-2645</v>
      </c>
      <c r="AN214" s="1847">
        <f t="shared" si="304"/>
        <v>-2597</v>
      </c>
      <c r="AO214" s="1847">
        <f>-AO17</f>
        <v>-2587</v>
      </c>
      <c r="AP214" s="1847">
        <f t="shared" ref="AP214:AQ214" si="305">-AP17</f>
        <v>-2628</v>
      </c>
      <c r="AQ214" s="1846">
        <f t="shared" si="305"/>
        <v>-2628</v>
      </c>
      <c r="AR214" s="2382"/>
      <c r="AS214" s="2416">
        <f t="shared" ref="AS214:AT214" si="306">-AS17</f>
        <v>-2607</v>
      </c>
      <c r="AT214" s="1847">
        <f t="shared" si="306"/>
        <v>-2656</v>
      </c>
      <c r="AU214" s="1847">
        <f>-AU17</f>
        <v>-2607</v>
      </c>
      <c r="AV214" s="1847">
        <f t="shared" ref="AV214:AW214" si="307">-AV17</f>
        <v>-2507</v>
      </c>
      <c r="AW214" s="1846">
        <f t="shared" si="307"/>
        <v>-2507</v>
      </c>
      <c r="AX214" s="2382"/>
      <c r="AY214" s="2416">
        <f t="shared" ref="AY214:AZ214" si="308">-AY17</f>
        <v>-2352</v>
      </c>
      <c r="AZ214" s="1847">
        <f t="shared" si="308"/>
        <v>-2341</v>
      </c>
      <c r="BA214" s="1847">
        <f>-BA17</f>
        <v>-2366</v>
      </c>
      <c r="BB214" s="1847">
        <f t="shared" ref="BB214:BC214" si="309">-BB17</f>
        <v>-2366</v>
      </c>
      <c r="BC214" s="1846">
        <f t="shared" si="309"/>
        <v>-2366</v>
      </c>
      <c r="BD214" s="2382"/>
      <c r="BE214" s="2416">
        <f t="shared" ref="BE214:BF214" si="310">-BE17</f>
        <v>-2478</v>
      </c>
      <c r="BF214" s="1847">
        <f t="shared" si="310"/>
        <v>-2556</v>
      </c>
      <c r="BG214" s="1847">
        <f>-BG17</f>
        <v>-2525</v>
      </c>
      <c r="BH214" s="1847">
        <f t="shared" ref="BH214:BI214" si="311">-BH17</f>
        <v>-2517</v>
      </c>
      <c r="BI214" s="1846">
        <f t="shared" si="311"/>
        <v>-2517</v>
      </c>
      <c r="BJ214" s="2382"/>
      <c r="BK214" s="2416">
        <f t="shared" ref="BK214:BL214" si="312">-BK17</f>
        <v>-2563</v>
      </c>
      <c r="BL214" s="1847">
        <f t="shared" si="312"/>
        <v>-2568</v>
      </c>
      <c r="BM214" s="1847">
        <f>-BM17</f>
        <v>-2612</v>
      </c>
      <c r="BN214" s="1847">
        <f t="shared" ref="BN214:BO214" si="313">-BN17</f>
        <v>-2607</v>
      </c>
      <c r="BO214" s="1846">
        <f t="shared" si="313"/>
        <v>-2607</v>
      </c>
      <c r="BP214" s="2382"/>
      <c r="BQ214" s="2416">
        <f t="shared" ref="BQ214:BR214" si="314">-BQ17</f>
        <v>-2633</v>
      </c>
      <c r="BR214" s="1847">
        <f t="shared" si="314"/>
        <v>-2633</v>
      </c>
      <c r="BS214" s="1847">
        <f>-BS17</f>
        <v>-2633</v>
      </c>
      <c r="BT214" s="1847">
        <f t="shared" ref="BT214:BU214" si="315">-BT17</f>
        <v>-2633</v>
      </c>
      <c r="BU214" s="1846">
        <f t="shared" si="315"/>
        <v>-2633</v>
      </c>
      <c r="BV214" s="2382"/>
      <c r="BW214" s="2416">
        <f t="shared" ref="BW214:BX214" si="316">-BW17</f>
        <v>-2633</v>
      </c>
      <c r="BX214" s="1847">
        <f t="shared" si="316"/>
        <v>-2633</v>
      </c>
      <c r="BY214" s="1847">
        <f>-BY17</f>
        <v>-2633</v>
      </c>
      <c r="BZ214" s="1847">
        <f t="shared" ref="BZ214:CA214" si="317">-BZ17</f>
        <v>-2633</v>
      </c>
      <c r="CA214" s="1846">
        <f t="shared" si="317"/>
        <v>-2633</v>
      </c>
      <c r="CB214" s="2382"/>
      <c r="CC214" s="2416">
        <f t="shared" ref="CC214:CD214" si="318">-CC17</f>
        <v>-2633</v>
      </c>
      <c r="CD214" s="1847">
        <f t="shared" si="318"/>
        <v>-2633</v>
      </c>
      <c r="CE214" s="1847">
        <f>-CE17</f>
        <v>-2633</v>
      </c>
      <c r="CF214" s="1847">
        <f t="shared" ref="CF214:CG214" si="319">-CF17</f>
        <v>-2633</v>
      </c>
      <c r="CG214" s="1846">
        <f t="shared" si="319"/>
        <v>-2633</v>
      </c>
      <c r="CH214" s="2382"/>
      <c r="CI214" s="2416">
        <f t="shared" ref="CI214:CJ214" si="320">-CI17</f>
        <v>-2633</v>
      </c>
      <c r="CJ214" s="1847">
        <f t="shared" si="320"/>
        <v>-2633</v>
      </c>
      <c r="CK214" s="1847">
        <f>-CK17</f>
        <v>-2633</v>
      </c>
      <c r="CL214" s="1847">
        <f t="shared" ref="CL214:CM214" si="321">-CL17</f>
        <v>-2633</v>
      </c>
      <c r="CM214" s="1846">
        <f t="shared" si="321"/>
        <v>-2633</v>
      </c>
      <c r="CQ214"/>
      <c r="CR214"/>
      <c r="CS214"/>
      <c r="CT214"/>
      <c r="CU214"/>
      <c r="CV214"/>
    </row>
    <row r="215" spans="1:100" s="6" customFormat="1">
      <c r="A215" s="2383" t="s">
        <v>604</v>
      </c>
      <c r="B215" s="79"/>
      <c r="C215" s="2400">
        <f>SUM(C202:C213)</f>
        <v>2704.798961060008</v>
      </c>
      <c r="D215" s="2401">
        <f t="shared" ref="D215:G215" si="322">SUM(D202:D213)</f>
        <v>2720.4305358015517</v>
      </c>
      <c r="E215" s="2401">
        <f t="shared" si="322"/>
        <v>2893.2427938338842</v>
      </c>
      <c r="F215" s="2401">
        <f t="shared" si="322"/>
        <v>3195.779100877935</v>
      </c>
      <c r="G215" s="2402">
        <f t="shared" si="322"/>
        <v>3195.779100877935</v>
      </c>
      <c r="H215" s="2383"/>
      <c r="I215" s="2400">
        <f>SUM(I202:I213)</f>
        <v>3439.4614134229296</v>
      </c>
      <c r="J215" s="2401">
        <f t="shared" ref="J215:M215" si="323">SUM(J202:J213)</f>
        <v>3346.3641505180494</v>
      </c>
      <c r="K215" s="2401">
        <f t="shared" si="323"/>
        <v>3345.7684933548953</v>
      </c>
      <c r="L215" s="2401">
        <f t="shared" si="323"/>
        <v>3181.6520131236884</v>
      </c>
      <c r="M215" s="2402">
        <f t="shared" si="323"/>
        <v>3181.6520131236884</v>
      </c>
      <c r="N215" s="2383"/>
      <c r="O215" s="2400">
        <f>SUM(O202:O213)</f>
        <v>3366.698985913139</v>
      </c>
      <c r="P215" s="2401">
        <f t="shared" ref="P215:S215" si="324">SUM(P202:P213)</f>
        <v>3008.0112567596379</v>
      </c>
      <c r="Q215" s="2401">
        <f t="shared" si="324"/>
        <v>2998.938260872832</v>
      </c>
      <c r="R215" s="2401">
        <f t="shared" si="324"/>
        <v>2988.0421784555492</v>
      </c>
      <c r="S215" s="2402">
        <f t="shared" si="324"/>
        <v>2988.0421784555492</v>
      </c>
      <c r="T215" s="2383"/>
      <c r="U215" s="2400">
        <f>SUM(U202:U213)</f>
        <v>2965.9625976604475</v>
      </c>
      <c r="V215" s="2401">
        <f t="shared" ref="V215:Y215" si="325">SUM(V202:V213)</f>
        <v>2950.4227606222366</v>
      </c>
      <c r="W215" s="2401">
        <f t="shared" si="325"/>
        <v>4210.206288599662</v>
      </c>
      <c r="X215" s="2401">
        <f t="shared" si="325"/>
        <v>4356.3995000434525</v>
      </c>
      <c r="Y215" s="2402">
        <f t="shared" si="325"/>
        <v>4356.3995000434525</v>
      </c>
      <c r="Z215" s="2383"/>
      <c r="AA215" s="2400">
        <f>SUM(AA202:AA213)</f>
        <v>2710.9057294339709</v>
      </c>
      <c r="AB215" s="2401">
        <f t="shared" ref="AB215:AE215" si="326">SUM(AB202:AB213)</f>
        <v>2832.398562087541</v>
      </c>
      <c r="AC215" s="2401">
        <f t="shared" si="326"/>
        <v>2780.7505397132518</v>
      </c>
      <c r="AD215" s="2401">
        <f t="shared" si="326"/>
        <v>2760.0189379472777</v>
      </c>
      <c r="AE215" s="2402">
        <f t="shared" si="326"/>
        <v>2760.0189379472777</v>
      </c>
      <c r="AF215" s="2383"/>
      <c r="AG215" s="2400">
        <f>SUM(AG202:AG213)</f>
        <v>2666.9102351372403</v>
      </c>
      <c r="AH215" s="2401">
        <f t="shared" ref="AH215:AK215" si="327">SUM(AH202:AH213)</f>
        <v>2662.4456468414082</v>
      </c>
      <c r="AI215" s="2401">
        <f t="shared" si="327"/>
        <v>4746.7699319477806</v>
      </c>
      <c r="AJ215" s="2401">
        <f t="shared" si="327"/>
        <v>5007</v>
      </c>
      <c r="AK215" s="2402">
        <f t="shared" si="327"/>
        <v>5007</v>
      </c>
      <c r="AL215" s="2383"/>
      <c r="AM215" s="2400">
        <f>SUM(AM202:AM213)</f>
        <v>5148.2005031197641</v>
      </c>
      <c r="AN215" s="2401">
        <f t="shared" ref="AN215:AQ215" si="328">SUM(AN202:AN213)</f>
        <v>5020.7978543784156</v>
      </c>
      <c r="AO215" s="2401">
        <f t="shared" si="328"/>
        <v>4948.2914616973012</v>
      </c>
      <c r="AP215" s="2401">
        <f t="shared" si="328"/>
        <v>4944</v>
      </c>
      <c r="AQ215" s="2402">
        <f t="shared" si="328"/>
        <v>4944</v>
      </c>
      <c r="AR215" s="2383"/>
      <c r="AS215" s="2400">
        <f>SUM(AS202:AS213)</f>
        <v>4954</v>
      </c>
      <c r="AT215" s="2401">
        <f t="shared" ref="AT215:AW215" si="329">SUM(AT202:AT213)</f>
        <v>4900</v>
      </c>
      <c r="AU215" s="2401">
        <f t="shared" si="329"/>
        <v>4920</v>
      </c>
      <c r="AV215" s="2401">
        <f t="shared" si="329"/>
        <v>7537</v>
      </c>
      <c r="AW215" s="2402">
        <f t="shared" si="329"/>
        <v>7537</v>
      </c>
      <c r="AX215" s="2383"/>
      <c r="AY215" s="2400">
        <f>SUM(AY202:AY213)</f>
        <v>4476</v>
      </c>
      <c r="AZ215" s="2401">
        <f t="shared" ref="AZ215:BC215" si="330">SUM(AZ202:AZ213)</f>
        <v>4288</v>
      </c>
      <c r="BA215" s="2401">
        <f t="shared" si="330"/>
        <v>4326</v>
      </c>
      <c r="BB215" s="2401">
        <f t="shared" si="330"/>
        <v>4503</v>
      </c>
      <c r="BC215" s="2402">
        <f t="shared" si="330"/>
        <v>4503</v>
      </c>
      <c r="BD215" s="2383"/>
      <c r="BE215" s="2400">
        <f>SUM(BE202:BE213)</f>
        <v>4507</v>
      </c>
      <c r="BF215" s="2401">
        <f t="shared" ref="BF215:BI215" si="331">SUM(BF202:BF213)</f>
        <v>4606</v>
      </c>
      <c r="BG215" s="2401">
        <f t="shared" si="331"/>
        <v>4622</v>
      </c>
      <c r="BH215" s="2401">
        <f t="shared" si="331"/>
        <v>4571</v>
      </c>
      <c r="BI215" s="2402">
        <f t="shared" si="331"/>
        <v>4571</v>
      </c>
      <c r="BJ215" s="2383"/>
      <c r="BK215" s="2400">
        <f>SUM(BK202:BK213)</f>
        <v>4735</v>
      </c>
      <c r="BL215" s="2401">
        <f t="shared" ref="BL215:BO215" si="332">SUM(BL202:BL213)</f>
        <v>4684</v>
      </c>
      <c r="BM215" s="2401">
        <f t="shared" si="332"/>
        <v>4740</v>
      </c>
      <c r="BN215" s="2401">
        <f t="shared" si="332"/>
        <v>4702</v>
      </c>
      <c r="BO215" s="2402">
        <f t="shared" si="332"/>
        <v>4702</v>
      </c>
      <c r="BP215" s="2383"/>
      <c r="BQ215" s="2400">
        <f>SUM(BQ202:BQ213)</f>
        <v>4799</v>
      </c>
      <c r="BR215" s="2401">
        <f t="shared" ref="BR215:BU215" si="333">SUM(BR202:BR213)</f>
        <v>4826.5894663767285</v>
      </c>
      <c r="BS215" s="2401">
        <f t="shared" si="333"/>
        <v>4821.8820784245545</v>
      </c>
      <c r="BT215" s="2401">
        <f t="shared" si="333"/>
        <v>4780.0176668321346</v>
      </c>
      <c r="BU215" s="2402">
        <f t="shared" si="333"/>
        <v>4780.0176668321346</v>
      </c>
      <c r="BV215" s="2383"/>
      <c r="BW215" s="2400">
        <f>SUM(BW202:BW213)</f>
        <v>4867.8048576988876</v>
      </c>
      <c r="BX215" s="2401">
        <f t="shared" ref="BX215:CA215" si="334">SUM(BX202:BX213)</f>
        <v>4886.8715819382214</v>
      </c>
      <c r="BY215" s="2401">
        <f t="shared" si="334"/>
        <v>4875.8069909975329</v>
      </c>
      <c r="BZ215" s="2401">
        <f t="shared" si="334"/>
        <v>4818.8117305955138</v>
      </c>
      <c r="CA215" s="2402">
        <f t="shared" si="334"/>
        <v>4818.8117305955138</v>
      </c>
      <c r="CB215" s="2383"/>
      <c r="CC215" s="2400">
        <f>SUM(CC202:CC213)</f>
        <v>4900.6085277898956</v>
      </c>
      <c r="CD215" s="2401">
        <f t="shared" ref="CD215:CG215" si="335">SUM(CD202:CD213)</f>
        <v>4929.4827860230525</v>
      </c>
      <c r="CE215" s="2401">
        <f t="shared" si="335"/>
        <v>4925.833851889076</v>
      </c>
      <c r="CF215" s="2401">
        <f t="shared" si="335"/>
        <v>4869.0730822458809</v>
      </c>
      <c r="CG215" s="2402">
        <f t="shared" si="335"/>
        <v>4869.0730822458809</v>
      </c>
      <c r="CH215" s="2383"/>
      <c r="CI215" s="2400">
        <f>SUM(CI202:CI213)</f>
        <v>4945.0165105573142</v>
      </c>
      <c r="CJ215" s="2401">
        <f t="shared" ref="CJ215:CM215" si="336">SUM(CJ202:CJ213)</f>
        <v>4979.6584576993282</v>
      </c>
      <c r="CK215" s="2401">
        <f t="shared" si="336"/>
        <v>4980.6662161715085</v>
      </c>
      <c r="CL215" s="2401">
        <f t="shared" si="336"/>
        <v>4917.1823995522773</v>
      </c>
      <c r="CM215" s="2402">
        <f t="shared" si="336"/>
        <v>4917.1823995522773</v>
      </c>
      <c r="CQ215"/>
      <c r="CR215"/>
      <c r="CS215"/>
      <c r="CT215"/>
      <c r="CU215"/>
      <c r="CV215"/>
    </row>
    <row r="216" spans="1:100">
      <c r="A216" s="2383" t="s">
        <v>605</v>
      </c>
      <c r="B216" s="79"/>
      <c r="C216" s="2400">
        <f>SUM(C202:C214)</f>
        <v>2589.798961060008</v>
      </c>
      <c r="D216" s="2401">
        <f t="shared" ref="D216:G216" si="337">SUM(D202:D214)</f>
        <v>2604.4305358015517</v>
      </c>
      <c r="E216" s="2401">
        <f t="shared" si="337"/>
        <v>2655.2427938338842</v>
      </c>
      <c r="F216" s="2401">
        <f t="shared" si="337"/>
        <v>2954.779100877935</v>
      </c>
      <c r="G216" s="2402">
        <f t="shared" si="337"/>
        <v>2954.779100877935</v>
      </c>
      <c r="H216" s="2383"/>
      <c r="I216" s="2400">
        <f>SUM(I202:I214)</f>
        <v>3167.4614134229296</v>
      </c>
      <c r="J216" s="2401">
        <f t="shared" ref="J216:M216" si="338">SUM(J202:J214)</f>
        <v>3061.3641505180494</v>
      </c>
      <c r="K216" s="2401">
        <f t="shared" si="338"/>
        <v>3044.7684933548953</v>
      </c>
      <c r="L216" s="2401">
        <f t="shared" si="338"/>
        <v>2903.6520131236884</v>
      </c>
      <c r="M216" s="2402">
        <f t="shared" si="338"/>
        <v>2903.6520131236884</v>
      </c>
      <c r="N216" s="2383"/>
      <c r="O216" s="2400">
        <f>SUM(O202:O214)</f>
        <v>3088.698985913139</v>
      </c>
      <c r="P216" s="2401">
        <f t="shared" ref="P216:S216" si="339">SUM(P202:P214)</f>
        <v>2730.0112567596379</v>
      </c>
      <c r="Q216" s="2401">
        <f t="shared" si="339"/>
        <v>2726.938260872832</v>
      </c>
      <c r="R216" s="2401">
        <f t="shared" si="339"/>
        <v>2714.0421784555492</v>
      </c>
      <c r="S216" s="2402">
        <f t="shared" si="339"/>
        <v>2714.0421784555492</v>
      </c>
      <c r="T216" s="2383"/>
      <c r="U216" s="2400">
        <f>SUM(U202:U214)</f>
        <v>2691.9625976604475</v>
      </c>
      <c r="V216" s="2401">
        <f t="shared" ref="V216:Y216" si="340">SUM(V202:V214)</f>
        <v>2677.4227606222366</v>
      </c>
      <c r="W216" s="2401">
        <f t="shared" si="340"/>
        <v>3187.206288599662</v>
      </c>
      <c r="X216" s="2401">
        <f t="shared" si="340"/>
        <v>3298.3995000434525</v>
      </c>
      <c r="Y216" s="2402">
        <f t="shared" si="340"/>
        <v>3298.3995000434525</v>
      </c>
      <c r="Z216" s="2383"/>
      <c r="AA216" s="2400">
        <f>SUM(AA202:AA214)</f>
        <v>1657.9057294339709</v>
      </c>
      <c r="AB216" s="2401">
        <f t="shared" ref="AB216:AE216" si="341">SUM(AB202:AB214)</f>
        <v>1677.398562087541</v>
      </c>
      <c r="AC216" s="2401">
        <f t="shared" si="341"/>
        <v>1638.7505397132518</v>
      </c>
      <c r="AD216" s="2401">
        <f t="shared" si="341"/>
        <v>1628.0189379472777</v>
      </c>
      <c r="AE216" s="2402">
        <f t="shared" si="341"/>
        <v>1628.0189379472777</v>
      </c>
      <c r="AF216" s="2383"/>
      <c r="AG216" s="2400">
        <f>SUM(AG202:AG214)</f>
        <v>1509.9102351372403</v>
      </c>
      <c r="AH216" s="2401">
        <f t="shared" ref="AH216:AK216" si="342">SUM(AH202:AH214)</f>
        <v>1507.4456468414082</v>
      </c>
      <c r="AI216" s="2401">
        <f t="shared" si="342"/>
        <v>2249.7699319477806</v>
      </c>
      <c r="AJ216" s="2401">
        <f t="shared" si="342"/>
        <v>2449</v>
      </c>
      <c r="AK216" s="2402">
        <f t="shared" si="342"/>
        <v>2449</v>
      </c>
      <c r="AL216" s="2383"/>
      <c r="AM216" s="2400">
        <f>SUM(AM202:AM214)</f>
        <v>2503.2005031197641</v>
      </c>
      <c r="AN216" s="2401">
        <f t="shared" ref="AN216:AQ216" si="343">SUM(AN202:AN214)</f>
        <v>2423.7978543784156</v>
      </c>
      <c r="AO216" s="2401">
        <f t="shared" si="343"/>
        <v>2361.2914616973012</v>
      </c>
      <c r="AP216" s="2401">
        <f t="shared" si="343"/>
        <v>2316</v>
      </c>
      <c r="AQ216" s="2402">
        <f t="shared" si="343"/>
        <v>2316</v>
      </c>
      <c r="AR216" s="2383"/>
      <c r="AS216" s="2400">
        <f>SUM(AS202:AS214)</f>
        <v>2347</v>
      </c>
      <c r="AT216" s="2401">
        <f t="shared" ref="AT216:AW216" si="344">SUM(AT202:AT214)</f>
        <v>2244</v>
      </c>
      <c r="AU216" s="2401">
        <f t="shared" si="344"/>
        <v>2313</v>
      </c>
      <c r="AV216" s="2401">
        <f t="shared" si="344"/>
        <v>5030</v>
      </c>
      <c r="AW216" s="2402">
        <f t="shared" si="344"/>
        <v>5030</v>
      </c>
      <c r="AX216" s="2383"/>
      <c r="AY216" s="2400">
        <f>SUM(AY202:AY214)</f>
        <v>2124</v>
      </c>
      <c r="AZ216" s="2401">
        <f t="shared" ref="AZ216:BC216" si="345">SUM(AZ202:AZ214)</f>
        <v>1947</v>
      </c>
      <c r="BA216" s="2401">
        <f t="shared" si="345"/>
        <v>1960</v>
      </c>
      <c r="BB216" s="2401">
        <f t="shared" si="345"/>
        <v>2137</v>
      </c>
      <c r="BC216" s="2402">
        <f t="shared" si="345"/>
        <v>2137</v>
      </c>
      <c r="BD216" s="2383"/>
      <c r="BE216" s="2400">
        <f>SUM(BE202:BE214)</f>
        <v>2029</v>
      </c>
      <c r="BF216" s="2401">
        <f t="shared" ref="BF216:BI216" si="346">SUM(BF202:BF214)</f>
        <v>2050</v>
      </c>
      <c r="BG216" s="2401">
        <f t="shared" si="346"/>
        <v>2097</v>
      </c>
      <c r="BH216" s="2401">
        <f t="shared" si="346"/>
        <v>2054</v>
      </c>
      <c r="BI216" s="2402">
        <f t="shared" si="346"/>
        <v>2054</v>
      </c>
      <c r="BJ216" s="2383"/>
      <c r="BK216" s="2400">
        <f>SUM(BK202:BK214)</f>
        <v>2172</v>
      </c>
      <c r="BL216" s="2401">
        <f t="shared" ref="BL216:BO216" si="347">SUM(BL202:BL214)</f>
        <v>2116</v>
      </c>
      <c r="BM216" s="2401">
        <f t="shared" si="347"/>
        <v>2128</v>
      </c>
      <c r="BN216" s="2401">
        <f t="shared" si="347"/>
        <v>2095</v>
      </c>
      <c r="BO216" s="2402">
        <f t="shared" si="347"/>
        <v>2095</v>
      </c>
      <c r="BP216" s="2383"/>
      <c r="BQ216" s="2400">
        <f>SUM(BQ202:BQ214)</f>
        <v>2166</v>
      </c>
      <c r="BR216" s="2401">
        <f t="shared" ref="BR216:BU216" si="348">SUM(BR202:BR214)</f>
        <v>2193.5894663767285</v>
      </c>
      <c r="BS216" s="2401">
        <f t="shared" si="348"/>
        <v>2188.8820784245545</v>
      </c>
      <c r="BT216" s="2401">
        <f t="shared" si="348"/>
        <v>2147.0176668321346</v>
      </c>
      <c r="BU216" s="2402">
        <f t="shared" si="348"/>
        <v>2147.0176668321346</v>
      </c>
      <c r="BV216" s="2383"/>
      <c r="BW216" s="2400">
        <f>SUM(BW202:BW214)</f>
        <v>2234.8048576988876</v>
      </c>
      <c r="BX216" s="2401">
        <f t="shared" ref="BX216:CA216" si="349">SUM(BX202:BX214)</f>
        <v>2253.8715819382214</v>
      </c>
      <c r="BY216" s="2401">
        <f t="shared" si="349"/>
        <v>2242.8069909975329</v>
      </c>
      <c r="BZ216" s="2401">
        <f t="shared" si="349"/>
        <v>2185.8117305955138</v>
      </c>
      <c r="CA216" s="2402">
        <f t="shared" si="349"/>
        <v>2185.8117305955138</v>
      </c>
      <c r="CB216" s="2383"/>
      <c r="CC216" s="2400">
        <f>SUM(CC202:CC214)</f>
        <v>2267.6085277898956</v>
      </c>
      <c r="CD216" s="2401">
        <f t="shared" ref="CD216:CG216" si="350">SUM(CD202:CD214)</f>
        <v>2296.4827860230525</v>
      </c>
      <c r="CE216" s="2401">
        <f t="shared" si="350"/>
        <v>2292.833851889076</v>
      </c>
      <c r="CF216" s="2401">
        <f t="shared" si="350"/>
        <v>2236.0730822458809</v>
      </c>
      <c r="CG216" s="2402">
        <f t="shared" si="350"/>
        <v>2236.0730822458809</v>
      </c>
      <c r="CH216" s="2383"/>
      <c r="CI216" s="2400">
        <f>SUM(CI202:CI214)</f>
        <v>2312.0165105573142</v>
      </c>
      <c r="CJ216" s="2401">
        <f t="shared" ref="CJ216:CM216" si="351">SUM(CJ202:CJ214)</f>
        <v>2346.6584576993282</v>
      </c>
      <c r="CK216" s="2401">
        <f t="shared" si="351"/>
        <v>2347.6662161715085</v>
      </c>
      <c r="CL216" s="2401">
        <f t="shared" si="351"/>
        <v>2284.1823995522773</v>
      </c>
      <c r="CM216" s="2402">
        <f t="shared" si="351"/>
        <v>2284.1823995522773</v>
      </c>
      <c r="CN216" s="6"/>
      <c r="CO216" s="6"/>
      <c r="CP216" s="6"/>
    </row>
    <row r="217" spans="1:100">
      <c r="A217" s="2383"/>
      <c r="B217" s="79"/>
      <c r="C217" s="2403"/>
      <c r="D217" s="2404"/>
      <c r="E217" s="2404"/>
      <c r="F217" s="2404"/>
      <c r="G217" s="2405"/>
      <c r="H217" s="2383"/>
      <c r="I217" s="2403"/>
      <c r="J217" s="2404"/>
      <c r="K217" s="2404"/>
      <c r="L217" s="2404"/>
      <c r="M217" s="2405"/>
      <c r="N217" s="2383"/>
      <c r="O217" s="2403"/>
      <c r="P217" s="2404"/>
      <c r="Q217" s="2404"/>
      <c r="R217" s="2404"/>
      <c r="S217" s="2405"/>
      <c r="T217" s="2383"/>
      <c r="U217" s="2403"/>
      <c r="V217" s="2404"/>
      <c r="W217" s="2404"/>
      <c r="X217" s="2404"/>
      <c r="Y217" s="2405"/>
      <c r="Z217" s="2383"/>
      <c r="AA217" s="2403"/>
      <c r="AB217" s="2404"/>
      <c r="AC217" s="2404"/>
      <c r="AD217" s="2404"/>
      <c r="AE217" s="2405"/>
      <c r="AF217" s="2383"/>
      <c r="AG217" s="2403"/>
      <c r="AH217" s="2404"/>
      <c r="AI217" s="2404"/>
      <c r="AJ217" s="2404"/>
      <c r="AK217" s="2405"/>
      <c r="AL217" s="2383"/>
      <c r="AM217" s="2403"/>
      <c r="AN217" s="2404"/>
      <c r="AO217" s="2404"/>
      <c r="AP217" s="2404"/>
      <c r="AQ217" s="2405"/>
      <c r="AR217" s="2383"/>
      <c r="AS217" s="2403"/>
      <c r="AT217" s="2404"/>
      <c r="AU217" s="2404"/>
      <c r="AV217" s="2404"/>
      <c r="AW217" s="2405"/>
      <c r="AX217" s="2383"/>
      <c r="AY217" s="2403"/>
      <c r="AZ217" s="2404"/>
      <c r="BA217" s="2404"/>
      <c r="BB217" s="2404"/>
      <c r="BC217" s="2405"/>
      <c r="BD217" s="2383"/>
      <c r="BE217" s="2403"/>
      <c r="BF217" s="2404"/>
      <c r="BG217" s="2404"/>
      <c r="BH217" s="2404"/>
      <c r="BI217" s="2405"/>
      <c r="BJ217" s="2383"/>
      <c r="BK217" s="2403"/>
      <c r="BL217" s="2404"/>
      <c r="BM217" s="2404"/>
      <c r="BN217" s="2404"/>
      <c r="BO217" s="2405"/>
      <c r="BP217" s="2383"/>
      <c r="BQ217" s="2403"/>
      <c r="BR217" s="2404"/>
      <c r="BS217" s="2404"/>
      <c r="BT217" s="2404"/>
      <c r="BU217" s="2405"/>
      <c r="BV217" s="2383"/>
      <c r="BW217" s="2403"/>
      <c r="BX217" s="2404"/>
      <c r="BY217" s="2404"/>
      <c r="BZ217" s="2404"/>
      <c r="CA217" s="2405"/>
      <c r="CB217" s="2383"/>
      <c r="CC217" s="2403"/>
      <c r="CD217" s="2404"/>
      <c r="CE217" s="2404"/>
      <c r="CF217" s="2404"/>
      <c r="CG217" s="2405"/>
      <c r="CH217" s="2383"/>
      <c r="CI217" s="2403"/>
      <c r="CJ217" s="2404"/>
      <c r="CK217" s="2404"/>
      <c r="CL217" s="2404"/>
      <c r="CM217" s="2405"/>
      <c r="CN217" s="6"/>
      <c r="CO217" s="6"/>
      <c r="CP217" s="6"/>
    </row>
    <row r="218" spans="1:100">
      <c r="A218" s="2383" t="s">
        <v>606</v>
      </c>
      <c r="B218" s="79"/>
      <c r="C218" s="2394">
        <f t="shared" ref="C218:F219" si="352">C$198*4/C215</f>
        <v>8.9618490501417417E-2</v>
      </c>
      <c r="D218" s="2395">
        <f t="shared" si="352"/>
        <v>6.4154551165033449E-2</v>
      </c>
      <c r="E218" s="2395">
        <f t="shared" si="352"/>
        <v>8.6015594864828529E-2</v>
      </c>
      <c r="F218" s="2395">
        <f t="shared" si="352"/>
        <v>0.10214473206559352</v>
      </c>
      <c r="G218" s="2396">
        <f>G198/AVERAGE(C215:F215)</f>
        <v>8.6173557121234284E-2</v>
      </c>
      <c r="H218" s="2383"/>
      <c r="I218" s="2394">
        <f t="shared" ref="I218:L219" si="353">I$198*4/I215</f>
        <v>7.9825595409569253E-2</v>
      </c>
      <c r="J218" s="2395">
        <f t="shared" si="353"/>
        <v>8.0160253549058355E-2</v>
      </c>
      <c r="K218" s="2395">
        <f t="shared" si="353"/>
        <v>9.620942966225221E-2</v>
      </c>
      <c r="L218" s="2395">
        <f t="shared" si="353"/>
        <v>0.13489615968888949</v>
      </c>
      <c r="M218" s="2396">
        <f>M198/AVERAGE(I215:L215)</f>
        <v>9.7188136064503064E-2</v>
      </c>
      <c r="N218" s="2383"/>
      <c r="O218" s="2394">
        <f t="shared" ref="O218:R219" si="354">O$198*4/O215</f>
        <v>8.6233684198563365E-2</v>
      </c>
      <c r="P218" s="2395">
        <f t="shared" si="354"/>
        <v>8.4132473907045285E-2</v>
      </c>
      <c r="Q218" s="2395">
        <f t="shared" si="354"/>
        <v>8.6690680962646344E-2</v>
      </c>
      <c r="R218" s="2395">
        <f t="shared" si="354"/>
        <v>0.10372965069347745</v>
      </c>
      <c r="S218" s="2396">
        <f>S198/AVERAGE(O215:R215)</f>
        <v>9.0062345498085866E-2</v>
      </c>
      <c r="T218" s="2383"/>
      <c r="U218" s="2394">
        <f t="shared" ref="U218:X219" si="355">U$198*4/U215</f>
        <v>0.13003968957517004</v>
      </c>
      <c r="V218" s="2395">
        <f t="shared" si="355"/>
        <v>0.10988323191044423</v>
      </c>
      <c r="W218" s="2395">
        <f t="shared" si="355"/>
        <v>9.4705570489261287E-2</v>
      </c>
      <c r="X218" s="2395">
        <f t="shared" si="355"/>
        <v>0.10910718750773103</v>
      </c>
      <c r="Y218" s="2396">
        <f>Y198/AVERAGE(U215:X215)</f>
        <v>0.10936548351173864</v>
      </c>
      <c r="Z218" s="2383"/>
      <c r="AA218" s="2394">
        <f t="shared" ref="AA218:AD219" si="356">AA$198*4/AA215</f>
        <v>0.13427986601936948</v>
      </c>
      <c r="AB218" s="2395">
        <f t="shared" si="356"/>
        <v>0.15095031441240991</v>
      </c>
      <c r="AC218" s="2395">
        <f t="shared" si="356"/>
        <v>0.1579489290732039</v>
      </c>
      <c r="AD218" s="2395">
        <f t="shared" si="356"/>
        <v>0.18954548489296277</v>
      </c>
      <c r="AE218" s="2396">
        <f>AE198/AVERAGE(AA215:AD215)</f>
        <v>0.15823940239183004</v>
      </c>
      <c r="AF218" s="2383"/>
      <c r="AG218" s="2394">
        <f t="shared" ref="AG218:AJ219" si="357">AG$198*4/AG215</f>
        <v>0.18464883218680025</v>
      </c>
      <c r="AH218" s="2395">
        <f t="shared" si="357"/>
        <v>0.15853582729719343</v>
      </c>
      <c r="AI218" s="2395">
        <f t="shared" si="357"/>
        <v>0.10314382348821749</v>
      </c>
      <c r="AJ218" s="2395">
        <f t="shared" si="357"/>
        <v>0.12398641901338125</v>
      </c>
      <c r="AK218" s="2396">
        <f>AK198/AVERAGE(AG215:AJ215)</f>
        <v>0.13429577031902362</v>
      </c>
      <c r="AL218" s="2383"/>
      <c r="AM218" s="2394">
        <f t="shared" ref="AM218:AP219" si="358">AM$198*4/AM215</f>
        <v>0.10131695525143501</v>
      </c>
      <c r="AN218" s="2395">
        <f t="shared" si="358"/>
        <v>0.11344810456833609</v>
      </c>
      <c r="AO218" s="2395">
        <f t="shared" si="358"/>
        <v>0.11252368707663259</v>
      </c>
      <c r="AP218" s="2395">
        <f t="shared" si="358"/>
        <v>0.14045307443365695</v>
      </c>
      <c r="AQ218" s="2396">
        <f>AQ198/AVERAGE(AM215:AP215)</f>
        <v>0.11676218334469672</v>
      </c>
      <c r="AR218" s="2383"/>
      <c r="AS218" s="2394">
        <f t="shared" ref="AS218:AV219" si="359">AS$198*4/AS215</f>
        <v>0.13090028259991926</v>
      </c>
      <c r="AT218" s="2395">
        <f t="shared" si="359"/>
        <v>0.11447382857142858</v>
      </c>
      <c r="AU218" s="2395">
        <f t="shared" si="359"/>
        <v>0.13023278048780484</v>
      </c>
      <c r="AV218" s="2395">
        <f t="shared" si="359"/>
        <v>9.4657311927822799E-2</v>
      </c>
      <c r="AW218" s="2396">
        <f>AW198/AVERAGE(AS215:AV215)</f>
        <v>0.11490203038859757</v>
      </c>
      <c r="AX218" s="2383"/>
      <c r="AY218" s="2394">
        <f t="shared" ref="AY218:BB219" si="360">AY$198*4/AY215</f>
        <v>0.12606593618565673</v>
      </c>
      <c r="AZ218" s="2395">
        <f t="shared" si="360"/>
        <v>0.12640850282407234</v>
      </c>
      <c r="BA218" s="2395">
        <f t="shared" si="360"/>
        <v>0.14751887990176207</v>
      </c>
      <c r="BB218" s="2395">
        <f t="shared" si="360"/>
        <v>0.15848831697805241</v>
      </c>
      <c r="BC218" s="2396">
        <f>BC198/AVERAGE(AY215:BB215)</f>
        <v>0.13972293644508219</v>
      </c>
      <c r="BD218" s="2383"/>
      <c r="BE218" s="2394">
        <f t="shared" ref="BE218:BH219" si="361">BE$198*4/BE215</f>
        <v>0.1460426198209</v>
      </c>
      <c r="BF218" s="2395">
        <f t="shared" si="361"/>
        <v>0.13578603710729437</v>
      </c>
      <c r="BG218" s="2395">
        <f t="shared" si="361"/>
        <v>0.14662214291631587</v>
      </c>
      <c r="BH218" s="2395">
        <f t="shared" si="361"/>
        <v>0.17989480082532605</v>
      </c>
      <c r="BI218" s="2396">
        <f>BI198/AVERAGE(BE215:BH215)</f>
        <v>0.15206642620761354</v>
      </c>
      <c r="BJ218" s="2383"/>
      <c r="BK218" s="2394">
        <f t="shared" ref="BK218:BN219" si="362">BK$198*4/BK215</f>
        <v>0.15303720153863745</v>
      </c>
      <c r="BL218" s="2395">
        <f t="shared" si="362"/>
        <v>0.16674859598825961</v>
      </c>
      <c r="BM218" s="2395">
        <f t="shared" si="362"/>
        <v>0.16702032380346765</v>
      </c>
      <c r="BN218" s="2395">
        <f t="shared" si="362"/>
        <v>0.19086412946664583</v>
      </c>
      <c r="BO218" s="2396">
        <f>BO198/AVERAGE(BK215:BN215)</f>
        <v>0.16939707918782426</v>
      </c>
      <c r="BP218" s="2383"/>
      <c r="BQ218" s="2394">
        <f t="shared" ref="BQ218:BT219" si="363">BQ$198*4/BQ215</f>
        <v>0.1830684963161017</v>
      </c>
      <c r="BR218" s="2395">
        <f t="shared" si="363"/>
        <v>0.20060832628670716</v>
      </c>
      <c r="BS218" s="2395">
        <f t="shared" si="363"/>
        <v>0.19336681018275415</v>
      </c>
      <c r="BT218" s="2395">
        <f t="shared" si="363"/>
        <v>0.22283033053479231</v>
      </c>
      <c r="BU218" s="2396">
        <f>BU198/AVERAGE(BQ215:BT215)</f>
        <v>0.19993898211434605</v>
      </c>
      <c r="BV218" s="2383"/>
      <c r="BW218" s="2394">
        <f t="shared" ref="BW218:BZ219" si="364">BW$198*4/BW215</f>
        <v>0.19971846363391998</v>
      </c>
      <c r="BX218" s="2395">
        <f t="shared" si="364"/>
        <v>0.21896682860752786</v>
      </c>
      <c r="BY218" s="2395">
        <f t="shared" si="364"/>
        <v>0.21377883236316622</v>
      </c>
      <c r="BZ218" s="2395">
        <f t="shared" si="364"/>
        <v>0.24616306523024387</v>
      </c>
      <c r="CA218" s="2396">
        <f>CA198/AVERAGE(BW215:BZ215)</f>
        <v>0.21958693288826395</v>
      </c>
      <c r="CB218" s="2383"/>
      <c r="CC218" s="2394">
        <f t="shared" ref="CC218:CF219" si="365">CC$198*4/CC215</f>
        <v>0.21535782458473479</v>
      </c>
      <c r="CD218" s="2395">
        <f t="shared" si="365"/>
        <v>0.23764312614291419</v>
      </c>
      <c r="CE218" s="2395">
        <f t="shared" si="365"/>
        <v>0.23274350078569078</v>
      </c>
      <c r="CF218" s="2395">
        <f t="shared" si="365"/>
        <v>0.26676433321706189</v>
      </c>
      <c r="CG218" s="2396">
        <f>CG198/AVERAGE(CC215:CF215)</f>
        <v>0.23807354687844498</v>
      </c>
      <c r="CH218" s="2383"/>
      <c r="CI218" s="2394">
        <f t="shared" ref="CI218:CL219" si="366">CI$198*4/CI215</f>
        <v>0.23163873187624345</v>
      </c>
      <c r="CJ218" s="2395">
        <f t="shared" si="366"/>
        <v>0.25754734444150662</v>
      </c>
      <c r="CK218" s="2395">
        <f t="shared" si="366"/>
        <v>0.25330617591032872</v>
      </c>
      <c r="CL218" s="2395">
        <f t="shared" si="366"/>
        <v>0.28939620445282926</v>
      </c>
      <c r="CM218" s="2396">
        <f>CM198/AVERAGE(CI215:CL215)</f>
        <v>0.2579188557751213</v>
      </c>
      <c r="CN218" s="6"/>
      <c r="CO218" s="6"/>
      <c r="CP218" s="6"/>
    </row>
    <row r="219" spans="1:100">
      <c r="A219" s="2385" t="s">
        <v>607</v>
      </c>
      <c r="B219" s="79"/>
      <c r="C219" s="2406">
        <f t="shared" si="352"/>
        <v>9.3597998780872702E-2</v>
      </c>
      <c r="D219" s="2407">
        <f t="shared" si="352"/>
        <v>6.7011961962842856E-2</v>
      </c>
      <c r="E219" s="2407">
        <f t="shared" si="352"/>
        <v>9.3725515639444493E-2</v>
      </c>
      <c r="F219" s="2407">
        <f t="shared" si="352"/>
        <v>0.1104759404528783</v>
      </c>
      <c r="G219" s="2408">
        <f>G198/AVERAGE(C216:F216)</f>
        <v>9.1836441419150136E-2</v>
      </c>
      <c r="H219" s="2383"/>
      <c r="I219" s="2406">
        <f t="shared" si="353"/>
        <v>8.668047353354269E-2</v>
      </c>
      <c r="J219" s="2407">
        <f t="shared" si="353"/>
        <v>8.7622832692939565E-2</v>
      </c>
      <c r="K219" s="2407">
        <f t="shared" si="353"/>
        <v>0.10572051018989825</v>
      </c>
      <c r="L219" s="2407">
        <f t="shared" si="353"/>
        <v>0.14781132039823647</v>
      </c>
      <c r="M219" s="2408">
        <f>M198/AVERAGE(I216:L216)</f>
        <v>0.10625469527919022</v>
      </c>
      <c r="N219" s="2383"/>
      <c r="O219" s="2406">
        <f t="shared" si="354"/>
        <v>9.3995192949184875E-2</v>
      </c>
      <c r="P219" s="2407">
        <f t="shared" si="354"/>
        <v>9.2699774751775044E-2</v>
      </c>
      <c r="Q219" s="2407">
        <f t="shared" si="354"/>
        <v>9.5337691993359008E-2</v>
      </c>
      <c r="R219" s="2407">
        <f t="shared" si="354"/>
        <v>0.11420182556077689</v>
      </c>
      <c r="S219" s="2408">
        <f>S198/AVERAGE(O216:R216)</f>
        <v>9.8876859816631205E-2</v>
      </c>
      <c r="T219" s="2383"/>
      <c r="U219" s="2406">
        <f t="shared" si="355"/>
        <v>0.14327571112114654</v>
      </c>
      <c r="V219" s="2407">
        <f t="shared" si="355"/>
        <v>0.12108733563016449</v>
      </c>
      <c r="W219" s="2407">
        <f t="shared" si="355"/>
        <v>0.12510328869063989</v>
      </c>
      <c r="X219" s="2407">
        <f t="shared" si="355"/>
        <v>0.14410458681659544</v>
      </c>
      <c r="Y219" s="2408">
        <f>Y198/AVERAGE(U216:X216)</f>
        <v>0.13360949070725478</v>
      </c>
      <c r="Z219" s="2383"/>
      <c r="AA219" s="2406">
        <f t="shared" si="356"/>
        <v>0.21956619829271928</v>
      </c>
      <c r="AB219" s="2407">
        <f t="shared" si="356"/>
        <v>0.25488960295535223</v>
      </c>
      <c r="AC219" s="2407">
        <f t="shared" si="356"/>
        <v>0.26801917627090205</v>
      </c>
      <c r="AD219" s="2407">
        <f t="shared" si="356"/>
        <v>0.32134093511627121</v>
      </c>
      <c r="AE219" s="2408">
        <f>AE198/AVERAGE(AA216:AD216)</f>
        <v>0.26566458822219857</v>
      </c>
      <c r="AF219" s="2383"/>
      <c r="AG219" s="2406">
        <f t="shared" si="357"/>
        <v>0.32613982540515513</v>
      </c>
      <c r="AH219" s="2407">
        <f t="shared" si="357"/>
        <v>0.2800054676201672</v>
      </c>
      <c r="AI219" s="2407">
        <f t="shared" si="357"/>
        <v>0.21762225241232538</v>
      </c>
      <c r="AJ219" s="2407">
        <f t="shared" si="357"/>
        <v>0.25349122090649245</v>
      </c>
      <c r="AK219" s="2408">
        <f>AK198/AVERAGE(AG216:AJ216)</f>
        <v>0.26251515966005906</v>
      </c>
      <c r="AL219" s="2383"/>
      <c r="AM219" s="2406">
        <f t="shared" si="358"/>
        <v>0.20837324031771526</v>
      </c>
      <c r="AN219" s="2407">
        <f t="shared" si="358"/>
        <v>0.23500309605896333</v>
      </c>
      <c r="AO219" s="2407">
        <f t="shared" si="358"/>
        <v>0.23580316493406153</v>
      </c>
      <c r="AP219" s="2407">
        <f t="shared" si="358"/>
        <v>0.29982728842832468</v>
      </c>
      <c r="AQ219" s="2408">
        <f>AQ198/AVERAGE(AM216:AP216)</f>
        <v>0.24389101579571196</v>
      </c>
      <c r="AR219" s="2383"/>
      <c r="AS219" s="2406">
        <f t="shared" si="359"/>
        <v>0.27630166169578185</v>
      </c>
      <c r="AT219" s="2407">
        <f t="shared" si="359"/>
        <v>0.24996513368983961</v>
      </c>
      <c r="AU219" s="2407">
        <f t="shared" si="359"/>
        <v>0.27701914396887156</v>
      </c>
      <c r="AV219" s="2407">
        <f t="shared" si="359"/>
        <v>0.14183541948310147</v>
      </c>
      <c r="AW219" s="2408">
        <f>AW198/AVERAGE(AS216:AV216)</f>
        <v>0.2148130718954249</v>
      </c>
      <c r="AX219" s="2383"/>
      <c r="AY219" s="2406">
        <f t="shared" si="360"/>
        <v>0.26566437399576248</v>
      </c>
      <c r="AZ219" s="2407">
        <f t="shared" si="360"/>
        <v>0.27839736009739202</v>
      </c>
      <c r="BA219" s="2407">
        <f t="shared" si="360"/>
        <v>0.32559524206888918</v>
      </c>
      <c r="BB219" s="2407">
        <f t="shared" si="360"/>
        <v>0.33396017377265791</v>
      </c>
      <c r="BC219" s="2408">
        <f>BC198/AVERAGE(AY216:BB216)</f>
        <v>0.30094828855023642</v>
      </c>
      <c r="BD219" s="2383"/>
      <c r="BE219" s="2406">
        <f t="shared" si="361"/>
        <v>0.32440319740403956</v>
      </c>
      <c r="BF219" s="2407">
        <f t="shared" si="361"/>
        <v>0.3050880423981453</v>
      </c>
      <c r="BG219" s="2407">
        <f t="shared" si="361"/>
        <v>0.3231700260177453</v>
      </c>
      <c r="BH219" s="2407">
        <f t="shared" si="361"/>
        <v>0.40034037710446224</v>
      </c>
      <c r="BI219" s="2408">
        <f>BI198/AVERAGE(BE216:BH216)</f>
        <v>0.33824155506155207</v>
      </c>
      <c r="BJ219" s="2383"/>
      <c r="BK219" s="2406">
        <f t="shared" si="362"/>
        <v>0.33362391771889888</v>
      </c>
      <c r="BL219" s="2407">
        <f t="shared" si="362"/>
        <v>0.36911645728213988</v>
      </c>
      <c r="BM219" s="2407">
        <f t="shared" si="362"/>
        <v>0.37202835283291197</v>
      </c>
      <c r="BN219" s="2407">
        <f t="shared" si="362"/>
        <v>0.42837381229220461</v>
      </c>
      <c r="BO219" s="2408">
        <f>BO198/AVERAGE(BK216:BN216)</f>
        <v>0.37539634714622883</v>
      </c>
      <c r="BP219" s="2383"/>
      <c r="BQ219" s="2406">
        <f t="shared" si="363"/>
        <v>0.40560743943719857</v>
      </c>
      <c r="BR219" s="2407">
        <f t="shared" si="363"/>
        <v>0.44140166123345065</v>
      </c>
      <c r="BS219" s="2407">
        <f t="shared" si="363"/>
        <v>0.42596719383505255</v>
      </c>
      <c r="BT219" s="2407">
        <f t="shared" si="363"/>
        <v>0.49609881330595923</v>
      </c>
      <c r="BU219" s="2408">
        <f>BU198/AVERAGE(BQ216:BT216)</f>
        <v>0.44210561683468663</v>
      </c>
      <c r="BV219" s="2383"/>
      <c r="BW219" s="2406">
        <f t="shared" si="364"/>
        <v>0.43502254977662347</v>
      </c>
      <c r="BX219" s="2407">
        <f t="shared" si="364"/>
        <v>0.47476652205227349</v>
      </c>
      <c r="BY219" s="2407">
        <f t="shared" si="364"/>
        <v>0.46474990025780694</v>
      </c>
      <c r="BZ219" s="2407">
        <f t="shared" si="364"/>
        <v>0.54268784898856304</v>
      </c>
      <c r="CA219" s="2408">
        <f>CA198/AVERAGE(BW216:BZ216)</f>
        <v>0.4789357079780589</v>
      </c>
      <c r="CB219" s="2383"/>
      <c r="CC219" s="2406">
        <f t="shared" si="365"/>
        <v>0.46541736757131213</v>
      </c>
      <c r="CD219" s="2407">
        <f t="shared" si="365"/>
        <v>0.51010950600978777</v>
      </c>
      <c r="CE219" s="2407">
        <f t="shared" si="365"/>
        <v>0.50001696112117211</v>
      </c>
      <c r="CF219" s="2407">
        <f t="shared" si="365"/>
        <v>0.58088219230557281</v>
      </c>
      <c r="CG219" s="2408">
        <f>CG198/AVERAGE(CC216:CF216)</f>
        <v>0.51382314314496214</v>
      </c>
      <c r="CH219" s="2383"/>
      <c r="CI219" s="2406">
        <f t="shared" si="366"/>
        <v>0.49543649380620941</v>
      </c>
      <c r="CJ219" s="2407">
        <f t="shared" si="366"/>
        <v>0.54652086578611681</v>
      </c>
      <c r="CK219" s="2407">
        <f t="shared" si="366"/>
        <v>0.53739901524910949</v>
      </c>
      <c r="CL219" s="2407">
        <f t="shared" si="366"/>
        <v>0.62298611674427118</v>
      </c>
      <c r="CM219" s="2408">
        <f>CM198/AVERAGE(CI216:CL216)</f>
        <v>0.55030295710902744</v>
      </c>
      <c r="CN219" s="6"/>
      <c r="CO219" s="6"/>
      <c r="CP219" s="6"/>
    </row>
    <row r="220" spans="1:100">
      <c r="A220" s="6"/>
      <c r="B220" s="79"/>
      <c r="C220" s="328"/>
      <c r="D220" s="328"/>
      <c r="E220" s="328"/>
      <c r="F220" s="328"/>
      <c r="G220" s="328"/>
      <c r="H220" s="79"/>
      <c r="I220" s="328"/>
      <c r="J220" s="328"/>
      <c r="K220" s="328"/>
      <c r="L220" s="328"/>
      <c r="M220" s="328"/>
      <c r="N220" s="79"/>
      <c r="O220" s="328"/>
      <c r="P220" s="328"/>
      <c r="Q220" s="328"/>
      <c r="R220" s="328"/>
      <c r="S220" s="328"/>
      <c r="T220" s="916"/>
      <c r="U220" s="328"/>
      <c r="V220" s="328"/>
      <c r="W220" s="328"/>
      <c r="X220" s="328"/>
      <c r="Y220" s="328"/>
      <c r="Z220" s="916"/>
      <c r="AA220" s="328"/>
      <c r="AB220" s="328"/>
      <c r="AC220" s="328"/>
      <c r="AD220" s="328"/>
      <c r="AE220" s="328"/>
      <c r="AF220" s="916"/>
      <c r="AG220" s="328"/>
      <c r="AH220" s="328"/>
      <c r="AI220" s="328"/>
      <c r="AJ220" s="328"/>
      <c r="AK220" s="328"/>
      <c r="AL220" s="916"/>
      <c r="AM220" s="328"/>
      <c r="AN220" s="328"/>
      <c r="AO220" s="328"/>
      <c r="AP220" s="328"/>
      <c r="AQ220" s="328"/>
      <c r="AR220" s="916"/>
      <c r="AS220" s="328"/>
      <c r="AT220" s="328"/>
      <c r="AU220" s="328"/>
      <c r="AV220" s="328"/>
      <c r="AW220" s="328"/>
      <c r="AX220" s="916"/>
      <c r="AY220" s="328"/>
      <c r="AZ220" s="328"/>
      <c r="BA220" s="328"/>
      <c r="BB220" s="328"/>
      <c r="BC220" s="328"/>
      <c r="BD220" s="916"/>
      <c r="BE220" s="328"/>
      <c r="BF220" s="328"/>
      <c r="BG220" s="328"/>
      <c r="BH220" s="328"/>
      <c r="BI220" s="328"/>
      <c r="BJ220" s="916"/>
      <c r="BK220" s="328"/>
      <c r="BL220" s="328"/>
      <c r="BM220" s="328"/>
      <c r="BN220" s="328"/>
      <c r="BO220" s="328"/>
      <c r="BP220" s="916"/>
      <c r="BQ220" s="328"/>
      <c r="BR220" s="328"/>
      <c r="BS220" s="328"/>
      <c r="BT220" s="328"/>
      <c r="BU220" s="328"/>
      <c r="BV220" s="916"/>
      <c r="BW220" s="328"/>
      <c r="BX220" s="328"/>
      <c r="BY220" s="328"/>
      <c r="BZ220" s="328"/>
      <c r="CA220" s="328"/>
      <c r="CB220" s="328"/>
      <c r="CC220" s="328"/>
      <c r="CD220" s="328"/>
      <c r="CE220" s="328"/>
      <c r="CF220" s="328"/>
      <c r="CG220" s="328"/>
      <c r="CH220" s="6"/>
      <c r="CI220" s="328"/>
      <c r="CJ220" s="328"/>
      <c r="CK220" s="328"/>
      <c r="CL220" s="328"/>
      <c r="CM220" s="328"/>
      <c r="CN220" s="6"/>
      <c r="CO220" s="6"/>
      <c r="CP220" s="6"/>
    </row>
    <row r="221" spans="1:100">
      <c r="A221" s="6"/>
      <c r="B221" s="79"/>
      <c r="C221" s="328"/>
      <c r="D221" s="328"/>
      <c r="E221" s="328"/>
      <c r="F221" s="328"/>
      <c r="G221" s="328"/>
      <c r="H221" s="79"/>
      <c r="I221" s="328"/>
      <c r="J221" s="328"/>
      <c r="K221" s="328"/>
      <c r="L221" s="328"/>
      <c r="M221" s="328"/>
      <c r="N221" s="79"/>
      <c r="O221" s="328"/>
      <c r="P221" s="328"/>
      <c r="Q221" s="328"/>
      <c r="R221" s="328"/>
      <c r="S221" s="328"/>
      <c r="T221" s="916"/>
      <c r="U221" s="328"/>
      <c r="V221" s="328"/>
      <c r="W221" s="328"/>
      <c r="X221" s="328"/>
      <c r="Y221" s="328"/>
      <c r="Z221" s="916"/>
      <c r="AA221" s="328"/>
      <c r="AB221" s="328"/>
      <c r="AC221" s="328"/>
      <c r="AD221" s="328"/>
      <c r="AE221" s="328"/>
      <c r="AF221" s="916"/>
      <c r="AG221" s="328"/>
      <c r="AH221" s="328"/>
      <c r="AI221" s="328"/>
      <c r="AJ221" s="328"/>
      <c r="AK221" s="328"/>
      <c r="AL221" s="916"/>
      <c r="AM221" s="328"/>
      <c r="AN221" s="328"/>
      <c r="AO221" s="328"/>
      <c r="AP221" s="328"/>
      <c r="AQ221" s="328"/>
      <c r="AR221" s="916"/>
      <c r="AS221" s="328"/>
      <c r="AT221" s="328"/>
      <c r="AU221" s="328"/>
      <c r="AV221" s="328"/>
      <c r="AW221" s="328"/>
      <c r="AX221" s="916"/>
      <c r="AY221" s="328"/>
      <c r="AZ221" s="328"/>
      <c r="BA221" s="328"/>
      <c r="BB221" s="328"/>
      <c r="BC221" s="328"/>
      <c r="BD221" s="916"/>
      <c r="BE221" s="328"/>
      <c r="BF221" s="328"/>
      <c r="BG221" s="328"/>
      <c r="BH221" s="328"/>
      <c r="BI221" s="328"/>
      <c r="BJ221" s="916"/>
      <c r="BK221" s="328"/>
      <c r="BL221" s="328"/>
      <c r="BM221" s="328"/>
      <c r="BN221" s="328"/>
      <c r="BO221" s="328"/>
      <c r="BP221" s="916"/>
      <c r="BQ221" s="328"/>
      <c r="BR221" s="328"/>
      <c r="BS221" s="328"/>
      <c r="BT221" s="328"/>
      <c r="BU221" s="328"/>
      <c r="BV221" s="916"/>
      <c r="BW221" s="328"/>
      <c r="BX221" s="328"/>
      <c r="BY221" s="328"/>
      <c r="BZ221" s="328"/>
      <c r="CA221" s="328"/>
      <c r="CB221" s="328"/>
      <c r="CC221" s="328"/>
      <c r="CD221" s="328"/>
      <c r="CE221" s="328"/>
      <c r="CF221" s="328"/>
      <c r="CG221" s="328"/>
      <c r="CH221" s="6"/>
      <c r="CI221" s="328"/>
      <c r="CJ221" s="328"/>
      <c r="CK221" s="328"/>
      <c r="CL221" s="328"/>
      <c r="CM221" s="328"/>
      <c r="CN221" s="6"/>
      <c r="CO221" s="6"/>
      <c r="CP221" s="6"/>
    </row>
    <row r="222" spans="1:100">
      <c r="A222" s="6"/>
      <c r="B222" s="79"/>
      <c r="C222" s="328"/>
      <c r="D222" s="328"/>
      <c r="E222" s="328"/>
      <c r="F222" s="328"/>
      <c r="G222" s="328"/>
      <c r="H222" s="79"/>
      <c r="I222" s="328"/>
      <c r="J222" s="328"/>
      <c r="K222" s="328"/>
      <c r="L222" s="328"/>
      <c r="M222" s="328"/>
      <c r="N222" s="79"/>
      <c r="O222" s="328"/>
      <c r="P222" s="328"/>
      <c r="Q222" s="328"/>
      <c r="R222" s="328"/>
      <c r="S222" s="328"/>
      <c r="T222" s="916"/>
      <c r="U222" s="328"/>
      <c r="V222" s="328"/>
      <c r="W222" s="328"/>
      <c r="X222" s="328"/>
      <c r="Y222" s="328"/>
      <c r="Z222" s="916"/>
      <c r="AA222" s="328"/>
      <c r="AB222" s="328"/>
      <c r="AC222" s="328"/>
      <c r="AD222" s="328"/>
      <c r="AE222" s="328"/>
      <c r="AF222" s="916"/>
      <c r="AG222" s="328"/>
      <c r="AH222" s="328"/>
      <c r="AI222" s="328"/>
      <c r="AJ222" s="328"/>
      <c r="AK222" s="328"/>
      <c r="AL222" s="916"/>
      <c r="AM222" s="328"/>
      <c r="AN222" s="328"/>
      <c r="AO222" s="328"/>
      <c r="AP222" s="328"/>
      <c r="AQ222" s="328"/>
      <c r="AR222" s="916"/>
      <c r="AS222" s="328"/>
      <c r="AT222" s="328"/>
      <c r="AU222" s="328"/>
      <c r="AV222" s="328"/>
      <c r="AW222" s="328"/>
      <c r="AX222" s="916"/>
      <c r="AY222" s="328"/>
      <c r="AZ222" s="328"/>
      <c r="BA222" s="328"/>
      <c r="BB222" s="328"/>
      <c r="BC222" s="328"/>
      <c r="BD222" s="916"/>
      <c r="BE222" s="328"/>
      <c r="BF222" s="328"/>
      <c r="BG222" s="328"/>
      <c r="BH222" s="328"/>
      <c r="BI222" s="328"/>
      <c r="BJ222" s="916"/>
      <c r="BK222" s="328"/>
      <c r="BL222" s="328"/>
      <c r="BM222" s="328"/>
      <c r="BN222" s="328"/>
      <c r="BO222" s="328"/>
      <c r="BP222" s="916"/>
      <c r="BQ222" s="328"/>
      <c r="BR222" s="328"/>
      <c r="BS222" s="328"/>
      <c r="BT222" s="328"/>
      <c r="BU222" s="328"/>
      <c r="BV222" s="916"/>
      <c r="BW222" s="328"/>
      <c r="BX222" s="328"/>
      <c r="BY222" s="328"/>
      <c r="BZ222" s="328"/>
      <c r="CA222" s="328"/>
      <c r="CB222" s="328"/>
      <c r="CC222" s="328"/>
      <c r="CD222" s="328"/>
      <c r="CE222" s="328"/>
      <c r="CF222" s="328"/>
      <c r="CG222" s="328"/>
      <c r="CH222" s="6"/>
      <c r="CI222" s="328"/>
      <c r="CJ222" s="328"/>
      <c r="CK222" s="328"/>
      <c r="CL222" s="328"/>
      <c r="CM222" s="328"/>
      <c r="CN222" s="6"/>
      <c r="CO222" s="6"/>
      <c r="CP222" s="6"/>
    </row>
    <row r="223" spans="1:100">
      <c r="A223" s="6"/>
      <c r="B223" s="79"/>
      <c r="C223" s="328"/>
      <c r="D223" s="328"/>
      <c r="E223" s="328"/>
      <c r="F223" s="328"/>
      <c r="G223" s="328"/>
      <c r="H223" s="79"/>
      <c r="I223" s="328"/>
      <c r="J223" s="328"/>
      <c r="K223" s="328"/>
      <c r="L223" s="328"/>
      <c r="M223" s="328"/>
      <c r="N223" s="79"/>
      <c r="O223" s="328"/>
      <c r="P223" s="328"/>
      <c r="Q223" s="328"/>
      <c r="R223" s="328"/>
      <c r="S223" s="328"/>
      <c r="T223" s="916"/>
      <c r="U223" s="328"/>
      <c r="V223" s="328"/>
      <c r="W223" s="328"/>
      <c r="X223" s="328"/>
      <c r="Y223" s="328"/>
      <c r="Z223" s="916"/>
      <c r="AA223" s="328"/>
      <c r="AB223" s="328"/>
      <c r="AC223" s="328"/>
      <c r="AD223" s="328"/>
      <c r="AE223" s="328"/>
      <c r="AF223" s="916"/>
      <c r="AG223" s="328"/>
      <c r="AH223" s="328"/>
      <c r="AI223" s="328"/>
      <c r="AJ223" s="328"/>
      <c r="AK223" s="328"/>
      <c r="AL223" s="916"/>
      <c r="AM223" s="328"/>
      <c r="AN223" s="328"/>
      <c r="AO223" s="328"/>
      <c r="AP223" s="328"/>
      <c r="AQ223" s="328"/>
      <c r="AR223" s="916"/>
      <c r="AS223" s="328"/>
      <c r="AT223" s="328"/>
      <c r="AU223" s="328"/>
      <c r="AV223" s="328"/>
      <c r="AW223" s="328"/>
      <c r="AX223" s="916"/>
      <c r="AY223" s="328"/>
      <c r="AZ223" s="328"/>
      <c r="BA223" s="328"/>
      <c r="BB223" s="328"/>
      <c r="BC223" s="328"/>
      <c r="BD223" s="916"/>
      <c r="BE223" s="328"/>
      <c r="BF223" s="328"/>
      <c r="BG223" s="328"/>
      <c r="BH223" s="328"/>
      <c r="BI223" s="328"/>
      <c r="BJ223" s="916"/>
      <c r="BK223" s="328"/>
      <c r="BL223" s="328"/>
      <c r="BM223" s="328"/>
      <c r="BN223" s="328"/>
      <c r="BO223" s="328"/>
      <c r="BP223" s="916"/>
      <c r="BQ223" s="328"/>
      <c r="BR223" s="328"/>
      <c r="BS223" s="328"/>
      <c r="BT223" s="328"/>
      <c r="BU223" s="328"/>
      <c r="BV223" s="916"/>
      <c r="BW223" s="328"/>
      <c r="BX223" s="328"/>
      <c r="BY223" s="328"/>
      <c r="BZ223" s="328"/>
      <c r="CA223" s="328"/>
      <c r="CB223" s="328"/>
      <c r="CC223" s="328"/>
      <c r="CD223" s="328"/>
      <c r="CE223" s="328"/>
      <c r="CF223" s="328"/>
      <c r="CG223" s="328"/>
      <c r="CH223" s="6"/>
      <c r="CI223" s="328"/>
      <c r="CJ223" s="328"/>
      <c r="CK223" s="328"/>
      <c r="CL223" s="328"/>
      <c r="CM223" s="328"/>
      <c r="CN223" s="6"/>
      <c r="CO223" s="6"/>
      <c r="CP223" s="6"/>
    </row>
    <row r="224" spans="1:100">
      <c r="A224" s="6"/>
      <c r="B224" s="79"/>
      <c r="C224" s="328"/>
      <c r="D224" s="328"/>
      <c r="E224" s="328"/>
      <c r="F224" s="328"/>
      <c r="G224" s="328"/>
      <c r="H224" s="79"/>
      <c r="I224" s="328"/>
      <c r="J224" s="328"/>
      <c r="K224" s="328"/>
      <c r="L224" s="328"/>
      <c r="M224" s="328"/>
      <c r="N224" s="79"/>
      <c r="O224" s="328"/>
      <c r="P224" s="328"/>
      <c r="Q224" s="328"/>
      <c r="R224" s="328"/>
      <c r="S224" s="328"/>
      <c r="T224" s="916"/>
      <c r="U224" s="328"/>
      <c r="V224" s="328"/>
      <c r="W224" s="328"/>
      <c r="X224" s="328"/>
      <c r="Y224" s="328"/>
      <c r="Z224" s="916"/>
      <c r="AA224" s="328"/>
      <c r="AB224" s="328"/>
      <c r="AC224" s="328"/>
      <c r="AD224" s="328"/>
      <c r="AE224" s="328"/>
      <c r="AF224" s="916"/>
      <c r="AG224" s="328"/>
      <c r="AH224" s="328"/>
      <c r="AI224" s="328"/>
      <c r="AJ224" s="328"/>
      <c r="AK224" s="328"/>
      <c r="AL224" s="916"/>
      <c r="AM224" s="328"/>
      <c r="AN224" s="328"/>
      <c r="AO224" s="328"/>
      <c r="AP224" s="328"/>
      <c r="AQ224" s="328"/>
      <c r="AR224" s="916"/>
      <c r="AS224" s="328"/>
      <c r="AT224" s="328"/>
      <c r="AU224" s="328"/>
      <c r="AV224" s="328"/>
      <c r="AW224" s="328"/>
      <c r="AX224" s="916"/>
      <c r="AY224" s="328"/>
      <c r="AZ224" s="328"/>
      <c r="BA224" s="328"/>
      <c r="BB224" s="328"/>
      <c r="BC224" s="328"/>
      <c r="BD224" s="916"/>
      <c r="BE224" s="328"/>
      <c r="BF224" s="328"/>
      <c r="BG224" s="328"/>
      <c r="BH224" s="328"/>
      <c r="BI224" s="328"/>
      <c r="BJ224" s="916"/>
      <c r="BK224" s="328"/>
      <c r="BL224" s="328"/>
      <c r="BM224" s="328"/>
      <c r="BN224" s="328"/>
      <c r="BO224" s="328"/>
      <c r="BP224" s="916"/>
      <c r="BQ224" s="328"/>
      <c r="BR224" s="328"/>
      <c r="BS224" s="328"/>
      <c r="BT224" s="328"/>
      <c r="BU224" s="328"/>
      <c r="BV224" s="916"/>
      <c r="BW224" s="328"/>
      <c r="BX224" s="328"/>
      <c r="BY224" s="328"/>
      <c r="BZ224" s="328"/>
      <c r="CA224" s="328"/>
      <c r="CB224" s="328"/>
      <c r="CC224" s="328"/>
      <c r="CD224" s="328"/>
      <c r="CE224" s="328"/>
      <c r="CF224" s="328"/>
      <c r="CG224" s="328"/>
      <c r="CH224" s="6"/>
      <c r="CI224" s="328"/>
      <c r="CJ224" s="328"/>
      <c r="CK224" s="328"/>
      <c r="CL224" s="328"/>
      <c r="CM224" s="328"/>
      <c r="CN224" s="6"/>
      <c r="CO224" s="6"/>
      <c r="CP224" s="6"/>
    </row>
    <row r="225" spans="1:94">
      <c r="A225" s="6"/>
      <c r="B225" s="79"/>
      <c r="C225" s="328"/>
      <c r="D225" s="328"/>
      <c r="E225" s="328"/>
      <c r="F225" s="328"/>
      <c r="G225" s="328"/>
      <c r="H225" s="79"/>
      <c r="I225" s="328"/>
      <c r="J225" s="328"/>
      <c r="K225" s="328"/>
      <c r="L225" s="328"/>
      <c r="M225" s="328"/>
      <c r="N225" s="79"/>
      <c r="O225" s="328"/>
      <c r="P225" s="328"/>
      <c r="Q225" s="328"/>
      <c r="R225" s="328"/>
      <c r="S225" s="328"/>
      <c r="T225" s="916"/>
      <c r="U225" s="328"/>
      <c r="V225" s="328"/>
      <c r="W225" s="328"/>
      <c r="X225" s="328"/>
      <c r="Y225" s="328"/>
      <c r="Z225" s="916"/>
      <c r="AA225" s="328"/>
      <c r="AB225" s="328"/>
      <c r="AC225" s="328"/>
      <c r="AD225" s="328"/>
      <c r="AE225" s="328"/>
      <c r="AF225" s="916"/>
      <c r="AG225" s="328"/>
      <c r="AH225" s="328"/>
      <c r="AI225" s="328"/>
      <c r="AJ225" s="328"/>
      <c r="AK225" s="328"/>
      <c r="AL225" s="916"/>
      <c r="AM225" s="328"/>
      <c r="AN225" s="328"/>
      <c r="AO225" s="328"/>
      <c r="AP225" s="328"/>
      <c r="AQ225" s="328"/>
      <c r="AR225" s="916"/>
      <c r="AS225" s="328"/>
      <c r="AT225" s="328"/>
      <c r="AU225" s="328"/>
      <c r="AV225" s="328"/>
      <c r="AW225" s="328"/>
      <c r="AX225" s="916"/>
      <c r="AY225" s="328"/>
      <c r="AZ225" s="328"/>
      <c r="BA225" s="328"/>
      <c r="BB225" s="328"/>
      <c r="BC225" s="328"/>
      <c r="BD225" s="916"/>
      <c r="BE225" s="328"/>
      <c r="BF225" s="328"/>
      <c r="BG225" s="328"/>
      <c r="BH225" s="328"/>
      <c r="BI225" s="328"/>
      <c r="BJ225" s="916"/>
      <c r="BK225" s="328"/>
      <c r="BL225" s="328"/>
      <c r="BM225" s="328"/>
      <c r="BN225" s="328"/>
      <c r="BO225" s="328"/>
      <c r="BP225" s="916"/>
      <c r="BQ225" s="328"/>
      <c r="BR225" s="328"/>
      <c r="BS225" s="328"/>
      <c r="BT225" s="328"/>
      <c r="BU225" s="328"/>
      <c r="BV225" s="916"/>
      <c r="BW225" s="328"/>
      <c r="BX225" s="328"/>
      <c r="BY225" s="328"/>
      <c r="BZ225" s="328"/>
      <c r="CA225" s="328"/>
      <c r="CB225" s="328"/>
      <c r="CC225" s="328"/>
      <c r="CD225" s="328"/>
      <c r="CE225" s="328"/>
      <c r="CF225" s="328"/>
      <c r="CG225" s="328"/>
      <c r="CH225" s="6"/>
      <c r="CI225" s="328"/>
      <c r="CJ225" s="328"/>
      <c r="CK225" s="328"/>
      <c r="CL225" s="328"/>
      <c r="CM225" s="328"/>
      <c r="CN225" s="6"/>
      <c r="CO225" s="6"/>
      <c r="CP225" s="6"/>
    </row>
    <row r="226" spans="1:94">
      <c r="A226" s="6"/>
      <c r="B226" s="79"/>
      <c r="C226" s="328"/>
      <c r="D226" s="328"/>
      <c r="E226" s="328"/>
      <c r="F226" s="328"/>
      <c r="G226" s="328"/>
      <c r="H226" s="79"/>
      <c r="I226" s="328"/>
      <c r="J226" s="328"/>
      <c r="K226" s="328"/>
      <c r="L226" s="328"/>
      <c r="M226" s="328"/>
      <c r="N226" s="79"/>
      <c r="O226" s="328"/>
      <c r="P226" s="328"/>
      <c r="Q226" s="328"/>
      <c r="R226" s="328"/>
      <c r="S226" s="328"/>
      <c r="T226" s="916"/>
      <c r="U226" s="328"/>
      <c r="V226" s="328"/>
      <c r="W226" s="328"/>
      <c r="X226" s="328"/>
      <c r="Y226" s="328"/>
      <c r="Z226" s="916"/>
      <c r="AA226" s="328"/>
      <c r="AB226" s="328"/>
      <c r="AC226" s="328"/>
      <c r="AD226" s="328"/>
      <c r="AE226" s="328"/>
      <c r="AF226" s="916"/>
      <c r="AG226" s="328"/>
      <c r="AH226" s="328"/>
      <c r="AI226" s="328"/>
      <c r="AJ226" s="328"/>
      <c r="AK226" s="328"/>
      <c r="AL226" s="916"/>
      <c r="AM226" s="328"/>
      <c r="AN226" s="328"/>
      <c r="AO226" s="328"/>
      <c r="AP226" s="328"/>
      <c r="AQ226" s="328"/>
      <c r="AR226" s="916"/>
      <c r="AS226" s="328"/>
      <c r="AT226" s="328"/>
      <c r="AU226" s="328"/>
      <c r="AV226" s="328"/>
      <c r="AW226" s="328"/>
      <c r="AX226" s="916"/>
      <c r="AY226" s="328"/>
      <c r="AZ226" s="328"/>
      <c r="BA226" s="328"/>
      <c r="BB226" s="328"/>
      <c r="BC226" s="328"/>
      <c r="BD226" s="916"/>
      <c r="BE226" s="328"/>
      <c r="BF226" s="328"/>
      <c r="BG226" s="328"/>
      <c r="BH226" s="328"/>
      <c r="BI226" s="328"/>
      <c r="BJ226" s="916"/>
      <c r="BK226" s="328"/>
      <c r="BL226" s="328"/>
      <c r="BM226" s="328"/>
      <c r="BN226" s="328"/>
      <c r="BO226" s="328"/>
      <c r="BP226" s="916"/>
      <c r="BQ226" s="328"/>
      <c r="BR226" s="328"/>
      <c r="BS226" s="328"/>
      <c r="BT226" s="328"/>
      <c r="BU226" s="328"/>
      <c r="BV226" s="916"/>
      <c r="BW226" s="328"/>
      <c r="BX226" s="328"/>
      <c r="BY226" s="328"/>
      <c r="BZ226" s="328"/>
      <c r="CA226" s="328"/>
      <c r="CB226" s="328"/>
      <c r="CC226" s="328"/>
      <c r="CD226" s="328"/>
      <c r="CE226" s="328"/>
      <c r="CF226" s="328"/>
      <c r="CG226" s="328"/>
      <c r="CH226" s="6"/>
      <c r="CI226" s="328"/>
      <c r="CJ226" s="328"/>
      <c r="CK226" s="328"/>
      <c r="CL226" s="328"/>
      <c r="CM226" s="328"/>
      <c r="CN226" s="6"/>
      <c r="CO226" s="6"/>
      <c r="CP226" s="6"/>
    </row>
    <row r="227" spans="1:94">
      <c r="A227" s="6"/>
      <c r="B227" s="79"/>
      <c r="C227" s="328"/>
      <c r="D227" s="328"/>
      <c r="E227" s="328"/>
      <c r="F227" s="328"/>
      <c r="G227" s="328"/>
      <c r="H227" s="79"/>
      <c r="I227" s="328"/>
      <c r="J227" s="328"/>
      <c r="K227" s="328"/>
      <c r="L227" s="328"/>
      <c r="M227" s="328"/>
      <c r="N227" s="79"/>
      <c r="O227" s="328"/>
      <c r="P227" s="328"/>
      <c r="Q227" s="328"/>
      <c r="R227" s="328"/>
      <c r="S227" s="328"/>
      <c r="T227" s="916"/>
      <c r="U227" s="328"/>
      <c r="V227" s="328"/>
      <c r="W227" s="328"/>
      <c r="X227" s="328"/>
      <c r="Y227" s="328"/>
      <c r="Z227" s="916"/>
      <c r="AA227" s="328"/>
      <c r="AB227" s="328"/>
      <c r="AC227" s="328"/>
      <c r="AD227" s="328"/>
      <c r="AE227" s="328"/>
      <c r="AF227" s="916"/>
      <c r="AG227" s="328"/>
      <c r="AH227" s="328"/>
      <c r="AI227" s="328"/>
      <c r="AJ227" s="328"/>
      <c r="AK227" s="328"/>
      <c r="AL227" s="916"/>
      <c r="AM227" s="328"/>
      <c r="AN227" s="328"/>
      <c r="AO227" s="328"/>
      <c r="AP227" s="328"/>
      <c r="AQ227" s="328"/>
      <c r="AR227" s="916"/>
      <c r="AS227" s="328"/>
      <c r="AT227" s="328"/>
      <c r="AU227" s="328"/>
      <c r="AV227" s="328"/>
      <c r="AW227" s="328"/>
      <c r="AX227" s="916"/>
      <c r="AY227" s="328"/>
      <c r="AZ227" s="328"/>
      <c r="BA227" s="328"/>
      <c r="BB227" s="328"/>
      <c r="BC227" s="328"/>
      <c r="BD227" s="916"/>
      <c r="BE227" s="328"/>
      <c r="BF227" s="328"/>
      <c r="BG227" s="328"/>
      <c r="BH227" s="328"/>
      <c r="BI227" s="328"/>
      <c r="BJ227" s="916"/>
      <c r="BK227" s="328"/>
      <c r="BL227" s="328"/>
      <c r="BM227" s="328"/>
      <c r="BN227" s="328"/>
      <c r="BO227" s="328"/>
      <c r="BP227" s="916"/>
      <c r="BQ227" s="328"/>
      <c r="BR227" s="328"/>
      <c r="BS227" s="328"/>
      <c r="BT227" s="328"/>
      <c r="BU227" s="328"/>
      <c r="BV227" s="916"/>
      <c r="BW227" s="328"/>
      <c r="BX227" s="328"/>
      <c r="BY227" s="328"/>
      <c r="BZ227" s="328"/>
      <c r="CA227" s="328"/>
      <c r="CB227" s="328"/>
      <c r="CC227" s="328"/>
      <c r="CD227" s="328"/>
      <c r="CE227" s="328"/>
      <c r="CF227" s="328"/>
      <c r="CG227" s="328"/>
      <c r="CH227" s="6"/>
      <c r="CI227" s="328"/>
      <c r="CJ227" s="328"/>
      <c r="CK227" s="328"/>
      <c r="CL227" s="328"/>
      <c r="CM227" s="328"/>
      <c r="CN227" s="6"/>
      <c r="CO227" s="6"/>
      <c r="CP227" s="6"/>
    </row>
    <row r="228" spans="1:94" customFormat="1" hidden="1" outlineLevel="1"/>
    <row r="229" spans="1:94" collapsed="1"/>
  </sheetData>
  <pageMargins left="0" right="0" top="0" bottom="0" header="0" footer="0"/>
  <pageSetup scale="53" orientation="portrait" r:id="rId1"/>
  <ignoredErrors>
    <ignoredError sqref="BU117 CA117 AY30:BC43" formula="1"/>
    <ignoredError sqref="BE43:BF43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A116"/>
  <sheetViews>
    <sheetView zoomScaleNormal="100" zoomScaleSheetLayoutView="100" workbookViewId="0">
      <pane xSplit="2" ySplit="7" topLeftCell="AK8" activePane="bottomRight" state="frozen"/>
      <selection activeCell="BW86" sqref="BW86"/>
      <selection pane="topRight" activeCell="BW86" sqref="BW86"/>
      <selection pane="bottomLeft" activeCell="BW86" sqref="BW86"/>
      <selection pane="bottomRight"/>
    </sheetView>
  </sheetViews>
  <sheetFormatPr defaultColWidth="8.85546875" defaultRowHeight="15" outlineLevelRow="1" outlineLevelCol="1"/>
  <cols>
    <col min="1" max="1" width="38" style="950" customWidth="1"/>
    <col min="2" max="2" width="0.85546875" style="949" customWidth="1"/>
    <col min="3" max="7" width="8.7109375" style="950" hidden="1" customWidth="1" outlineLevel="1"/>
    <col min="8" max="8" width="0.85546875" style="949" hidden="1" customWidth="1" outlineLevel="1"/>
    <col min="9" max="13" width="8.7109375" style="950" hidden="1" customWidth="1" outlineLevel="1"/>
    <col min="14" max="14" width="0.85546875" style="949" hidden="1" customWidth="1" outlineLevel="1"/>
    <col min="15" max="19" width="8.7109375" style="950" hidden="1" customWidth="1" outlineLevel="1"/>
    <col min="20" max="20" width="0.85546875" style="949" hidden="1" customWidth="1" outlineLevel="1"/>
    <col min="21" max="24" width="8.7109375" style="950" hidden="1" customWidth="1" outlineLevel="1"/>
    <col min="25" max="25" width="9.7109375" style="950" hidden="1" customWidth="1" outlineLevel="1"/>
    <col min="26" max="26" width="0.85546875" style="949" hidden="1" customWidth="1" outlineLevel="1"/>
    <col min="27" max="30" width="8.7109375" style="950" hidden="1" customWidth="1" outlineLevel="1"/>
    <col min="31" max="31" width="9.42578125" style="950" hidden="1" customWidth="1" outlineLevel="1"/>
    <col min="32" max="32" width="0.85546875" style="949" hidden="1" customWidth="1" outlineLevel="1"/>
    <col min="33" max="34" width="9.42578125" style="950" hidden="1" customWidth="1" outlineLevel="1"/>
    <col min="35" max="35" width="9.7109375" style="950" hidden="1" customWidth="1" outlineLevel="1"/>
    <col min="36" max="36" width="9.85546875" style="950" hidden="1" customWidth="1" outlineLevel="1"/>
    <col min="37" max="37" width="8.140625" style="950" bestFit="1" customWidth="1" collapsed="1"/>
    <col min="38" max="38" width="0.85546875" style="949" customWidth="1"/>
    <col min="39" max="41" width="9.42578125" style="950" hidden="1" customWidth="1" outlineLevel="1"/>
    <col min="42" max="42" width="9.85546875" style="950" hidden="1" customWidth="1" outlineLevel="1"/>
    <col min="43" max="43" width="9.42578125" style="950" bestFit="1" customWidth="1" collapsed="1"/>
    <col min="44" max="44" width="0.85546875" style="949" customWidth="1"/>
    <col min="45" max="47" width="9.42578125" style="950" hidden="1" customWidth="1" outlineLevel="1"/>
    <col min="48" max="48" width="9" style="950" hidden="1" customWidth="1" outlineLevel="1"/>
    <col min="49" max="49" width="9" style="950" bestFit="1" customWidth="1" collapsed="1"/>
    <col min="50" max="50" width="0.85546875" style="949" customWidth="1"/>
    <col min="51" max="53" width="9.42578125" style="950" hidden="1" customWidth="1" outlineLevel="1"/>
    <col min="54" max="54" width="9" style="950" hidden="1" customWidth="1" outlineLevel="1"/>
    <col min="55" max="55" width="9.42578125" style="950" bestFit="1" customWidth="1" collapsed="1"/>
    <col min="56" max="56" width="0.85546875" style="949" customWidth="1"/>
    <col min="57" max="57" width="9.42578125" style="950" hidden="1" customWidth="1" outlineLevel="1"/>
    <col min="58" max="58" width="9" style="950" hidden="1" customWidth="1" outlineLevel="1"/>
    <col min="59" max="60" width="9.42578125" style="950" hidden="1" customWidth="1" outlineLevel="1"/>
    <col min="61" max="61" width="9" style="950" bestFit="1" customWidth="1" collapsed="1"/>
    <col min="62" max="62" width="0.85546875" style="949" customWidth="1"/>
    <col min="63" max="66" width="8.7109375" style="950" hidden="1" customWidth="1" outlineLevel="1"/>
    <col min="67" max="67" width="9.42578125" style="950" bestFit="1" customWidth="1" collapsed="1"/>
    <col min="68" max="68" width="0.85546875" style="949" customWidth="1"/>
    <col min="69" max="72" width="8.7109375" style="950" customWidth="1" outlineLevel="1"/>
    <col min="73" max="73" width="9.42578125" style="950" bestFit="1" customWidth="1"/>
    <col min="74" max="74" width="0.85546875" style="949" customWidth="1"/>
    <col min="75" max="78" width="8.7109375" style="950" customWidth="1" outlineLevel="1"/>
    <col min="79" max="79" width="9.42578125" style="950" bestFit="1" customWidth="1"/>
    <col min="80" max="80" width="0.85546875" style="2104" customWidth="1"/>
    <col min="81" max="84" width="8.7109375" style="2104" hidden="1" customWidth="1" outlineLevel="1"/>
    <col min="85" max="85" width="9.42578125" style="2104" bestFit="1" customWidth="1" collapsed="1"/>
    <col min="86" max="86" width="0.85546875" style="949" customWidth="1"/>
    <col min="87" max="90" width="8.7109375" style="2356" hidden="1" customWidth="1" outlineLevel="1"/>
    <col min="91" max="91" width="9.42578125" style="2356" bestFit="1" customWidth="1" collapsed="1"/>
    <col min="92" max="94" width="9.42578125" style="949" customWidth="1"/>
    <col min="95" max="95" width="35.42578125" hidden="1" customWidth="1" outlineLevel="1"/>
    <col min="96" max="98" width="8.85546875" hidden="1" customWidth="1" outlineLevel="1"/>
    <col min="99" max="99" width="8.85546875" customWidth="1" collapsed="1"/>
    <col min="100" max="100" width="8.85546875" customWidth="1"/>
    <col min="101" max="16384" width="8.85546875" style="949"/>
  </cols>
  <sheetData>
    <row r="1" spans="1:94">
      <c r="A1" s="3" t="s">
        <v>0</v>
      </c>
      <c r="B1" s="3"/>
      <c r="C1" s="3"/>
      <c r="D1" s="3"/>
      <c r="E1" s="3"/>
      <c r="F1" s="3"/>
      <c r="G1" s="947"/>
      <c r="H1" s="3"/>
      <c r="I1" s="3"/>
      <c r="J1" s="3"/>
      <c r="K1" s="3"/>
      <c r="L1" s="3"/>
      <c r="M1" s="947"/>
      <c r="N1" s="3"/>
      <c r="O1" s="3"/>
      <c r="P1" s="3"/>
      <c r="Q1" s="3"/>
      <c r="R1" s="3"/>
      <c r="S1" s="947"/>
      <c r="T1" s="3"/>
      <c r="U1" s="3"/>
      <c r="V1" s="3"/>
      <c r="W1" s="3"/>
      <c r="X1" s="3"/>
      <c r="Y1" s="685"/>
      <c r="Z1" s="3"/>
      <c r="AA1" s="3"/>
      <c r="AB1" s="3"/>
      <c r="AC1" s="3"/>
      <c r="AD1" s="948"/>
      <c r="AE1" s="685"/>
      <c r="AF1" s="3"/>
      <c r="AG1" s="3"/>
      <c r="AH1" s="3"/>
      <c r="AI1" s="3"/>
      <c r="AJ1" s="3"/>
      <c r="AK1" s="685"/>
      <c r="AL1" s="3"/>
      <c r="AM1" s="3"/>
      <c r="AN1" s="3"/>
      <c r="AO1" s="3"/>
      <c r="AP1" s="3"/>
      <c r="AQ1" s="685"/>
      <c r="AR1" s="3"/>
      <c r="AS1" s="3"/>
      <c r="AT1" s="3"/>
      <c r="AU1" s="3"/>
      <c r="AV1" s="3"/>
      <c r="AW1" s="685"/>
      <c r="AX1" s="3"/>
      <c r="AY1" s="3"/>
      <c r="AZ1" s="3"/>
      <c r="BA1" s="3"/>
      <c r="BB1" s="3"/>
      <c r="BC1" s="685"/>
      <c r="BD1" s="3"/>
      <c r="BE1" s="3"/>
      <c r="BF1" s="3"/>
      <c r="BG1" s="3"/>
      <c r="BH1" s="3"/>
      <c r="BI1" s="685"/>
      <c r="BJ1" s="3"/>
      <c r="BK1" s="3"/>
      <c r="BL1" s="3"/>
      <c r="BM1" s="3"/>
      <c r="BN1" s="3"/>
      <c r="BO1" s="685"/>
      <c r="BP1" s="3"/>
      <c r="BQ1" s="3"/>
      <c r="BR1" s="3"/>
      <c r="BS1" s="3"/>
      <c r="BT1" s="3"/>
      <c r="BU1" s="685"/>
      <c r="BV1" s="3"/>
      <c r="BW1" s="3"/>
      <c r="BX1" s="3"/>
      <c r="BY1" s="3"/>
      <c r="BZ1" s="3"/>
      <c r="CA1" s="685"/>
      <c r="CB1" s="685"/>
      <c r="CC1" s="3"/>
      <c r="CD1" s="3"/>
      <c r="CE1" s="3"/>
      <c r="CF1" s="3"/>
      <c r="CG1" s="685"/>
      <c r="CI1" s="3"/>
      <c r="CJ1" s="3"/>
      <c r="CK1" s="3"/>
      <c r="CL1" s="3"/>
      <c r="CM1" s="685"/>
    </row>
    <row r="2" spans="1:94" ht="13.5" customHeight="1">
      <c r="A2" s="686" t="s">
        <v>382</v>
      </c>
      <c r="B2" s="686"/>
      <c r="C2" s="686"/>
      <c r="D2" s="686"/>
      <c r="E2" s="686"/>
      <c r="F2" s="686"/>
      <c r="G2" s="947"/>
      <c r="H2" s="686"/>
      <c r="I2" s="686"/>
      <c r="J2" s="686"/>
      <c r="K2" s="686"/>
      <c r="L2" s="686"/>
      <c r="M2" s="947"/>
      <c r="N2" s="686"/>
      <c r="O2" s="686"/>
      <c r="P2" s="686"/>
      <c r="Q2" s="686"/>
      <c r="R2" s="686"/>
      <c r="S2" s="947"/>
      <c r="T2" s="686"/>
      <c r="U2" s="686"/>
      <c r="V2" s="686"/>
      <c r="W2" s="686"/>
      <c r="X2" s="686"/>
      <c r="Y2" s="951"/>
      <c r="Z2" s="686"/>
      <c r="AA2" s="686"/>
      <c r="AB2" s="686"/>
      <c r="AC2" s="686"/>
      <c r="AD2" s="952"/>
      <c r="AE2" s="951"/>
      <c r="AF2" s="686"/>
      <c r="AG2" s="686"/>
      <c r="AH2" s="686"/>
      <c r="AI2" s="686"/>
      <c r="AJ2" s="686"/>
      <c r="AK2" s="951"/>
      <c r="AL2" s="686"/>
      <c r="AM2" s="686"/>
      <c r="AN2" s="686"/>
      <c r="AO2" s="686"/>
      <c r="AP2" s="686"/>
      <c r="AQ2" s="953"/>
      <c r="AR2" s="686"/>
      <c r="AS2" s="686"/>
      <c r="AT2" s="686"/>
      <c r="AU2" s="686"/>
      <c r="AV2" s="686"/>
      <c r="AW2" s="951"/>
      <c r="AX2" s="686"/>
      <c r="AY2" s="686"/>
      <c r="AZ2" s="686"/>
      <c r="BA2" s="686"/>
      <c r="BB2" s="686"/>
      <c r="BC2" s="951"/>
      <c r="BD2" s="686"/>
      <c r="BE2" s="686"/>
      <c r="BF2" s="686"/>
      <c r="BG2" s="686"/>
      <c r="BH2" s="686"/>
      <c r="BI2" s="951"/>
      <c r="BJ2" s="686"/>
      <c r="BK2" s="686"/>
      <c r="BL2" s="686"/>
      <c r="BM2" s="686"/>
      <c r="BN2" s="686"/>
      <c r="BO2" s="951"/>
      <c r="BP2" s="686"/>
      <c r="BQ2" s="686"/>
      <c r="BR2" s="686"/>
      <c r="BS2" s="686"/>
      <c r="BT2" s="686"/>
      <c r="BU2" s="685"/>
      <c r="BV2" s="686"/>
      <c r="BW2" s="686"/>
      <c r="BX2" s="686"/>
      <c r="BY2" s="686"/>
      <c r="BZ2" s="686"/>
      <c r="CA2" s="951"/>
      <c r="CB2" s="951"/>
      <c r="CC2" s="686"/>
      <c r="CD2" s="686"/>
      <c r="CE2" s="686"/>
      <c r="CF2" s="686"/>
      <c r="CG2" s="951"/>
      <c r="CI2" s="686"/>
      <c r="CJ2" s="686"/>
      <c r="CK2" s="686"/>
      <c r="CL2" s="686"/>
      <c r="CM2" s="951"/>
    </row>
    <row r="3" spans="1:94" ht="13.5" customHeight="1">
      <c r="A3" s="687" t="s">
        <v>2</v>
      </c>
      <c r="B3" s="10"/>
      <c r="C3" s="687"/>
      <c r="D3" s="687"/>
      <c r="E3" s="687"/>
      <c r="F3" s="687"/>
      <c r="G3" s="955"/>
      <c r="H3" s="10"/>
      <c r="I3" s="687"/>
      <c r="J3" s="687"/>
      <c r="K3" s="687"/>
      <c r="L3" s="687"/>
      <c r="M3" s="955"/>
      <c r="N3" s="10"/>
      <c r="O3" s="687"/>
      <c r="P3" s="687"/>
      <c r="Q3" s="687"/>
      <c r="R3" s="687"/>
      <c r="S3" s="955"/>
      <c r="T3" s="10"/>
      <c r="U3" s="687"/>
      <c r="V3" s="687"/>
      <c r="W3" s="687"/>
      <c r="X3" s="687"/>
      <c r="Y3" s="688"/>
      <c r="Z3" s="685"/>
      <c r="AA3" s="687"/>
      <c r="AB3" s="687"/>
      <c r="AC3" s="687"/>
      <c r="AD3" s="956"/>
      <c r="AE3" s="688"/>
      <c r="AF3" s="10"/>
      <c r="AG3" s="687"/>
      <c r="AH3" s="687"/>
      <c r="AI3" s="687"/>
      <c r="AJ3" s="687"/>
      <c r="AK3" s="688"/>
      <c r="AL3" s="10"/>
      <c r="AM3" s="687"/>
      <c r="AN3" s="687"/>
      <c r="AO3" s="687"/>
      <c r="AP3" s="687"/>
      <c r="AQ3" s="949"/>
      <c r="AR3" s="10"/>
      <c r="AS3" s="687"/>
      <c r="AT3" s="687"/>
      <c r="AU3" s="687"/>
      <c r="AV3" s="687"/>
      <c r="AW3" s="688"/>
      <c r="AX3" s="10"/>
      <c r="AY3" s="687"/>
      <c r="AZ3" s="687"/>
      <c r="BA3" s="687"/>
      <c r="BB3" s="687"/>
      <c r="BC3" s="688"/>
      <c r="BD3" s="10"/>
      <c r="BE3" s="687"/>
      <c r="BF3" s="687"/>
      <c r="BG3" s="687"/>
      <c r="BH3" s="687"/>
      <c r="BI3" s="688"/>
      <c r="BJ3" s="10"/>
      <c r="BK3" s="687"/>
      <c r="BL3" s="687"/>
      <c r="BM3" s="687"/>
      <c r="BN3" s="687"/>
      <c r="BO3" s="688"/>
      <c r="BP3" s="10"/>
      <c r="BQ3" s="687"/>
      <c r="BR3" s="687"/>
      <c r="BS3" s="687"/>
      <c r="BT3" s="687"/>
      <c r="BU3" s="688"/>
      <c r="BV3" s="10"/>
      <c r="BW3" s="687"/>
      <c r="BX3" s="687"/>
      <c r="BY3" s="687"/>
      <c r="BZ3" s="687"/>
      <c r="CA3" s="688"/>
      <c r="CB3" s="685"/>
      <c r="CC3" s="687"/>
      <c r="CD3" s="687"/>
      <c r="CE3" s="687"/>
      <c r="CF3" s="687"/>
      <c r="CG3" s="688"/>
      <c r="CI3" s="687"/>
      <c r="CJ3" s="687"/>
      <c r="CK3" s="687"/>
      <c r="CL3" s="687"/>
      <c r="CM3" s="688"/>
    </row>
    <row r="4" spans="1:94">
      <c r="A4" s="689" t="s">
        <v>253</v>
      </c>
      <c r="B4" s="957"/>
      <c r="C4" s="1744">
        <v>39113</v>
      </c>
      <c r="D4" s="1744">
        <v>39202</v>
      </c>
      <c r="E4" s="1744">
        <v>39293</v>
      </c>
      <c r="F4" s="1744">
        <v>39384</v>
      </c>
      <c r="G4" s="1745"/>
      <c r="H4" s="1746"/>
      <c r="I4" s="1744">
        <v>39478</v>
      </c>
      <c r="J4" s="1744">
        <v>39567</v>
      </c>
      <c r="K4" s="1744">
        <v>39658</v>
      </c>
      <c r="L4" s="1744">
        <v>39749</v>
      </c>
      <c r="M4" s="1745"/>
      <c r="N4" s="1746"/>
      <c r="O4" s="1744">
        <v>39843</v>
      </c>
      <c r="P4" s="1744">
        <v>39932</v>
      </c>
      <c r="Q4" s="1744">
        <v>40023</v>
      </c>
      <c r="R4" s="1744">
        <v>40114</v>
      </c>
      <c r="S4" s="1745"/>
      <c r="T4" s="1746"/>
      <c r="U4" s="1744">
        <v>40208</v>
      </c>
      <c r="V4" s="1744">
        <v>40297</v>
      </c>
      <c r="W4" s="1744">
        <v>40388</v>
      </c>
      <c r="X4" s="1744">
        <v>40479</v>
      </c>
      <c r="Y4" s="1747"/>
      <c r="Z4" s="1746"/>
      <c r="AA4" s="1744">
        <v>40573</v>
      </c>
      <c r="AB4" s="1744">
        <v>40662</v>
      </c>
      <c r="AC4" s="1744">
        <v>40753</v>
      </c>
      <c r="AD4" s="1744">
        <v>40844</v>
      </c>
      <c r="AE4" s="1747"/>
      <c r="AF4" s="1746"/>
      <c r="AG4" s="1744">
        <v>40938</v>
      </c>
      <c r="AH4" s="1744">
        <v>41027</v>
      </c>
      <c r="AI4" s="1744">
        <v>41118</v>
      </c>
      <c r="AJ4" s="1744">
        <v>41209</v>
      </c>
      <c r="AK4" s="1747"/>
      <c r="AL4" s="1746"/>
      <c r="AM4" s="1744">
        <v>41303</v>
      </c>
      <c r="AN4" s="1744">
        <v>41392</v>
      </c>
      <c r="AO4" s="1744">
        <v>41483</v>
      </c>
      <c r="AP4" s="1744">
        <v>41574</v>
      </c>
      <c r="AQ4" s="1747"/>
      <c r="AR4" s="1746"/>
      <c r="AS4" s="1744">
        <v>41668</v>
      </c>
      <c r="AT4" s="1744">
        <v>41757</v>
      </c>
      <c r="AU4" s="1748"/>
      <c r="AV4" s="1748"/>
      <c r="AW4" s="1749"/>
      <c r="AX4" s="1750"/>
      <c r="AY4" s="1748"/>
      <c r="AZ4" s="1748"/>
      <c r="BA4" s="1748"/>
      <c r="BB4" s="1748"/>
      <c r="BC4" s="1749"/>
      <c r="BD4" s="1750"/>
      <c r="BE4" s="1748"/>
      <c r="BF4" s="1748"/>
      <c r="BG4" s="1748"/>
      <c r="BH4" s="1748"/>
      <c r="BI4" s="1906"/>
      <c r="BJ4" s="1750"/>
      <c r="BK4" s="1748"/>
      <c r="BL4" s="1748"/>
      <c r="BM4" s="1748"/>
      <c r="BN4" s="1748"/>
      <c r="BO4" s="1906"/>
      <c r="BP4" s="1750"/>
      <c r="BQ4" s="1748"/>
      <c r="BR4" s="1748"/>
      <c r="BS4" s="1748"/>
      <c r="BT4" s="1748"/>
      <c r="BU4" s="1749"/>
      <c r="BV4" s="1750"/>
      <c r="BW4" s="1748"/>
      <c r="BX4" s="1748"/>
      <c r="BY4" s="1748"/>
      <c r="BZ4" s="1748"/>
      <c r="CA4" s="1749"/>
      <c r="CB4" s="1749"/>
      <c r="CC4" s="1748"/>
      <c r="CD4" s="1748"/>
      <c r="CE4" s="1748"/>
      <c r="CF4" s="1748"/>
      <c r="CG4" s="1749"/>
      <c r="CI4" s="1748"/>
      <c r="CJ4" s="1748"/>
      <c r="CK4" s="1748"/>
      <c r="CL4" s="1748"/>
      <c r="CM4" s="1749"/>
    </row>
    <row r="5" spans="1:94" hidden="1" outlineLevel="1">
      <c r="A5" s="689"/>
      <c r="B5" s="689"/>
      <c r="C5" s="1751"/>
      <c r="D5" s="1751"/>
      <c r="E5" s="1751"/>
      <c r="F5" s="1751"/>
      <c r="G5" s="1751"/>
      <c r="H5" s="1752"/>
      <c r="I5" s="1751"/>
      <c r="J5" s="1751"/>
      <c r="K5" s="1751"/>
      <c r="L5" s="1751"/>
      <c r="M5" s="1751"/>
      <c r="N5" s="1753"/>
      <c r="O5" s="1752"/>
      <c r="P5" s="1752"/>
      <c r="Q5" s="1752"/>
      <c r="R5" s="1752"/>
      <c r="S5" s="1751"/>
      <c r="T5" s="1751"/>
      <c r="U5" s="1752"/>
      <c r="V5" s="1752"/>
      <c r="W5" s="1752"/>
      <c r="X5" s="1752"/>
      <c r="Y5" s="1751"/>
      <c r="Z5" s="1751"/>
      <c r="AA5" s="1752"/>
      <c r="AB5" s="1752"/>
      <c r="AC5" s="1752"/>
      <c r="AD5" s="1752"/>
      <c r="AE5" s="1751"/>
      <c r="AF5" s="1751"/>
      <c r="AG5" s="1752"/>
      <c r="AH5" s="1752"/>
      <c r="AI5" s="1752"/>
      <c r="AJ5" s="1752"/>
      <c r="AK5" s="1751"/>
      <c r="AL5" s="1751"/>
      <c r="AM5" s="1752"/>
      <c r="AN5" s="1752"/>
      <c r="AO5" s="1752"/>
      <c r="AP5" s="1752"/>
      <c r="AQ5" s="1751"/>
      <c r="AR5" s="1751"/>
      <c r="AS5" s="1752"/>
      <c r="AT5" s="1752"/>
      <c r="AU5" s="1752"/>
      <c r="AV5" s="1752"/>
      <c r="AW5" s="1751"/>
      <c r="AX5" s="1751"/>
      <c r="AY5" s="1752"/>
      <c r="AZ5" s="1752"/>
      <c r="BA5" s="1752"/>
      <c r="BB5" s="1752"/>
      <c r="BC5" s="1751"/>
      <c r="BD5" s="1751"/>
      <c r="BE5" s="1752"/>
      <c r="BF5" s="1752"/>
      <c r="BG5" s="1752"/>
      <c r="BH5" s="1752"/>
      <c r="BI5" s="1751"/>
      <c r="BJ5" s="1751"/>
      <c r="BK5" s="1752"/>
      <c r="BL5" s="1752"/>
      <c r="BM5" s="1752"/>
      <c r="BN5" s="1752"/>
      <c r="BO5" s="1751"/>
      <c r="BP5" s="1751"/>
      <c r="BQ5" s="1752"/>
      <c r="BR5" s="1752"/>
      <c r="BS5" s="1752"/>
      <c r="BT5" s="1752"/>
      <c r="BU5" s="1751"/>
      <c r="BV5" s="1751"/>
      <c r="BW5" s="1752"/>
      <c r="BX5" s="1752"/>
      <c r="BY5" s="1752"/>
      <c r="BZ5" s="1752"/>
      <c r="CA5" s="1751"/>
      <c r="CB5" s="1751"/>
      <c r="CC5" s="2141"/>
      <c r="CD5" s="2141"/>
      <c r="CE5" s="2141"/>
      <c r="CF5" s="2141"/>
      <c r="CG5" s="2142"/>
      <c r="CH5" s="689"/>
      <c r="CI5" s="2141"/>
      <c r="CJ5" s="2141"/>
      <c r="CK5" s="2141"/>
      <c r="CL5" s="2141"/>
      <c r="CM5" s="2142"/>
      <c r="CN5" s="689"/>
      <c r="CO5" s="689"/>
      <c r="CP5" s="689"/>
    </row>
    <row r="6" spans="1:94" collapsed="1">
      <c r="A6" s="689"/>
      <c r="B6" s="689"/>
      <c r="C6" s="959" t="s">
        <v>59</v>
      </c>
      <c r="D6" s="960"/>
      <c r="E6" s="960"/>
      <c r="F6" s="960"/>
      <c r="G6" s="961" t="str">
        <f>C6</f>
        <v>2007A</v>
      </c>
      <c r="H6" s="689"/>
      <c r="I6" s="959" t="s">
        <v>60</v>
      </c>
      <c r="J6" s="960"/>
      <c r="K6" s="960"/>
      <c r="L6" s="960"/>
      <c r="M6" s="961" t="str">
        <f>I6</f>
        <v>2008A</v>
      </c>
      <c r="N6" s="689"/>
      <c r="O6" s="959" t="s">
        <v>61</v>
      </c>
      <c r="P6" s="960"/>
      <c r="Q6" s="960"/>
      <c r="R6" s="960"/>
      <c r="S6" s="961" t="str">
        <f>O6</f>
        <v>2009A</v>
      </c>
      <c r="T6" s="962"/>
      <c r="U6" s="959" t="s">
        <v>62</v>
      </c>
      <c r="V6" s="960"/>
      <c r="W6" s="960"/>
      <c r="X6" s="960"/>
      <c r="Y6" s="961" t="str">
        <f>U6</f>
        <v>2010A</v>
      </c>
      <c r="Z6" s="962"/>
      <c r="AA6" s="959" t="s">
        <v>63</v>
      </c>
      <c r="AB6" s="960"/>
      <c r="AC6" s="960"/>
      <c r="AD6" s="960"/>
      <c r="AE6" s="961" t="str">
        <f>AA6</f>
        <v>2011A</v>
      </c>
      <c r="AF6" s="962"/>
      <c r="AG6" s="959" t="s">
        <v>64</v>
      </c>
      <c r="AH6" s="960"/>
      <c r="AI6" s="960"/>
      <c r="AJ6" s="960"/>
      <c r="AK6" s="961" t="str">
        <f>AG6</f>
        <v>2012A</v>
      </c>
      <c r="AL6" s="962"/>
      <c r="AM6" s="959" t="s">
        <v>65</v>
      </c>
      <c r="AN6" s="960"/>
      <c r="AO6" s="960"/>
      <c r="AP6" s="960"/>
      <c r="AQ6" s="961" t="str">
        <f>AM6</f>
        <v>2013A</v>
      </c>
      <c r="AR6" s="962"/>
      <c r="AS6" s="959" t="s">
        <v>66</v>
      </c>
      <c r="AT6" s="960"/>
      <c r="AU6" s="960"/>
      <c r="AV6" s="960"/>
      <c r="AW6" s="961" t="str">
        <f>AS6</f>
        <v>2014A</v>
      </c>
      <c r="AX6" s="962"/>
      <c r="AY6" s="959" t="s">
        <v>536</v>
      </c>
      <c r="AZ6" s="960"/>
      <c r="BA6" s="960"/>
      <c r="BB6" s="960"/>
      <c r="BC6" s="961" t="str">
        <f>AY6</f>
        <v>2015A</v>
      </c>
      <c r="BD6" s="962"/>
      <c r="BE6" s="959" t="s">
        <v>562</v>
      </c>
      <c r="BF6" s="960"/>
      <c r="BG6" s="960"/>
      <c r="BH6" s="960"/>
      <c r="BI6" s="961" t="str">
        <f>BE6</f>
        <v>2016A</v>
      </c>
      <c r="BJ6" s="962"/>
      <c r="BK6" s="959" t="s">
        <v>544</v>
      </c>
      <c r="BL6" s="960"/>
      <c r="BM6" s="960"/>
      <c r="BN6" s="960"/>
      <c r="BO6" s="961" t="str">
        <f>BK6</f>
        <v>2017A</v>
      </c>
      <c r="BP6" s="962"/>
      <c r="BQ6" s="959" t="s">
        <v>464</v>
      </c>
      <c r="BR6" s="960"/>
      <c r="BS6" s="960"/>
      <c r="BT6" s="960"/>
      <c r="BU6" s="961" t="str">
        <f>BQ6</f>
        <v>2018E</v>
      </c>
      <c r="BV6" s="962"/>
      <c r="BW6" s="959" t="s">
        <v>465</v>
      </c>
      <c r="BX6" s="960"/>
      <c r="BY6" s="960"/>
      <c r="BZ6" s="960"/>
      <c r="CA6" s="961" t="str">
        <f>BW6</f>
        <v>2019E</v>
      </c>
      <c r="CB6" s="962"/>
      <c r="CC6" s="959" t="s">
        <v>466</v>
      </c>
      <c r="CD6" s="960"/>
      <c r="CE6" s="960"/>
      <c r="CF6" s="960"/>
      <c r="CG6" s="961" t="str">
        <f>CC6</f>
        <v>2020E</v>
      </c>
      <c r="CH6" s="689"/>
      <c r="CI6" s="959" t="s">
        <v>467</v>
      </c>
      <c r="CJ6" s="960"/>
      <c r="CK6" s="960"/>
      <c r="CL6" s="960"/>
      <c r="CM6" s="961" t="str">
        <f>CI6</f>
        <v>2021E</v>
      </c>
      <c r="CN6" s="689"/>
      <c r="CO6" s="689"/>
      <c r="CP6" s="689"/>
    </row>
    <row r="7" spans="1:94">
      <c r="A7" s="963"/>
      <c r="B7" s="1834"/>
      <c r="C7" s="1230">
        <f>IS!C8</f>
        <v>39113</v>
      </c>
      <c r="D7" s="1231">
        <f>IS!D8</f>
        <v>39202</v>
      </c>
      <c r="E7" s="1231">
        <f>IS!E8</f>
        <v>39293</v>
      </c>
      <c r="F7" s="1231">
        <f>IS!F8</f>
        <v>39384</v>
      </c>
      <c r="G7" s="1253"/>
      <c r="H7" s="963"/>
      <c r="I7" s="1230">
        <f>IS!I8</f>
        <v>39478</v>
      </c>
      <c r="J7" s="1231">
        <f>IS!J8</f>
        <v>39567</v>
      </c>
      <c r="K7" s="1231">
        <f>IS!K8</f>
        <v>39658</v>
      </c>
      <c r="L7" s="1231">
        <f>IS!L8</f>
        <v>39749</v>
      </c>
      <c r="M7" s="1253"/>
      <c r="N7" s="963"/>
      <c r="O7" s="1230">
        <f>IS!O8</f>
        <v>39843</v>
      </c>
      <c r="P7" s="1231">
        <f>IS!P8</f>
        <v>39932</v>
      </c>
      <c r="Q7" s="1231">
        <f>IS!Q8</f>
        <v>40023</v>
      </c>
      <c r="R7" s="1231">
        <f>IS!R8</f>
        <v>40114</v>
      </c>
      <c r="S7" s="1253"/>
      <c r="T7" s="962"/>
      <c r="U7" s="1230">
        <f>IS!U8</f>
        <v>40208</v>
      </c>
      <c r="V7" s="1231">
        <f>IS!V8</f>
        <v>40297</v>
      </c>
      <c r="W7" s="1231">
        <f>IS!W8</f>
        <v>40388</v>
      </c>
      <c r="X7" s="1231">
        <f>IS!X8</f>
        <v>40479</v>
      </c>
      <c r="Y7" s="1253"/>
      <c r="Z7" s="962"/>
      <c r="AA7" s="1230">
        <f>IS!AA8</f>
        <v>40573</v>
      </c>
      <c r="AB7" s="1231">
        <f>IS!AB8</f>
        <v>40662</v>
      </c>
      <c r="AC7" s="1231">
        <f>IS!AC8</f>
        <v>40753</v>
      </c>
      <c r="AD7" s="1231">
        <f>IS!AD8</f>
        <v>40844</v>
      </c>
      <c r="AE7" s="1253"/>
      <c r="AF7" s="962"/>
      <c r="AG7" s="1230">
        <f>IS!AG8</f>
        <v>40938</v>
      </c>
      <c r="AH7" s="1231">
        <f>IS!AH8</f>
        <v>41027</v>
      </c>
      <c r="AI7" s="1231">
        <f>IS!AI8</f>
        <v>41118</v>
      </c>
      <c r="AJ7" s="1231">
        <f>IS!AJ8</f>
        <v>41209</v>
      </c>
      <c r="AK7" s="1253"/>
      <c r="AL7" s="962"/>
      <c r="AM7" s="1230">
        <f>IS!AM8</f>
        <v>41303</v>
      </c>
      <c r="AN7" s="1231">
        <f>IS!AN8</f>
        <v>41392</v>
      </c>
      <c r="AO7" s="1231">
        <f>IS!AO8</f>
        <v>41483</v>
      </c>
      <c r="AP7" s="1231">
        <f>IS!AP8</f>
        <v>41574</v>
      </c>
      <c r="AQ7" s="1253"/>
      <c r="AR7" s="962"/>
      <c r="AS7" s="1230">
        <f>IS!AS8</f>
        <v>41668</v>
      </c>
      <c r="AT7" s="1230">
        <f>IS!AT8</f>
        <v>41757</v>
      </c>
      <c r="AU7" s="1230">
        <f>IS!AU8</f>
        <v>41846</v>
      </c>
      <c r="AV7" s="1231">
        <f>IS!AV8</f>
        <v>41937</v>
      </c>
      <c r="AW7" s="1253"/>
      <c r="AX7" s="962"/>
      <c r="AY7" s="1230">
        <f>IS!AY8</f>
        <v>42033</v>
      </c>
      <c r="AZ7" s="1230">
        <f>IS!AZ8</f>
        <v>42122</v>
      </c>
      <c r="BA7" s="1230">
        <f>IS!BA8</f>
        <v>42213</v>
      </c>
      <c r="BB7" s="1231">
        <f>IS!BB8</f>
        <v>42304</v>
      </c>
      <c r="BC7" s="1253"/>
      <c r="BD7" s="962"/>
      <c r="BE7" s="1230">
        <f>IS!BE8</f>
        <v>42398</v>
      </c>
      <c r="BF7" s="1230">
        <f>IS!BF8</f>
        <v>42487</v>
      </c>
      <c r="BG7" s="1230">
        <f>IS!BG8</f>
        <v>42578</v>
      </c>
      <c r="BH7" s="1230">
        <f>IS!BH8</f>
        <v>42669</v>
      </c>
      <c r="BI7" s="1253"/>
      <c r="BJ7" s="962"/>
      <c r="BK7" s="1230">
        <f>IS!BK8</f>
        <v>42763</v>
      </c>
      <c r="BL7" s="1230">
        <f>IS!BL8</f>
        <v>42852</v>
      </c>
      <c r="BM7" s="1230">
        <f>IS!BM8</f>
        <v>42943</v>
      </c>
      <c r="BN7" s="1230">
        <f>IS!BN8</f>
        <v>43034</v>
      </c>
      <c r="BO7" s="1253"/>
      <c r="BP7" s="962"/>
      <c r="BQ7" s="1230">
        <f>IS!BQ8</f>
        <v>43128</v>
      </c>
      <c r="BR7" s="1895">
        <f>IS!BR8</f>
        <v>43217</v>
      </c>
      <c r="BS7" s="1895">
        <f>IS!BS8</f>
        <v>43308</v>
      </c>
      <c r="BT7" s="1895">
        <f>IS!BT8</f>
        <v>43399</v>
      </c>
      <c r="BU7" s="1253"/>
      <c r="BV7" s="962"/>
      <c r="BW7" s="1896">
        <f>IS!BW8</f>
        <v>43493</v>
      </c>
      <c r="BX7" s="1895">
        <f>IS!BX8</f>
        <v>43582</v>
      </c>
      <c r="BY7" s="1895">
        <f>IS!BY8</f>
        <v>43673</v>
      </c>
      <c r="BZ7" s="1895">
        <f>IS!BZ8</f>
        <v>43764</v>
      </c>
      <c r="CA7" s="1253"/>
      <c r="CB7" s="2128"/>
      <c r="CC7" s="1896">
        <f>IS!CC8</f>
        <v>43858</v>
      </c>
      <c r="CD7" s="1895">
        <f>IS!CD8</f>
        <v>43947</v>
      </c>
      <c r="CE7" s="1895">
        <f>IS!CE8</f>
        <v>44038</v>
      </c>
      <c r="CF7" s="1895">
        <f>IS!CF8</f>
        <v>44129</v>
      </c>
      <c r="CG7" s="1253"/>
      <c r="CH7" s="1127"/>
      <c r="CI7" s="1896">
        <f>IS!CI8</f>
        <v>44223</v>
      </c>
      <c r="CJ7" s="1895">
        <f>IS!CJ8</f>
        <v>44312</v>
      </c>
      <c r="CK7" s="1895">
        <f>IS!CK8</f>
        <v>44403</v>
      </c>
      <c r="CL7" s="1895">
        <f>IS!CL8</f>
        <v>44494</v>
      </c>
      <c r="CM7" s="1253"/>
      <c r="CN7" s="2357"/>
      <c r="CO7" s="2357"/>
      <c r="CP7" s="1127"/>
    </row>
    <row r="8" spans="1:94" hidden="1" outlineLevel="1">
      <c r="A8" s="2014" t="s">
        <v>383</v>
      </c>
      <c r="B8" s="965"/>
      <c r="C8" s="966">
        <f>IS!C30-IS!C27</f>
        <v>73.661111111111111</v>
      </c>
      <c r="D8" s="967">
        <f>IS!D30-IS!D27</f>
        <v>57.661111111111111</v>
      </c>
      <c r="E8" s="967">
        <f>IS!E30-IS!E27</f>
        <v>69.661111111111111</v>
      </c>
      <c r="F8" s="967">
        <f>IS!F30-IS!F27</f>
        <v>80.8611111111111</v>
      </c>
      <c r="G8" s="1894">
        <f>+SUM(C8:F8)</f>
        <v>281.84444444444443</v>
      </c>
      <c r="H8" s="965"/>
      <c r="I8" s="966">
        <f>IS!I30-IS!I27</f>
        <v>70.256944444444457</v>
      </c>
      <c r="J8" s="967">
        <f>IS!J30-IS!J27</f>
        <v>59.856944444444444</v>
      </c>
      <c r="K8" s="967">
        <f>IS!K30-IS!K27</f>
        <v>77.456944444444446</v>
      </c>
      <c r="L8" s="967">
        <f>IS!L30-IS!L27</f>
        <v>106.25694444444446</v>
      </c>
      <c r="M8" s="1894">
        <f>+SUM(I8:L8)</f>
        <v>313.82777777777778</v>
      </c>
      <c r="N8" s="965"/>
      <c r="O8" s="966">
        <f>IS!O30-IS!O27</f>
        <v>68.990399999999994</v>
      </c>
      <c r="P8" s="967">
        <f>IS!P30-IS!P27</f>
        <v>54.260000000000034</v>
      </c>
      <c r="Q8" s="967">
        <f>IS!Q30-IS!Q27</f>
        <v>53.144400000000047</v>
      </c>
      <c r="R8" s="967">
        <f>IS!R30-IS!R27</f>
        <v>71.635600000000011</v>
      </c>
      <c r="S8" s="1894">
        <f>+SUM(O8:R8)</f>
        <v>248.0304000000001</v>
      </c>
      <c r="T8" s="968"/>
      <c r="U8" s="966">
        <f>IS!U30-IS!U27</f>
        <v>82.674800000000005</v>
      </c>
      <c r="V8" s="967">
        <f>IS!V30-IS!V27</f>
        <v>70.430800000000005</v>
      </c>
      <c r="W8" s="967">
        <f>IS!W30-IS!W27</f>
        <v>67.391600000000011</v>
      </c>
      <c r="X8" s="967">
        <f>IS!X30-IS!X27</f>
        <v>79.925600000000031</v>
      </c>
      <c r="Y8" s="1894">
        <f>+SUM(U8:X8)</f>
        <v>300.42280000000005</v>
      </c>
      <c r="Z8" s="968"/>
      <c r="AA8" s="966">
        <f>IS!AA30-IS!AA27</f>
        <v>50.271199999999951</v>
      </c>
      <c r="AB8" s="967">
        <f>IS!AB30-IS!AB27</f>
        <v>71.365600000000001</v>
      </c>
      <c r="AC8" s="967">
        <f>IS!AC30-IS!AC27</f>
        <v>76.53400000000002</v>
      </c>
      <c r="AD8" s="967">
        <f>IS!AD30-IS!AD27</f>
        <v>95.182400000000058</v>
      </c>
      <c r="AE8" s="1894">
        <f>+SUM(AA8:AD8)</f>
        <v>293.35320000000002</v>
      </c>
      <c r="AF8" s="965"/>
      <c r="AG8" s="966">
        <f>IS!AG30-IS!AG27</f>
        <v>95.174999999999997</v>
      </c>
      <c r="AH8" s="967">
        <f>IS!AH30-IS!AH27</f>
        <v>79.275000000000006</v>
      </c>
      <c r="AI8" s="967">
        <f>IS!AI30-IS!AI27</f>
        <v>24.975000000000009</v>
      </c>
      <c r="AJ8" s="967">
        <f>IS!AJ30-IS!AJ27</f>
        <v>50.174999999999983</v>
      </c>
      <c r="AK8" s="1894">
        <f>+SUM(AG8:AJ8)</f>
        <v>249.6</v>
      </c>
      <c r="AL8" s="965"/>
      <c r="AM8" s="966">
        <f>IS!AM30-IS!AM27</f>
        <v>72.187500000000085</v>
      </c>
      <c r="AN8" s="967">
        <f>IS!AN30-IS!AN27</f>
        <v>53.537499999999994</v>
      </c>
      <c r="AO8" s="967">
        <f>IS!AO30-IS!AO27</f>
        <v>81.337500000000006</v>
      </c>
      <c r="AP8" s="967">
        <f>IS!AP30-IS!AP27</f>
        <v>110.73749999999998</v>
      </c>
      <c r="AQ8" s="1894">
        <f>+SUM(AM8:AP8)</f>
        <v>317.80000000000007</v>
      </c>
      <c r="AR8" s="965"/>
      <c r="AS8" s="1812">
        <v>121</v>
      </c>
      <c r="AT8" s="1901">
        <v>40</v>
      </c>
      <c r="AU8" s="967">
        <f>IS!AU30-IS!AU27</f>
        <v>64.346319999999992</v>
      </c>
      <c r="AV8" s="967">
        <f>IS!AV30-IS!AV27</f>
        <v>-26.281959999999884</v>
      </c>
      <c r="AW8" s="890">
        <f>+SUM(AS8:AV8)</f>
        <v>199.06436000000011</v>
      </c>
      <c r="AX8" s="965"/>
      <c r="AY8" s="1812">
        <v>102</v>
      </c>
      <c r="AZ8" s="1901">
        <f>190-AY8</f>
        <v>88</v>
      </c>
      <c r="BA8" s="1901">
        <f>295-SUM(AY8:AZ8)</f>
        <v>105</v>
      </c>
      <c r="BB8" s="1901">
        <f>438-SUM(AY8:BA8)</f>
        <v>143</v>
      </c>
      <c r="BC8" s="890">
        <f>+SUM(AY8:BB8)</f>
        <v>438</v>
      </c>
      <c r="BD8" s="965"/>
      <c r="BE8" s="1812">
        <v>123</v>
      </c>
      <c r="BF8" s="1901">
        <f>214-BE8</f>
        <v>91</v>
      </c>
      <c r="BG8" s="1901">
        <f>336-SUM(BE8:BF8)</f>
        <v>122</v>
      </c>
      <c r="BH8" s="1901">
        <f>462-SUM(BE8:BG8)</f>
        <v>126</v>
      </c>
      <c r="BI8" s="890">
        <f>+SUM(BE8:BH8)</f>
        <v>462</v>
      </c>
      <c r="BJ8" s="965"/>
      <c r="BK8" s="1812">
        <v>168</v>
      </c>
      <c r="BL8" s="1901">
        <f>332-BK8</f>
        <v>164</v>
      </c>
      <c r="BM8" s="1901">
        <f>507-SUM(BK8:BL8)</f>
        <v>175</v>
      </c>
      <c r="BN8" s="1901">
        <f>684-SUM(BK8:BM8)</f>
        <v>177</v>
      </c>
      <c r="BO8" s="890">
        <f>+SUM(BK8:BN8)</f>
        <v>684</v>
      </c>
      <c r="BP8" s="965"/>
      <c r="BQ8" s="1812">
        <v>-320</v>
      </c>
      <c r="BR8" s="967">
        <f>IS!BR30-IS!BR27</f>
        <v>216.28795130369159</v>
      </c>
      <c r="BS8" s="967">
        <f>IS!BS30-IS!BS27</f>
        <v>208.354457106513</v>
      </c>
      <c r="BT8" s="967">
        <f>IS!BT30-IS!BT27</f>
        <v>237.86972266210014</v>
      </c>
      <c r="BU8" s="890">
        <f>+SUM(BQ8:BT8)</f>
        <v>342.51213107230473</v>
      </c>
      <c r="BV8" s="965"/>
      <c r="BW8" s="966">
        <f>IS!BW30-IS!BW27</f>
        <v>225.32064060289352</v>
      </c>
      <c r="BX8" s="967">
        <f>IS!BX30-IS!BX27</f>
        <v>245.05219320011221</v>
      </c>
      <c r="BY8" s="967">
        <f>IS!BY30-IS!BY27</f>
        <v>239.09983247030257</v>
      </c>
      <c r="BZ8" s="967">
        <f>IS!BZ30-IS!BZ27</f>
        <v>271.82471637118323</v>
      </c>
      <c r="CA8" s="890">
        <f>+SUM(BW8:BZ8)</f>
        <v>981.29738264449156</v>
      </c>
      <c r="CB8" s="968"/>
      <c r="CC8" s="966">
        <f>IS!CC30-IS!CC27</f>
        <v>254.69824834806846</v>
      </c>
      <c r="CD8" s="967">
        <f>IS!CD30-IS!CD27</f>
        <v>343.65365484158929</v>
      </c>
      <c r="CE8" s="967">
        <f>IS!CE30-IS!CE27</f>
        <v>342.30434153437335</v>
      </c>
      <c r="CF8" s="967">
        <f>IS!CF30-IS!CF27</f>
        <v>382.01283162974988</v>
      </c>
      <c r="CG8" s="890">
        <f>+SUM(CC8:CF8)</f>
        <v>1322.6690763537808</v>
      </c>
      <c r="CH8" s="954"/>
      <c r="CI8" s="966">
        <f>IS!CI30-IS!CI27</f>
        <v>360.57020981401939</v>
      </c>
      <c r="CJ8" s="967">
        <f>IS!CJ30-IS!CJ27</f>
        <v>308.70073523444461</v>
      </c>
      <c r="CK8" s="967">
        <f>IS!CK30-IS!CK27</f>
        <v>304.42793292776958</v>
      </c>
      <c r="CL8" s="967">
        <f>IS!CL30-IS!CL27</f>
        <v>341.83627337788027</v>
      </c>
      <c r="CM8" s="890">
        <f>+SUM(CI8:CL8)</f>
        <v>1315.5351513541139</v>
      </c>
      <c r="CN8" s="954"/>
      <c r="CO8" s="954"/>
      <c r="CP8" s="954"/>
    </row>
    <row r="9" spans="1:94" ht="12.75" hidden="1" customHeight="1" outlineLevel="1">
      <c r="A9" s="1833" t="s">
        <v>384</v>
      </c>
      <c r="B9" s="969"/>
      <c r="C9" s="1723">
        <v>0</v>
      </c>
      <c r="D9" s="1724">
        <v>0</v>
      </c>
      <c r="E9" s="1724">
        <v>0</v>
      </c>
      <c r="F9" s="1724">
        <v>0</v>
      </c>
      <c r="G9" s="972">
        <f>+SUM(C9:F9)</f>
        <v>0</v>
      </c>
      <c r="H9" s="969"/>
      <c r="I9" s="1723">
        <v>0</v>
      </c>
      <c r="J9" s="1724">
        <v>0</v>
      </c>
      <c r="K9" s="1724">
        <v>0</v>
      </c>
      <c r="L9" s="1724">
        <v>0</v>
      </c>
      <c r="M9" s="972">
        <f>+SUM(I9:L9)</f>
        <v>0</v>
      </c>
      <c r="N9" s="969"/>
      <c r="O9" s="1723">
        <v>0</v>
      </c>
      <c r="P9" s="1724">
        <v>0</v>
      </c>
      <c r="Q9" s="1724">
        <v>0</v>
      </c>
      <c r="R9" s="1724">
        <v>0</v>
      </c>
      <c r="S9" s="972">
        <f>+SUM(O9:R9)</f>
        <v>0</v>
      </c>
      <c r="T9" s="969"/>
      <c r="U9" s="1723">
        <v>0</v>
      </c>
      <c r="V9" s="1724">
        <v>0</v>
      </c>
      <c r="W9" s="1724">
        <v>0</v>
      </c>
      <c r="X9" s="1724">
        <v>0</v>
      </c>
      <c r="Y9" s="972">
        <f>+SUM(U9:X9)</f>
        <v>0</v>
      </c>
      <c r="Z9" s="969"/>
      <c r="AA9" s="1723">
        <v>0</v>
      </c>
      <c r="AB9" s="1724">
        <v>0</v>
      </c>
      <c r="AC9" s="1724">
        <v>0</v>
      </c>
      <c r="AD9" s="1724">
        <v>0</v>
      </c>
      <c r="AE9" s="972">
        <f>+SUM(AA9:AD9)</f>
        <v>0</v>
      </c>
      <c r="AF9" s="969"/>
      <c r="AG9" s="1723">
        <v>0</v>
      </c>
      <c r="AH9" s="1724">
        <v>0</v>
      </c>
      <c r="AI9" s="1724">
        <v>0</v>
      </c>
      <c r="AJ9" s="1724">
        <v>0</v>
      </c>
      <c r="AK9" s="972">
        <f>+SUM(AG9:AJ9)</f>
        <v>0</v>
      </c>
      <c r="AL9" s="969"/>
      <c r="AM9" s="1723">
        <v>0</v>
      </c>
      <c r="AN9" s="1724">
        <v>0</v>
      </c>
      <c r="AO9" s="1724">
        <v>0</v>
      </c>
      <c r="AP9" s="1724">
        <v>0</v>
      </c>
      <c r="AQ9" s="972">
        <f>+SUM(AM9:AP9)</f>
        <v>0</v>
      </c>
      <c r="AR9" s="969"/>
      <c r="AS9" s="1723">
        <v>0</v>
      </c>
      <c r="AT9" s="1724">
        <f>0-AS9</f>
        <v>0</v>
      </c>
      <c r="AU9" s="1724">
        <v>0</v>
      </c>
      <c r="AV9" s="1724">
        <v>0</v>
      </c>
      <c r="AW9" s="894">
        <f>+SUM(AS9:AV9)</f>
        <v>0</v>
      </c>
      <c r="AX9" s="969"/>
      <c r="AY9" s="1723">
        <v>0</v>
      </c>
      <c r="AZ9" s="1724">
        <f>0-AY9</f>
        <v>0</v>
      </c>
      <c r="BA9" s="1724">
        <f>0-SUM(AY9:AZ9)</f>
        <v>0</v>
      </c>
      <c r="BB9" s="1724">
        <f>0-SUM(AY9:BA9)</f>
        <v>0</v>
      </c>
      <c r="BC9" s="894">
        <f>+SUM(AY9:BB9)</f>
        <v>0</v>
      </c>
      <c r="BD9" s="969"/>
      <c r="BE9" s="1723">
        <v>0</v>
      </c>
      <c r="BF9" s="1724">
        <f>0-BE9</f>
        <v>0</v>
      </c>
      <c r="BG9" s="1724">
        <f>0-SUM(BE9:BF9)</f>
        <v>0</v>
      </c>
      <c r="BH9" s="1724">
        <f>0-SUM(BE9:BG9)</f>
        <v>0</v>
      </c>
      <c r="BI9" s="894">
        <f>+SUM(BE9:BH9)</f>
        <v>0</v>
      </c>
      <c r="BJ9" s="969"/>
      <c r="BK9" s="1723">
        <v>0</v>
      </c>
      <c r="BL9" s="1724">
        <f t="shared" ref="BL9:BL32" si="0">0-BK9</f>
        <v>0</v>
      </c>
      <c r="BM9" s="1724">
        <f t="shared" ref="BM9:BM32" si="1">0-SUM(BK9:BL9)</f>
        <v>0</v>
      </c>
      <c r="BN9" s="1724">
        <v>0</v>
      </c>
      <c r="BO9" s="894">
        <f>+SUM(BK9:BN9)</f>
        <v>0</v>
      </c>
      <c r="BP9" s="969"/>
      <c r="BQ9" s="1723">
        <v>0</v>
      </c>
      <c r="BR9" s="1724">
        <v>0</v>
      </c>
      <c r="BS9" s="1724">
        <v>0</v>
      </c>
      <c r="BT9" s="1724">
        <v>0</v>
      </c>
      <c r="BU9" s="894">
        <f>+SUM(BQ9:BT9)</f>
        <v>0</v>
      </c>
      <c r="BV9" s="969"/>
      <c r="BW9" s="1723">
        <v>0</v>
      </c>
      <c r="BX9" s="1724">
        <v>0</v>
      </c>
      <c r="BY9" s="1724">
        <v>0</v>
      </c>
      <c r="BZ9" s="1724">
        <v>0</v>
      </c>
      <c r="CA9" s="894">
        <f>+SUM(BW9:BZ9)</f>
        <v>0</v>
      </c>
      <c r="CB9" s="984"/>
      <c r="CC9" s="1723">
        <v>0</v>
      </c>
      <c r="CD9" s="1724">
        <v>0</v>
      </c>
      <c r="CE9" s="1724">
        <v>0</v>
      </c>
      <c r="CF9" s="1724">
        <v>0</v>
      </c>
      <c r="CG9" s="894">
        <f>+SUM(CC9:CF9)</f>
        <v>0</v>
      </c>
      <c r="CH9" s="973"/>
      <c r="CI9" s="1723">
        <v>0</v>
      </c>
      <c r="CJ9" s="1724">
        <v>0</v>
      </c>
      <c r="CK9" s="1724">
        <v>0</v>
      </c>
      <c r="CL9" s="1724">
        <v>0</v>
      </c>
      <c r="CM9" s="894">
        <f>+SUM(CI9:CL9)</f>
        <v>0</v>
      </c>
      <c r="CN9" s="973"/>
      <c r="CO9" s="973"/>
      <c r="CP9" s="973"/>
    </row>
    <row r="10" spans="1:94" ht="12.75" hidden="1" customHeight="1" outlineLevel="1">
      <c r="A10" s="1833" t="s">
        <v>385</v>
      </c>
      <c r="B10" s="969"/>
      <c r="C10" s="974">
        <f>IS!C27</f>
        <v>0</v>
      </c>
      <c r="D10" s="975">
        <f>IS!D27</f>
        <v>0</v>
      </c>
      <c r="E10" s="975">
        <f>IS!E27</f>
        <v>0</v>
      </c>
      <c r="F10" s="975">
        <f>IS!F27</f>
        <v>0</v>
      </c>
      <c r="G10" s="972">
        <f>+SUM(C10:F10)</f>
        <v>0</v>
      </c>
      <c r="H10" s="969"/>
      <c r="I10" s="974">
        <f>IS!I27</f>
        <v>0</v>
      </c>
      <c r="J10" s="975">
        <f>IS!J27</f>
        <v>0</v>
      </c>
      <c r="K10" s="975">
        <f>IS!K27</f>
        <v>0</v>
      </c>
      <c r="L10" s="975">
        <f>IS!L27</f>
        <v>0</v>
      </c>
      <c r="M10" s="972">
        <f>+SUM(I10:L10)</f>
        <v>0</v>
      </c>
      <c r="N10" s="969"/>
      <c r="O10" s="974">
        <f>IS!O27</f>
        <v>0</v>
      </c>
      <c r="P10" s="975">
        <f>IS!P27</f>
        <v>0</v>
      </c>
      <c r="Q10" s="975">
        <f>IS!Q27</f>
        <v>0</v>
      </c>
      <c r="R10" s="975">
        <f>IS!R27</f>
        <v>0</v>
      </c>
      <c r="S10" s="972">
        <f>+SUM(O10:R10)</f>
        <v>0</v>
      </c>
      <c r="T10" s="969"/>
      <c r="U10" s="974">
        <f>IS!U27</f>
        <v>0</v>
      </c>
      <c r="V10" s="975">
        <f>IS!V27</f>
        <v>0</v>
      </c>
      <c r="W10" s="975">
        <f>IS!W27</f>
        <v>0</v>
      </c>
      <c r="X10" s="975">
        <f>IS!X27</f>
        <v>0</v>
      </c>
      <c r="Y10" s="972">
        <f>+SUM(U10:X10)</f>
        <v>0</v>
      </c>
      <c r="Z10" s="969"/>
      <c r="AA10" s="974">
        <f>IS!AA27</f>
        <v>0</v>
      </c>
      <c r="AB10" s="975">
        <f>IS!AB27</f>
        <v>0</v>
      </c>
      <c r="AC10" s="975">
        <f>IS!AC27</f>
        <v>0</v>
      </c>
      <c r="AD10" s="975">
        <f>IS!AD27</f>
        <v>0</v>
      </c>
      <c r="AE10" s="972">
        <f>+SUM(AA10:AD10)</f>
        <v>0</v>
      </c>
      <c r="AF10" s="969"/>
      <c r="AG10" s="974">
        <f>IS!AG27</f>
        <v>0</v>
      </c>
      <c r="AH10" s="975">
        <f>IS!AH27</f>
        <v>0</v>
      </c>
      <c r="AI10" s="975">
        <f>IS!AI27</f>
        <v>0</v>
      </c>
      <c r="AJ10" s="975">
        <f>IS!AJ27</f>
        <v>0</v>
      </c>
      <c r="AK10" s="972">
        <f>+SUM(AG10:AJ10)</f>
        <v>0</v>
      </c>
      <c r="AL10" s="969"/>
      <c r="AM10" s="974">
        <f>IS!AM27</f>
        <v>0</v>
      </c>
      <c r="AN10" s="975">
        <f>IS!AN27</f>
        <v>0</v>
      </c>
      <c r="AO10" s="975">
        <f>IS!AO27</f>
        <v>0</v>
      </c>
      <c r="AP10" s="975">
        <f>IS!AP27</f>
        <v>0</v>
      </c>
      <c r="AQ10" s="972">
        <f>+SUM(AM10:AP10)</f>
        <v>0</v>
      </c>
      <c r="AR10" s="969"/>
      <c r="AS10" s="974">
        <f>IS!AS27</f>
        <v>74</v>
      </c>
      <c r="AT10" s="1724">
        <f>173-AS10</f>
        <v>99</v>
      </c>
      <c r="AU10" s="975">
        <f>IS!AU27</f>
        <v>0</v>
      </c>
      <c r="AV10" s="975">
        <f>IS!AV27</f>
        <v>0</v>
      </c>
      <c r="AW10" s="894">
        <f>+SUM(AS10:AV10)</f>
        <v>173</v>
      </c>
      <c r="AX10" s="969"/>
      <c r="AY10" s="974">
        <f>IS!AY27</f>
        <v>-30</v>
      </c>
      <c r="AZ10" s="1724">
        <f>-35-AY10</f>
        <v>-5</v>
      </c>
      <c r="BA10" s="1724">
        <f>-37-SUM(AY10:AZ10)</f>
        <v>-2</v>
      </c>
      <c r="BB10" s="1724">
        <f>-37-SUM(AY10:BA10)</f>
        <v>0</v>
      </c>
      <c r="BC10" s="894">
        <f>+SUM(AY10:BB10)</f>
        <v>-37</v>
      </c>
      <c r="BD10" s="969"/>
      <c r="BE10" s="1723">
        <v>0</v>
      </c>
      <c r="BF10" s="1724">
        <f>0-BE10</f>
        <v>0</v>
      </c>
      <c r="BG10" s="1724">
        <f>0-SUM(BE10:BF10)</f>
        <v>0</v>
      </c>
      <c r="BH10" s="1724">
        <f>0-SUM(BE10:BG10)</f>
        <v>0</v>
      </c>
      <c r="BI10" s="894">
        <f>+SUM(BE10:BH10)</f>
        <v>0</v>
      </c>
      <c r="BJ10" s="969"/>
      <c r="BK10" s="1723">
        <v>0</v>
      </c>
      <c r="BL10" s="1724">
        <f t="shared" si="0"/>
        <v>0</v>
      </c>
      <c r="BM10" s="1724">
        <f t="shared" si="1"/>
        <v>0</v>
      </c>
      <c r="BN10" s="1724">
        <f>IS!BN27</f>
        <v>0</v>
      </c>
      <c r="BO10" s="894">
        <f>+SUM(BK10:BN10)</f>
        <v>0</v>
      </c>
      <c r="BP10" s="969"/>
      <c r="BQ10" s="1723">
        <v>0</v>
      </c>
      <c r="BR10" s="975">
        <f>IS!BR27</f>
        <v>0</v>
      </c>
      <c r="BS10" s="975">
        <f>IS!BS27</f>
        <v>0</v>
      </c>
      <c r="BT10" s="975">
        <f>IS!BT27</f>
        <v>0</v>
      </c>
      <c r="BU10" s="894">
        <f>+SUM(BQ10:BT10)</f>
        <v>0</v>
      </c>
      <c r="BV10" s="969"/>
      <c r="BW10" s="974">
        <f>IS!BW27</f>
        <v>0</v>
      </c>
      <c r="BX10" s="975">
        <f>IS!BX27</f>
        <v>0</v>
      </c>
      <c r="BY10" s="975">
        <f>IS!BY27</f>
        <v>0</v>
      </c>
      <c r="BZ10" s="975">
        <f>IS!BZ27</f>
        <v>0</v>
      </c>
      <c r="CA10" s="894">
        <f>+SUM(BW10:BZ10)</f>
        <v>0</v>
      </c>
      <c r="CB10" s="984"/>
      <c r="CC10" s="974">
        <f>IS!CC27</f>
        <v>0</v>
      </c>
      <c r="CD10" s="975">
        <f>IS!CD27</f>
        <v>0</v>
      </c>
      <c r="CE10" s="975">
        <f>IS!CE27</f>
        <v>0</v>
      </c>
      <c r="CF10" s="975">
        <f>IS!CF27</f>
        <v>0</v>
      </c>
      <c r="CG10" s="894">
        <f>+SUM(CC10:CF10)</f>
        <v>0</v>
      </c>
      <c r="CH10" s="973"/>
      <c r="CI10" s="974">
        <f>IS!CI27</f>
        <v>0</v>
      </c>
      <c r="CJ10" s="975">
        <f>IS!CJ27</f>
        <v>0</v>
      </c>
      <c r="CK10" s="975">
        <f>IS!CK27</f>
        <v>0</v>
      </c>
      <c r="CL10" s="975">
        <f>IS!CL27</f>
        <v>0</v>
      </c>
      <c r="CM10" s="894">
        <f>+SUM(CI10:CL10)</f>
        <v>0</v>
      </c>
      <c r="CN10" s="973"/>
      <c r="CO10" s="973"/>
      <c r="CP10" s="973"/>
    </row>
    <row r="11" spans="1:94" ht="12.75" customHeight="1" collapsed="1">
      <c r="A11" s="2015" t="s">
        <v>386</v>
      </c>
      <c r="B11" s="976"/>
      <c r="C11" s="977">
        <f>C8+C9+C10</f>
        <v>73.661111111111111</v>
      </c>
      <c r="D11" s="978">
        <f>D8+D9+D10</f>
        <v>57.661111111111111</v>
      </c>
      <c r="E11" s="978">
        <f>E8+E9+E10</f>
        <v>69.661111111111111</v>
      </c>
      <c r="F11" s="978">
        <f>F8+F9+F10</f>
        <v>80.8611111111111</v>
      </c>
      <c r="G11" s="979">
        <f>G8+G9+G10</f>
        <v>281.84444444444443</v>
      </c>
      <c r="H11" s="976"/>
      <c r="I11" s="977">
        <f>I8+I9+I10</f>
        <v>70.256944444444457</v>
      </c>
      <c r="J11" s="978">
        <f>J8+J9+J10</f>
        <v>59.856944444444444</v>
      </c>
      <c r="K11" s="978">
        <f>K8+K9+K10</f>
        <v>77.456944444444446</v>
      </c>
      <c r="L11" s="978">
        <f>L8+L9+L10</f>
        <v>106.25694444444446</v>
      </c>
      <c r="M11" s="979">
        <f>M8+M9+M10</f>
        <v>313.82777777777778</v>
      </c>
      <c r="N11" s="976"/>
      <c r="O11" s="977">
        <f>O8+O9+O10</f>
        <v>68.990399999999994</v>
      </c>
      <c r="P11" s="978">
        <f>P8+P9+P10</f>
        <v>54.260000000000034</v>
      </c>
      <c r="Q11" s="978">
        <f>Q8+Q9+Q10</f>
        <v>53.144400000000047</v>
      </c>
      <c r="R11" s="978">
        <f>R8+R9+R10</f>
        <v>71.635600000000011</v>
      </c>
      <c r="S11" s="979">
        <f>S8+S9+S10</f>
        <v>248.0304000000001</v>
      </c>
      <c r="T11" s="976"/>
      <c r="U11" s="977">
        <f>U8+U9+U10</f>
        <v>82.674800000000005</v>
      </c>
      <c r="V11" s="978">
        <f>V8+V9+V10</f>
        <v>70.430800000000005</v>
      </c>
      <c r="W11" s="978">
        <f>W8+W9+W10</f>
        <v>67.391600000000011</v>
      </c>
      <c r="X11" s="978">
        <f>X8+X9+X10</f>
        <v>79.925600000000031</v>
      </c>
      <c r="Y11" s="979">
        <f>Y8+Y9+Y10</f>
        <v>300.42280000000005</v>
      </c>
      <c r="Z11" s="976"/>
      <c r="AA11" s="977">
        <f>AA8+AA9+AA10</f>
        <v>50.271199999999951</v>
      </c>
      <c r="AB11" s="978">
        <f>AB8+AB9+AB10</f>
        <v>71.365600000000001</v>
      </c>
      <c r="AC11" s="978">
        <f>AC8+AC9+AC10</f>
        <v>76.53400000000002</v>
      </c>
      <c r="AD11" s="978">
        <f>AD8+AD9+AD10</f>
        <v>95.182400000000058</v>
      </c>
      <c r="AE11" s="979">
        <f>AE8+AE9+AE10</f>
        <v>293.35320000000002</v>
      </c>
      <c r="AF11" s="976"/>
      <c r="AG11" s="977">
        <f>AG8+AG9+AG10</f>
        <v>95.174999999999997</v>
      </c>
      <c r="AH11" s="978">
        <f>AH8+AH9+AH10</f>
        <v>79.275000000000006</v>
      </c>
      <c r="AI11" s="978">
        <f>AI8+AI9+AI10</f>
        <v>24.975000000000009</v>
      </c>
      <c r="AJ11" s="978">
        <f>AJ8+AJ9+AJ10</f>
        <v>50.174999999999983</v>
      </c>
      <c r="AK11" s="979">
        <f>AK8+AK9+AK10</f>
        <v>249.6</v>
      </c>
      <c r="AL11" s="976"/>
      <c r="AM11" s="977">
        <f>AM8+AM9+AM10</f>
        <v>72.187500000000085</v>
      </c>
      <c r="AN11" s="978">
        <f>AN8+AN9+AN10</f>
        <v>53.537499999999994</v>
      </c>
      <c r="AO11" s="978">
        <f>AO8+AO9+AO10</f>
        <v>81.337500000000006</v>
      </c>
      <c r="AP11" s="978">
        <f>AP8+AP9+AP10</f>
        <v>110.73749999999998</v>
      </c>
      <c r="AQ11" s="979">
        <f>AQ8+AQ9+AQ10</f>
        <v>317.80000000000007</v>
      </c>
      <c r="AR11" s="976"/>
      <c r="AS11" s="977">
        <f>AS8+AS9+AS10</f>
        <v>195</v>
      </c>
      <c r="AT11" s="978">
        <f>AT8+AT9+AT10</f>
        <v>139</v>
      </c>
      <c r="AU11" s="978">
        <f>AU8+AU9+AU10</f>
        <v>64.346319999999992</v>
      </c>
      <c r="AV11" s="978">
        <f>AV8+AV9+AV10</f>
        <v>-26.281959999999884</v>
      </c>
      <c r="AW11" s="979">
        <f>AW8+AW9+AW10</f>
        <v>372.06436000000008</v>
      </c>
      <c r="AX11" s="976"/>
      <c r="AY11" s="977">
        <f>AY8+AY9+AY10</f>
        <v>72</v>
      </c>
      <c r="AZ11" s="978">
        <f>AZ8+AZ9+AZ10</f>
        <v>83</v>
      </c>
      <c r="BA11" s="978">
        <f>BA8+BA9+BA10</f>
        <v>103</v>
      </c>
      <c r="BB11" s="978">
        <f>BB8+BB9+BB10</f>
        <v>143</v>
      </c>
      <c r="BC11" s="979">
        <f>BC8+BC9+BC10</f>
        <v>401</v>
      </c>
      <c r="BD11" s="976"/>
      <c r="BE11" s="977">
        <f>BE8+BE9+BE10</f>
        <v>123</v>
      </c>
      <c r="BF11" s="978">
        <f>BF8+BF9+BF10</f>
        <v>91</v>
      </c>
      <c r="BG11" s="978">
        <f>BG8+BG9+BG10</f>
        <v>122</v>
      </c>
      <c r="BH11" s="978">
        <f>BH8+BH9+BH10</f>
        <v>126</v>
      </c>
      <c r="BI11" s="979">
        <f>BI8+BI9+BI10</f>
        <v>462</v>
      </c>
      <c r="BJ11" s="976"/>
      <c r="BK11" s="977">
        <f>BK8+BK9+BK10</f>
        <v>168</v>
      </c>
      <c r="BL11" s="978">
        <f>BL8+BL9+BL10</f>
        <v>164</v>
      </c>
      <c r="BM11" s="978">
        <f>BM8+BM9+BM10</f>
        <v>175</v>
      </c>
      <c r="BN11" s="978">
        <f>BN8+BN9+BN10</f>
        <v>177</v>
      </c>
      <c r="BO11" s="979">
        <f>BO8+BO9+BO10</f>
        <v>684</v>
      </c>
      <c r="BP11" s="976"/>
      <c r="BQ11" s="977">
        <f>BQ8+BQ9+BQ10</f>
        <v>-320</v>
      </c>
      <c r="BR11" s="978">
        <f>BR8+BR9+BR10</f>
        <v>216.28795130369159</v>
      </c>
      <c r="BS11" s="978">
        <f>BS8+BS9+BS10</f>
        <v>208.354457106513</v>
      </c>
      <c r="BT11" s="978">
        <f>BT8+BT9+BT10</f>
        <v>237.86972266210014</v>
      </c>
      <c r="BU11" s="979">
        <f>BU8+BU9+BU10</f>
        <v>342.51213107230473</v>
      </c>
      <c r="BV11" s="976"/>
      <c r="BW11" s="977">
        <f>BW8+BW9+BW10</f>
        <v>225.32064060289352</v>
      </c>
      <c r="BX11" s="978">
        <f>BX8+BX9+BX10</f>
        <v>245.05219320011221</v>
      </c>
      <c r="BY11" s="978">
        <f>BY8+BY9+BY10</f>
        <v>239.09983247030257</v>
      </c>
      <c r="BZ11" s="978">
        <f>BZ8+BZ9+BZ10</f>
        <v>271.82471637118323</v>
      </c>
      <c r="CA11" s="979">
        <f>CA8+CA9+CA10</f>
        <v>981.29738264449156</v>
      </c>
      <c r="CB11" s="2129"/>
      <c r="CC11" s="977">
        <f>CC8+CC9+CC10</f>
        <v>254.69824834806846</v>
      </c>
      <c r="CD11" s="978">
        <f>CD8+CD9+CD10</f>
        <v>343.65365484158929</v>
      </c>
      <c r="CE11" s="978">
        <f>CE8+CE9+CE10</f>
        <v>342.30434153437335</v>
      </c>
      <c r="CF11" s="978">
        <f>CF8+CF9+CF10</f>
        <v>382.01283162974988</v>
      </c>
      <c r="CG11" s="979">
        <f>CG8+CG9+CG10</f>
        <v>1322.6690763537808</v>
      </c>
      <c r="CH11" s="980"/>
      <c r="CI11" s="977">
        <f>CI8+CI9+CI10</f>
        <v>360.57020981401939</v>
      </c>
      <c r="CJ11" s="978">
        <f>CJ8+CJ9+CJ10</f>
        <v>308.70073523444461</v>
      </c>
      <c r="CK11" s="978">
        <f>CK8+CK9+CK10</f>
        <v>304.42793292776958</v>
      </c>
      <c r="CL11" s="978">
        <f>CL8+CL9+CL10</f>
        <v>341.83627337788027</v>
      </c>
      <c r="CM11" s="979">
        <f>CM8+CM9+CM10</f>
        <v>1315.5351513541139</v>
      </c>
      <c r="CN11" s="980"/>
      <c r="CO11" s="980"/>
      <c r="CP11" s="980"/>
    </row>
    <row r="12" spans="1:94">
      <c r="A12" s="981" t="s">
        <v>387</v>
      </c>
      <c r="B12" s="982"/>
      <c r="C12" s="1727">
        <v>24.444444444444446</v>
      </c>
      <c r="D12" s="1738">
        <v>24.444444444444446</v>
      </c>
      <c r="E12" s="1738">
        <v>24.444444444444446</v>
      </c>
      <c r="F12" s="1738">
        <v>24.444444444444446</v>
      </c>
      <c r="G12" s="972">
        <f t="shared" ref="G12:G22" si="2">+SUM(C12:F12)</f>
        <v>97.777777777777786</v>
      </c>
      <c r="H12" s="982"/>
      <c r="I12" s="1727">
        <v>22.777777777777779</v>
      </c>
      <c r="J12" s="1738">
        <v>22.777777777777779</v>
      </c>
      <c r="K12" s="1738">
        <v>22.777777777777779</v>
      </c>
      <c r="L12" s="1738">
        <v>22.777777777777779</v>
      </c>
      <c r="M12" s="972">
        <f t="shared" ref="M12:M22" si="3">+SUM(I12:L12)</f>
        <v>91.111111111111114</v>
      </c>
      <c r="N12" s="982"/>
      <c r="O12" s="1727">
        <v>24.25</v>
      </c>
      <c r="P12" s="1738">
        <v>22.25</v>
      </c>
      <c r="Q12" s="1738">
        <v>23.25</v>
      </c>
      <c r="R12" s="1738">
        <v>21.25</v>
      </c>
      <c r="S12" s="972">
        <f t="shared" ref="S12:S22" si="4">+SUM(O12:R12)</f>
        <v>91</v>
      </c>
      <c r="T12" s="984"/>
      <c r="U12" s="1727">
        <v>23.5</v>
      </c>
      <c r="V12" s="1738">
        <v>19.5</v>
      </c>
      <c r="W12" s="1738">
        <v>43.5</v>
      </c>
      <c r="X12" s="1738">
        <v>50.5</v>
      </c>
      <c r="Y12" s="972">
        <f t="shared" ref="Y12:Y22" si="5">+SUM(U12:X12)</f>
        <v>137</v>
      </c>
      <c r="Z12" s="984"/>
      <c r="AA12" s="1727">
        <v>44.25</v>
      </c>
      <c r="AB12" s="1738">
        <v>45.25</v>
      </c>
      <c r="AC12" s="1738">
        <v>44.25</v>
      </c>
      <c r="AD12" s="1738">
        <v>44.25</v>
      </c>
      <c r="AE12" s="972">
        <f t="shared" ref="AE12:AE22" si="6">+SUM(AA12:AD12)</f>
        <v>178</v>
      </c>
      <c r="AF12" s="982"/>
      <c r="AG12" s="1727">
        <v>41.25</v>
      </c>
      <c r="AH12" s="1738">
        <v>40.25</v>
      </c>
      <c r="AI12" s="1738">
        <v>63.25</v>
      </c>
      <c r="AJ12" s="1738">
        <v>73.25</v>
      </c>
      <c r="AK12" s="972">
        <f t="shared" ref="AK12:AK22" si="7">+SUM(AG12:AJ12)</f>
        <v>218</v>
      </c>
      <c r="AL12" s="982"/>
      <c r="AM12" s="1727">
        <v>75</v>
      </c>
      <c r="AN12" s="1738">
        <v>70.666666666666671</v>
      </c>
      <c r="AO12" s="1738">
        <v>69.666666666666671</v>
      </c>
      <c r="AP12" s="1738">
        <v>73.666666666666671</v>
      </c>
      <c r="AQ12" s="972">
        <f t="shared" ref="AQ12:AQ21" si="8">+SUM(AM12:AP12)</f>
        <v>289.00000000000006</v>
      </c>
      <c r="AR12" s="982"/>
      <c r="AS12" s="1725">
        <v>96</v>
      </c>
      <c r="AT12" s="1724">
        <f>193-AS12</f>
        <v>97</v>
      </c>
      <c r="AU12" s="1738">
        <v>78</v>
      </c>
      <c r="AV12" s="975">
        <f>-BS!AV105-BS!AV116</f>
        <v>70.452824709196193</v>
      </c>
      <c r="AW12" s="894">
        <f t="shared" ref="AW12:AW22" si="9">+SUM(AS12:AV12)</f>
        <v>341.45282470919619</v>
      </c>
      <c r="AX12" s="982"/>
      <c r="AY12" s="1725">
        <v>68</v>
      </c>
      <c r="AZ12" s="1724">
        <f>131-AY12</f>
        <v>63</v>
      </c>
      <c r="BA12" s="1724">
        <f>193-SUM(AY12:AZ12)</f>
        <v>62</v>
      </c>
      <c r="BB12" s="1724">
        <f>253-SUM(AY12:BA12)</f>
        <v>60</v>
      </c>
      <c r="BC12" s="894">
        <f t="shared" ref="BC12:BC22" si="10">+SUM(AY12:BB12)</f>
        <v>253</v>
      </c>
      <c r="BD12" s="982"/>
      <c r="BE12" s="1725">
        <v>66</v>
      </c>
      <c r="BF12" s="1724">
        <f>130-BE12</f>
        <v>64</v>
      </c>
      <c r="BG12" s="1724">
        <f>190-SUM(BE12:BF12)</f>
        <v>60</v>
      </c>
      <c r="BH12" s="1724">
        <f>246-SUM(BE12:BG12)</f>
        <v>56</v>
      </c>
      <c r="BI12" s="894">
        <f t="shared" ref="BI12:BI22" si="11">+SUM(BE12:BH12)</f>
        <v>246</v>
      </c>
      <c r="BJ12" s="982"/>
      <c r="BK12" s="1725">
        <v>55</v>
      </c>
      <c r="BL12" s="1724">
        <f>109-BK12</f>
        <v>54</v>
      </c>
      <c r="BM12" s="1724">
        <f>160-SUM(BK12:BL12)</f>
        <v>51</v>
      </c>
      <c r="BN12" s="1724">
        <f>212-SUM(BK12:BM12)</f>
        <v>52</v>
      </c>
      <c r="BO12" s="894">
        <f t="shared" ref="BO12:BO22" si="12">+SUM(BK12:BN12)</f>
        <v>212</v>
      </c>
      <c r="BP12" s="982"/>
      <c r="BQ12" s="1725">
        <v>51</v>
      </c>
      <c r="BR12" s="975">
        <f>-BS!BR105-BS!BR116</f>
        <v>48.658526432926806</v>
      </c>
      <c r="BS12" s="975">
        <f>-BS!BS105-BS!BS116</f>
        <v>48.163901178231924</v>
      </c>
      <c r="BT12" s="975">
        <f>-BS!BT105-BS!BT116</f>
        <v>51.086520341788756</v>
      </c>
      <c r="BU12" s="894">
        <f t="shared" ref="BU12:BU21" si="13">+SUM(BQ12:BT12)</f>
        <v>198.90894795294747</v>
      </c>
      <c r="BV12" s="982"/>
      <c r="BW12" s="974">
        <f>-BS!BW105-BS!BW116</f>
        <v>45.886797952212184</v>
      </c>
      <c r="BX12" s="975">
        <f>-BS!BX105-BS!BX116</f>
        <v>47.589350611874202</v>
      </c>
      <c r="BY12" s="975">
        <f>-BS!BY105-BS!BY116</f>
        <v>47.695305858060856</v>
      </c>
      <c r="BZ12" s="975">
        <f>-BS!BZ105-BS!BZ116</f>
        <v>50.468800222471003</v>
      </c>
      <c r="CA12" s="894">
        <f t="shared" ref="CA12:CA21" si="14">+SUM(BW12:BZ12)</f>
        <v>191.64025464461824</v>
      </c>
      <c r="CB12" s="984"/>
      <c r="CC12" s="974">
        <f>-BS!CC105-BS!CC116</f>
        <v>44.822549640945034</v>
      </c>
      <c r="CD12" s="975">
        <f>-BS!CD105-BS!CD116</f>
        <v>46.616576276035772</v>
      </c>
      <c r="CE12" s="975">
        <f>-BS!CE105-BS!CE116</f>
        <v>47.080395393960416</v>
      </c>
      <c r="CF12" s="975">
        <f>-BS!CF105-BS!CF116</f>
        <v>49.649890933254611</v>
      </c>
      <c r="CG12" s="894">
        <f t="shared" ref="CG12:CG21" si="15">+SUM(CC12:CF12)</f>
        <v>188.16941224419583</v>
      </c>
      <c r="CH12" s="985"/>
      <c r="CI12" s="974">
        <f>-BS!CI105-BS!CI116</f>
        <v>47.549823809966057</v>
      </c>
      <c r="CJ12" s="975">
        <f>-BS!CJ105-BS!CJ116</f>
        <v>49.605735420355565</v>
      </c>
      <c r="CK12" s="975">
        <f>-BS!CK105-BS!CK116</f>
        <v>50.549886307295601</v>
      </c>
      <c r="CL12" s="975">
        <f>-BS!CL105-BS!CL116</f>
        <v>53.098857266968885</v>
      </c>
      <c r="CM12" s="894">
        <f t="shared" ref="CM12:CM21" si="16">+SUM(CI12:CL12)</f>
        <v>200.80430280458609</v>
      </c>
      <c r="CN12" s="985"/>
      <c r="CO12" s="985"/>
      <c r="CP12" s="985"/>
    </row>
    <row r="13" spans="1:94" ht="13.5" customHeight="1">
      <c r="A13" s="981" t="s">
        <v>388</v>
      </c>
      <c r="B13" s="982"/>
      <c r="C13" s="986">
        <f>IS!C18</f>
        <v>13</v>
      </c>
      <c r="D13" s="987">
        <f>IS!D18</f>
        <v>13</v>
      </c>
      <c r="E13" s="987">
        <f>IS!E18</f>
        <v>13</v>
      </c>
      <c r="F13" s="987">
        <f>IS!F18</f>
        <v>13</v>
      </c>
      <c r="G13" s="972">
        <f t="shared" si="2"/>
        <v>52</v>
      </c>
      <c r="H13" s="982"/>
      <c r="I13" s="986">
        <f>IS!I18</f>
        <v>7.75</v>
      </c>
      <c r="J13" s="987">
        <f>IS!J18</f>
        <v>7.75</v>
      </c>
      <c r="K13" s="987">
        <f>IS!K18</f>
        <v>7.75</v>
      </c>
      <c r="L13" s="987">
        <f>IS!L18</f>
        <v>7.75</v>
      </c>
      <c r="M13" s="972">
        <f t="shared" si="3"/>
        <v>31</v>
      </c>
      <c r="N13" s="982"/>
      <c r="O13" s="986">
        <f>IS!O18</f>
        <v>12</v>
      </c>
      <c r="P13" s="987">
        <f>IS!P18</f>
        <v>9</v>
      </c>
      <c r="Q13" s="987">
        <f>IS!Q18</f>
        <v>8</v>
      </c>
      <c r="R13" s="987">
        <f>IS!R18</f>
        <v>6</v>
      </c>
      <c r="S13" s="972">
        <f t="shared" si="4"/>
        <v>35</v>
      </c>
      <c r="T13" s="984"/>
      <c r="U13" s="986">
        <f>IS!U18</f>
        <v>16.5</v>
      </c>
      <c r="V13" s="987">
        <f>IS!V18</f>
        <v>4.5</v>
      </c>
      <c r="W13" s="987">
        <f>IS!W18</f>
        <v>4.5</v>
      </c>
      <c r="X13" s="987">
        <f>IS!X18</f>
        <v>6.5</v>
      </c>
      <c r="Y13" s="972">
        <f t="shared" si="5"/>
        <v>32</v>
      </c>
      <c r="Z13" s="984"/>
      <c r="AA13" s="986">
        <f>IS!AA18</f>
        <v>19</v>
      </c>
      <c r="AB13" s="987">
        <f>IS!AB18</f>
        <v>7</v>
      </c>
      <c r="AC13" s="987">
        <f>IS!AC18</f>
        <v>5</v>
      </c>
      <c r="AD13" s="987">
        <f>IS!AD18</f>
        <v>5</v>
      </c>
      <c r="AE13" s="972">
        <f t="shared" si="6"/>
        <v>36</v>
      </c>
      <c r="AF13" s="982"/>
      <c r="AG13" s="986">
        <f>IS!AG18</f>
        <v>17.75</v>
      </c>
      <c r="AH13" s="987">
        <f>IS!AH18</f>
        <v>6.75</v>
      </c>
      <c r="AI13" s="987">
        <f>IS!AI18</f>
        <v>6.75</v>
      </c>
      <c r="AJ13" s="987">
        <f>IS!AJ18</f>
        <v>5.75</v>
      </c>
      <c r="AK13" s="972">
        <f t="shared" si="7"/>
        <v>37</v>
      </c>
      <c r="AL13" s="982"/>
      <c r="AM13" s="986">
        <f>IS!AM18</f>
        <v>16</v>
      </c>
      <c r="AN13" s="987">
        <f>IS!AN18</f>
        <v>10.333333333333332</v>
      </c>
      <c r="AO13" s="987">
        <f>IS!AO18</f>
        <v>9.3333333333333321</v>
      </c>
      <c r="AP13" s="987">
        <f>IS!AP18</f>
        <v>10.333333333333332</v>
      </c>
      <c r="AQ13" s="972">
        <f t="shared" si="8"/>
        <v>46</v>
      </c>
      <c r="AR13" s="982"/>
      <c r="AS13" s="986">
        <f>IS!AS18</f>
        <v>36</v>
      </c>
      <c r="AT13" s="1724">
        <f>58-AS13</f>
        <v>22</v>
      </c>
      <c r="AU13" s="987">
        <f>IS!AU18</f>
        <v>11.456228000000001</v>
      </c>
      <c r="AV13" s="987">
        <f>IS!AV18</f>
        <v>11.629365999999999</v>
      </c>
      <c r="AW13" s="894">
        <f t="shared" si="9"/>
        <v>81.085594</v>
      </c>
      <c r="AX13" s="982"/>
      <c r="AY13" s="986">
        <f>IS!AY18</f>
        <v>22</v>
      </c>
      <c r="AZ13" s="1724">
        <f>33-AY13</f>
        <v>11</v>
      </c>
      <c r="BA13" s="1724">
        <f>43-SUM(AY13:AZ13)</f>
        <v>10</v>
      </c>
      <c r="BB13" s="1724">
        <f>54-SUM(AY13:BA13)</f>
        <v>11</v>
      </c>
      <c r="BC13" s="894">
        <f t="shared" si="10"/>
        <v>54</v>
      </c>
      <c r="BD13" s="982"/>
      <c r="BE13" s="1725">
        <v>23</v>
      </c>
      <c r="BF13" s="1726">
        <f>36-BE13</f>
        <v>13</v>
      </c>
      <c r="BG13" s="1726">
        <f>47-SUM(BE13:BF13)</f>
        <v>11</v>
      </c>
      <c r="BH13" s="1726">
        <f>58-SUM(BE13:BG13)</f>
        <v>11</v>
      </c>
      <c r="BI13" s="894">
        <f t="shared" si="11"/>
        <v>58</v>
      </c>
      <c r="BJ13" s="982"/>
      <c r="BK13" s="1725">
        <v>20</v>
      </c>
      <c r="BL13" s="1724">
        <f>35-BK13</f>
        <v>15</v>
      </c>
      <c r="BM13" s="1724">
        <f>48-SUM(BK13:BL13)</f>
        <v>13</v>
      </c>
      <c r="BN13" s="1726">
        <f>60-SUM(BK13:BM13)</f>
        <v>12</v>
      </c>
      <c r="BO13" s="894">
        <f t="shared" si="12"/>
        <v>60</v>
      </c>
      <c r="BP13" s="982"/>
      <c r="BQ13" s="1725">
        <v>31</v>
      </c>
      <c r="BR13" s="987">
        <f>IS!BR18</f>
        <v>14.392965250444526</v>
      </c>
      <c r="BS13" s="987">
        <f>IS!BS18</f>
        <v>14.366041655505727</v>
      </c>
      <c r="BT13" s="987">
        <f>IS!BT18</f>
        <v>14.888329149765704</v>
      </c>
      <c r="BU13" s="894">
        <f t="shared" si="13"/>
        <v>74.647336055715954</v>
      </c>
      <c r="BV13" s="982"/>
      <c r="BW13" s="986">
        <f>IS!BW18</f>
        <v>32.773898044755022</v>
      </c>
      <c r="BX13" s="987">
        <f>IS!BX18</f>
        <v>15.214596564376734</v>
      </c>
      <c r="BY13" s="987">
        <f>IS!BY18</f>
        <v>15.386127576094715</v>
      </c>
      <c r="BZ13" s="987">
        <f>IS!BZ18</f>
        <v>15.900088458460123</v>
      </c>
      <c r="CA13" s="894">
        <f t="shared" si="14"/>
        <v>79.274710643686589</v>
      </c>
      <c r="CB13" s="984"/>
      <c r="CC13" s="986">
        <f>IS!CC18</f>
        <v>34.441159710032451</v>
      </c>
      <c r="CD13" s="987">
        <f>IS!CD18</f>
        <v>15.993827572917699</v>
      </c>
      <c r="CE13" s="987">
        <f>IS!CE18</f>
        <v>16.320601696846399</v>
      </c>
      <c r="CF13" s="987">
        <f>IS!CF18</f>
        <v>16.800339307204297</v>
      </c>
      <c r="CG13" s="894">
        <f t="shared" si="15"/>
        <v>83.555928287000839</v>
      </c>
      <c r="CH13" s="985"/>
      <c r="CI13" s="986">
        <f>IS!CI18</f>
        <v>36.277414075021142</v>
      </c>
      <c r="CJ13" s="987">
        <f>IS!CJ18</f>
        <v>16.855102704649713</v>
      </c>
      <c r="CK13" s="987">
        <f>IS!CK18</f>
        <v>17.382954228290998</v>
      </c>
      <c r="CL13" s="987">
        <f>IS!CL18</f>
        <v>17.812401674223263</v>
      </c>
      <c r="CM13" s="894">
        <f t="shared" si="16"/>
        <v>88.327872682185117</v>
      </c>
      <c r="CN13" s="985"/>
      <c r="CO13" s="985"/>
      <c r="CP13" s="985"/>
    </row>
    <row r="14" spans="1:94">
      <c r="A14" s="981" t="s">
        <v>389</v>
      </c>
      <c r="B14" s="982"/>
      <c r="C14" s="1727">
        <v>0</v>
      </c>
      <c r="D14" s="1738">
        <f>0-C14</f>
        <v>0</v>
      </c>
      <c r="E14" s="1738">
        <f>0-D14-C14</f>
        <v>0</v>
      </c>
      <c r="F14" s="1738">
        <f>0-E14-D14-C14</f>
        <v>0</v>
      </c>
      <c r="G14" s="894">
        <f t="shared" si="2"/>
        <v>0</v>
      </c>
      <c r="H14" s="982"/>
      <c r="I14" s="1727">
        <v>0</v>
      </c>
      <c r="J14" s="1738">
        <f>0-I14</f>
        <v>0</v>
      </c>
      <c r="K14" s="1738">
        <f>0-J14-I14</f>
        <v>0</v>
      </c>
      <c r="L14" s="1738">
        <f>0-K14-J14-I14</f>
        <v>0</v>
      </c>
      <c r="M14" s="894">
        <f t="shared" si="3"/>
        <v>0</v>
      </c>
      <c r="N14" s="982"/>
      <c r="O14" s="1727">
        <v>0</v>
      </c>
      <c r="P14" s="1738">
        <f>0-O14</f>
        <v>0</v>
      </c>
      <c r="Q14" s="1738">
        <f>0-P14-O14</f>
        <v>0</v>
      </c>
      <c r="R14" s="1738">
        <f>0-Q14-P14-O14</f>
        <v>0</v>
      </c>
      <c r="S14" s="894">
        <f t="shared" si="4"/>
        <v>0</v>
      </c>
      <c r="T14" s="984"/>
      <c r="U14" s="1727">
        <v>0</v>
      </c>
      <c r="V14" s="1738">
        <f>0-U14</f>
        <v>0</v>
      </c>
      <c r="W14" s="1738">
        <f>0-V14-U14</f>
        <v>0</v>
      </c>
      <c r="X14" s="1738">
        <f>0-W14-V14-U14</f>
        <v>0</v>
      </c>
      <c r="Y14" s="894">
        <f t="shared" si="5"/>
        <v>0</v>
      </c>
      <c r="Z14" s="984"/>
      <c r="AA14" s="1727">
        <v>0</v>
      </c>
      <c r="AB14" s="1738">
        <f>0-AA14</f>
        <v>0</v>
      </c>
      <c r="AC14" s="1738">
        <f>0-AB14-AA14</f>
        <v>0</v>
      </c>
      <c r="AD14" s="1738">
        <f>0-AC14-AB14-AA14</f>
        <v>0</v>
      </c>
      <c r="AE14" s="894">
        <f t="shared" si="6"/>
        <v>0</v>
      </c>
      <c r="AF14" s="982"/>
      <c r="AG14" s="1727">
        <v>0</v>
      </c>
      <c r="AH14" s="1738">
        <f>0-AG14</f>
        <v>0</v>
      </c>
      <c r="AI14" s="1738">
        <f>0-AH14-AG14</f>
        <v>0</v>
      </c>
      <c r="AJ14" s="1738">
        <f>0-AI14-AH14-AG14</f>
        <v>0</v>
      </c>
      <c r="AK14" s="894">
        <f t="shared" si="7"/>
        <v>0</v>
      </c>
      <c r="AL14" s="982"/>
      <c r="AM14" s="1727">
        <v>0</v>
      </c>
      <c r="AN14" s="1738">
        <f>0-AM14</f>
        <v>0</v>
      </c>
      <c r="AO14" s="1738">
        <f>0-AN14-AM14</f>
        <v>0</v>
      </c>
      <c r="AP14" s="1738">
        <f>0-AO14-AN14-AM14</f>
        <v>0</v>
      </c>
      <c r="AQ14" s="894">
        <f t="shared" si="8"/>
        <v>0</v>
      </c>
      <c r="AR14" s="982"/>
      <c r="AS14" s="1725">
        <v>-5</v>
      </c>
      <c r="AT14" s="1724">
        <f>8-AS14</f>
        <v>13</v>
      </c>
      <c r="AU14" s="1738">
        <f>0-AT14</f>
        <v>-13</v>
      </c>
      <c r="AV14" s="1726">
        <v>0</v>
      </c>
      <c r="AW14" s="894">
        <f t="shared" si="9"/>
        <v>-5</v>
      </c>
      <c r="AX14" s="982"/>
      <c r="AY14" s="1725">
        <v>-7</v>
      </c>
      <c r="AZ14" s="1724">
        <f>-3-AY14</f>
        <v>4</v>
      </c>
      <c r="BA14" s="1724">
        <f>-15-SUM(AY14:AZ14)</f>
        <v>-12</v>
      </c>
      <c r="BB14" s="1724">
        <f>70-SUM(AY14:BA14)</f>
        <v>85</v>
      </c>
      <c r="BC14" s="894">
        <f t="shared" si="10"/>
        <v>70</v>
      </c>
      <c r="BD14" s="982"/>
      <c r="BE14" s="1725">
        <v>4</v>
      </c>
      <c r="BF14" s="1726">
        <f>35-BE14</f>
        <v>31</v>
      </c>
      <c r="BG14" s="1726">
        <f>34-SUM(BE14:BF14)</f>
        <v>-1</v>
      </c>
      <c r="BH14" s="1726">
        <f>3-SUM(BE14:BG14)</f>
        <v>-31</v>
      </c>
      <c r="BI14" s="894">
        <f t="shared" si="11"/>
        <v>3</v>
      </c>
      <c r="BJ14" s="982"/>
      <c r="BK14" s="1725">
        <v>16</v>
      </c>
      <c r="BL14" s="1724">
        <f>20-BK14</f>
        <v>4</v>
      </c>
      <c r="BM14" s="1724">
        <f>83-SUM(BK14:BL14)</f>
        <v>63</v>
      </c>
      <c r="BN14" s="1726">
        <v>0</v>
      </c>
      <c r="BO14" s="894">
        <f t="shared" si="12"/>
        <v>83</v>
      </c>
      <c r="BP14" s="982"/>
      <c r="BQ14" s="1725">
        <v>-6</v>
      </c>
      <c r="BR14" s="1726">
        <v>0</v>
      </c>
      <c r="BS14" s="1726">
        <v>0</v>
      </c>
      <c r="BT14" s="1726">
        <v>0</v>
      </c>
      <c r="BU14" s="894">
        <f t="shared" si="13"/>
        <v>-6</v>
      </c>
      <c r="BV14" s="982"/>
      <c r="BW14" s="1725">
        <v>0</v>
      </c>
      <c r="BX14" s="1726">
        <v>0</v>
      </c>
      <c r="BY14" s="1726">
        <v>0</v>
      </c>
      <c r="BZ14" s="1726">
        <v>0</v>
      </c>
      <c r="CA14" s="894">
        <f t="shared" si="14"/>
        <v>0</v>
      </c>
      <c r="CB14" s="984"/>
      <c r="CC14" s="1725">
        <v>0</v>
      </c>
      <c r="CD14" s="1726">
        <v>0</v>
      </c>
      <c r="CE14" s="1726">
        <v>0</v>
      </c>
      <c r="CF14" s="1726">
        <v>0</v>
      </c>
      <c r="CG14" s="894">
        <f t="shared" si="15"/>
        <v>0</v>
      </c>
      <c r="CH14" s="985"/>
      <c r="CI14" s="1725">
        <v>0</v>
      </c>
      <c r="CJ14" s="1726">
        <v>0</v>
      </c>
      <c r="CK14" s="1726">
        <v>0</v>
      </c>
      <c r="CL14" s="1726">
        <v>0</v>
      </c>
      <c r="CM14" s="894">
        <f t="shared" si="16"/>
        <v>0</v>
      </c>
      <c r="CN14" s="985"/>
      <c r="CO14" s="985"/>
      <c r="CP14" s="985"/>
    </row>
    <row r="15" spans="1:94">
      <c r="A15" s="981" t="s">
        <v>390</v>
      </c>
      <c r="B15" s="982"/>
      <c r="C15" s="1727">
        <v>0</v>
      </c>
      <c r="D15" s="1738">
        <f>0-C15</f>
        <v>0</v>
      </c>
      <c r="E15" s="1738">
        <f>0-D15-C15</f>
        <v>0</v>
      </c>
      <c r="F15" s="1738">
        <f>0-E15-D15-C15</f>
        <v>0</v>
      </c>
      <c r="G15" s="894">
        <f t="shared" si="2"/>
        <v>0</v>
      </c>
      <c r="H15" s="982"/>
      <c r="I15" s="1727">
        <v>0</v>
      </c>
      <c r="J15" s="1738">
        <f>0-I15</f>
        <v>0</v>
      </c>
      <c r="K15" s="1738">
        <f>0-J15-I15</f>
        <v>0</v>
      </c>
      <c r="L15" s="1738">
        <f>0-K15-J15-I15</f>
        <v>0</v>
      </c>
      <c r="M15" s="894">
        <f t="shared" si="3"/>
        <v>0</v>
      </c>
      <c r="N15" s="982"/>
      <c r="O15" s="1727">
        <v>0</v>
      </c>
      <c r="P15" s="1738">
        <f>0-O15</f>
        <v>0</v>
      </c>
      <c r="Q15" s="1738">
        <f>0-P15-O15</f>
        <v>0</v>
      </c>
      <c r="R15" s="1738">
        <f>0-Q15-P15-O15</f>
        <v>0</v>
      </c>
      <c r="S15" s="894">
        <f t="shared" si="4"/>
        <v>0</v>
      </c>
      <c r="T15" s="984"/>
      <c r="U15" s="1727">
        <v>0</v>
      </c>
      <c r="V15" s="1738">
        <f>0-U15</f>
        <v>0</v>
      </c>
      <c r="W15" s="1738">
        <f>0-V15-U15</f>
        <v>0</v>
      </c>
      <c r="X15" s="1738">
        <f>0-W15-V15-U15</f>
        <v>0</v>
      </c>
      <c r="Y15" s="894">
        <f t="shared" si="5"/>
        <v>0</v>
      </c>
      <c r="Z15" s="984"/>
      <c r="AA15" s="1727">
        <v>0</v>
      </c>
      <c r="AB15" s="1738">
        <f>0-AA15</f>
        <v>0</v>
      </c>
      <c r="AC15" s="1738">
        <f>0-AB15-AA15</f>
        <v>0</v>
      </c>
      <c r="AD15" s="1738">
        <f>0-AC15-AB15-AA15</f>
        <v>0</v>
      </c>
      <c r="AE15" s="894">
        <f t="shared" si="6"/>
        <v>0</v>
      </c>
      <c r="AF15" s="982"/>
      <c r="AG15" s="1727">
        <v>0</v>
      </c>
      <c r="AH15" s="1738">
        <f>0-AG15</f>
        <v>0</v>
      </c>
      <c r="AI15" s="1738">
        <f>0-AH15-AG15</f>
        <v>0</v>
      </c>
      <c r="AJ15" s="1738">
        <f>0-AI15-AH15-AG15</f>
        <v>0</v>
      </c>
      <c r="AK15" s="894">
        <f t="shared" si="7"/>
        <v>0</v>
      </c>
      <c r="AL15" s="982"/>
      <c r="AM15" s="1727">
        <v>0</v>
      </c>
      <c r="AN15" s="1738">
        <f>0-AM15</f>
        <v>0</v>
      </c>
      <c r="AO15" s="1738">
        <f>0-AN15-AM15</f>
        <v>0</v>
      </c>
      <c r="AP15" s="1738">
        <f>0-AO15-AN15-AM15</f>
        <v>0</v>
      </c>
      <c r="AQ15" s="894">
        <f t="shared" si="8"/>
        <v>0</v>
      </c>
      <c r="AR15" s="982"/>
      <c r="AS15" s="1725">
        <v>11</v>
      </c>
      <c r="AT15" s="1724">
        <f>23-AS15</f>
        <v>12</v>
      </c>
      <c r="AU15" s="1738">
        <f>0-AT15</f>
        <v>-12</v>
      </c>
      <c r="AV15" s="1726">
        <v>0</v>
      </c>
      <c r="AW15" s="894">
        <f t="shared" si="9"/>
        <v>11</v>
      </c>
      <c r="AX15" s="982"/>
      <c r="AY15" s="1725">
        <v>4</v>
      </c>
      <c r="AZ15" s="1724">
        <f>13-AY15</f>
        <v>9</v>
      </c>
      <c r="BA15" s="1724">
        <f>20-SUM(AY15:AZ15)</f>
        <v>7</v>
      </c>
      <c r="BB15" s="1724">
        <f>30-SUM(AY15:BA15)</f>
        <v>10</v>
      </c>
      <c r="BC15" s="894">
        <f t="shared" si="10"/>
        <v>30</v>
      </c>
      <c r="BD15" s="982"/>
      <c r="BE15" s="1725">
        <v>4</v>
      </c>
      <c r="BF15" s="1726">
        <f>12-BE15</f>
        <v>8</v>
      </c>
      <c r="BG15" s="1726">
        <f>16-SUM(BE15:BF15)</f>
        <v>4</v>
      </c>
      <c r="BH15" s="1726">
        <f>20-SUM(BE15:BG15)</f>
        <v>4</v>
      </c>
      <c r="BI15" s="894">
        <f t="shared" si="11"/>
        <v>20</v>
      </c>
      <c r="BJ15" s="982"/>
      <c r="BK15" s="1725">
        <v>7</v>
      </c>
      <c r="BL15" s="1724">
        <f>15-BK15</f>
        <v>8</v>
      </c>
      <c r="BM15" s="1724">
        <f>19-SUM(BK15:BL15)</f>
        <v>4</v>
      </c>
      <c r="BN15" s="1726">
        <f>24-SUM(BK15:BM15)</f>
        <v>5</v>
      </c>
      <c r="BO15" s="894">
        <f t="shared" si="12"/>
        <v>24</v>
      </c>
      <c r="BP15" s="982"/>
      <c r="BQ15" s="1725">
        <v>5</v>
      </c>
      <c r="BR15" s="1726">
        <v>0</v>
      </c>
      <c r="BS15" s="1726">
        <v>0</v>
      </c>
      <c r="BT15" s="1726">
        <v>0</v>
      </c>
      <c r="BU15" s="894">
        <f t="shared" si="13"/>
        <v>5</v>
      </c>
      <c r="BV15" s="982"/>
      <c r="BW15" s="1725">
        <v>0</v>
      </c>
      <c r="BX15" s="1726">
        <v>0</v>
      </c>
      <c r="BY15" s="1726">
        <v>0</v>
      </c>
      <c r="BZ15" s="1726">
        <v>0</v>
      </c>
      <c r="CA15" s="894">
        <f t="shared" si="14"/>
        <v>0</v>
      </c>
      <c r="CB15" s="984"/>
      <c r="CC15" s="1725">
        <v>0</v>
      </c>
      <c r="CD15" s="1726">
        <v>0</v>
      </c>
      <c r="CE15" s="1726">
        <v>0</v>
      </c>
      <c r="CF15" s="1726">
        <v>0</v>
      </c>
      <c r="CG15" s="894">
        <f t="shared" si="15"/>
        <v>0</v>
      </c>
      <c r="CH15" s="985"/>
      <c r="CI15" s="1725">
        <v>0</v>
      </c>
      <c r="CJ15" s="1726">
        <v>0</v>
      </c>
      <c r="CK15" s="1726">
        <v>0</v>
      </c>
      <c r="CL15" s="1726">
        <v>0</v>
      </c>
      <c r="CM15" s="894">
        <f t="shared" si="16"/>
        <v>0</v>
      </c>
      <c r="CN15" s="985"/>
      <c r="CO15" s="985"/>
      <c r="CP15" s="985"/>
    </row>
    <row r="16" spans="1:94">
      <c r="A16" s="981" t="s">
        <v>391</v>
      </c>
      <c r="B16" s="982"/>
      <c r="C16" s="1727">
        <v>0</v>
      </c>
      <c r="D16" s="1738">
        <f>0-C16</f>
        <v>0</v>
      </c>
      <c r="E16" s="1738">
        <f>0-D16-C16</f>
        <v>0</v>
      </c>
      <c r="F16" s="1738">
        <f>0-E16-D16-C16</f>
        <v>0</v>
      </c>
      <c r="G16" s="894">
        <f t="shared" si="2"/>
        <v>0</v>
      </c>
      <c r="H16" s="982"/>
      <c r="I16" s="1727">
        <v>0</v>
      </c>
      <c r="J16" s="1738">
        <f>0-I16</f>
        <v>0</v>
      </c>
      <c r="K16" s="1738">
        <f>0-J16-I16</f>
        <v>0</v>
      </c>
      <c r="L16" s="1738">
        <f>0-K16-J16-I16</f>
        <v>0</v>
      </c>
      <c r="M16" s="894">
        <f t="shared" si="3"/>
        <v>0</v>
      </c>
      <c r="N16" s="982"/>
      <c r="O16" s="1727">
        <v>0</v>
      </c>
      <c r="P16" s="1738">
        <f>0-O16</f>
        <v>0</v>
      </c>
      <c r="Q16" s="1738">
        <f>0-P16-O16</f>
        <v>0</v>
      </c>
      <c r="R16" s="1738">
        <f>0-Q16-P16-O16</f>
        <v>0</v>
      </c>
      <c r="S16" s="894">
        <f t="shared" si="4"/>
        <v>0</v>
      </c>
      <c r="T16" s="984"/>
      <c r="U16" s="1727">
        <v>0</v>
      </c>
      <c r="V16" s="1738">
        <f>0-U16</f>
        <v>0</v>
      </c>
      <c r="W16" s="1738">
        <f>0-V16-U16</f>
        <v>0</v>
      </c>
      <c r="X16" s="1738">
        <f>0-W16-V16-U16</f>
        <v>0</v>
      </c>
      <c r="Y16" s="894">
        <f t="shared" si="5"/>
        <v>0</v>
      </c>
      <c r="Z16" s="984"/>
      <c r="AA16" s="1727">
        <v>0</v>
      </c>
      <c r="AB16" s="1738">
        <f>0-AA16</f>
        <v>0</v>
      </c>
      <c r="AC16" s="1738">
        <f>0-AB16-AA16</f>
        <v>0</v>
      </c>
      <c r="AD16" s="1738">
        <f>0-AC16-AB16-AA16</f>
        <v>0</v>
      </c>
      <c r="AE16" s="894">
        <f t="shared" si="6"/>
        <v>0</v>
      </c>
      <c r="AF16" s="982"/>
      <c r="AG16" s="1727">
        <v>0</v>
      </c>
      <c r="AH16" s="1738">
        <f>0-AG16</f>
        <v>0</v>
      </c>
      <c r="AI16" s="1738">
        <f>0-AH16-AG16</f>
        <v>0</v>
      </c>
      <c r="AJ16" s="1738">
        <f>0-AI16-AH16-AG16</f>
        <v>0</v>
      </c>
      <c r="AK16" s="894">
        <f t="shared" si="7"/>
        <v>0</v>
      </c>
      <c r="AL16" s="982"/>
      <c r="AM16" s="1727">
        <v>0</v>
      </c>
      <c r="AN16" s="1738">
        <f>0-AM16</f>
        <v>0</v>
      </c>
      <c r="AO16" s="1738">
        <f>0-AN16-AM16</f>
        <v>0</v>
      </c>
      <c r="AP16" s="1738">
        <f>0-AO16-AN16-AM16</f>
        <v>0</v>
      </c>
      <c r="AQ16" s="894">
        <f t="shared" si="8"/>
        <v>0</v>
      </c>
      <c r="AR16" s="982"/>
      <c r="AS16" s="1725">
        <v>0</v>
      </c>
      <c r="AT16" s="1724">
        <f t="shared" ref="AT16:AT21" si="17">0-AS16</f>
        <v>0</v>
      </c>
      <c r="AU16" s="1738">
        <f>0-AT16</f>
        <v>0</v>
      </c>
      <c r="AV16" s="1726">
        <v>0</v>
      </c>
      <c r="AW16" s="894">
        <f t="shared" si="9"/>
        <v>0</v>
      </c>
      <c r="AX16" s="982"/>
      <c r="AY16" s="1725">
        <v>0</v>
      </c>
      <c r="AZ16" s="1724">
        <f t="shared" ref="AZ16:AZ21" si="18">0-AY16</f>
        <v>0</v>
      </c>
      <c r="BA16" s="1724">
        <f t="shared" ref="BA16:BA21" si="19">0-SUM(AY16:AZ16)</f>
        <v>0</v>
      </c>
      <c r="BB16" s="1724">
        <f>0-SUM(AY16:BA16)</f>
        <v>0</v>
      </c>
      <c r="BC16" s="894">
        <f t="shared" si="10"/>
        <v>0</v>
      </c>
      <c r="BD16" s="982"/>
      <c r="BE16" s="1725">
        <v>0</v>
      </c>
      <c r="BF16" s="1726">
        <f t="shared" ref="BF16:BF21" si="20">0-BE16</f>
        <v>0</v>
      </c>
      <c r="BG16" s="1726">
        <f t="shared" ref="BG16:BG21" si="21">0-SUM(BE16:BF16)</f>
        <v>0</v>
      </c>
      <c r="BH16" s="1726">
        <f>0-SUM(BE16:BG16)</f>
        <v>0</v>
      </c>
      <c r="BI16" s="894">
        <f t="shared" si="11"/>
        <v>0</v>
      </c>
      <c r="BJ16" s="982"/>
      <c r="BK16" s="1725">
        <v>0</v>
      </c>
      <c r="BL16" s="1724">
        <f t="shared" si="0"/>
        <v>0</v>
      </c>
      <c r="BM16" s="1724">
        <f t="shared" si="1"/>
        <v>0</v>
      </c>
      <c r="BN16" s="1726">
        <v>0</v>
      </c>
      <c r="BO16" s="894">
        <f t="shared" si="12"/>
        <v>0</v>
      </c>
      <c r="BP16" s="982"/>
      <c r="BQ16" s="1725">
        <v>0</v>
      </c>
      <c r="BR16" s="1726">
        <v>0</v>
      </c>
      <c r="BS16" s="1726">
        <v>0</v>
      </c>
      <c r="BT16" s="1726">
        <v>0</v>
      </c>
      <c r="BU16" s="894">
        <f t="shared" si="13"/>
        <v>0</v>
      </c>
      <c r="BV16" s="982"/>
      <c r="BW16" s="1725">
        <v>0</v>
      </c>
      <c r="BX16" s="1726">
        <v>0</v>
      </c>
      <c r="BY16" s="1726">
        <v>0</v>
      </c>
      <c r="BZ16" s="1726">
        <v>0</v>
      </c>
      <c r="CA16" s="894">
        <f t="shared" si="14"/>
        <v>0</v>
      </c>
      <c r="CB16" s="984"/>
      <c r="CC16" s="1725">
        <v>0</v>
      </c>
      <c r="CD16" s="1726">
        <v>0</v>
      </c>
      <c r="CE16" s="1726">
        <v>0</v>
      </c>
      <c r="CF16" s="1726">
        <v>0</v>
      </c>
      <c r="CG16" s="894">
        <f t="shared" si="15"/>
        <v>0</v>
      </c>
      <c r="CH16" s="985"/>
      <c r="CI16" s="1725">
        <v>0</v>
      </c>
      <c r="CJ16" s="1726">
        <v>0</v>
      </c>
      <c r="CK16" s="1726">
        <v>0</v>
      </c>
      <c r="CL16" s="1726">
        <v>0</v>
      </c>
      <c r="CM16" s="894">
        <f t="shared" si="16"/>
        <v>0</v>
      </c>
      <c r="CN16" s="985"/>
      <c r="CO16" s="985"/>
      <c r="CP16" s="985"/>
    </row>
    <row r="17" spans="1:94">
      <c r="A17" s="981" t="s">
        <v>392</v>
      </c>
      <c r="B17" s="982"/>
      <c r="C17" s="1725">
        <v>0</v>
      </c>
      <c r="D17" s="1724">
        <v>0</v>
      </c>
      <c r="E17" s="1724">
        <v>0</v>
      </c>
      <c r="F17" s="1724">
        <v>0</v>
      </c>
      <c r="G17" s="894">
        <f t="shared" si="2"/>
        <v>0</v>
      </c>
      <c r="H17" s="982"/>
      <c r="I17" s="1725">
        <v>0</v>
      </c>
      <c r="J17" s="1724">
        <v>0</v>
      </c>
      <c r="K17" s="1724">
        <v>0</v>
      </c>
      <c r="L17" s="1724">
        <v>0</v>
      </c>
      <c r="M17" s="894">
        <f t="shared" si="3"/>
        <v>0</v>
      </c>
      <c r="N17" s="982"/>
      <c r="O17" s="1725">
        <v>0</v>
      </c>
      <c r="P17" s="1724">
        <v>0</v>
      </c>
      <c r="Q17" s="1724">
        <v>0</v>
      </c>
      <c r="R17" s="1724">
        <v>0</v>
      </c>
      <c r="S17" s="894">
        <f t="shared" si="4"/>
        <v>0</v>
      </c>
      <c r="T17" s="984"/>
      <c r="U17" s="1725">
        <v>0</v>
      </c>
      <c r="V17" s="1724">
        <v>0</v>
      </c>
      <c r="W17" s="1724">
        <v>0</v>
      </c>
      <c r="X17" s="1724">
        <v>0</v>
      </c>
      <c r="Y17" s="894">
        <f t="shared" si="5"/>
        <v>0</v>
      </c>
      <c r="Z17" s="984"/>
      <c r="AA17" s="1725">
        <v>0</v>
      </c>
      <c r="AB17" s="1724">
        <v>0</v>
      </c>
      <c r="AC17" s="1724">
        <v>0</v>
      </c>
      <c r="AD17" s="1724">
        <v>0</v>
      </c>
      <c r="AE17" s="894">
        <f t="shared" si="6"/>
        <v>0</v>
      </c>
      <c r="AF17" s="982"/>
      <c r="AG17" s="1725">
        <v>0</v>
      </c>
      <c r="AH17" s="1724">
        <v>0</v>
      </c>
      <c r="AI17" s="1724">
        <v>0</v>
      </c>
      <c r="AJ17" s="1724">
        <v>0</v>
      </c>
      <c r="AK17" s="894">
        <f t="shared" si="7"/>
        <v>0</v>
      </c>
      <c r="AL17" s="982"/>
      <c r="AM17" s="1725">
        <v>0</v>
      </c>
      <c r="AN17" s="1724">
        <v>0</v>
      </c>
      <c r="AO17" s="1724">
        <v>0</v>
      </c>
      <c r="AP17" s="1724">
        <v>0</v>
      </c>
      <c r="AQ17" s="894">
        <f t="shared" si="8"/>
        <v>0</v>
      </c>
      <c r="AR17" s="982"/>
      <c r="AS17" s="1725">
        <v>0</v>
      </c>
      <c r="AT17" s="1724">
        <f t="shared" si="17"/>
        <v>0</v>
      </c>
      <c r="AU17" s="1724">
        <v>0</v>
      </c>
      <c r="AV17" s="1726">
        <v>0</v>
      </c>
      <c r="AW17" s="894">
        <f t="shared" si="9"/>
        <v>0</v>
      </c>
      <c r="AX17" s="982"/>
      <c r="AY17" s="1725">
        <v>0</v>
      </c>
      <c r="AZ17" s="1724">
        <f t="shared" si="18"/>
        <v>0</v>
      </c>
      <c r="BA17" s="1724">
        <f t="shared" si="19"/>
        <v>0</v>
      </c>
      <c r="BB17" s="1724">
        <f>3-SUM(AY17:BA17)</f>
        <v>3</v>
      </c>
      <c r="BC17" s="894">
        <f t="shared" si="10"/>
        <v>3</v>
      </c>
      <c r="BD17" s="982"/>
      <c r="BE17" s="1725">
        <v>0</v>
      </c>
      <c r="BF17" s="1726">
        <f t="shared" si="20"/>
        <v>0</v>
      </c>
      <c r="BG17" s="1726">
        <f t="shared" si="21"/>
        <v>0</v>
      </c>
      <c r="BH17" s="1726">
        <f>4-SUM(BE17:BG17)</f>
        <v>4</v>
      </c>
      <c r="BI17" s="894">
        <f t="shared" si="11"/>
        <v>4</v>
      </c>
      <c r="BJ17" s="982"/>
      <c r="BK17" s="1725">
        <v>0</v>
      </c>
      <c r="BL17" s="1724">
        <f t="shared" si="0"/>
        <v>0</v>
      </c>
      <c r="BM17" s="1724">
        <f t="shared" si="1"/>
        <v>0</v>
      </c>
      <c r="BN17" s="1726">
        <v>0</v>
      </c>
      <c r="BO17" s="894">
        <f t="shared" si="12"/>
        <v>0</v>
      </c>
      <c r="BP17" s="982"/>
      <c r="BQ17" s="1725">
        <v>0</v>
      </c>
      <c r="BR17" s="1726">
        <v>0</v>
      </c>
      <c r="BS17" s="1726">
        <v>0</v>
      </c>
      <c r="BT17" s="1726">
        <v>0</v>
      </c>
      <c r="BU17" s="894">
        <f t="shared" si="13"/>
        <v>0</v>
      </c>
      <c r="BV17" s="982"/>
      <c r="BW17" s="1725">
        <v>0</v>
      </c>
      <c r="BX17" s="1726">
        <v>0</v>
      </c>
      <c r="BY17" s="1726">
        <v>0</v>
      </c>
      <c r="BZ17" s="1726">
        <v>0</v>
      </c>
      <c r="CA17" s="894">
        <f t="shared" si="14"/>
        <v>0</v>
      </c>
      <c r="CB17" s="984"/>
      <c r="CC17" s="1725">
        <v>0</v>
      </c>
      <c r="CD17" s="1726">
        <v>0</v>
      </c>
      <c r="CE17" s="1726">
        <v>0</v>
      </c>
      <c r="CF17" s="1726">
        <v>0</v>
      </c>
      <c r="CG17" s="894">
        <f t="shared" si="15"/>
        <v>0</v>
      </c>
      <c r="CH17" s="985"/>
      <c r="CI17" s="1725">
        <v>0</v>
      </c>
      <c r="CJ17" s="1726">
        <v>0</v>
      </c>
      <c r="CK17" s="1726">
        <v>0</v>
      </c>
      <c r="CL17" s="1726">
        <v>0</v>
      </c>
      <c r="CM17" s="894">
        <f t="shared" si="16"/>
        <v>0</v>
      </c>
      <c r="CN17" s="985"/>
      <c r="CO17" s="985"/>
      <c r="CP17" s="985"/>
    </row>
    <row r="18" spans="1:94" hidden="1" outlineLevel="1">
      <c r="A18" s="981" t="s">
        <v>393</v>
      </c>
      <c r="B18" s="982"/>
      <c r="C18" s="1727">
        <v>0</v>
      </c>
      <c r="D18" s="1738">
        <f>0-C18</f>
        <v>0</v>
      </c>
      <c r="E18" s="1738">
        <f>0-D18-C18</f>
        <v>0</v>
      </c>
      <c r="F18" s="1738">
        <f>0-E18-D18-C18</f>
        <v>0</v>
      </c>
      <c r="G18" s="894">
        <f t="shared" si="2"/>
        <v>0</v>
      </c>
      <c r="H18" s="982"/>
      <c r="I18" s="1727">
        <v>0</v>
      </c>
      <c r="J18" s="1738">
        <f>0-I18</f>
        <v>0</v>
      </c>
      <c r="K18" s="1738">
        <f>0-J18-I18</f>
        <v>0</v>
      </c>
      <c r="L18" s="1738">
        <f>0-K18-J18-I18</f>
        <v>0</v>
      </c>
      <c r="M18" s="894">
        <f t="shared" si="3"/>
        <v>0</v>
      </c>
      <c r="N18" s="982"/>
      <c r="O18" s="1727">
        <v>0</v>
      </c>
      <c r="P18" s="1738">
        <f>0-O18</f>
        <v>0</v>
      </c>
      <c r="Q18" s="1738">
        <f>0-P18-O18</f>
        <v>0</v>
      </c>
      <c r="R18" s="1738">
        <f>0-Q18-P18-O18</f>
        <v>0</v>
      </c>
      <c r="S18" s="894">
        <f t="shared" si="4"/>
        <v>0</v>
      </c>
      <c r="T18" s="982"/>
      <c r="U18" s="1727">
        <v>0</v>
      </c>
      <c r="V18" s="1738">
        <f>0-U18</f>
        <v>0</v>
      </c>
      <c r="W18" s="1738">
        <f>0-V18-U18</f>
        <v>0</v>
      </c>
      <c r="X18" s="1738">
        <f>0-W18-V18-U18</f>
        <v>0</v>
      </c>
      <c r="Y18" s="894">
        <f t="shared" si="5"/>
        <v>0</v>
      </c>
      <c r="Z18" s="982"/>
      <c r="AA18" s="1727">
        <v>0</v>
      </c>
      <c r="AB18" s="1738">
        <f>0-AA18</f>
        <v>0</v>
      </c>
      <c r="AC18" s="1738">
        <f>0-AB18-AA18</f>
        <v>0</v>
      </c>
      <c r="AD18" s="1738">
        <f>0-AC18-AB18-AA18</f>
        <v>0</v>
      </c>
      <c r="AE18" s="894">
        <f t="shared" si="6"/>
        <v>0</v>
      </c>
      <c r="AF18" s="982"/>
      <c r="AG18" s="1727">
        <v>0</v>
      </c>
      <c r="AH18" s="1738">
        <f>0-AG18</f>
        <v>0</v>
      </c>
      <c r="AI18" s="1738">
        <f>0-AH18-AG18</f>
        <v>0</v>
      </c>
      <c r="AJ18" s="1738">
        <f>0-AI18-AH18-AG18</f>
        <v>0</v>
      </c>
      <c r="AK18" s="894">
        <f t="shared" si="7"/>
        <v>0</v>
      </c>
      <c r="AL18" s="982"/>
      <c r="AM18" s="1727">
        <v>0</v>
      </c>
      <c r="AN18" s="1738">
        <f>0-AM18</f>
        <v>0</v>
      </c>
      <c r="AO18" s="1738">
        <f>0-AN18-AM18</f>
        <v>0</v>
      </c>
      <c r="AP18" s="1738">
        <f>0-AO18-AN18-AM18</f>
        <v>0</v>
      </c>
      <c r="AQ18" s="894">
        <f t="shared" si="8"/>
        <v>0</v>
      </c>
      <c r="AR18" s="982"/>
      <c r="AS18" s="1725">
        <v>0</v>
      </c>
      <c r="AT18" s="1724">
        <f t="shared" si="17"/>
        <v>0</v>
      </c>
      <c r="AU18" s="1738">
        <f>0-AT18</f>
        <v>0</v>
      </c>
      <c r="AV18" s="1726">
        <v>0</v>
      </c>
      <c r="AW18" s="894">
        <f t="shared" si="9"/>
        <v>0</v>
      </c>
      <c r="AX18" s="982"/>
      <c r="AY18" s="1725">
        <v>0</v>
      </c>
      <c r="AZ18" s="1724">
        <f t="shared" si="18"/>
        <v>0</v>
      </c>
      <c r="BA18" s="1724">
        <f t="shared" si="19"/>
        <v>0</v>
      </c>
      <c r="BB18" s="1724">
        <f>3-SUM(AY18:BA18)</f>
        <v>3</v>
      </c>
      <c r="BC18" s="894">
        <f t="shared" si="10"/>
        <v>3</v>
      </c>
      <c r="BD18" s="982"/>
      <c r="BE18" s="1725">
        <v>0</v>
      </c>
      <c r="BF18" s="1726">
        <f t="shared" si="20"/>
        <v>0</v>
      </c>
      <c r="BG18" s="1726">
        <f t="shared" si="21"/>
        <v>0</v>
      </c>
      <c r="BH18" s="1726">
        <f>-1-SUM(BE18:BG18)</f>
        <v>-1</v>
      </c>
      <c r="BI18" s="894">
        <f t="shared" si="11"/>
        <v>-1</v>
      </c>
      <c r="BJ18" s="982"/>
      <c r="BK18" s="1725">
        <v>0</v>
      </c>
      <c r="BL18" s="1724">
        <f t="shared" si="0"/>
        <v>0</v>
      </c>
      <c r="BM18" s="1724">
        <f t="shared" si="1"/>
        <v>0</v>
      </c>
      <c r="BN18" s="1726">
        <v>0</v>
      </c>
      <c r="BO18" s="894">
        <f t="shared" si="12"/>
        <v>0</v>
      </c>
      <c r="BP18" s="982"/>
      <c r="BQ18" s="1725">
        <v>0</v>
      </c>
      <c r="BR18" s="1726">
        <v>0</v>
      </c>
      <c r="BS18" s="1726">
        <v>0</v>
      </c>
      <c r="BT18" s="1726">
        <v>0</v>
      </c>
      <c r="BU18" s="894">
        <f t="shared" si="13"/>
        <v>0</v>
      </c>
      <c r="BV18" s="982"/>
      <c r="BW18" s="1725">
        <v>0</v>
      </c>
      <c r="BX18" s="1726">
        <v>0</v>
      </c>
      <c r="BY18" s="1726">
        <v>0</v>
      </c>
      <c r="BZ18" s="1726">
        <v>0</v>
      </c>
      <c r="CA18" s="894">
        <f t="shared" si="14"/>
        <v>0</v>
      </c>
      <c r="CB18" s="984"/>
      <c r="CC18" s="1725">
        <v>0</v>
      </c>
      <c r="CD18" s="1726">
        <v>0</v>
      </c>
      <c r="CE18" s="1726">
        <v>0</v>
      </c>
      <c r="CF18" s="1726">
        <v>0</v>
      </c>
      <c r="CG18" s="894">
        <f t="shared" si="15"/>
        <v>0</v>
      </c>
      <c r="CH18" s="985"/>
      <c r="CI18" s="1725">
        <v>0</v>
      </c>
      <c r="CJ18" s="1726">
        <v>0</v>
      </c>
      <c r="CK18" s="1726">
        <v>0</v>
      </c>
      <c r="CL18" s="1726">
        <v>0</v>
      </c>
      <c r="CM18" s="894">
        <f t="shared" si="16"/>
        <v>0</v>
      </c>
      <c r="CN18" s="985"/>
      <c r="CO18" s="985"/>
      <c r="CP18" s="985"/>
    </row>
    <row r="19" spans="1:94" hidden="1" outlineLevel="1">
      <c r="A19" s="981" t="s">
        <v>394</v>
      </c>
      <c r="B19" s="982" t="s">
        <v>113</v>
      </c>
      <c r="C19" s="1727">
        <v>0</v>
      </c>
      <c r="D19" s="1738">
        <f>0-C19</f>
        <v>0</v>
      </c>
      <c r="E19" s="1738">
        <f>0-D19-C19</f>
        <v>0</v>
      </c>
      <c r="F19" s="1738">
        <f>0-E19-D19-C19</f>
        <v>0</v>
      </c>
      <c r="G19" s="894">
        <f t="shared" si="2"/>
        <v>0</v>
      </c>
      <c r="H19" s="982"/>
      <c r="I19" s="1727">
        <v>0</v>
      </c>
      <c r="J19" s="1738">
        <f>0-I19</f>
        <v>0</v>
      </c>
      <c r="K19" s="1738">
        <f>0-J19-I19</f>
        <v>0</v>
      </c>
      <c r="L19" s="1738">
        <f>0-K19-J19-I19</f>
        <v>0</v>
      </c>
      <c r="M19" s="894">
        <f t="shared" si="3"/>
        <v>0</v>
      </c>
      <c r="N19" s="982"/>
      <c r="O19" s="1727">
        <v>0</v>
      </c>
      <c r="P19" s="1738">
        <f>0-O19</f>
        <v>0</v>
      </c>
      <c r="Q19" s="1738">
        <f>0-P19-O19</f>
        <v>0</v>
      </c>
      <c r="R19" s="1738">
        <f>0-Q19-P19-O19</f>
        <v>0</v>
      </c>
      <c r="S19" s="894">
        <f t="shared" si="4"/>
        <v>0</v>
      </c>
      <c r="T19" s="982"/>
      <c r="U19" s="1727">
        <v>0</v>
      </c>
      <c r="V19" s="1738">
        <f>0-U19</f>
        <v>0</v>
      </c>
      <c r="W19" s="1738">
        <f>0-V19-U19</f>
        <v>0</v>
      </c>
      <c r="X19" s="1738">
        <f>0-W19-V19-U19</f>
        <v>0</v>
      </c>
      <c r="Y19" s="894">
        <f t="shared" si="5"/>
        <v>0</v>
      </c>
      <c r="Z19" s="982"/>
      <c r="AA19" s="1727">
        <v>0</v>
      </c>
      <c r="AB19" s="1738">
        <f>0-AA19</f>
        <v>0</v>
      </c>
      <c r="AC19" s="1738">
        <f>0-AB19-AA19</f>
        <v>0</v>
      </c>
      <c r="AD19" s="1738">
        <f>0-AC19-AB19-AA19</f>
        <v>0</v>
      </c>
      <c r="AE19" s="894">
        <f t="shared" si="6"/>
        <v>0</v>
      </c>
      <c r="AF19" s="982"/>
      <c r="AG19" s="1727">
        <v>0</v>
      </c>
      <c r="AH19" s="1738">
        <f>0-AG19</f>
        <v>0</v>
      </c>
      <c r="AI19" s="1738">
        <f>0-AH19-AG19</f>
        <v>0</v>
      </c>
      <c r="AJ19" s="1738">
        <f>0-AI19-AH19-AG19</f>
        <v>0</v>
      </c>
      <c r="AK19" s="894">
        <f t="shared" si="7"/>
        <v>0</v>
      </c>
      <c r="AL19" s="982"/>
      <c r="AM19" s="1727">
        <v>0</v>
      </c>
      <c r="AN19" s="1738">
        <f>0-AM19</f>
        <v>0</v>
      </c>
      <c r="AO19" s="1738">
        <f>0-AN19-AM19</f>
        <v>0</v>
      </c>
      <c r="AP19" s="1738">
        <f>0-AO19-AN19-AM19</f>
        <v>0</v>
      </c>
      <c r="AQ19" s="894">
        <f t="shared" si="8"/>
        <v>0</v>
      </c>
      <c r="AR19" s="982"/>
      <c r="AS19" s="1725">
        <v>0</v>
      </c>
      <c r="AT19" s="1724">
        <f t="shared" si="17"/>
        <v>0</v>
      </c>
      <c r="AU19" s="1738">
        <f>0-AT19</f>
        <v>0</v>
      </c>
      <c r="AV19" s="1726">
        <v>0</v>
      </c>
      <c r="AW19" s="894">
        <f t="shared" si="9"/>
        <v>0</v>
      </c>
      <c r="AX19" s="982"/>
      <c r="AY19" s="1725">
        <v>0</v>
      </c>
      <c r="AZ19" s="1724">
        <f t="shared" si="18"/>
        <v>0</v>
      </c>
      <c r="BA19" s="1724">
        <f t="shared" si="19"/>
        <v>0</v>
      </c>
      <c r="BB19" s="1724">
        <f>0-SUM(AY19:BA19)</f>
        <v>0</v>
      </c>
      <c r="BC19" s="894">
        <f t="shared" si="10"/>
        <v>0</v>
      </c>
      <c r="BD19" s="982"/>
      <c r="BE19" s="1725">
        <v>0</v>
      </c>
      <c r="BF19" s="1726">
        <f t="shared" si="20"/>
        <v>0</v>
      </c>
      <c r="BG19" s="1726">
        <f t="shared" si="21"/>
        <v>0</v>
      </c>
      <c r="BH19" s="1726">
        <f>0-SUM(BE19:BG19)</f>
        <v>0</v>
      </c>
      <c r="BI19" s="894">
        <f t="shared" si="11"/>
        <v>0</v>
      </c>
      <c r="BJ19" s="982"/>
      <c r="BK19" s="1725">
        <v>0</v>
      </c>
      <c r="BL19" s="1724">
        <f t="shared" si="0"/>
        <v>0</v>
      </c>
      <c r="BM19" s="1724">
        <f t="shared" si="1"/>
        <v>0</v>
      </c>
      <c r="BN19" s="1726">
        <v>0</v>
      </c>
      <c r="BO19" s="894">
        <f t="shared" si="12"/>
        <v>0</v>
      </c>
      <c r="BP19" s="982"/>
      <c r="BQ19" s="1725">
        <v>0</v>
      </c>
      <c r="BR19" s="1726">
        <v>0</v>
      </c>
      <c r="BS19" s="1726">
        <v>0</v>
      </c>
      <c r="BT19" s="1726">
        <v>0</v>
      </c>
      <c r="BU19" s="894">
        <f t="shared" si="13"/>
        <v>0</v>
      </c>
      <c r="BV19" s="982"/>
      <c r="BW19" s="1725">
        <v>0</v>
      </c>
      <c r="BX19" s="1726">
        <v>0</v>
      </c>
      <c r="BY19" s="1726">
        <v>0</v>
      </c>
      <c r="BZ19" s="1726">
        <v>0</v>
      </c>
      <c r="CA19" s="894">
        <f t="shared" si="14"/>
        <v>0</v>
      </c>
      <c r="CB19" s="984"/>
      <c r="CC19" s="1725">
        <v>0</v>
      </c>
      <c r="CD19" s="1726">
        <v>0</v>
      </c>
      <c r="CE19" s="1726">
        <v>0</v>
      </c>
      <c r="CF19" s="1726">
        <v>0</v>
      </c>
      <c r="CG19" s="894">
        <f t="shared" si="15"/>
        <v>0</v>
      </c>
      <c r="CH19" s="985"/>
      <c r="CI19" s="1725">
        <v>0</v>
      </c>
      <c r="CJ19" s="1726">
        <v>0</v>
      </c>
      <c r="CK19" s="1726">
        <v>0</v>
      </c>
      <c r="CL19" s="1726">
        <v>0</v>
      </c>
      <c r="CM19" s="894">
        <f t="shared" si="16"/>
        <v>0</v>
      </c>
      <c r="CN19" s="985"/>
      <c r="CO19" s="985"/>
      <c r="CP19" s="985"/>
    </row>
    <row r="20" spans="1:94" hidden="1" outlineLevel="1">
      <c r="A20" s="981" t="s">
        <v>395</v>
      </c>
      <c r="B20" s="982"/>
      <c r="C20" s="1727">
        <v>0</v>
      </c>
      <c r="D20" s="1738">
        <f>0-C20</f>
        <v>0</v>
      </c>
      <c r="E20" s="1738">
        <f>0-D20-C20</f>
        <v>0</v>
      </c>
      <c r="F20" s="1738">
        <f>0-E20-D20-C20</f>
        <v>0</v>
      </c>
      <c r="G20" s="894">
        <f t="shared" si="2"/>
        <v>0</v>
      </c>
      <c r="H20" s="982"/>
      <c r="I20" s="1727">
        <v>0</v>
      </c>
      <c r="J20" s="1738">
        <f>0-I20</f>
        <v>0</v>
      </c>
      <c r="K20" s="1738">
        <f>0-J20-I20</f>
        <v>0</v>
      </c>
      <c r="L20" s="1738">
        <f>0-K20-J20-I20</f>
        <v>0</v>
      </c>
      <c r="M20" s="894">
        <f t="shared" si="3"/>
        <v>0</v>
      </c>
      <c r="N20" s="982"/>
      <c r="O20" s="1727">
        <v>0</v>
      </c>
      <c r="P20" s="1738">
        <f>0-O20</f>
        <v>0</v>
      </c>
      <c r="Q20" s="1738">
        <f>0-P20-O20</f>
        <v>0</v>
      </c>
      <c r="R20" s="1738">
        <f>0-Q20-P20-O20</f>
        <v>0</v>
      </c>
      <c r="S20" s="894">
        <f t="shared" si="4"/>
        <v>0</v>
      </c>
      <c r="T20" s="984"/>
      <c r="U20" s="1727">
        <v>0</v>
      </c>
      <c r="V20" s="1738">
        <f>0-U20</f>
        <v>0</v>
      </c>
      <c r="W20" s="1738">
        <f>0-V20-U20</f>
        <v>0</v>
      </c>
      <c r="X20" s="1738">
        <f>0-W20-V20-U20</f>
        <v>0</v>
      </c>
      <c r="Y20" s="894">
        <f t="shared" si="5"/>
        <v>0</v>
      </c>
      <c r="Z20" s="984"/>
      <c r="AA20" s="1727">
        <v>0</v>
      </c>
      <c r="AB20" s="1738">
        <f>0-AA20</f>
        <v>0</v>
      </c>
      <c r="AC20" s="1738">
        <f>0-AB20-AA20</f>
        <v>0</v>
      </c>
      <c r="AD20" s="1738">
        <f>0-AC20-AB20-AA20</f>
        <v>0</v>
      </c>
      <c r="AE20" s="894">
        <f t="shared" si="6"/>
        <v>0</v>
      </c>
      <c r="AF20" s="982"/>
      <c r="AG20" s="1727">
        <v>0</v>
      </c>
      <c r="AH20" s="1738">
        <f>0-AG20</f>
        <v>0</v>
      </c>
      <c r="AI20" s="1738">
        <f>0-AH20-AG20</f>
        <v>0</v>
      </c>
      <c r="AJ20" s="1738">
        <f>0-AI20-AH20-AG20</f>
        <v>0</v>
      </c>
      <c r="AK20" s="894">
        <f t="shared" si="7"/>
        <v>0</v>
      </c>
      <c r="AL20" s="982"/>
      <c r="AM20" s="1727">
        <v>0</v>
      </c>
      <c r="AN20" s="1738">
        <f>0-AM20</f>
        <v>0</v>
      </c>
      <c r="AO20" s="1738">
        <f>0-AN20-AM20</f>
        <v>0</v>
      </c>
      <c r="AP20" s="1738">
        <f>0-AO20-AN20-AM20</f>
        <v>0</v>
      </c>
      <c r="AQ20" s="894">
        <f t="shared" si="8"/>
        <v>0</v>
      </c>
      <c r="AR20" s="982"/>
      <c r="AS20" s="1725">
        <v>0</v>
      </c>
      <c r="AT20" s="1724">
        <f t="shared" si="17"/>
        <v>0</v>
      </c>
      <c r="AU20" s="1738">
        <f>0-AT20</f>
        <v>0</v>
      </c>
      <c r="AV20" s="1726">
        <v>0</v>
      </c>
      <c r="AW20" s="894">
        <f t="shared" si="9"/>
        <v>0</v>
      </c>
      <c r="AX20" s="982"/>
      <c r="AY20" s="1725">
        <v>0</v>
      </c>
      <c r="AZ20" s="1724">
        <f t="shared" si="18"/>
        <v>0</v>
      </c>
      <c r="BA20" s="1724">
        <f t="shared" si="19"/>
        <v>0</v>
      </c>
      <c r="BB20" s="1724">
        <f>0-SUM(AY20:BA20)</f>
        <v>0</v>
      </c>
      <c r="BC20" s="894">
        <f t="shared" si="10"/>
        <v>0</v>
      </c>
      <c r="BD20" s="982"/>
      <c r="BE20" s="1725">
        <v>0</v>
      </c>
      <c r="BF20" s="1726">
        <f t="shared" si="20"/>
        <v>0</v>
      </c>
      <c r="BG20" s="1726">
        <f t="shared" si="21"/>
        <v>0</v>
      </c>
      <c r="BH20" s="1726">
        <f>-1-SUM(BE20:BG20)</f>
        <v>-1</v>
      </c>
      <c r="BI20" s="894">
        <f t="shared" si="11"/>
        <v>-1</v>
      </c>
      <c r="BJ20" s="982"/>
      <c r="BK20" s="1725">
        <v>0</v>
      </c>
      <c r="BL20" s="1724">
        <f t="shared" si="0"/>
        <v>0</v>
      </c>
      <c r="BM20" s="1724">
        <f t="shared" si="1"/>
        <v>0</v>
      </c>
      <c r="BN20" s="1726">
        <v>0</v>
      </c>
      <c r="BO20" s="894">
        <f t="shared" si="12"/>
        <v>0</v>
      </c>
      <c r="BP20" s="982"/>
      <c r="BQ20" s="1725">
        <v>0</v>
      </c>
      <c r="BR20" s="1726">
        <v>0</v>
      </c>
      <c r="BS20" s="1726">
        <v>0</v>
      </c>
      <c r="BT20" s="1726">
        <v>0</v>
      </c>
      <c r="BU20" s="894">
        <f t="shared" si="13"/>
        <v>0</v>
      </c>
      <c r="BV20" s="982"/>
      <c r="BW20" s="1725">
        <v>0</v>
      </c>
      <c r="BX20" s="1726">
        <v>0</v>
      </c>
      <c r="BY20" s="1726">
        <v>0</v>
      </c>
      <c r="BZ20" s="1726">
        <v>0</v>
      </c>
      <c r="CA20" s="894">
        <f t="shared" si="14"/>
        <v>0</v>
      </c>
      <c r="CB20" s="984"/>
      <c r="CC20" s="1725">
        <v>0</v>
      </c>
      <c r="CD20" s="1726">
        <v>0</v>
      </c>
      <c r="CE20" s="1726">
        <v>0</v>
      </c>
      <c r="CF20" s="1726">
        <v>0</v>
      </c>
      <c r="CG20" s="894">
        <f t="shared" si="15"/>
        <v>0</v>
      </c>
      <c r="CH20" s="985"/>
      <c r="CI20" s="1725">
        <v>0</v>
      </c>
      <c r="CJ20" s="1726">
        <v>0</v>
      </c>
      <c r="CK20" s="1726">
        <v>0</v>
      </c>
      <c r="CL20" s="1726">
        <v>0</v>
      </c>
      <c r="CM20" s="894">
        <f t="shared" si="16"/>
        <v>0</v>
      </c>
      <c r="CN20" s="985"/>
      <c r="CO20" s="985"/>
      <c r="CP20" s="985"/>
    </row>
    <row r="21" spans="1:94" hidden="1" outlineLevel="1">
      <c r="A21" s="981" t="s">
        <v>396</v>
      </c>
      <c r="B21" s="982"/>
      <c r="C21" s="1727">
        <v>0</v>
      </c>
      <c r="D21" s="1738">
        <f>0-C21</f>
        <v>0</v>
      </c>
      <c r="E21" s="1738">
        <f>0-D21-C21</f>
        <v>0</v>
      </c>
      <c r="F21" s="1738">
        <f>0-E21-D21-C21</f>
        <v>0</v>
      </c>
      <c r="G21" s="894">
        <f t="shared" si="2"/>
        <v>0</v>
      </c>
      <c r="H21" s="982"/>
      <c r="I21" s="1727">
        <v>0</v>
      </c>
      <c r="J21" s="1738">
        <f>0-I21</f>
        <v>0</v>
      </c>
      <c r="K21" s="1738">
        <f>0-J21-I21</f>
        <v>0</v>
      </c>
      <c r="L21" s="1738">
        <f>0-K21-J21-I21</f>
        <v>0</v>
      </c>
      <c r="M21" s="894">
        <f t="shared" si="3"/>
        <v>0</v>
      </c>
      <c r="N21" s="982"/>
      <c r="O21" s="1727">
        <v>0</v>
      </c>
      <c r="P21" s="1738">
        <f>0-O21</f>
        <v>0</v>
      </c>
      <c r="Q21" s="1738">
        <f>0-P21-O21</f>
        <v>0</v>
      </c>
      <c r="R21" s="1738">
        <f>0-Q21-P21-O21</f>
        <v>0</v>
      </c>
      <c r="S21" s="894">
        <f t="shared" si="4"/>
        <v>0</v>
      </c>
      <c r="T21" s="982"/>
      <c r="U21" s="1727">
        <v>0</v>
      </c>
      <c r="V21" s="1738">
        <f>0-U21</f>
        <v>0</v>
      </c>
      <c r="W21" s="1738">
        <f>0-V21-U21</f>
        <v>0</v>
      </c>
      <c r="X21" s="1738">
        <f>0-W21-V21-U21</f>
        <v>0</v>
      </c>
      <c r="Y21" s="894">
        <f t="shared" si="5"/>
        <v>0</v>
      </c>
      <c r="Z21" s="982"/>
      <c r="AA21" s="1727">
        <v>0</v>
      </c>
      <c r="AB21" s="1738">
        <f>0-AA21</f>
        <v>0</v>
      </c>
      <c r="AC21" s="1738">
        <f>0-AB21-AA21</f>
        <v>0</v>
      </c>
      <c r="AD21" s="1738">
        <f>0-AC21-AB21-AA21</f>
        <v>0</v>
      </c>
      <c r="AE21" s="894">
        <f t="shared" si="6"/>
        <v>0</v>
      </c>
      <c r="AF21" s="982"/>
      <c r="AG21" s="1727">
        <v>0</v>
      </c>
      <c r="AH21" s="1738">
        <f>0-AG21</f>
        <v>0</v>
      </c>
      <c r="AI21" s="1738">
        <f>0-AH21-AG21</f>
        <v>0</v>
      </c>
      <c r="AJ21" s="1738">
        <f>0-AI21-AH21-AG21</f>
        <v>0</v>
      </c>
      <c r="AK21" s="894">
        <f t="shared" si="7"/>
        <v>0</v>
      </c>
      <c r="AL21" s="982"/>
      <c r="AM21" s="1727">
        <v>0</v>
      </c>
      <c r="AN21" s="1738">
        <f>0-AM21</f>
        <v>0</v>
      </c>
      <c r="AO21" s="1738">
        <f>0-AN21-AM21</f>
        <v>0</v>
      </c>
      <c r="AP21" s="1738">
        <f>0-AO21-AN21-AM21</f>
        <v>0</v>
      </c>
      <c r="AQ21" s="894">
        <f t="shared" si="8"/>
        <v>0</v>
      </c>
      <c r="AR21" s="982"/>
      <c r="AS21" s="1725">
        <v>0</v>
      </c>
      <c r="AT21" s="1724">
        <f t="shared" si="17"/>
        <v>0</v>
      </c>
      <c r="AU21" s="1738">
        <f>0-AT21</f>
        <v>0</v>
      </c>
      <c r="AV21" s="1726">
        <v>0</v>
      </c>
      <c r="AW21" s="894">
        <f t="shared" si="9"/>
        <v>0</v>
      </c>
      <c r="AX21" s="982"/>
      <c r="AY21" s="1725">
        <v>0</v>
      </c>
      <c r="AZ21" s="1724">
        <f t="shared" si="18"/>
        <v>0</v>
      </c>
      <c r="BA21" s="1724">
        <f t="shared" si="19"/>
        <v>0</v>
      </c>
      <c r="BB21" s="1724">
        <f>0-SUM(AY21:BA21)</f>
        <v>0</v>
      </c>
      <c r="BC21" s="894">
        <f t="shared" si="10"/>
        <v>0</v>
      </c>
      <c r="BD21" s="982"/>
      <c r="BE21" s="1725">
        <v>0</v>
      </c>
      <c r="BF21" s="1726">
        <f t="shared" si="20"/>
        <v>0</v>
      </c>
      <c r="BG21" s="1726">
        <f t="shared" si="21"/>
        <v>0</v>
      </c>
      <c r="BH21" s="1726">
        <f>0-SUM(BE21:BG21)</f>
        <v>0</v>
      </c>
      <c r="BI21" s="894">
        <f t="shared" si="11"/>
        <v>0</v>
      </c>
      <c r="BJ21" s="982"/>
      <c r="BK21" s="1725">
        <v>0</v>
      </c>
      <c r="BL21" s="1724">
        <f t="shared" si="0"/>
        <v>0</v>
      </c>
      <c r="BM21" s="1724">
        <f t="shared" si="1"/>
        <v>0</v>
      </c>
      <c r="BN21" s="1726">
        <v>0</v>
      </c>
      <c r="BO21" s="894">
        <f t="shared" si="12"/>
        <v>0</v>
      </c>
      <c r="BP21" s="982"/>
      <c r="BQ21" s="1725">
        <v>0</v>
      </c>
      <c r="BR21" s="1726">
        <v>0</v>
      </c>
      <c r="BS21" s="1726">
        <v>0</v>
      </c>
      <c r="BT21" s="1726">
        <v>0</v>
      </c>
      <c r="BU21" s="894">
        <f t="shared" si="13"/>
        <v>0</v>
      </c>
      <c r="BV21" s="982"/>
      <c r="BW21" s="1725">
        <v>0</v>
      </c>
      <c r="BX21" s="1726">
        <v>0</v>
      </c>
      <c r="BY21" s="1726">
        <v>0</v>
      </c>
      <c r="BZ21" s="1726">
        <v>0</v>
      </c>
      <c r="CA21" s="894">
        <f t="shared" si="14"/>
        <v>0</v>
      </c>
      <c r="CB21" s="984"/>
      <c r="CC21" s="1725">
        <v>0</v>
      </c>
      <c r="CD21" s="1726">
        <v>0</v>
      </c>
      <c r="CE21" s="1726">
        <v>0</v>
      </c>
      <c r="CF21" s="1726">
        <v>0</v>
      </c>
      <c r="CG21" s="894">
        <f t="shared" si="15"/>
        <v>0</v>
      </c>
      <c r="CH21" s="985"/>
      <c r="CI21" s="1725">
        <v>0</v>
      </c>
      <c r="CJ21" s="1726">
        <v>0</v>
      </c>
      <c r="CK21" s="1726">
        <v>0</v>
      </c>
      <c r="CL21" s="1726">
        <v>0</v>
      </c>
      <c r="CM21" s="894">
        <f t="shared" si="16"/>
        <v>0</v>
      </c>
      <c r="CN21" s="985"/>
      <c r="CO21" s="985"/>
      <c r="CP21" s="985"/>
    </row>
    <row r="22" spans="1:94" hidden="1" outlineLevel="1">
      <c r="A22" s="981" t="s">
        <v>138</v>
      </c>
      <c r="B22" s="982"/>
      <c r="C22" s="1725">
        <v>0</v>
      </c>
      <c r="D22" s="1726">
        <f>+BS!D34-BS!C34+BS!D35-BS!C35+BS!C21-BS!D21</f>
        <v>-32.800357784344385</v>
      </c>
      <c r="E22" s="1726">
        <f>+BS!E34-BS!D34+BS!E35-BS!D35+BS!D21-BS!E21</f>
        <v>21.893294802711637</v>
      </c>
      <c r="F22" s="1726">
        <f>+BS!F34-BS!E34+BS!F35-BS!E35+BS!E21-BS!F21</f>
        <v>50.312522934893821</v>
      </c>
      <c r="G22" s="894">
        <f t="shared" si="2"/>
        <v>39.405459953261072</v>
      </c>
      <c r="H22" s="982"/>
      <c r="I22" s="1725">
        <f>(BS!I34-BS!F34+BS!I35-BS!F35)</f>
        <v>297.14520202020202</v>
      </c>
      <c r="J22" s="1726">
        <f>+BS!J34-BS!I34+BS!J35-BS!I35+BS!I21-BS!J21</f>
        <v>74.657021940243794</v>
      </c>
      <c r="K22" s="1726">
        <f>+BS!K34-BS!J34+BS!K35-BS!J35+BS!J21-BS!K21</f>
        <v>20.934657280259557</v>
      </c>
      <c r="L22" s="1726">
        <f>+BS!L34-BS!K34+BS!L35-BS!K35+BS!K21-BS!L21</f>
        <v>78.012698688606861</v>
      </c>
      <c r="M22" s="894">
        <f t="shared" si="3"/>
        <v>470.74957992931223</v>
      </c>
      <c r="N22" s="982"/>
      <c r="O22" s="1725">
        <f>(BS!O34-BS!L34+BS!O35-BS!L35)</f>
        <v>545.3295454545455</v>
      </c>
      <c r="P22" s="1726">
        <f>+BS!P34-BS!O34+BS!P35-BS!O35+BS!O21-BS!P21</f>
        <v>31.442918670452087</v>
      </c>
      <c r="Q22" s="1726">
        <f>+BS!Q34-BS!P34+BS!Q35-BS!P35+BS!P21-BS!Q21</f>
        <v>35.411616161616195</v>
      </c>
      <c r="R22" s="1726">
        <f>+BS!R34-BS!Q34+BS!R35-BS!Q35+BS!Q21-BS!R21</f>
        <v>158.88625982579143</v>
      </c>
      <c r="S22" s="894">
        <f t="shared" si="4"/>
        <v>771.07034011240512</v>
      </c>
      <c r="T22" s="984"/>
      <c r="U22" s="1725">
        <f>(BS!U34-BS!R34+BS!U35-BS!R35)</f>
        <v>-40.172979797979849</v>
      </c>
      <c r="V22" s="1726">
        <f>+BS!V34-BS!U34+BS!V35-BS!U35+BS!U21-BS!V21</f>
        <v>-19.146648125615542</v>
      </c>
      <c r="W22" s="1726">
        <f>+BS!W34-BS!V34+BS!W35-BS!V35+BS!V21-BS!W21</f>
        <v>70.584142090117211</v>
      </c>
      <c r="X22" s="1726">
        <f>+BS!X34-BS!W34+BS!X35-BS!W35+BS!W21-BS!X21</f>
        <v>-88.144332908434251</v>
      </c>
      <c r="Y22" s="894">
        <f t="shared" si="5"/>
        <v>-76.87981874191243</v>
      </c>
      <c r="Z22" s="984"/>
      <c r="AA22" s="1725">
        <f>(BS!AA34-BS!X34+BS!AA35-BS!X35)</f>
        <v>-20.704545454545439</v>
      </c>
      <c r="AB22" s="1726">
        <f>+BS!AB34-BS!AA34+BS!AB35-BS!AA35+BS!AA21-BS!AB21</f>
        <v>-188.85713975317225</v>
      </c>
      <c r="AC22" s="1726">
        <f>+BS!AC34-BS!AB34+BS!AC35-BS!AB35+BS!AB21-BS!AC21</f>
        <v>-43.768538636846472</v>
      </c>
      <c r="AD22" s="1726">
        <f>+BS!AD34-BS!AC34+BS!AD35-BS!AC35+BS!AC21-BS!AD21</f>
        <v>99.031522200977349</v>
      </c>
      <c r="AE22" s="894">
        <f t="shared" si="6"/>
        <v>-154.29870164358681</v>
      </c>
      <c r="AF22" s="982"/>
      <c r="AG22" s="988">
        <f>(BS!AG34-BS!AD34+BS!AG35-BS!AD35)</f>
        <v>-7.1767676767676676</v>
      </c>
      <c r="AH22" s="1726">
        <f>+BS!AH34-BS!AG34+BS!AH35-BS!AG35+BS!AG21-BS!AH21</f>
        <v>-76.659918979469637</v>
      </c>
      <c r="AI22" s="1726">
        <f>+BS!AI34-BS!AH34+BS!AI35-BS!AH35+BS!AH21-BS!AI21</f>
        <v>132.54437539834288</v>
      </c>
      <c r="AJ22" s="1726">
        <f>+BS!AJ34-BS!AI34+BS!AJ35-BS!AI35+BS!AI21-BS!AJ21</f>
        <v>78.023680881472444</v>
      </c>
      <c r="AK22" s="894">
        <f t="shared" si="7"/>
        <v>126.73136962357802</v>
      </c>
      <c r="AL22" s="982"/>
      <c r="AM22" s="1725">
        <f>(BS!AM34-BS!AJ34+BS!AM35-BS!AJ35)</f>
        <v>12.058603491271811</v>
      </c>
      <c r="AN22" s="1726">
        <f>+BS!AN34-BS!AM34+BS!AN35-BS!AM35+BS!AM21-BS!AN21</f>
        <v>-71.833726494574307</v>
      </c>
      <c r="AO22" s="1726">
        <f>+BS!AO34-BS!AN34+BS!AO35-BS!AN35+BS!AN21-BS!AO21</f>
        <v>-16.547448945204508</v>
      </c>
      <c r="AP22" s="1726">
        <f>+BS!AP34-BS!AO34+BS!AP35-BS!AO35+BS!AO21-BS!AP21</f>
        <v>-140.94769832176326</v>
      </c>
      <c r="AQ22" s="894">
        <f>+SUM(AM22:AP22)</f>
        <v>-217.27027027027026</v>
      </c>
      <c r="AR22" s="982"/>
      <c r="AS22" s="1725">
        <f>6-3</f>
        <v>3</v>
      </c>
      <c r="AT22" s="1724">
        <f>8-3-AS22</f>
        <v>2</v>
      </c>
      <c r="AU22" s="1726">
        <f>+BS!AU34-BS!AT34+BS!AU35-BS!AT35+BS!AT21-BS!AU21</f>
        <v>13</v>
      </c>
      <c r="AV22" s="1726">
        <v>0</v>
      </c>
      <c r="AW22" s="894">
        <f t="shared" si="9"/>
        <v>18</v>
      </c>
      <c r="AX22" s="982"/>
      <c r="AY22" s="1725">
        <v>3</v>
      </c>
      <c r="AZ22" s="1724">
        <f>5-AY22</f>
        <v>2</v>
      </c>
      <c r="BA22" s="1724">
        <f>-5+13-SUM(AY22:AZ22)</f>
        <v>3</v>
      </c>
      <c r="BB22" s="1724">
        <f>-8+13-SUM(AY22:BA22)</f>
        <v>-3</v>
      </c>
      <c r="BC22" s="894">
        <f t="shared" si="10"/>
        <v>5</v>
      </c>
      <c r="BD22" s="982"/>
      <c r="BE22" s="1725">
        <f>2-2</f>
        <v>0</v>
      </c>
      <c r="BF22" s="1726">
        <f>8-BE22</f>
        <v>8</v>
      </c>
      <c r="BG22" s="1726">
        <f>16-SUM(BE22:BF22)</f>
        <v>8</v>
      </c>
      <c r="BH22" s="1726">
        <f>25+17-SUM(BE22:BG22)</f>
        <v>26</v>
      </c>
      <c r="BI22" s="894">
        <f t="shared" si="11"/>
        <v>42</v>
      </c>
      <c r="BJ22" s="982"/>
      <c r="BK22" s="1725">
        <v>2</v>
      </c>
      <c r="BL22" s="1724">
        <f>2-BK22</f>
        <v>0</v>
      </c>
      <c r="BM22" s="1724">
        <f>5-SUM(BK22:BL22)</f>
        <v>3</v>
      </c>
      <c r="BN22" s="1726">
        <f>7-SUM(BK22:BM22)</f>
        <v>2</v>
      </c>
      <c r="BO22" s="894">
        <f t="shared" si="12"/>
        <v>7</v>
      </c>
      <c r="BP22" s="982"/>
      <c r="BQ22" s="1725">
        <v>1</v>
      </c>
      <c r="BR22" s="1726">
        <f>BQ22</f>
        <v>1</v>
      </c>
      <c r="BS22" s="1726">
        <f>BR22</f>
        <v>1</v>
      </c>
      <c r="BT22" s="1726">
        <f>BS22</f>
        <v>1</v>
      </c>
      <c r="BU22" s="894">
        <f>+SUM(BQ22:BT22)</f>
        <v>4</v>
      </c>
      <c r="BV22" s="982"/>
      <c r="BW22" s="1725">
        <v>0</v>
      </c>
      <c r="BX22" s="1726">
        <f>+BW22</f>
        <v>0</v>
      </c>
      <c r="BY22" s="1726">
        <f>+BX22</f>
        <v>0</v>
      </c>
      <c r="BZ22" s="1726">
        <f>+BY22</f>
        <v>0</v>
      </c>
      <c r="CA22" s="894">
        <f>+SUM(BW22:BZ22)</f>
        <v>0</v>
      </c>
      <c r="CB22" s="984"/>
      <c r="CC22" s="1725">
        <v>0</v>
      </c>
      <c r="CD22" s="1726">
        <f>+CC22</f>
        <v>0</v>
      </c>
      <c r="CE22" s="1726">
        <f>+CD22</f>
        <v>0</v>
      </c>
      <c r="CF22" s="1726">
        <f>+CE22</f>
        <v>0</v>
      </c>
      <c r="CG22" s="894">
        <f>+SUM(CC22:CF22)</f>
        <v>0</v>
      </c>
      <c r="CH22" s="985"/>
      <c r="CI22" s="1725">
        <v>0</v>
      </c>
      <c r="CJ22" s="1726">
        <f>+CI22</f>
        <v>0</v>
      </c>
      <c r="CK22" s="1726">
        <f>+CJ22</f>
        <v>0</v>
      </c>
      <c r="CL22" s="1726">
        <f>+CK22</f>
        <v>0</v>
      </c>
      <c r="CM22" s="894">
        <f>+SUM(CI22:CL22)</f>
        <v>0</v>
      </c>
      <c r="CN22" s="985"/>
      <c r="CO22" s="985"/>
      <c r="CP22" s="985"/>
    </row>
    <row r="23" spans="1:94" collapsed="1">
      <c r="A23" s="964" t="s">
        <v>397</v>
      </c>
      <c r="B23" s="965"/>
      <c r="C23" s="989">
        <f>SUM(C24:C30)</f>
        <v>0</v>
      </c>
      <c r="D23" s="990">
        <f>SUM(D24:D30)</f>
        <v>21.439128247423625</v>
      </c>
      <c r="E23" s="990">
        <f>SUM(E24:E30)</f>
        <v>-22.179584387682283</v>
      </c>
      <c r="F23" s="990">
        <f>SUM(F24:F30)</f>
        <v>-25.466163524948698</v>
      </c>
      <c r="G23" s="991">
        <f>SUM(G24:G30)</f>
        <v>-26.206619665207356</v>
      </c>
      <c r="H23" s="965"/>
      <c r="I23" s="989">
        <f>SUM(I24:I30)</f>
        <v>6.1548822410409088</v>
      </c>
      <c r="J23" s="990">
        <f>SUM(J24:J30)</f>
        <v>1.6771823433686421</v>
      </c>
      <c r="K23" s="990">
        <f>SUM(K24:K30)</f>
        <v>-12.68582048751297</v>
      </c>
      <c r="L23" s="990">
        <f>SUM(L24:L30)</f>
        <v>-32.210364195464351</v>
      </c>
      <c r="M23" s="991">
        <f>SUM(M24:M30)</f>
        <v>-37.06412009856777</v>
      </c>
      <c r="N23" s="965"/>
      <c r="O23" s="989">
        <f>SUM(O24:O30)</f>
        <v>36.446167364725042</v>
      </c>
      <c r="P23" s="990">
        <f>SUM(P24:P30)</f>
        <v>13.132949338633566</v>
      </c>
      <c r="Q23" s="990">
        <f>SUM(Q24:Q30)</f>
        <v>-3.9276563356883258</v>
      </c>
      <c r="R23" s="990">
        <f>SUM(R24:R30)</f>
        <v>-17.86923715751233</v>
      </c>
      <c r="S23" s="991">
        <f>SUM(S24:S30)</f>
        <v>27.782223210157952</v>
      </c>
      <c r="T23" s="965"/>
      <c r="U23" s="989">
        <f>SUM(U24:U30)</f>
        <v>-17.209018502125588</v>
      </c>
      <c r="V23" s="990">
        <f>SUM(V24:V30)</f>
        <v>18.780206929109497</v>
      </c>
      <c r="W23" s="990">
        <f>SUM(W24:W30)</f>
        <v>-40.298439539051145</v>
      </c>
      <c r="X23" s="990">
        <f>SUM(X24:X30)</f>
        <v>-41.967720155167882</v>
      </c>
      <c r="Y23" s="991">
        <f>SUM(Y24:Y30)</f>
        <v>-80.694971267235118</v>
      </c>
      <c r="Z23" s="965"/>
      <c r="AA23" s="989">
        <f>SUM(AA24:AA30)</f>
        <v>43.442285638010759</v>
      </c>
      <c r="AB23" s="990">
        <f>SUM(AB24:AB30)</f>
        <v>-33.943240831297004</v>
      </c>
      <c r="AC23" s="990">
        <f>SUM(AC24:AC30)</f>
        <v>-3.7290107039497116</v>
      </c>
      <c r="AD23" s="990">
        <f>SUM(AD24:AD30)</f>
        <v>-25.561557157550226</v>
      </c>
      <c r="AE23" s="991">
        <f>SUM(AE24:AE30)</f>
        <v>-19.791523054786182</v>
      </c>
      <c r="AF23" s="965"/>
      <c r="AG23" s="989">
        <f>SUM(AG24:AG30)</f>
        <v>13.278913288108185</v>
      </c>
      <c r="AH23" s="990">
        <f>SUM(AH24:AH30)</f>
        <v>15.354755567625944</v>
      </c>
      <c r="AI23" s="990">
        <f>SUM(AI24:AI30)</f>
        <v>-20.122591540872747</v>
      </c>
      <c r="AJ23" s="990">
        <f>SUM(AJ24:AJ30)</f>
        <v>13.528966319221098</v>
      </c>
      <c r="AK23" s="991">
        <f>SUM(AK24:AK30)</f>
        <v>22.04004363408248</v>
      </c>
      <c r="AL23" s="965"/>
      <c r="AM23" s="989">
        <f>SUM(AM24:AM30)</f>
        <v>-48.323197515751701</v>
      </c>
      <c r="AN23" s="990">
        <f>SUM(AN24:AN30)</f>
        <v>-14.886026737351017</v>
      </c>
      <c r="AO23" s="990">
        <f>SUM(AO24:AO30)</f>
        <v>3.8027128249933071</v>
      </c>
      <c r="AP23" s="990">
        <f>SUM(AP24:AP30)</f>
        <v>16.406511428109411</v>
      </c>
      <c r="AQ23" s="991">
        <f>SUM(AQ24:AQ30)</f>
        <v>-43</v>
      </c>
      <c r="AR23" s="965"/>
      <c r="AS23" s="994">
        <f>SUM(AS24:AS30)</f>
        <v>-142</v>
      </c>
      <c r="AT23" s="990">
        <f>SUM(AT24:AT30)</f>
        <v>40</v>
      </c>
      <c r="AU23" s="990">
        <f>SUM(AU24:AU30)</f>
        <v>-120</v>
      </c>
      <c r="AV23" s="992">
        <f>SUM(AV24:AV30)</f>
        <v>-1</v>
      </c>
      <c r="AW23" s="993">
        <f>SUM(AW24:AW30)</f>
        <v>-223</v>
      </c>
      <c r="AX23" s="965"/>
      <c r="AY23" s="994">
        <f>SUM(AY24:AY30)</f>
        <v>-182</v>
      </c>
      <c r="AZ23" s="992">
        <f>SUM(AZ24:AZ30)</f>
        <v>11</v>
      </c>
      <c r="BA23" s="992">
        <f>SUM(BA24:BA30)</f>
        <v>-82</v>
      </c>
      <c r="BB23" s="992">
        <f>SUM(BB24:BB30)</f>
        <v>-75</v>
      </c>
      <c r="BC23" s="993">
        <f>SUM(BC24:BC30)</f>
        <v>-328</v>
      </c>
      <c r="BD23" s="965"/>
      <c r="BE23" s="994">
        <f>SUM(BE24:BE30)</f>
        <v>-116</v>
      </c>
      <c r="BF23" s="992">
        <f>SUM(BF24:BF30)</f>
        <v>41</v>
      </c>
      <c r="BG23" s="992">
        <f>SUM(BG24:BG30)</f>
        <v>-5</v>
      </c>
      <c r="BH23" s="992">
        <f>SUM(BH24:BH30)</f>
        <v>40</v>
      </c>
      <c r="BI23" s="993">
        <f>SUM(BI24:BI30)</f>
        <v>-40</v>
      </c>
      <c r="BJ23" s="965"/>
      <c r="BK23" s="994">
        <f>SUM(BK24:BK30)</f>
        <v>-152</v>
      </c>
      <c r="BL23" s="992">
        <f>SUM(BL24:BL30)</f>
        <v>12</v>
      </c>
      <c r="BM23" s="992">
        <f>SUM(BM24:BM30)</f>
        <v>-81</v>
      </c>
      <c r="BN23" s="992">
        <f>SUM(BN24:BN30)</f>
        <v>40</v>
      </c>
      <c r="BO23" s="993">
        <f>SUM(BO24:BO30)</f>
        <v>-181</v>
      </c>
      <c r="BP23" s="965"/>
      <c r="BQ23" s="994">
        <f>SUM(BQ24:BQ30)</f>
        <v>453</v>
      </c>
      <c r="BR23" s="992">
        <f>SUM(BR24:BR30)</f>
        <v>-29.531244307688354</v>
      </c>
      <c r="BS23" s="992">
        <f>SUM(BS24:BS30)</f>
        <v>2.7751834132410806</v>
      </c>
      <c r="BT23" s="992">
        <f>SUM(BT24:BT30)</f>
        <v>39.875640230966241</v>
      </c>
      <c r="BU23" s="993">
        <f>SUM(BU24:BU30)</f>
        <v>466.119579336519</v>
      </c>
      <c r="BV23" s="965"/>
      <c r="BW23" s="994">
        <f>SUM(BW24:BW30)</f>
        <v>-102.6519282315522</v>
      </c>
      <c r="BX23" s="992">
        <f>SUM(BX24:BX30)</f>
        <v>-34.482992747406769</v>
      </c>
      <c r="BY23" s="992">
        <f>SUM(BY24:BY30)</f>
        <v>-4.3860010978373225</v>
      </c>
      <c r="BZ23" s="992">
        <f>SUM(BZ24:BZ30)</f>
        <v>40.64621244262645</v>
      </c>
      <c r="CA23" s="993">
        <f>SUM(CA24:CA30)</f>
        <v>-100.87470963416985</v>
      </c>
      <c r="CB23" s="992"/>
      <c r="CC23" s="994">
        <f>SUM(CC24:CC30)</f>
        <v>-95.140915026417474</v>
      </c>
      <c r="CD23" s="992">
        <f>SUM(CD24:CD30)</f>
        <v>-42.752475597778698</v>
      </c>
      <c r="CE23" s="992">
        <f>SUM(CE24:CE30)</f>
        <v>-10.367366784835838</v>
      </c>
      <c r="CF23" s="992">
        <f>SUM(CF24:CF30)</f>
        <v>41.97950440352264</v>
      </c>
      <c r="CG23" s="993">
        <f>SUM(CG24:CG30)</f>
        <v>-106.28125300550937</v>
      </c>
      <c r="CH23" s="954"/>
      <c r="CI23" s="994">
        <f>SUM(CI24:CI30)</f>
        <v>-93.003288762336012</v>
      </c>
      <c r="CJ23" s="992">
        <f>SUM(CJ24:CJ30)</f>
        <v>-52.43942473557621</v>
      </c>
      <c r="CK23" s="992">
        <f>SUM(CK24:CK30)</f>
        <v>-19.143977223654758</v>
      </c>
      <c r="CL23" s="992">
        <f>SUM(CL24:CL30)</f>
        <v>44.433081569252181</v>
      </c>
      <c r="CM23" s="993">
        <f>SUM(CM24:CM30)</f>
        <v>-120.1536091523148</v>
      </c>
      <c r="CN23" s="954"/>
      <c r="CO23" s="954"/>
      <c r="CP23" s="954"/>
    </row>
    <row r="24" spans="1:94" hidden="1" outlineLevel="1">
      <c r="A24" s="995" t="s">
        <v>398</v>
      </c>
      <c r="B24" s="996"/>
      <c r="C24" s="1728">
        <v>0</v>
      </c>
      <c r="D24" s="997">
        <f>BS!C11-BS!D11</f>
        <v>15.075709779179789</v>
      </c>
      <c r="E24" s="997">
        <f>BS!D11-BS!E11</f>
        <v>-22.892744479495263</v>
      </c>
      <c r="F24" s="997">
        <f>BS!E11-BS!F11</f>
        <v>-30.70977917981071</v>
      </c>
      <c r="G24" s="894">
        <f t="shared" ref="G24:G30" si="22">+SUM(C24:F24)</f>
        <v>-38.526813880126184</v>
      </c>
      <c r="H24" s="996"/>
      <c r="I24" s="998">
        <f>BS!F11-BS!I11</f>
        <v>-3.9085173501577515</v>
      </c>
      <c r="J24" s="997">
        <f>BS!I11-BS!J11</f>
        <v>0.55835962145113172</v>
      </c>
      <c r="K24" s="997">
        <f>BS!J11-BS!K11</f>
        <v>-5.5835962145110329</v>
      </c>
      <c r="L24" s="997">
        <f>BS!K11-BS!L11</f>
        <v>-30.151419558359635</v>
      </c>
      <c r="M24" s="894">
        <f t="shared" ref="M24:M30" si="23">+SUM(I24:L24)</f>
        <v>-39.085173501577287</v>
      </c>
      <c r="N24" s="996"/>
      <c r="O24" s="998">
        <f>BS!L11-BS!O11</f>
        <v>38.526813880126156</v>
      </c>
      <c r="P24" s="997">
        <f>BS!O11-BS!P11</f>
        <v>15.075709779179817</v>
      </c>
      <c r="Q24" s="997">
        <f>BS!P11-BS!Q11</f>
        <v>1.1167192429022066</v>
      </c>
      <c r="R24" s="997">
        <f>BS!Q11-BS!R11</f>
        <v>-26.801261829652958</v>
      </c>
      <c r="S24" s="894">
        <f t="shared" ref="S24:S30" si="24">+SUM(O24:R24)</f>
        <v>27.917981072555222</v>
      </c>
      <c r="T24" s="984"/>
      <c r="U24" s="998">
        <f>BS!R11-BS!U11</f>
        <v>-22.334384858044189</v>
      </c>
      <c r="V24" s="997">
        <f>BS!U11-BS!V11</f>
        <v>6.7003154574132395</v>
      </c>
      <c r="W24" s="997">
        <f>BS!V11-BS!W11</f>
        <v>-73.145110410094617</v>
      </c>
      <c r="X24" s="997">
        <f>BS!W11-BS!X11</f>
        <v>-65.328075709779171</v>
      </c>
      <c r="Y24" s="894">
        <f t="shared" ref="Y24:Y30" si="25">+SUM(U24:X24)</f>
        <v>-154.10725552050474</v>
      </c>
      <c r="Z24" s="984"/>
      <c r="AA24" s="998">
        <f>BS!X11-BS!AA11</f>
        <v>37.410094637223949</v>
      </c>
      <c r="AB24" s="997">
        <f>BS!AA11-BS!AB11</f>
        <v>-51.36908517350156</v>
      </c>
      <c r="AC24" s="997">
        <f>BS!AB11-BS!AC11</f>
        <v>5.0252365930599581</v>
      </c>
      <c r="AD24" s="997">
        <f>BS!AC11-BS!AD11</f>
        <v>-22.334384858044189</v>
      </c>
      <c r="AE24" s="894">
        <f t="shared" ref="AE24:AE30" si="26">+SUM(AA24:AD24)</f>
        <v>-31.268138801261841</v>
      </c>
      <c r="AF24" s="996"/>
      <c r="AG24" s="998">
        <f>BS!AD11-BS!AG11</f>
        <v>10.608832807570991</v>
      </c>
      <c r="AH24" s="997">
        <f>BS!AG11-BS!AH11</f>
        <v>0</v>
      </c>
      <c r="AI24" s="997">
        <f>BS!AH11-BS!AI11</f>
        <v>-11.725552050473198</v>
      </c>
      <c r="AJ24" s="997">
        <f>BS!AI11-BS!AJ11</f>
        <v>-40.760252365930626</v>
      </c>
      <c r="AK24" s="894">
        <f t="shared" ref="AK24:AK30" si="27">+SUM(AG24:AJ24)</f>
        <v>-41.876971608832832</v>
      </c>
      <c r="AL24" s="996"/>
      <c r="AM24" s="998">
        <f>BS!AJ11-BS!AM11</f>
        <v>2.3504442250740567</v>
      </c>
      <c r="AN24" s="997">
        <f>BS!AM11-BS!AN11</f>
        <v>-7.7255676209279045</v>
      </c>
      <c r="AO24" s="997">
        <f>BS!AN11-BS!AO11</f>
        <v>11.588351431391857</v>
      </c>
      <c r="AP24" s="997">
        <f>BS!AO11-BS!AP11</f>
        <v>-34.213228035538009</v>
      </c>
      <c r="AQ24" s="894">
        <f t="shared" ref="AQ24:AQ30" si="28">+SUM(AM24:AP24)</f>
        <v>-28</v>
      </c>
      <c r="AR24" s="996"/>
      <c r="AS24" s="1725">
        <v>40</v>
      </c>
      <c r="AT24" s="1724">
        <f>-3-AS24</f>
        <v>-43</v>
      </c>
      <c r="AU24" s="997">
        <f>BS!AT11-BS!AU11</f>
        <v>-4</v>
      </c>
      <c r="AV24" s="997">
        <f>BS!AU11-BS!AV11</f>
        <v>-54</v>
      </c>
      <c r="AW24" s="894">
        <f t="shared" ref="AW24:AW30" si="29">+SUM(AS24:AV24)</f>
        <v>-61</v>
      </c>
      <c r="AX24" s="996"/>
      <c r="AY24" s="1725">
        <v>-15</v>
      </c>
      <c r="AZ24" s="1724">
        <f>16-AY24</f>
        <v>31</v>
      </c>
      <c r="BA24" s="1724">
        <f>1-SUM(AY24:AZ24)</f>
        <v>-15</v>
      </c>
      <c r="BB24" s="1724">
        <f>-24-SUM(AY24:BA24)</f>
        <v>-25</v>
      </c>
      <c r="BC24" s="894">
        <f t="shared" ref="BC24:BC30" si="30">+SUM(AY24:BB24)</f>
        <v>-24</v>
      </c>
      <c r="BD24" s="996"/>
      <c r="BE24" s="1725">
        <v>-15</v>
      </c>
      <c r="BF24" s="1726">
        <f>19-BE24</f>
        <v>34</v>
      </c>
      <c r="BG24" s="1726">
        <f>19-SUM(BE24:BF24)</f>
        <v>0</v>
      </c>
      <c r="BH24" s="1726">
        <f>-33-SUM(BE24:BG24)</f>
        <v>-52</v>
      </c>
      <c r="BI24" s="894">
        <f t="shared" ref="BI24:BI30" si="31">+SUM(BE24:BH24)</f>
        <v>-33</v>
      </c>
      <c r="BJ24" s="996"/>
      <c r="BK24" s="1725">
        <v>-31</v>
      </c>
      <c r="BL24" s="1724">
        <f>-48-BK24</f>
        <v>-17</v>
      </c>
      <c r="BM24" s="1724">
        <f>-29-SUM(BK24:BL24)</f>
        <v>19</v>
      </c>
      <c r="BN24" s="1726">
        <f>-81-SUM(BK24:BM24)</f>
        <v>-52</v>
      </c>
      <c r="BO24" s="894">
        <f t="shared" ref="BO24:BO29" si="32">+SUM(BK24:BN24)</f>
        <v>-81</v>
      </c>
      <c r="BP24" s="996"/>
      <c r="BQ24" s="1725">
        <v>-5</v>
      </c>
      <c r="BR24" s="997">
        <f>BS!BQ11-BS!BR11</f>
        <v>-10.105230970957678</v>
      </c>
      <c r="BS24" s="997">
        <f>BS!BR11-BS!BS11</f>
        <v>14.846392671317176</v>
      </c>
      <c r="BT24" s="997">
        <f>BS!BS11-BS!BT11</f>
        <v>-45.67566798213204</v>
      </c>
      <c r="BU24" s="894">
        <f t="shared" ref="BU24:BU30" si="33">+SUM(BQ24:BT24)</f>
        <v>-45.934506281772542</v>
      </c>
      <c r="BV24" s="996"/>
      <c r="BW24" s="998">
        <f>BS!BT11-BS!BW11</f>
        <v>-37.991501215052494</v>
      </c>
      <c r="BX24" s="997">
        <f>BS!BW11-BS!BX11</f>
        <v>-11.98483286524106</v>
      </c>
      <c r="BY24" s="997">
        <f>BS!BX11-BS!BY11</f>
        <v>5.8104836632937804</v>
      </c>
      <c r="BZ24" s="997">
        <f>BS!BY11-BS!BZ11</f>
        <v>-49.042338348796306</v>
      </c>
      <c r="CA24" s="894">
        <f t="shared" ref="CA24:CA30" si="34">+SUM(BW24:BZ24)</f>
        <v>-93.208188765796081</v>
      </c>
      <c r="CB24" s="984"/>
      <c r="CC24" s="998">
        <f>BS!BZ11-BS!CC11</f>
        <v>-23.60439449426849</v>
      </c>
      <c r="CD24" s="997">
        <f>BS!CC11-BS!CD11</f>
        <v>-16.401933845170333</v>
      </c>
      <c r="CE24" s="997">
        <f>BS!CD11-BS!CE11</f>
        <v>-0.98206001990092773</v>
      </c>
      <c r="CF24" s="997">
        <f>BS!CE11-BS!CF11</f>
        <v>-50.996193896511386</v>
      </c>
      <c r="CG24" s="894">
        <f t="shared" ref="CG24:CG30" si="35">+SUM(CC24:CF24)</f>
        <v>-91.984582255851137</v>
      </c>
      <c r="CH24" s="985"/>
      <c r="CI24" s="998">
        <f>BS!CF11-BS!CI11</f>
        <v>-18.735996161994876</v>
      </c>
      <c r="CJ24" s="997">
        <f>BS!CI11-BS!CJ11</f>
        <v>-21.806817316250772</v>
      </c>
      <c r="CK24" s="997">
        <f>BS!CJ11-BS!CK11</f>
        <v>-10.540590664634124</v>
      </c>
      <c r="CL24" s="997">
        <f>BS!CK11-BS!CL11</f>
        <v>-52.32966427523138</v>
      </c>
      <c r="CM24" s="894">
        <f t="shared" ref="CM24:CM30" si="36">+SUM(CI24:CL24)</f>
        <v>-103.41306841811115</v>
      </c>
      <c r="CN24" s="985"/>
      <c r="CO24" s="985"/>
      <c r="CP24" s="985"/>
    </row>
    <row r="25" spans="1:94" hidden="1" outlineLevel="1">
      <c r="A25" s="995" t="s">
        <v>399</v>
      </c>
      <c r="B25" s="996"/>
      <c r="C25" s="1728">
        <v>0</v>
      </c>
      <c r="D25" s="997">
        <f>BS!C12-BS!D12</f>
        <v>13.442089578484229</v>
      </c>
      <c r="E25" s="997">
        <f>BS!D12-BS!E12</f>
        <v>-15.429748127033236</v>
      </c>
      <c r="F25" s="997">
        <f>BS!E12-BS!F12</f>
        <v>-25.349230221054029</v>
      </c>
      <c r="G25" s="894">
        <f t="shared" si="22"/>
        <v>-27.336888769603036</v>
      </c>
      <c r="H25" s="996"/>
      <c r="I25" s="998">
        <f>BS!F12-BS!I12</f>
        <v>-17.707090665938665</v>
      </c>
      <c r="J25" s="997">
        <f>BS!I12-BS!J12</f>
        <v>-6.0194075918161616E-2</v>
      </c>
      <c r="K25" s="997">
        <f>BS!J12-BS!K12</f>
        <v>3.6191688145820535</v>
      </c>
      <c r="L25" s="997">
        <f>BS!K12-BS!L12</f>
        <v>-19.359919667192685</v>
      </c>
      <c r="M25" s="894">
        <f t="shared" si="23"/>
        <v>-33.508035594467458</v>
      </c>
      <c r="N25" s="996"/>
      <c r="O25" s="998">
        <f>BS!L12-BS!O12</f>
        <v>33.065358327818956</v>
      </c>
      <c r="P25" s="997">
        <f>BS!O12-BS!P12</f>
        <v>11.238735591228192</v>
      </c>
      <c r="Q25" s="997">
        <f>BS!P12-BS!Q12</f>
        <v>-3.2379396671000791</v>
      </c>
      <c r="R25" s="997">
        <f>BS!Q12-BS!R12</f>
        <v>-19.451464824318236</v>
      </c>
      <c r="S25" s="894">
        <f t="shared" si="24"/>
        <v>21.614689427628832</v>
      </c>
      <c r="T25" s="984"/>
      <c r="U25" s="998">
        <f>BS!R12-BS!U12</f>
        <v>-22.354574944123385</v>
      </c>
      <c r="V25" s="997">
        <f>BS!U12-BS!V12</f>
        <v>5.5742222386754179</v>
      </c>
      <c r="W25" s="997">
        <f>BS!V12-BS!W12</f>
        <v>-84.395856567068165</v>
      </c>
      <c r="X25" s="997">
        <f>BS!W12-BS!X12</f>
        <v>-82.321669034386673</v>
      </c>
      <c r="Y25" s="894">
        <f t="shared" si="25"/>
        <v>-183.49787830690281</v>
      </c>
      <c r="Z25" s="984"/>
      <c r="AA25" s="998">
        <f>BS!X12-BS!AA12</f>
        <v>42.23868468910365</v>
      </c>
      <c r="AB25" s="997">
        <f>BS!AA12-BS!AB12</f>
        <v>-65.375782620163648</v>
      </c>
      <c r="AC25" s="997">
        <f>BS!AB12-BS!AC12</f>
        <v>2.0666632731916934</v>
      </c>
      <c r="AD25" s="997">
        <f>BS!AC12-BS!AD12</f>
        <v>-15.991559502269752</v>
      </c>
      <c r="AE25" s="894">
        <f t="shared" si="26"/>
        <v>-37.061994160138056</v>
      </c>
      <c r="AF25" s="996"/>
      <c r="AG25" s="998">
        <f>BS!AD12-BS!AG12</f>
        <v>16.238606022183944</v>
      </c>
      <c r="AH25" s="997">
        <f>BS!AG12-BS!AH12</f>
        <v>-11.283881148166756</v>
      </c>
      <c r="AI25" s="997">
        <f>BS!AH12-BS!AI12</f>
        <v>-8.4973970504532872</v>
      </c>
      <c r="AJ25" s="997">
        <f>BS!AI12-BS!AJ12</f>
        <v>-8.7532218731056446</v>
      </c>
      <c r="AK25" s="894">
        <f t="shared" si="27"/>
        <v>-12.295894049541744</v>
      </c>
      <c r="AL25" s="996"/>
      <c r="AM25" s="998">
        <f>BS!AJ12-BS!AM12</f>
        <v>-5.4332019442986166</v>
      </c>
      <c r="AN25" s="997">
        <f>BS!AM12-BS!AN12</f>
        <v>-7.6050303230359759</v>
      </c>
      <c r="AO25" s="997">
        <f>BS!AN12-BS!AO12</f>
        <v>5.9513925295949548</v>
      </c>
      <c r="AP25" s="997">
        <f>BS!AO12-BS!AP12</f>
        <v>-14.913160262260362</v>
      </c>
      <c r="AQ25" s="894">
        <f t="shared" si="28"/>
        <v>-22</v>
      </c>
      <c r="AR25" s="996"/>
      <c r="AS25" s="1725">
        <v>-33</v>
      </c>
      <c r="AT25" s="1724">
        <f>-56-AS25</f>
        <v>-23</v>
      </c>
      <c r="AU25" s="997">
        <f>BS!AT12-BS!AU12</f>
        <v>-1</v>
      </c>
      <c r="AV25" s="997">
        <f>BS!AU12-BS!AV12</f>
        <v>9</v>
      </c>
      <c r="AW25" s="894">
        <f t="shared" si="29"/>
        <v>-48</v>
      </c>
      <c r="AX25" s="996"/>
      <c r="AY25" s="1725">
        <v>-5</v>
      </c>
      <c r="AZ25" s="1724">
        <f>-18-AY25</f>
        <v>-13</v>
      </c>
      <c r="BA25" s="1724">
        <f>-18-SUM(AY25:AZ25)</f>
        <v>0</v>
      </c>
      <c r="BB25" s="1724">
        <f>-24-SUM(AY25:BA25)</f>
        <v>-6</v>
      </c>
      <c r="BC25" s="894">
        <f t="shared" si="30"/>
        <v>-24</v>
      </c>
      <c r="BD25" s="996"/>
      <c r="BE25" s="1725">
        <v>-13</v>
      </c>
      <c r="BF25" s="1726">
        <f>-13-BE25</f>
        <v>0</v>
      </c>
      <c r="BG25" s="1726">
        <f>-11-SUM(BE25:BF25)</f>
        <v>2</v>
      </c>
      <c r="BH25" s="1726">
        <f>-7-SUM(BE25:BG25)</f>
        <v>4</v>
      </c>
      <c r="BI25" s="894">
        <f t="shared" si="31"/>
        <v>-7</v>
      </c>
      <c r="BJ25" s="996"/>
      <c r="BK25" s="1725">
        <v>-26</v>
      </c>
      <c r="BL25" s="1724">
        <f>-29-BK25</f>
        <v>-3</v>
      </c>
      <c r="BM25" s="1724">
        <f>-46-SUM(BK25:BL25)</f>
        <v>-17</v>
      </c>
      <c r="BN25" s="1726">
        <f>-61-SUM(BK25:BM25)</f>
        <v>-15</v>
      </c>
      <c r="BO25" s="894">
        <f t="shared" si="32"/>
        <v>-61</v>
      </c>
      <c r="BP25" s="996"/>
      <c r="BQ25" s="1725">
        <v>-34</v>
      </c>
      <c r="BR25" s="997">
        <f>BS!BQ12-BS!BR12</f>
        <v>-4.3261482030135312</v>
      </c>
      <c r="BS25" s="997">
        <f>BS!BR12-BS!BS12</f>
        <v>-8.2178065247960603</v>
      </c>
      <c r="BT25" s="997">
        <f>BS!BS12-BS!BT12</f>
        <v>-6.274100148256025</v>
      </c>
      <c r="BU25" s="894">
        <f t="shared" si="33"/>
        <v>-52.818054876065617</v>
      </c>
      <c r="BV25" s="996"/>
      <c r="BW25" s="998">
        <f>BS!BT12-BS!BW12</f>
        <v>-27.31774685577011</v>
      </c>
      <c r="BX25" s="997">
        <f>BS!BW12-BS!BX12</f>
        <v>-5.2700890278390489</v>
      </c>
      <c r="BY25" s="997">
        <f>BS!BX12-BS!BY12</f>
        <v>-17.724116789873165</v>
      </c>
      <c r="BZ25" s="997">
        <f>BS!BY12-BS!BZ12</f>
        <v>-5.2011725020188351</v>
      </c>
      <c r="CA25" s="894">
        <f t="shared" si="34"/>
        <v>-55.513125175501159</v>
      </c>
      <c r="CB25" s="984"/>
      <c r="CC25" s="998">
        <f>BS!BZ12-BS!CC12</f>
        <v>-18.478951179248156</v>
      </c>
      <c r="CD25" s="997">
        <f>BS!CC12-BS!CD12</f>
        <v>-7.2390541180390073</v>
      </c>
      <c r="CE25" s="997">
        <f>BS!CD12-BS!CE12</f>
        <v>-25.718311232684641</v>
      </c>
      <c r="CF25" s="997">
        <f>BS!CE12-BS!CF12</f>
        <v>-3.0992545361822295</v>
      </c>
      <c r="CG25" s="894">
        <f t="shared" si="35"/>
        <v>-54.535571066154034</v>
      </c>
      <c r="CH25" s="985"/>
      <c r="CI25" s="998">
        <f>BS!CF12-BS!CI12</f>
        <v>-16.916018121902084</v>
      </c>
      <c r="CJ25" s="997">
        <f>BS!CI12-BS!CJ12</f>
        <v>-9.5559488610795142</v>
      </c>
      <c r="CK25" s="997">
        <f>BS!CJ12-BS!CK12</f>
        <v>-36.118713761549202</v>
      </c>
      <c r="CL25" s="997">
        <f>BS!CK12-BS!CL12</f>
        <v>-0.12510991411829764</v>
      </c>
      <c r="CM25" s="894">
        <f t="shared" si="36"/>
        <v>-62.715790658649098</v>
      </c>
      <c r="CN25" s="985"/>
      <c r="CO25" s="985"/>
      <c r="CP25" s="985"/>
    </row>
    <row r="26" spans="1:94" hidden="1" outlineLevel="1">
      <c r="A26" s="995" t="s">
        <v>269</v>
      </c>
      <c r="B26" s="996"/>
      <c r="C26" s="1728">
        <v>0</v>
      </c>
      <c r="D26" s="997">
        <f>BS!D25-BS!C25</f>
        <v>-7.5642755008075255</v>
      </c>
      <c r="E26" s="997">
        <f>BS!E25-BS!D25</f>
        <v>8.6827918427031818</v>
      </c>
      <c r="F26" s="997">
        <f>BS!F25-BS!E25</f>
        <v>14.264788224024898</v>
      </c>
      <c r="G26" s="894">
        <f t="shared" si="22"/>
        <v>15.383304565920554</v>
      </c>
      <c r="H26" s="996"/>
      <c r="I26" s="998">
        <f>BS!I25-BS!F25</f>
        <v>9.9643222382126737</v>
      </c>
      <c r="J26" s="997">
        <f>BS!J25-BS!I25</f>
        <v>3.3873050101590252E-2</v>
      </c>
      <c r="K26" s="997">
        <f>BS!K25-BS!J25</f>
        <v>-2.0366171373570978</v>
      </c>
      <c r="L26" s="997">
        <f>BS!L25-BS!K25</f>
        <v>10.894419738918401</v>
      </c>
      <c r="M26" s="894">
        <f t="shared" si="23"/>
        <v>18.855997889875567</v>
      </c>
      <c r="N26" s="996"/>
      <c r="O26" s="998">
        <f>BS!O25-BS!L25</f>
        <v>-18.606889833920263</v>
      </c>
      <c r="P26" s="997">
        <f>BS!P25-BS!O25</f>
        <v>-6.3243807293811756</v>
      </c>
      <c r="Q26" s="997">
        <f>BS!Q25-BS!P25</f>
        <v>1.822087820047102</v>
      </c>
      <c r="R26" s="997">
        <f>BS!R25-BS!Q25</f>
        <v>10.945935002614505</v>
      </c>
      <c r="S26" s="894">
        <f t="shared" si="24"/>
        <v>-12.163247740639832</v>
      </c>
      <c r="T26" s="984"/>
      <c r="U26" s="998">
        <f>BS!U25-BS!R25</f>
        <v>12.579603981471649</v>
      </c>
      <c r="V26" s="997">
        <f>BS!V25-BS!U25</f>
        <v>-3.1367855771143809</v>
      </c>
      <c r="W26" s="997">
        <f>BS!W25-BS!V25</f>
        <v>47.4921333080365</v>
      </c>
      <c r="X26" s="997">
        <f>BS!X25-BS!W25</f>
        <v>46.324924456619812</v>
      </c>
      <c r="Y26" s="894">
        <f t="shared" si="25"/>
        <v>103.25987616901358</v>
      </c>
      <c r="Z26" s="984"/>
      <c r="AA26" s="998">
        <f>BS!AA25-BS!X25</f>
        <v>-23.769001531691174</v>
      </c>
      <c r="AB26" s="997">
        <f>BS!AB25-BS!AA25</f>
        <v>36.788955164483241</v>
      </c>
      <c r="AC26" s="997">
        <f>BS!AC25-BS!AB25</f>
        <v>-1.1629747201540113</v>
      </c>
      <c r="AD26" s="997">
        <f>BS!AD25-BS!AC25</f>
        <v>8.9989403103178915</v>
      </c>
      <c r="AE26" s="894">
        <f t="shared" si="26"/>
        <v>20.855919222955947</v>
      </c>
      <c r="AF26" s="996"/>
      <c r="AG26" s="998">
        <f>BS!AG25-BS!AD25</f>
        <v>-9.1379609534430415</v>
      </c>
      <c r="AH26" s="997">
        <f>BS!AH25-BS!AG25</f>
        <v>6.3497855169572972</v>
      </c>
      <c r="AI26" s="997">
        <f>BS!AI25-BS!AH25</f>
        <v>4.7817455726720368</v>
      </c>
      <c r="AJ26" s="997">
        <f>BS!AJ25-BS!AI25</f>
        <v>4.9257060356037528</v>
      </c>
      <c r="AK26" s="894">
        <f t="shared" si="27"/>
        <v>6.9192761717900453</v>
      </c>
      <c r="AL26" s="996"/>
      <c r="AM26" s="998">
        <f>BS!AM25-BS!AJ25</f>
        <v>-12.841500380790933</v>
      </c>
      <c r="AN26" s="997">
        <f>BS!AN25-BS!AM25</f>
        <v>4.0587129915493279</v>
      </c>
      <c r="AO26" s="997">
        <f>BS!AO25-BS!AN25</f>
        <v>-3.1761864386668321</v>
      </c>
      <c r="AP26" s="997">
        <f>BS!AP25-BS!AO25</f>
        <v>7.9589738279084372</v>
      </c>
      <c r="AQ26" s="894">
        <f t="shared" si="28"/>
        <v>-4</v>
      </c>
      <c r="AR26" s="996"/>
      <c r="AS26" s="1725">
        <v>-1</v>
      </c>
      <c r="AT26" s="1724">
        <f>44-AS26</f>
        <v>45</v>
      </c>
      <c r="AU26" s="997">
        <f>BS!AU25-BS!AT25</f>
        <v>-34</v>
      </c>
      <c r="AV26" s="997">
        <f>BS!AV25-BS!AU25</f>
        <v>12</v>
      </c>
      <c r="AW26" s="894">
        <f t="shared" si="29"/>
        <v>22</v>
      </c>
      <c r="AX26" s="996"/>
      <c r="AY26" s="1725">
        <v>-39</v>
      </c>
      <c r="AZ26" s="1724">
        <f>-35-AY26</f>
        <v>4</v>
      </c>
      <c r="BA26" s="1724">
        <f>-47-SUM(AY26:AZ26)</f>
        <v>-12</v>
      </c>
      <c r="BB26" s="1724">
        <f>-26-SUM(AY26:BA26)</f>
        <v>21</v>
      </c>
      <c r="BC26" s="894">
        <f t="shared" si="30"/>
        <v>-26</v>
      </c>
      <c r="BD26" s="996"/>
      <c r="BE26" s="1725">
        <v>-18</v>
      </c>
      <c r="BF26" s="1726">
        <f>-53-BE26</f>
        <v>-35</v>
      </c>
      <c r="BG26" s="1726">
        <f>-27-SUM(BE26:BF26)</f>
        <v>26</v>
      </c>
      <c r="BH26" s="1726">
        <f>-15-SUM(BE26:BG26)</f>
        <v>12</v>
      </c>
      <c r="BI26" s="894">
        <f t="shared" si="31"/>
        <v>-15</v>
      </c>
      <c r="BJ26" s="996"/>
      <c r="BK26" s="1725">
        <v>9</v>
      </c>
      <c r="BL26" s="1724">
        <f>6-BK26</f>
        <v>-3</v>
      </c>
      <c r="BM26" s="1724">
        <f>11-SUM(BK26:BL26)</f>
        <v>5</v>
      </c>
      <c r="BN26" s="1726">
        <f>2-SUM(BK26:BM26)</f>
        <v>-9</v>
      </c>
      <c r="BO26" s="894">
        <f t="shared" si="32"/>
        <v>2</v>
      </c>
      <c r="BP26" s="996"/>
      <c r="BQ26" s="1725">
        <v>-3</v>
      </c>
      <c r="BR26" s="997">
        <f>BS!BR25-BS!BQ25</f>
        <v>10.764352214959672</v>
      </c>
      <c r="BS26" s="997">
        <f>BS!BS25-BS!BR25</f>
        <v>20.949536076673212</v>
      </c>
      <c r="BT26" s="997">
        <f>BS!BT25-BS!BS25</f>
        <v>15.983198524399882</v>
      </c>
      <c r="BU26" s="894">
        <f t="shared" si="33"/>
        <v>44.697086816032765</v>
      </c>
      <c r="BV26" s="996"/>
      <c r="BW26" s="998">
        <f>BS!BW25-BS!BT25</f>
        <v>-43.42376097292555</v>
      </c>
      <c r="BX26" s="997">
        <f>BS!BX25-BS!BW25</f>
        <v>10.879649247888665</v>
      </c>
      <c r="BY26" s="997">
        <f>BS!BY25-BS!BX25</f>
        <v>26.346494347784642</v>
      </c>
      <c r="BZ26" s="997">
        <f>BS!BZ25-BS!BY25</f>
        <v>15.607115626060192</v>
      </c>
      <c r="CA26" s="894">
        <f t="shared" si="34"/>
        <v>9.4094982488079495</v>
      </c>
      <c r="CB26" s="984"/>
      <c r="CC26" s="998">
        <f>BS!CC25-BS!BZ25</f>
        <v>-50.158517023069408</v>
      </c>
      <c r="CD26" s="997">
        <f>BS!CD25-BS!CC25</f>
        <v>11.342662734003284</v>
      </c>
      <c r="CE26" s="997">
        <f>BS!CE25-BS!CD25</f>
        <v>30.523726460603427</v>
      </c>
      <c r="CF26" s="997">
        <f>BS!CF25-BS!CE25</f>
        <v>14.727519243109327</v>
      </c>
      <c r="CG26" s="894">
        <f t="shared" si="35"/>
        <v>6.4353914146466309</v>
      </c>
      <c r="CH26" s="985"/>
      <c r="CI26" s="998">
        <f>BS!CI25-BS!CF25</f>
        <v>-53.150481603382218</v>
      </c>
      <c r="CJ26" s="997">
        <f>BS!CJ25-BS!CI25</f>
        <v>11.86125687263808</v>
      </c>
      <c r="CK26" s="997">
        <f>BS!CK25-BS!CJ25</f>
        <v>35.477543141714023</v>
      </c>
      <c r="CL26" s="997">
        <f>BS!CL25-BS!CK25</f>
        <v>13.659089363385817</v>
      </c>
      <c r="CM26" s="894">
        <f t="shared" si="36"/>
        <v>7.8474077743557018</v>
      </c>
      <c r="CN26" s="985"/>
      <c r="CO26" s="985"/>
      <c r="CP26" s="985"/>
    </row>
    <row r="27" spans="1:94" hidden="1" outlineLevel="1">
      <c r="A27" s="995" t="s">
        <v>270</v>
      </c>
      <c r="B27" s="996"/>
      <c r="C27" s="1728">
        <v>0</v>
      </c>
      <c r="D27" s="997">
        <f>BS!D26-BS!C26</f>
        <v>-1.9260237780713254</v>
      </c>
      <c r="E27" s="997">
        <f>BS!E26-BS!D26</f>
        <v>5.7780713342140047</v>
      </c>
      <c r="F27" s="997">
        <f>BS!F26-BS!E26</f>
        <v>9.9511228533685596</v>
      </c>
      <c r="G27" s="894">
        <f t="shared" si="22"/>
        <v>13.803170409511239</v>
      </c>
      <c r="H27" s="996"/>
      <c r="I27" s="998">
        <f>BS!I26-BS!F26</f>
        <v>6.7410832232496603</v>
      </c>
      <c r="J27" s="997">
        <f>BS!J26-BS!I26</f>
        <v>0.32100396301188994</v>
      </c>
      <c r="K27" s="997">
        <f>BS!K26-BS!J26</f>
        <v>-2.2470277410832296</v>
      </c>
      <c r="L27" s="997">
        <f>BS!L26-BS!K26</f>
        <v>6.4200792602377987</v>
      </c>
      <c r="M27" s="894">
        <f t="shared" si="23"/>
        <v>11.235138705416119</v>
      </c>
      <c r="N27" s="996"/>
      <c r="O27" s="998">
        <f>BS!O26-BS!L26</f>
        <v>-11.110910171730524</v>
      </c>
      <c r="P27" s="997">
        <f>BS!P26-BS!O26</f>
        <v>-4.4818573315720016</v>
      </c>
      <c r="Q27" s="997">
        <f>BS!Q26-BS!P26</f>
        <v>-1.4181955085865354</v>
      </c>
      <c r="R27" s="997">
        <f>BS!R26-BS!Q26</f>
        <v>9.7941519154557568</v>
      </c>
      <c r="S27" s="894">
        <f t="shared" si="24"/>
        <v>-7.2168110964333039</v>
      </c>
      <c r="T27" s="984"/>
      <c r="U27" s="998">
        <f>BS!U26-BS!R26</f>
        <v>8.2902483487450525</v>
      </c>
      <c r="V27" s="997">
        <f>BS!V26-BS!U26</f>
        <v>2.4251849405548285</v>
      </c>
      <c r="W27" s="997">
        <f>BS!W26-BS!V26</f>
        <v>34.443404227212682</v>
      </c>
      <c r="X27" s="997">
        <f>BS!X26-BS!W26</f>
        <v>29.73941215323643</v>
      </c>
      <c r="Y27" s="894">
        <f t="shared" si="25"/>
        <v>74.898249669748992</v>
      </c>
      <c r="Z27" s="984"/>
      <c r="AA27" s="998">
        <f>BS!AA26-BS!X26</f>
        <v>-9.5280396301188546</v>
      </c>
      <c r="AB27" s="997">
        <f>BS!AB26-BS!AA26</f>
        <v>23.154657859973582</v>
      </c>
      <c r="AC27" s="997">
        <f>BS!AC26-BS!AB26</f>
        <v>-4.0600581241743896</v>
      </c>
      <c r="AD27" s="997">
        <f>BS!AD26-BS!AC26</f>
        <v>4.4144464993394763</v>
      </c>
      <c r="AE27" s="894">
        <f t="shared" si="26"/>
        <v>13.981006605019815</v>
      </c>
      <c r="AF27" s="996"/>
      <c r="AG27" s="998">
        <f>BS!AG26-BS!AD26</f>
        <v>-3.0164742404226956</v>
      </c>
      <c r="AH27" s="997">
        <f>BS!AH26-BS!AG26</f>
        <v>7.0620871862615502</v>
      </c>
      <c r="AI27" s="997">
        <f>BS!AI26-BS!AH26</f>
        <v>0</v>
      </c>
      <c r="AJ27" s="997">
        <f>BS!AJ26-BS!AI26</f>
        <v>10.27212681638045</v>
      </c>
      <c r="AK27" s="894">
        <f t="shared" si="27"/>
        <v>14.317739762219304</v>
      </c>
      <c r="AL27" s="996"/>
      <c r="AM27" s="998">
        <f>BS!AM26-BS!AJ26</f>
        <v>15.674623115577845</v>
      </c>
      <c r="AN27" s="997">
        <f>BS!AN26-BS!AM26</f>
        <v>-0.32537688442209856</v>
      </c>
      <c r="AO27" s="997">
        <f>BS!AO26-BS!AN26</f>
        <v>-5.531407035175846</v>
      </c>
      <c r="AP27" s="997">
        <f>BS!AP26-BS!AO26</f>
        <v>6.1821608040200999</v>
      </c>
      <c r="AQ27" s="894">
        <f t="shared" si="28"/>
        <v>16</v>
      </c>
      <c r="AR27" s="996"/>
      <c r="AS27" s="1725">
        <v>-62</v>
      </c>
      <c r="AT27" s="1724">
        <f>4-AS27</f>
        <v>66</v>
      </c>
      <c r="AU27" s="997">
        <f>BS!AU26-BS!AT26</f>
        <v>-23</v>
      </c>
      <c r="AV27" s="997">
        <f>BS!AV26-BS!AU26</f>
        <v>-8</v>
      </c>
      <c r="AW27" s="894">
        <f t="shared" si="29"/>
        <v>-27</v>
      </c>
      <c r="AX27" s="996"/>
      <c r="AY27" s="1725">
        <v>-34</v>
      </c>
      <c r="AZ27" s="1724">
        <f>-7-AY27</f>
        <v>27</v>
      </c>
      <c r="BA27" s="1724">
        <f>-27-SUM(AY27:AZ27)</f>
        <v>-20</v>
      </c>
      <c r="BB27" s="1724">
        <f>8-SUM(AY27:BA27)</f>
        <v>35</v>
      </c>
      <c r="BC27" s="894">
        <f t="shared" si="30"/>
        <v>8</v>
      </c>
      <c r="BD27" s="996"/>
      <c r="BE27" s="1725">
        <v>-47</v>
      </c>
      <c r="BF27" s="1726">
        <f>-13-BE27</f>
        <v>34</v>
      </c>
      <c r="BG27" s="1726">
        <f>-14-SUM(BE27:BF27)</f>
        <v>-1</v>
      </c>
      <c r="BH27" s="1726">
        <f>15-SUM(BE27:BG27)</f>
        <v>29</v>
      </c>
      <c r="BI27" s="894">
        <f t="shared" si="31"/>
        <v>15</v>
      </c>
      <c r="BJ27" s="996"/>
      <c r="BK27" s="1725">
        <v>-43</v>
      </c>
      <c r="BL27" s="1724">
        <f>7-BK27</f>
        <v>50</v>
      </c>
      <c r="BM27" s="1724">
        <f>-11-SUM(BK27:BL27)</f>
        <v>-18</v>
      </c>
      <c r="BN27" s="1726">
        <f>38-SUM(BK27:BM27)</f>
        <v>49</v>
      </c>
      <c r="BO27" s="894">
        <f t="shared" si="32"/>
        <v>38</v>
      </c>
      <c r="BP27" s="996"/>
      <c r="BQ27" s="1725">
        <v>-62</v>
      </c>
      <c r="BR27" s="997">
        <f>BS!BR26-BS!BQ26</f>
        <v>47.631321513565581</v>
      </c>
      <c r="BS27" s="997">
        <f>BS!BS26-BS!BR26</f>
        <v>-17.681964405943603</v>
      </c>
      <c r="BT27" s="997">
        <f>BS!BT26-BS!BS26</f>
        <v>48.320405860164016</v>
      </c>
      <c r="BU27" s="894">
        <f t="shared" si="33"/>
        <v>16.269762967785994</v>
      </c>
      <c r="BV27" s="996"/>
      <c r="BW27" s="998">
        <f>BS!BW26-BS!BT26</f>
        <v>-65.623586584209903</v>
      </c>
      <c r="BX27" s="997">
        <f>BS!BX26-BS!BW26</f>
        <v>50.320130090904314</v>
      </c>
      <c r="BY27" s="997">
        <f>BS!BY26-BS!BX26</f>
        <v>-15.197851239140221</v>
      </c>
      <c r="BZ27" s="997">
        <f>BS!BZ26-BS!BY26</f>
        <v>50.838644813564429</v>
      </c>
      <c r="CA27" s="894">
        <f t="shared" si="34"/>
        <v>20.337337081118619</v>
      </c>
      <c r="CB27" s="984"/>
      <c r="CC27" s="998">
        <f>BS!CC26-BS!BZ26</f>
        <v>-74.074961470931328</v>
      </c>
      <c r="CD27" s="997">
        <f>BS!CD26-BS!CC26</f>
        <v>52.977790558435117</v>
      </c>
      <c r="CE27" s="997">
        <f>BS!CE26-BS!CD26</f>
        <v>-13.417862605783398</v>
      </c>
      <c r="CF27" s="997">
        <f>BS!CF26-BS!CE26</f>
        <v>52.610943099876692</v>
      </c>
      <c r="CG27" s="894">
        <f t="shared" si="35"/>
        <v>18.095909581597084</v>
      </c>
      <c r="CH27" s="985"/>
      <c r="CI27" s="998">
        <f>BS!CI26-BS!CF26</f>
        <v>-79.080154450512282</v>
      </c>
      <c r="CJ27" s="997">
        <f>BS!CJ26-BS!CI26</f>
        <v>55.961973936935181</v>
      </c>
      <c r="CK27" s="997">
        <f>BS!CK26-BS!CJ26</f>
        <v>-10.935341469153911</v>
      </c>
      <c r="CL27" s="997">
        <f>BS!CL26-BS!CK26</f>
        <v>54.396950828213619</v>
      </c>
      <c r="CM27" s="894">
        <f t="shared" si="36"/>
        <v>20.343428845482606</v>
      </c>
      <c r="CN27" s="985"/>
      <c r="CO27" s="985"/>
      <c r="CP27" s="985"/>
    </row>
    <row r="28" spans="1:94" hidden="1" outlineLevel="1">
      <c r="A28" s="995" t="s">
        <v>400</v>
      </c>
      <c r="B28" s="996"/>
      <c r="C28" s="1728">
        <v>0</v>
      </c>
      <c r="D28" s="997">
        <f>BS!D28-BS!C28</f>
        <v>0</v>
      </c>
      <c r="E28" s="997">
        <f>BS!E28-BS!D28</f>
        <v>0</v>
      </c>
      <c r="F28" s="997">
        <f>BS!F28-BS!E28</f>
        <v>0</v>
      </c>
      <c r="G28" s="894">
        <f t="shared" si="22"/>
        <v>0</v>
      </c>
      <c r="H28" s="996"/>
      <c r="I28" s="998">
        <f>BS!I28-BS!F28</f>
        <v>0</v>
      </c>
      <c r="J28" s="997">
        <f>BS!J28-BS!I28</f>
        <v>0</v>
      </c>
      <c r="K28" s="997">
        <f>BS!K28-BS!J28</f>
        <v>0</v>
      </c>
      <c r="L28" s="997">
        <f>BS!L28-BS!K28</f>
        <v>0</v>
      </c>
      <c r="M28" s="894">
        <f t="shared" si="23"/>
        <v>0</v>
      </c>
      <c r="N28" s="996"/>
      <c r="O28" s="998">
        <f>BS!O28-BS!L28</f>
        <v>0</v>
      </c>
      <c r="P28" s="997">
        <f>BS!P28-BS!O28</f>
        <v>0</v>
      </c>
      <c r="Q28" s="997">
        <f>BS!Q28-BS!P28</f>
        <v>0</v>
      </c>
      <c r="R28" s="997">
        <f>BS!R28-BS!Q28</f>
        <v>0</v>
      </c>
      <c r="S28" s="894">
        <f t="shared" si="24"/>
        <v>0</v>
      </c>
      <c r="T28" s="996"/>
      <c r="U28" s="998">
        <f>BS!U28-BS!R28</f>
        <v>0</v>
      </c>
      <c r="V28" s="997">
        <f>BS!V28-BS!U28</f>
        <v>0</v>
      </c>
      <c r="W28" s="997">
        <f>BS!W28-BS!V28</f>
        <v>0</v>
      </c>
      <c r="X28" s="997">
        <f>BS!X28-BS!W28</f>
        <v>0</v>
      </c>
      <c r="Y28" s="894">
        <f t="shared" si="25"/>
        <v>0</v>
      </c>
      <c r="Z28" s="996"/>
      <c r="AA28" s="998">
        <f>BS!AA28-BS!X28</f>
        <v>0</v>
      </c>
      <c r="AB28" s="997">
        <f>BS!AB28-BS!AA28</f>
        <v>0</v>
      </c>
      <c r="AC28" s="997">
        <f>BS!AC28-BS!AB28</f>
        <v>0</v>
      </c>
      <c r="AD28" s="997">
        <f>BS!AD28-BS!AC28</f>
        <v>0</v>
      </c>
      <c r="AE28" s="894">
        <f t="shared" si="26"/>
        <v>0</v>
      </c>
      <c r="AF28" s="996"/>
      <c r="AG28" s="998">
        <f>BS!AG28-BS!AD28</f>
        <v>0</v>
      </c>
      <c r="AH28" s="997">
        <f>BS!AH28-BS!AG28</f>
        <v>0</v>
      </c>
      <c r="AI28" s="997">
        <f>BS!AI28-BS!AH28</f>
        <v>0</v>
      </c>
      <c r="AJ28" s="997">
        <f>BS!AJ28-BS!AI28</f>
        <v>0</v>
      </c>
      <c r="AK28" s="894">
        <f t="shared" si="27"/>
        <v>0</v>
      </c>
      <c r="AL28" s="996"/>
      <c r="AM28" s="998">
        <f>BS!AM28-BS!AJ28</f>
        <v>0</v>
      </c>
      <c r="AN28" s="997">
        <f>BS!AN28-BS!AM28</f>
        <v>0</v>
      </c>
      <c r="AO28" s="997">
        <f>BS!AO28-BS!AN28</f>
        <v>0</v>
      </c>
      <c r="AP28" s="997">
        <f>BS!AP28-BS!AO28</f>
        <v>0</v>
      </c>
      <c r="AQ28" s="894">
        <f t="shared" si="28"/>
        <v>0</v>
      </c>
      <c r="AR28" s="996"/>
      <c r="AS28" s="1725">
        <v>0</v>
      </c>
      <c r="AT28" s="1724">
        <f>0-AS28</f>
        <v>0</v>
      </c>
      <c r="AU28" s="997">
        <f>BS!AU28-BS!AT28</f>
        <v>0</v>
      </c>
      <c r="AV28" s="997">
        <f>BS!AV28-BS!AU28</f>
        <v>0</v>
      </c>
      <c r="AW28" s="894">
        <f t="shared" si="29"/>
        <v>0</v>
      </c>
      <c r="AX28" s="996"/>
      <c r="AY28" s="1725">
        <v>0</v>
      </c>
      <c r="AZ28" s="1724">
        <f>0-AY28</f>
        <v>0</v>
      </c>
      <c r="BA28" s="1724">
        <f>0-SUM(AY28:AZ28)</f>
        <v>0</v>
      </c>
      <c r="BB28" s="1724">
        <f>0-SUM(AY28:BA28)</f>
        <v>0</v>
      </c>
      <c r="BC28" s="894">
        <f t="shared" si="30"/>
        <v>0</v>
      </c>
      <c r="BD28" s="996"/>
      <c r="BE28" s="1725">
        <v>0</v>
      </c>
      <c r="BF28" s="1726">
        <f>0-BE28</f>
        <v>0</v>
      </c>
      <c r="BG28" s="1726">
        <f>0-SUM(BE28:BF28)</f>
        <v>0</v>
      </c>
      <c r="BH28" s="1726">
        <f>0-SUM(BE28:BG28)</f>
        <v>0</v>
      </c>
      <c r="BI28" s="894">
        <f t="shared" si="31"/>
        <v>0</v>
      </c>
      <c r="BJ28" s="996"/>
      <c r="BK28" s="1725">
        <v>0</v>
      </c>
      <c r="BL28" s="1724">
        <f t="shared" si="0"/>
        <v>0</v>
      </c>
      <c r="BM28" s="1724">
        <f t="shared" si="1"/>
        <v>0</v>
      </c>
      <c r="BN28" s="1726">
        <v>0</v>
      </c>
      <c r="BO28" s="894">
        <f t="shared" si="32"/>
        <v>0</v>
      </c>
      <c r="BP28" s="996"/>
      <c r="BQ28" s="1725">
        <v>0</v>
      </c>
      <c r="BR28" s="997">
        <f>BS!BR28-BS!BQ28</f>
        <v>0</v>
      </c>
      <c r="BS28" s="997">
        <f>BS!BS28-BS!BR28</f>
        <v>0</v>
      </c>
      <c r="BT28" s="997">
        <f>BS!BT28-BS!BS28</f>
        <v>0</v>
      </c>
      <c r="BU28" s="894">
        <f t="shared" si="33"/>
        <v>0</v>
      </c>
      <c r="BV28" s="996"/>
      <c r="BW28" s="998">
        <f>BS!BW28-BS!BT28</f>
        <v>0</v>
      </c>
      <c r="BX28" s="997">
        <f>BS!BX28-BS!BW28</f>
        <v>0</v>
      </c>
      <c r="BY28" s="997">
        <f>BS!BY28-BS!BX28</f>
        <v>0</v>
      </c>
      <c r="BZ28" s="997">
        <f>BS!BZ28-BS!BY28</f>
        <v>0</v>
      </c>
      <c r="CA28" s="894">
        <f t="shared" si="34"/>
        <v>0</v>
      </c>
      <c r="CB28" s="984"/>
      <c r="CC28" s="998">
        <f>BS!CC28-BS!BZ28</f>
        <v>0</v>
      </c>
      <c r="CD28" s="997">
        <f>BS!CD28-BS!CC28</f>
        <v>0</v>
      </c>
      <c r="CE28" s="997">
        <f>BS!CE28-BS!CD28</f>
        <v>0</v>
      </c>
      <c r="CF28" s="997">
        <f>BS!CF28-BS!CE28</f>
        <v>0</v>
      </c>
      <c r="CG28" s="894">
        <f t="shared" si="35"/>
        <v>0</v>
      </c>
      <c r="CH28" s="985"/>
      <c r="CI28" s="998">
        <f>BS!CI28-BS!CF28</f>
        <v>0</v>
      </c>
      <c r="CJ28" s="997">
        <f>BS!CJ28-BS!CI28</f>
        <v>0</v>
      </c>
      <c r="CK28" s="997">
        <f>BS!CK28-BS!CJ28</f>
        <v>0</v>
      </c>
      <c r="CL28" s="997">
        <f>BS!CL28-BS!CK28</f>
        <v>0</v>
      </c>
      <c r="CM28" s="894">
        <f t="shared" si="36"/>
        <v>0</v>
      </c>
      <c r="CN28" s="985"/>
      <c r="CO28" s="985"/>
      <c r="CP28" s="985"/>
    </row>
    <row r="29" spans="1:94" hidden="1" outlineLevel="1">
      <c r="A29" s="995" t="s">
        <v>401</v>
      </c>
      <c r="B29" s="996"/>
      <c r="C29" s="1728">
        <v>0</v>
      </c>
      <c r="D29" s="1726">
        <v>0</v>
      </c>
      <c r="E29" s="1726">
        <v>0</v>
      </c>
      <c r="F29" s="1726">
        <v>0</v>
      </c>
      <c r="G29" s="894">
        <f t="shared" si="22"/>
        <v>0</v>
      </c>
      <c r="H29" s="996"/>
      <c r="I29" s="1725">
        <v>0</v>
      </c>
      <c r="J29" s="1726">
        <v>0</v>
      </c>
      <c r="K29" s="1726">
        <v>0</v>
      </c>
      <c r="L29" s="1726">
        <v>0</v>
      </c>
      <c r="M29" s="894">
        <f t="shared" si="23"/>
        <v>0</v>
      </c>
      <c r="N29" s="996"/>
      <c r="O29" s="1725">
        <v>0</v>
      </c>
      <c r="P29" s="1726">
        <v>0</v>
      </c>
      <c r="Q29" s="1726">
        <v>0</v>
      </c>
      <c r="R29" s="1726">
        <v>0</v>
      </c>
      <c r="S29" s="894">
        <f t="shared" si="24"/>
        <v>0</v>
      </c>
      <c r="T29" s="984"/>
      <c r="U29" s="1725">
        <v>0</v>
      </c>
      <c r="V29" s="1726">
        <v>0</v>
      </c>
      <c r="W29" s="1726">
        <v>0</v>
      </c>
      <c r="X29" s="1726">
        <v>0</v>
      </c>
      <c r="Y29" s="894">
        <f t="shared" si="25"/>
        <v>0</v>
      </c>
      <c r="Z29" s="984"/>
      <c r="AA29" s="1725">
        <v>0</v>
      </c>
      <c r="AB29" s="1726">
        <v>0</v>
      </c>
      <c r="AC29" s="1726">
        <v>0</v>
      </c>
      <c r="AD29" s="1726">
        <v>0</v>
      </c>
      <c r="AE29" s="894">
        <f t="shared" si="26"/>
        <v>0</v>
      </c>
      <c r="AF29" s="996"/>
      <c r="AG29" s="1725">
        <v>0</v>
      </c>
      <c r="AH29" s="1726">
        <v>0</v>
      </c>
      <c r="AI29" s="1726">
        <v>0</v>
      </c>
      <c r="AJ29" s="1726">
        <v>0</v>
      </c>
      <c r="AK29" s="894">
        <f t="shared" si="27"/>
        <v>0</v>
      </c>
      <c r="AL29" s="996"/>
      <c r="AM29" s="1725">
        <v>0</v>
      </c>
      <c r="AN29" s="1726">
        <v>0</v>
      </c>
      <c r="AO29" s="1726">
        <v>0</v>
      </c>
      <c r="AP29" s="1726">
        <v>0</v>
      </c>
      <c r="AQ29" s="894">
        <f t="shared" si="28"/>
        <v>0</v>
      </c>
      <c r="AR29" s="996"/>
      <c r="AS29" s="1725">
        <v>0</v>
      </c>
      <c r="AT29" s="1724">
        <f>0-AS29</f>
        <v>0</v>
      </c>
      <c r="AU29" s="1726">
        <v>0</v>
      </c>
      <c r="AV29" s="1726">
        <v>0</v>
      </c>
      <c r="AW29" s="894">
        <f t="shared" si="29"/>
        <v>0</v>
      </c>
      <c r="AX29" s="996"/>
      <c r="AY29" s="1725">
        <v>0</v>
      </c>
      <c r="AZ29" s="1724">
        <f>0-AY29</f>
        <v>0</v>
      </c>
      <c r="BA29" s="1724">
        <f>0-SUM(AY29:AZ29)</f>
        <v>0</v>
      </c>
      <c r="BB29" s="1724">
        <f>0-SUM(AY29:BA29)</f>
        <v>0</v>
      </c>
      <c r="BC29" s="894">
        <f t="shared" si="30"/>
        <v>0</v>
      </c>
      <c r="BD29" s="996"/>
      <c r="BE29" s="1725">
        <v>0</v>
      </c>
      <c r="BF29" s="1726">
        <f>0-BE29</f>
        <v>0</v>
      </c>
      <c r="BG29" s="1726">
        <f>0-SUM(BE29:BF29)</f>
        <v>0</v>
      </c>
      <c r="BH29" s="1726">
        <f>-10-SUM(BE29:BG29)</f>
        <v>-10</v>
      </c>
      <c r="BI29" s="894">
        <f t="shared" si="31"/>
        <v>-10</v>
      </c>
      <c r="BJ29" s="996"/>
      <c r="BK29" s="1725">
        <v>0</v>
      </c>
      <c r="BL29" s="1724">
        <f t="shared" si="0"/>
        <v>0</v>
      </c>
      <c r="BM29" s="1724">
        <f t="shared" si="1"/>
        <v>0</v>
      </c>
      <c r="BN29" s="1726">
        <v>0</v>
      </c>
      <c r="BO29" s="894">
        <f t="shared" si="32"/>
        <v>0</v>
      </c>
      <c r="BP29" s="996"/>
      <c r="BQ29" s="1725">
        <v>0</v>
      </c>
      <c r="BR29" s="1726">
        <v>0</v>
      </c>
      <c r="BS29" s="1726">
        <v>0</v>
      </c>
      <c r="BT29" s="1726">
        <v>0</v>
      </c>
      <c r="BU29" s="894">
        <f t="shared" si="33"/>
        <v>0</v>
      </c>
      <c r="BV29" s="996"/>
      <c r="BW29" s="1725">
        <v>0</v>
      </c>
      <c r="BX29" s="1726">
        <v>0</v>
      </c>
      <c r="BY29" s="1726">
        <v>0</v>
      </c>
      <c r="BZ29" s="1726">
        <v>0</v>
      </c>
      <c r="CA29" s="894">
        <f t="shared" si="34"/>
        <v>0</v>
      </c>
      <c r="CB29" s="984"/>
      <c r="CC29" s="1725">
        <v>0</v>
      </c>
      <c r="CD29" s="1726">
        <v>0</v>
      </c>
      <c r="CE29" s="1726">
        <v>0</v>
      </c>
      <c r="CF29" s="1726">
        <v>0</v>
      </c>
      <c r="CG29" s="894">
        <f t="shared" si="35"/>
        <v>0</v>
      </c>
      <c r="CH29" s="985"/>
      <c r="CI29" s="1725">
        <v>0</v>
      </c>
      <c r="CJ29" s="1726">
        <v>0</v>
      </c>
      <c r="CK29" s="1726">
        <v>0</v>
      </c>
      <c r="CL29" s="1726">
        <v>0</v>
      </c>
      <c r="CM29" s="894">
        <f t="shared" si="36"/>
        <v>0</v>
      </c>
      <c r="CN29" s="985"/>
      <c r="CO29" s="985"/>
      <c r="CP29" s="985"/>
    </row>
    <row r="30" spans="1:94" hidden="1" outlineLevel="1">
      <c r="A30" s="995" t="s">
        <v>402</v>
      </c>
      <c r="B30" s="996"/>
      <c r="C30" s="1728">
        <v>0</v>
      </c>
      <c r="D30" s="997">
        <f>BS!D30-BS!C30+BS!C13-BS!D13+BS!D27-BS!C27</f>
        <v>2.4116281686384582</v>
      </c>
      <c r="E30" s="997">
        <f>BS!E30-BS!D30+BS!D13-BS!E13+BS!E27-BS!D27</f>
        <v>1.6820450419290296</v>
      </c>
      <c r="F30" s="997">
        <f>BS!F30-BS!E30+BS!E13-BS!F13+BS!F27-BS!E27</f>
        <v>6.3769347985225835</v>
      </c>
      <c r="G30" s="894">
        <f t="shared" si="22"/>
        <v>10.470608009090071</v>
      </c>
      <c r="H30" s="996"/>
      <c r="I30" s="998">
        <f>BS!I30-BS!F30+BS!F13-BS!I13+BS!I27-BS!F27</f>
        <v>11.065084795674991</v>
      </c>
      <c r="J30" s="997">
        <f>BS!J30-BS!I30+BS!I13-BS!J13+BS!J27-BS!I27</f>
        <v>0.82413978472219185</v>
      </c>
      <c r="K30" s="997">
        <f>BS!K30-BS!J30+BS!J13-BS!K13+BS!K27-BS!J27</f>
        <v>-6.4377482091436633</v>
      </c>
      <c r="L30" s="997">
        <f>BS!L30-BS!K30+BS!K13-BS!L13+BS!L27-BS!K27</f>
        <v>-1.3523969068231168E-2</v>
      </c>
      <c r="M30" s="894">
        <f t="shared" si="23"/>
        <v>5.4379524021852887</v>
      </c>
      <c r="N30" s="996"/>
      <c r="O30" s="998">
        <f>BS!O30-BS!L30+BS!L13-BS!O13+BS!O27-BS!L27</f>
        <v>-5.4282048375692824</v>
      </c>
      <c r="P30" s="997">
        <f>BS!P30-BS!O30+BS!O13-BS!P13+BS!P27-BS!O27</f>
        <v>-2.3752579708212664</v>
      </c>
      <c r="Q30" s="997">
        <f>BS!Q30-BS!P30+BS!P13-BS!Q13+BS!Q27-BS!P27</f>
        <v>-2.2103282229510199</v>
      </c>
      <c r="R30" s="997">
        <f>BS!R30-BS!Q30+BS!Q13-BS!R13+BS!R27-BS!Q27</f>
        <v>7.6434025783886028</v>
      </c>
      <c r="S30" s="894">
        <f t="shared" si="24"/>
        <v>-2.370388452952966</v>
      </c>
      <c r="T30" s="984"/>
      <c r="U30" s="998">
        <f>BS!U30-BS!R30+BS!R13-BS!U13+BS!U27-BS!R27</f>
        <v>6.6100889698252843</v>
      </c>
      <c r="V30" s="997">
        <f>BS!V30-BS!U30+BS!U13-BS!V13+BS!V27-BS!U27</f>
        <v>7.2172698695803916</v>
      </c>
      <c r="W30" s="997">
        <f>BS!W30-BS!V30+BS!V13-BS!W13+BS!W27-BS!V27</f>
        <v>35.306989902862455</v>
      </c>
      <c r="X30" s="997">
        <f>BS!X30-BS!W30+BS!W13-BS!X13+BS!X27-BS!W27</f>
        <v>29.617687979141721</v>
      </c>
      <c r="Y30" s="894">
        <f t="shared" si="25"/>
        <v>78.752036721409851</v>
      </c>
      <c r="Z30" s="984"/>
      <c r="AA30" s="998">
        <f>BS!AA30-BS!X30+BS!X13-BS!AA13+BS!AA27-BS!X27</f>
        <v>-2.9094525265068114</v>
      </c>
      <c r="AB30" s="997">
        <f>BS!AB30-BS!AA30+BS!AA13-BS!AB13+BS!AB27-BS!AA27</f>
        <v>22.85801393791138</v>
      </c>
      <c r="AC30" s="997">
        <f>BS!AC30-BS!AB30+BS!AB13-BS!AC13+BS!AC27-BS!AB27</f>
        <v>-5.5978777258729622</v>
      </c>
      <c r="AD30" s="997">
        <f>BS!AD30-BS!AC30+BS!AC13-BS!AD13+BS!AD27-BS!AC27</f>
        <v>-0.64899960689365344</v>
      </c>
      <c r="AE30" s="894">
        <f t="shared" si="26"/>
        <v>13.701684078637953</v>
      </c>
      <c r="AF30" s="996"/>
      <c r="AG30" s="998">
        <f>BS!AG30-BS!AD30+BS!AD13-BS!AG13+BS!AG27-BS!AD27</f>
        <v>-1.4140903477810127</v>
      </c>
      <c r="AH30" s="997">
        <f>BS!AH30-BS!AG30+BS!AG13-BS!AH13+BS!AH27-BS!AG27</f>
        <v>13.226764012573852</v>
      </c>
      <c r="AI30" s="997">
        <f>BS!AI30-BS!AH30+BS!AH13-BS!AI13+BS!AI27-BS!AH27</f>
        <v>-4.6813880126182994</v>
      </c>
      <c r="AJ30" s="997">
        <f>BS!AJ30-BS!AI30+BS!AI13-BS!AJ13+BS!AJ27-BS!AI27</f>
        <v>47.844607706273166</v>
      </c>
      <c r="AK30" s="894">
        <f t="shared" si="27"/>
        <v>54.975893358447706</v>
      </c>
      <c r="AL30" s="996"/>
      <c r="AM30" s="998">
        <f>BS!AM30-BS!AJ30+BS!AJ13-BS!AM13+BS!AM27-BS!AJ27</f>
        <v>-48.073562531314053</v>
      </c>
      <c r="AN30" s="997">
        <f>BS!AN30-BS!AM30+BS!AM13-BS!AN13+BS!AN27-BS!AM27</f>
        <v>-3.2887649005143658</v>
      </c>
      <c r="AO30" s="997">
        <f>BS!AO30-BS!AN30+BS!AN13-BS!AO13+BS!AO27-BS!AN27</f>
        <v>-5.0294376621508263</v>
      </c>
      <c r="AP30" s="997">
        <f>BS!AP30-BS!AO30+BS!AO13-BS!AP13+BS!AP27-BS!AO27</f>
        <v>51.391765093979245</v>
      </c>
      <c r="AQ30" s="894">
        <f t="shared" si="28"/>
        <v>-5</v>
      </c>
      <c r="AR30" s="996"/>
      <c r="AS30" s="1725">
        <v>-86</v>
      </c>
      <c r="AT30" s="1724">
        <f>-91-AS30</f>
        <v>-5</v>
      </c>
      <c r="AU30" s="997">
        <f>BS!AU30-BS!AT30+BS!AT13-BS!AU13+BS!AU27-BS!AT27</f>
        <v>-58</v>
      </c>
      <c r="AV30" s="997">
        <f>BS!AV30-BS!AU30+BS!AU13-BS!AV13+BS!AV27-BS!AU27-AV32</f>
        <v>40</v>
      </c>
      <c r="AW30" s="894">
        <f t="shared" si="29"/>
        <v>-109</v>
      </c>
      <c r="AX30" s="996"/>
      <c r="AY30" s="1725">
        <v>-89</v>
      </c>
      <c r="AZ30" s="1724">
        <f>-127-AY30</f>
        <v>-38</v>
      </c>
      <c r="BA30" s="1724">
        <f>-162-SUM(AY30:AZ30)</f>
        <v>-35</v>
      </c>
      <c r="BB30" s="1724">
        <f>-262-SUM(AY30:BA30)</f>
        <v>-100</v>
      </c>
      <c r="BC30" s="894">
        <f t="shared" si="30"/>
        <v>-262</v>
      </c>
      <c r="BD30" s="996"/>
      <c r="BE30" s="1725">
        <v>-23</v>
      </c>
      <c r="BF30" s="1726">
        <f>-15-BE30</f>
        <v>8</v>
      </c>
      <c r="BG30" s="1726">
        <f>-47-SUM(BE30:BF30)</f>
        <v>-32</v>
      </c>
      <c r="BH30" s="1726">
        <f>10-SUM(BE30:BG30)</f>
        <v>57</v>
      </c>
      <c r="BI30" s="894">
        <f t="shared" si="31"/>
        <v>10</v>
      </c>
      <c r="BJ30" s="996"/>
      <c r="BK30" s="1725">
        <v>-61</v>
      </c>
      <c r="BL30" s="1724">
        <f>-76-BK30</f>
        <v>-15</v>
      </c>
      <c r="BM30" s="1724">
        <f>-146-SUM(BK30:BL30)</f>
        <v>-70</v>
      </c>
      <c r="BN30" s="1726">
        <f>-79-SUM(BK30:BM30)</f>
        <v>67</v>
      </c>
      <c r="BO30" s="894">
        <f>+SUM(BK30:BN30)</f>
        <v>-79</v>
      </c>
      <c r="BP30" s="996"/>
      <c r="BQ30" s="1725">
        <f>533+24</f>
        <v>557</v>
      </c>
      <c r="BR30" s="1000">
        <f>BS!BR30-BS!BQ30+BS!BQ13-BS!BR13+BS!BR27-BS!BQ27</f>
        <v>-73.495538862242398</v>
      </c>
      <c r="BS30" s="1000">
        <f>BS!BS30-BS!BR30+BS!BR13-BS!BS13+BS!BS27-BS!BR27</f>
        <v>-7.1209744040096439</v>
      </c>
      <c r="BT30" s="1000">
        <f>BS!BT30-BS!BS30+BS!BS13-BS!BT13+BS!BT27-BS!BS27</f>
        <v>27.521803976790409</v>
      </c>
      <c r="BU30" s="894">
        <f t="shared" si="33"/>
        <v>503.9052907105384</v>
      </c>
      <c r="BV30" s="996"/>
      <c r="BW30" s="999">
        <f>BS!BW30-BS!BT30+BS!BT13-BS!BW13+BS!BW27-BS!BT27</f>
        <v>71.704667396405853</v>
      </c>
      <c r="BX30" s="1000">
        <f>BS!BX30-BS!BW30+BS!BW13-BS!BX13+BS!BX27-BS!BW27</f>
        <v>-78.427850193119639</v>
      </c>
      <c r="BY30" s="1000">
        <f>BS!BY30-BS!BX30+BS!BX13-BS!BY13+BS!BY27-BS!BX27</f>
        <v>-3.6210110799023596</v>
      </c>
      <c r="BZ30" s="1000">
        <f>BS!BZ30-BS!BY30+BS!BY13-BS!BZ13+BS!BZ27-BS!BY27</f>
        <v>28.44396285381697</v>
      </c>
      <c r="CA30" s="894">
        <f t="shared" si="34"/>
        <v>18.099768977200824</v>
      </c>
      <c r="CB30" s="984"/>
      <c r="CC30" s="999">
        <f>BS!CC30-BS!BZ30+BS!BZ13-BS!CC13+BS!CC27-BS!BZ27</f>
        <v>71.175909141099908</v>
      </c>
      <c r="CD30" s="1000">
        <f>BS!CD30-BS!CC30+BS!CC13-BS!CD13+BS!CD27-BS!CC27</f>
        <v>-83.431940927007759</v>
      </c>
      <c r="CE30" s="1000">
        <f>BS!CE30-BS!CD30+BS!CD13-BS!CE13+BS!CE27-BS!CD27</f>
        <v>-0.772859387070298</v>
      </c>
      <c r="CF30" s="1000">
        <f>BS!CF30-BS!CE30+BS!CE13-BS!CF13+BS!CF27-BS!CE27</f>
        <v>28.736490493230235</v>
      </c>
      <c r="CG30" s="894">
        <f t="shared" si="35"/>
        <v>15.707599320252086</v>
      </c>
      <c r="CH30" s="985"/>
      <c r="CI30" s="999">
        <f>BS!CI30-BS!CF30+BS!CF13-BS!CI13+BS!CI27-BS!CF27</f>
        <v>74.879361575455448</v>
      </c>
      <c r="CJ30" s="1000">
        <f>BS!CJ30-BS!CI30+BS!CI13-BS!CJ13+BS!CJ27-BS!CI27</f>
        <v>-88.899889367819185</v>
      </c>
      <c r="CK30" s="1000">
        <f>BS!CK30-BS!CJ30+BS!CJ13-BS!CK13+BS!CK27-BS!CJ27</f>
        <v>2.9731255299684562</v>
      </c>
      <c r="CL30" s="1000">
        <f>BS!CL30-BS!CK30+BS!CK13-BS!CL13+BS!CL27-BS!CK27</f>
        <v>28.831815567002423</v>
      </c>
      <c r="CM30" s="894">
        <f t="shared" si="36"/>
        <v>17.784413304607142</v>
      </c>
      <c r="CN30" s="985"/>
      <c r="CO30" s="985"/>
      <c r="CP30" s="985"/>
    </row>
    <row r="31" spans="1:94" collapsed="1">
      <c r="A31" s="964" t="s">
        <v>403</v>
      </c>
      <c r="B31" s="965"/>
      <c r="C31" s="1001">
        <f>SUM(C11:C22)+C23</f>
        <v>111.10555555555555</v>
      </c>
      <c r="D31" s="1002">
        <f>SUM(D11:D22)+D23</f>
        <v>83.744326018634794</v>
      </c>
      <c r="E31" s="1002">
        <f>SUM(E11:E22)+E23</f>
        <v>106.81926597058491</v>
      </c>
      <c r="F31" s="1002">
        <f>SUM(F11:F22)+F23</f>
        <v>143.15191496550068</v>
      </c>
      <c r="G31" s="1003">
        <f>SUM(G11:G22)+G23</f>
        <v>444.82106251027591</v>
      </c>
      <c r="H31" s="965"/>
      <c r="I31" s="1004">
        <f>SUM(I11:I22)+I23</f>
        <v>404.08480648346517</v>
      </c>
      <c r="J31" s="1005">
        <f>SUM(J11:J22)+J23</f>
        <v>166.71892650583465</v>
      </c>
      <c r="K31" s="1005">
        <f>SUM(K11:K22)+K23</f>
        <v>116.2335590149688</v>
      </c>
      <c r="L31" s="1005">
        <f>SUM(L11:L22)+L23</f>
        <v>182.58705671536472</v>
      </c>
      <c r="M31" s="1006">
        <f>SUM(M11:M22)+M23</f>
        <v>869.6243487196333</v>
      </c>
      <c r="N31" s="965"/>
      <c r="O31" s="1004">
        <f>SUM(O11:O22)+O23</f>
        <v>687.01611281927057</v>
      </c>
      <c r="P31" s="1005">
        <f>SUM(P11:P22)+P23</f>
        <v>130.08586800908569</v>
      </c>
      <c r="Q31" s="1005">
        <f>SUM(Q11:Q22)+Q23</f>
        <v>115.87835982592792</v>
      </c>
      <c r="R31" s="1005">
        <f>SUM(R11:R22)+R23</f>
        <v>239.90262266827915</v>
      </c>
      <c r="S31" s="1006">
        <f>SUM(S11:S22)+S23</f>
        <v>1172.8829633225632</v>
      </c>
      <c r="T31" s="965"/>
      <c r="U31" s="1004">
        <f>SUM(U11:U22)+U23</f>
        <v>65.292801699894568</v>
      </c>
      <c r="V31" s="1005">
        <f>SUM(V11:V22)+V23</f>
        <v>94.06435880349396</v>
      </c>
      <c r="W31" s="1005">
        <f>SUM(W11:W22)+W23</f>
        <v>145.67730255106608</v>
      </c>
      <c r="X31" s="1005">
        <f>SUM(X11:X22)+X23</f>
        <v>6.8135469363978984</v>
      </c>
      <c r="Y31" s="1006">
        <f>SUM(Y11:Y22)+Y23</f>
        <v>311.84800999085246</v>
      </c>
      <c r="Z31" s="965"/>
      <c r="AA31" s="1004">
        <f>SUM(AA11:AA22)+AA23</f>
        <v>136.25894018346526</v>
      </c>
      <c r="AB31" s="1005">
        <f>SUM(AB11:AB22)+AB23</f>
        <v>-99.184780584469252</v>
      </c>
      <c r="AC31" s="1005">
        <f>SUM(AC11:AC22)+AC23</f>
        <v>78.286450659203837</v>
      </c>
      <c r="AD31" s="1005">
        <f>SUM(AD11:AD22)+AD23</f>
        <v>217.90236504342718</v>
      </c>
      <c r="AE31" s="1006">
        <f>SUM(AE11:AE22)+AE23</f>
        <v>333.26297530162702</v>
      </c>
      <c r="AF31" s="965"/>
      <c r="AG31" s="1004">
        <f>SUM(AG11:AG22)+AG23</f>
        <v>160.27714561134053</v>
      </c>
      <c r="AH31" s="1005">
        <f>SUM(AH11:AH22)+AH23</f>
        <v>64.969836588156312</v>
      </c>
      <c r="AI31" s="1005">
        <f>SUM(AI11:AI22)+AI23</f>
        <v>207.39678385747015</v>
      </c>
      <c r="AJ31" s="1005">
        <f>SUM(AJ11:AJ22)+AJ23</f>
        <v>220.72764720069353</v>
      </c>
      <c r="AK31" s="1006">
        <f>SUM(AK11:AK22)+AK23</f>
        <v>653.37141325766049</v>
      </c>
      <c r="AL31" s="965"/>
      <c r="AM31" s="1004">
        <f>SUM(AM11:AM22)+AM23</f>
        <v>126.92290597552019</v>
      </c>
      <c r="AN31" s="1005">
        <f>SUM(AN11:AN22)+AN23</f>
        <v>47.81774676807467</v>
      </c>
      <c r="AO31" s="1005">
        <f>SUM(AO11:AO22)+AO23</f>
        <v>147.59276387978881</v>
      </c>
      <c r="AP31" s="1005">
        <f>SUM(AP11:AP22)+AP23</f>
        <v>70.196313106346139</v>
      </c>
      <c r="AQ31" s="1006">
        <f>SUM(AQ11:AQ22)+AQ23</f>
        <v>392.52972972972992</v>
      </c>
      <c r="AR31" s="965"/>
      <c r="AS31" s="1004">
        <f>SUM(AS11:AS22)+AS23</f>
        <v>194</v>
      </c>
      <c r="AT31" s="1005">
        <f>SUM(AT11:AT22)+AT23</f>
        <v>325</v>
      </c>
      <c r="AU31" s="1005">
        <f>SUM(AU11:AU22)+AU23</f>
        <v>21.802548000000002</v>
      </c>
      <c r="AV31" s="1005">
        <f>SUM(AV11:AV22)+AV23</f>
        <v>54.800230709196306</v>
      </c>
      <c r="AW31" s="1006">
        <f>SUM(AW11:AW22)+AW23</f>
        <v>595.60277870919629</v>
      </c>
      <c r="AX31" s="965"/>
      <c r="AY31" s="1004">
        <f>SUM(AY11:AY22)+AY23</f>
        <v>-20</v>
      </c>
      <c r="AZ31" s="1005">
        <f>SUM(AZ11:AZ22)+AZ23</f>
        <v>183</v>
      </c>
      <c r="BA31" s="1005">
        <f>SUM(BA11:BA22)+BA23</f>
        <v>91</v>
      </c>
      <c r="BB31" s="1005">
        <f>SUM(BB11:BB22)+BB23</f>
        <v>237</v>
      </c>
      <c r="BC31" s="1006">
        <f>SUM(BC11:BC22)+BC23</f>
        <v>491</v>
      </c>
      <c r="BD31" s="965"/>
      <c r="BE31" s="1004">
        <f>SUM(BE11:BE22)+BE23</f>
        <v>104</v>
      </c>
      <c r="BF31" s="1005">
        <f>SUM(BF11:BF22)+BF23</f>
        <v>256</v>
      </c>
      <c r="BG31" s="1005">
        <f>SUM(BG11:BG22)+BG23</f>
        <v>199</v>
      </c>
      <c r="BH31" s="1005">
        <f>SUM(BH11:BH22)+BH23</f>
        <v>234</v>
      </c>
      <c r="BI31" s="1006">
        <f>SUM(BI11:BI22)+BI23</f>
        <v>793</v>
      </c>
      <c r="BJ31" s="965"/>
      <c r="BK31" s="1004">
        <f>SUM(BK11:BK22)+BK23</f>
        <v>116</v>
      </c>
      <c r="BL31" s="1005">
        <f>SUM(BL11:BL22)+BL23</f>
        <v>257</v>
      </c>
      <c r="BM31" s="1005">
        <f>SUM(BM11:BM22)+BM23</f>
        <v>228</v>
      </c>
      <c r="BN31" s="1005">
        <f>SUM(BN11:BN22)+BN23</f>
        <v>288</v>
      </c>
      <c r="BO31" s="1006">
        <f>SUM(BO11:BO22)+BO23</f>
        <v>889</v>
      </c>
      <c r="BP31" s="965"/>
      <c r="BQ31" s="1004">
        <f>SUM(BQ11:BQ22)+BQ23</f>
        <v>215</v>
      </c>
      <c r="BR31" s="1005">
        <f>SUM(BR11:BR22)+BR23</f>
        <v>250.80819867937456</v>
      </c>
      <c r="BS31" s="1005">
        <f>SUM(BS11:BS22)+BS23</f>
        <v>274.65958335349171</v>
      </c>
      <c r="BT31" s="1005">
        <f>SUM(BT11:BT22)+BT23</f>
        <v>344.72021238462082</v>
      </c>
      <c r="BU31" s="1006">
        <f>SUM(BU11:BU22)+BU23</f>
        <v>1085.1879944174871</v>
      </c>
      <c r="BV31" s="965"/>
      <c r="BW31" s="1004">
        <f>SUM(BW11:BW22)+BW23</f>
        <v>201.32940836830849</v>
      </c>
      <c r="BX31" s="1005">
        <f>SUM(BX11:BX22)+BX23</f>
        <v>273.37314762895642</v>
      </c>
      <c r="BY31" s="1005">
        <f>SUM(BY11:BY22)+BY23</f>
        <v>297.79526480662082</v>
      </c>
      <c r="BZ31" s="1005">
        <f>SUM(BZ11:BZ22)+BZ23</f>
        <v>378.83981749474077</v>
      </c>
      <c r="CA31" s="1006">
        <f>SUM(CA11:CA22)+CA23</f>
        <v>1151.3376382986264</v>
      </c>
      <c r="CB31" s="1005"/>
      <c r="CC31" s="1004">
        <f>SUM(CC11:CC22)+CC23</f>
        <v>238.82104267262844</v>
      </c>
      <c r="CD31" s="1005">
        <f>SUM(CD11:CD22)+CD23</f>
        <v>363.51158309276406</v>
      </c>
      <c r="CE31" s="1005">
        <f>SUM(CE11:CE22)+CE23</f>
        <v>395.33797184034432</v>
      </c>
      <c r="CF31" s="1005">
        <f>SUM(CF11:CF22)+CF23</f>
        <v>490.44256627373142</v>
      </c>
      <c r="CG31" s="1006">
        <f>SUM(CG11:CG22)+CG23</f>
        <v>1488.1131638794682</v>
      </c>
      <c r="CH31" s="954"/>
      <c r="CI31" s="1004">
        <f>SUM(CI11:CI22)+CI23</f>
        <v>351.39415893667064</v>
      </c>
      <c r="CJ31" s="1005">
        <f>SUM(CJ11:CJ22)+CJ23</f>
        <v>322.72214862387369</v>
      </c>
      <c r="CK31" s="1005">
        <f>SUM(CK11:CK22)+CK23</f>
        <v>353.21679623970141</v>
      </c>
      <c r="CL31" s="1005">
        <f>SUM(CL11:CL22)+CL23</f>
        <v>457.18061388832461</v>
      </c>
      <c r="CM31" s="1006">
        <f>SUM(CM11:CM22)+CM23</f>
        <v>1484.5137176885703</v>
      </c>
      <c r="CN31" s="954"/>
      <c r="CO31" s="954"/>
      <c r="CP31" s="954"/>
    </row>
    <row r="32" spans="1:94">
      <c r="A32" s="1838" t="s">
        <v>404</v>
      </c>
      <c r="B32" s="1008"/>
      <c r="C32" s="1727">
        <v>0</v>
      </c>
      <c r="D32" s="1738">
        <f>0-C32</f>
        <v>0</v>
      </c>
      <c r="E32" s="1738">
        <f>0-D32-C32</f>
        <v>0</v>
      </c>
      <c r="F32" s="1738">
        <f>0-E32-D32-C32</f>
        <v>0</v>
      </c>
      <c r="G32" s="972">
        <f>+SUM(C32:F32)</f>
        <v>0</v>
      </c>
      <c r="H32" s="1008"/>
      <c r="I32" s="1727">
        <v>0</v>
      </c>
      <c r="J32" s="1738">
        <f>0-I32</f>
        <v>0</v>
      </c>
      <c r="K32" s="1738">
        <f>0-J32-I32</f>
        <v>0</v>
      </c>
      <c r="L32" s="1738">
        <f>0-K32-J32-I32</f>
        <v>0</v>
      </c>
      <c r="M32" s="972">
        <f>+SUM(I32:L32)</f>
        <v>0</v>
      </c>
      <c r="N32" s="1008"/>
      <c r="O32" s="1727">
        <v>0</v>
      </c>
      <c r="P32" s="1738">
        <f>0-O32</f>
        <v>0</v>
      </c>
      <c r="Q32" s="1738">
        <f>0-P32-O32</f>
        <v>0</v>
      </c>
      <c r="R32" s="1738">
        <f>0-Q32-P32-O32</f>
        <v>0</v>
      </c>
      <c r="S32" s="972">
        <f>+SUM(O32:R32)</f>
        <v>0</v>
      </c>
      <c r="T32" s="1008"/>
      <c r="U32" s="1727">
        <v>0</v>
      </c>
      <c r="V32" s="1738">
        <f>0-U32</f>
        <v>0</v>
      </c>
      <c r="W32" s="1738">
        <f>0-V32-U32</f>
        <v>0</v>
      </c>
      <c r="X32" s="1738">
        <f>0-W32-V32-U32</f>
        <v>0</v>
      </c>
      <c r="Y32" s="972">
        <f>+SUM(U32:X32)</f>
        <v>0</v>
      </c>
      <c r="Z32" s="1008"/>
      <c r="AA32" s="1727">
        <v>0</v>
      </c>
      <c r="AB32" s="1738">
        <f>0-AA32</f>
        <v>0</v>
      </c>
      <c r="AC32" s="1738">
        <f>0-AB32-AA32</f>
        <v>0</v>
      </c>
      <c r="AD32" s="1738">
        <f>0-AC32-AB32-AA32</f>
        <v>0</v>
      </c>
      <c r="AE32" s="972">
        <f>+SUM(AA32:AD32)</f>
        <v>0</v>
      </c>
      <c r="AF32" s="1008"/>
      <c r="AG32" s="1727">
        <v>0</v>
      </c>
      <c r="AH32" s="1738">
        <f>0-AG32</f>
        <v>0</v>
      </c>
      <c r="AI32" s="1738">
        <f>0-AH32-AG32</f>
        <v>0</v>
      </c>
      <c r="AJ32" s="1738">
        <f>0-AI32-AH32-AG32</f>
        <v>0</v>
      </c>
      <c r="AK32" s="972">
        <f>+SUM(AG32:AJ32)</f>
        <v>0</v>
      </c>
      <c r="AL32" s="1008"/>
      <c r="AM32" s="1727">
        <v>0</v>
      </c>
      <c r="AN32" s="1738">
        <f>0-AM32</f>
        <v>0</v>
      </c>
      <c r="AO32" s="1738">
        <f>0-AN32-AM32</f>
        <v>0</v>
      </c>
      <c r="AP32" s="1738">
        <f>0-AO32-AN32-AM32</f>
        <v>0</v>
      </c>
      <c r="AQ32" s="972">
        <f>+SUM(AM32:AP32)</f>
        <v>0</v>
      </c>
      <c r="AR32" s="1008"/>
      <c r="AS32" s="1725">
        <v>0</v>
      </c>
      <c r="AT32" s="1724">
        <f>0-AS32</f>
        <v>0</v>
      </c>
      <c r="AU32" s="1738">
        <f>0-AT32</f>
        <v>0</v>
      </c>
      <c r="AV32" s="1726">
        <v>-1821</v>
      </c>
      <c r="AW32" s="894">
        <f>+SUM(AS32:AV32)</f>
        <v>-1821</v>
      </c>
      <c r="AX32" s="1008"/>
      <c r="AY32" s="1725">
        <v>0</v>
      </c>
      <c r="AZ32" s="1724">
        <f>0-AY32</f>
        <v>0</v>
      </c>
      <c r="BA32" s="1724">
        <f>0-SUM(AY32:AZ32)</f>
        <v>0</v>
      </c>
      <c r="BB32" s="1724">
        <f>0-SUM(AY32:BA32)</f>
        <v>0</v>
      </c>
      <c r="BC32" s="894">
        <f>+SUM(AY32:BB32)</f>
        <v>0</v>
      </c>
      <c r="BD32" s="1008"/>
      <c r="BE32" s="1725">
        <v>0</v>
      </c>
      <c r="BF32" s="1724">
        <f>0-BE32</f>
        <v>0</v>
      </c>
      <c r="BG32" s="1724">
        <f>0-SUM(BE32:BF32)</f>
        <v>0</v>
      </c>
      <c r="BH32" s="1724">
        <f>0-SUM(BE32:BG32)</f>
        <v>0</v>
      </c>
      <c r="BI32" s="894">
        <f>+SUM(BE32:BH32)</f>
        <v>0</v>
      </c>
      <c r="BJ32" s="1008"/>
      <c r="BK32" s="1725">
        <v>0</v>
      </c>
      <c r="BL32" s="1724">
        <f t="shared" si="0"/>
        <v>0</v>
      </c>
      <c r="BM32" s="1724">
        <f t="shared" si="1"/>
        <v>0</v>
      </c>
      <c r="BN32" s="1724">
        <v>0</v>
      </c>
      <c r="BO32" s="894">
        <f>+SUM(BK32:BN32)</f>
        <v>0</v>
      </c>
      <c r="BP32" s="1008"/>
      <c r="BQ32" s="1725">
        <v>0</v>
      </c>
      <c r="BR32" s="1726">
        <v>0</v>
      </c>
      <c r="BS32" s="1726">
        <v>0</v>
      </c>
      <c r="BT32" s="1726">
        <v>0</v>
      </c>
      <c r="BU32" s="894">
        <f>+SUM(BQ32:BT32)</f>
        <v>0</v>
      </c>
      <c r="BV32" s="1008"/>
      <c r="BW32" s="1725">
        <v>0</v>
      </c>
      <c r="BX32" s="1726">
        <v>0</v>
      </c>
      <c r="BY32" s="1726">
        <v>0</v>
      </c>
      <c r="BZ32" s="1726">
        <v>0</v>
      </c>
      <c r="CA32" s="894">
        <f>+SUM(BW32:BZ32)</f>
        <v>0</v>
      </c>
      <c r="CB32" s="984"/>
      <c r="CC32" s="1725">
        <v>0</v>
      </c>
      <c r="CD32" s="1726">
        <v>0</v>
      </c>
      <c r="CE32" s="1726">
        <v>0</v>
      </c>
      <c r="CF32" s="1726">
        <v>0</v>
      </c>
      <c r="CG32" s="894">
        <f>+SUM(CC32:CF32)</f>
        <v>0</v>
      </c>
      <c r="CH32" s="985"/>
      <c r="CI32" s="1725">
        <v>0</v>
      </c>
      <c r="CJ32" s="1726">
        <v>0</v>
      </c>
      <c r="CK32" s="1726">
        <v>0</v>
      </c>
      <c r="CL32" s="1726">
        <v>0</v>
      </c>
      <c r="CM32" s="894">
        <f>+SUM(CI32:CL32)</f>
        <v>0</v>
      </c>
      <c r="CN32" s="985"/>
      <c r="CO32" s="985"/>
      <c r="CP32" s="985"/>
    </row>
    <row r="33" spans="1:94" ht="12.75" customHeight="1">
      <c r="A33" s="1009" t="s">
        <v>405</v>
      </c>
      <c r="B33" s="1010"/>
      <c r="C33" s="1011">
        <f>C31+C32</f>
        <v>111.10555555555555</v>
      </c>
      <c r="D33" s="1012">
        <f>D31+D32</f>
        <v>83.744326018634794</v>
      </c>
      <c r="E33" s="1012">
        <f>E31+E32</f>
        <v>106.81926597058491</v>
      </c>
      <c r="F33" s="1012">
        <f>F31+F32</f>
        <v>143.15191496550068</v>
      </c>
      <c r="G33" s="1013">
        <f>G31+G32</f>
        <v>444.82106251027591</v>
      </c>
      <c r="H33" s="1010"/>
      <c r="I33" s="1011">
        <f>I31+I32</f>
        <v>404.08480648346517</v>
      </c>
      <c r="J33" s="1012">
        <f>J31+J32</f>
        <v>166.71892650583465</v>
      </c>
      <c r="K33" s="1012">
        <f>K31+K32</f>
        <v>116.2335590149688</v>
      </c>
      <c r="L33" s="1012">
        <f>L31+L32</f>
        <v>182.58705671536472</v>
      </c>
      <c r="M33" s="1013">
        <f>M31+M32</f>
        <v>869.6243487196333</v>
      </c>
      <c r="N33" s="1010"/>
      <c r="O33" s="1011">
        <f>O31+O32</f>
        <v>687.01611281927057</v>
      </c>
      <c r="P33" s="1012">
        <f>P31+P32</f>
        <v>130.08586800908569</v>
      </c>
      <c r="Q33" s="1012">
        <f>Q31+Q32</f>
        <v>115.87835982592792</v>
      </c>
      <c r="R33" s="1012">
        <f>R31+R32</f>
        <v>239.90262266827915</v>
      </c>
      <c r="S33" s="1013">
        <f>S31+S32</f>
        <v>1172.8829633225632</v>
      </c>
      <c r="T33" s="1010"/>
      <c r="U33" s="1011">
        <f>U31+U32</f>
        <v>65.292801699894568</v>
      </c>
      <c r="V33" s="1012">
        <f>V31+V32</f>
        <v>94.06435880349396</v>
      </c>
      <c r="W33" s="1012">
        <f>W31+W32</f>
        <v>145.67730255106608</v>
      </c>
      <c r="X33" s="1012">
        <f>X31+X32</f>
        <v>6.8135469363978984</v>
      </c>
      <c r="Y33" s="1013">
        <f>Y31+Y32</f>
        <v>311.84800999085246</v>
      </c>
      <c r="Z33" s="1010"/>
      <c r="AA33" s="1011">
        <f>AA31+AA32</f>
        <v>136.25894018346526</v>
      </c>
      <c r="AB33" s="1012">
        <f>AB31+AB32</f>
        <v>-99.184780584469252</v>
      </c>
      <c r="AC33" s="1012">
        <f>AC31+AC32</f>
        <v>78.286450659203837</v>
      </c>
      <c r="AD33" s="1012">
        <f>AD31+AD32</f>
        <v>217.90236504342718</v>
      </c>
      <c r="AE33" s="1013">
        <f>AE31+AE32</f>
        <v>333.26297530162702</v>
      </c>
      <c r="AF33" s="1010"/>
      <c r="AG33" s="1011">
        <f>AG31+AG32</f>
        <v>160.27714561134053</v>
      </c>
      <c r="AH33" s="1012">
        <f>AH31+AH32</f>
        <v>64.969836588156312</v>
      </c>
      <c r="AI33" s="1012">
        <f>AI31+AI32</f>
        <v>207.39678385747015</v>
      </c>
      <c r="AJ33" s="1012">
        <f>AJ31+AJ32</f>
        <v>220.72764720069353</v>
      </c>
      <c r="AK33" s="1013">
        <f>AK31+AK32</f>
        <v>653.37141325766049</v>
      </c>
      <c r="AL33" s="1010"/>
      <c r="AM33" s="1011">
        <f>AM31+AM32</f>
        <v>126.92290597552019</v>
      </c>
      <c r="AN33" s="1012">
        <f>AN31+AN32</f>
        <v>47.81774676807467</v>
      </c>
      <c r="AO33" s="1012">
        <f>AO31+AO32</f>
        <v>147.59276387978881</v>
      </c>
      <c r="AP33" s="1012">
        <f>AP31+AP32</f>
        <v>70.196313106346139</v>
      </c>
      <c r="AQ33" s="1013">
        <f>AQ31+AQ32</f>
        <v>392.52972972972992</v>
      </c>
      <c r="AR33" s="1010"/>
      <c r="AS33" s="1016">
        <f>AS31+AS32</f>
        <v>194</v>
      </c>
      <c r="AT33" s="1012">
        <f>AT31+AT32</f>
        <v>325</v>
      </c>
      <c r="AU33" s="1012">
        <f>AU31+AU32</f>
        <v>21.802548000000002</v>
      </c>
      <c r="AV33" s="1014">
        <f>AV31+AV32</f>
        <v>-1766.1997692908037</v>
      </c>
      <c r="AW33" s="1015">
        <f>AW31+AW32</f>
        <v>-1225.3972212908038</v>
      </c>
      <c r="AX33" s="1010"/>
      <c r="AY33" s="1016">
        <f>AY31+AY32</f>
        <v>-20</v>
      </c>
      <c r="AZ33" s="1014">
        <f>AZ31+AZ32</f>
        <v>183</v>
      </c>
      <c r="BA33" s="1014">
        <f>BA31+BA32</f>
        <v>91</v>
      </c>
      <c r="BB33" s="1014">
        <f>BB31+BB32</f>
        <v>237</v>
      </c>
      <c r="BC33" s="1015">
        <f>BC31+BC32</f>
        <v>491</v>
      </c>
      <c r="BD33" s="1010"/>
      <c r="BE33" s="1016">
        <f>BE31+BE32</f>
        <v>104</v>
      </c>
      <c r="BF33" s="1014">
        <f>BF31+BF32</f>
        <v>256</v>
      </c>
      <c r="BG33" s="1014">
        <f>BG31+BG32</f>
        <v>199</v>
      </c>
      <c r="BH33" s="1014">
        <f>BH31+BH32</f>
        <v>234</v>
      </c>
      <c r="BI33" s="1015">
        <f>BI31+BI32</f>
        <v>793</v>
      </c>
      <c r="BJ33" s="1010"/>
      <c r="BK33" s="1016">
        <f>BK31+BK32</f>
        <v>116</v>
      </c>
      <c r="BL33" s="1014">
        <f>BL31+BL32</f>
        <v>257</v>
      </c>
      <c r="BM33" s="1014">
        <f>BM31+BM32</f>
        <v>228</v>
      </c>
      <c r="BN33" s="1014">
        <f>BN31+BN32</f>
        <v>288</v>
      </c>
      <c r="BO33" s="1015">
        <f>BO31+BO32</f>
        <v>889</v>
      </c>
      <c r="BP33" s="1010"/>
      <c r="BQ33" s="1016">
        <f>BQ31+BQ32</f>
        <v>215</v>
      </c>
      <c r="BR33" s="1014">
        <f>BR31+BR32</f>
        <v>250.80819867937456</v>
      </c>
      <c r="BS33" s="1014">
        <f>BS31+BS32</f>
        <v>274.65958335349171</v>
      </c>
      <c r="BT33" s="1014">
        <f>BT31+BT32</f>
        <v>344.72021238462082</v>
      </c>
      <c r="BU33" s="1015">
        <f>BU31+BU32</f>
        <v>1085.1879944174871</v>
      </c>
      <c r="BV33" s="1010"/>
      <c r="BW33" s="1016">
        <f>BW31+BW32</f>
        <v>201.32940836830849</v>
      </c>
      <c r="BX33" s="1014">
        <f>BX31+BX32</f>
        <v>273.37314762895642</v>
      </c>
      <c r="BY33" s="1014">
        <f>BY31+BY32</f>
        <v>297.79526480662082</v>
      </c>
      <c r="BZ33" s="1014">
        <f>BZ31+BZ32</f>
        <v>378.83981749474077</v>
      </c>
      <c r="CA33" s="1015">
        <f>CA31+CA32</f>
        <v>1151.3376382986264</v>
      </c>
      <c r="CB33" s="2130"/>
      <c r="CC33" s="1016">
        <f>CC31+CC32</f>
        <v>238.82104267262844</v>
      </c>
      <c r="CD33" s="1014">
        <f>CD31+CD32</f>
        <v>363.51158309276406</v>
      </c>
      <c r="CE33" s="1014">
        <f>CE31+CE32</f>
        <v>395.33797184034432</v>
      </c>
      <c r="CF33" s="1014">
        <f>CF31+CF32</f>
        <v>490.44256627373142</v>
      </c>
      <c r="CG33" s="1015">
        <f>CG31+CG32</f>
        <v>1488.1131638794682</v>
      </c>
      <c r="CH33" s="954"/>
      <c r="CI33" s="1016">
        <f>CI31+CI32</f>
        <v>351.39415893667064</v>
      </c>
      <c r="CJ33" s="1014">
        <f>CJ31+CJ32</f>
        <v>322.72214862387369</v>
      </c>
      <c r="CK33" s="1014">
        <f>CK31+CK32</f>
        <v>353.21679623970141</v>
      </c>
      <c r="CL33" s="1014">
        <f>CL31+CL32</f>
        <v>457.18061388832461</v>
      </c>
      <c r="CM33" s="1015">
        <f>CM31+CM32</f>
        <v>1484.5137176885703</v>
      </c>
      <c r="CN33" s="954"/>
      <c r="CO33" s="954"/>
      <c r="CP33" s="954"/>
    </row>
    <row r="34" spans="1:94" ht="6" customHeight="1">
      <c r="A34" s="894"/>
      <c r="B34" s="984"/>
      <c r="C34" s="1017"/>
      <c r="D34" s="984"/>
      <c r="E34" s="984"/>
      <c r="F34" s="984"/>
      <c r="G34" s="1018"/>
      <c r="H34" s="984"/>
      <c r="I34" s="1017"/>
      <c r="J34" s="984"/>
      <c r="K34" s="984"/>
      <c r="L34" s="984"/>
      <c r="M34" s="1018"/>
      <c r="N34" s="984"/>
      <c r="O34" s="1017"/>
      <c r="P34" s="984"/>
      <c r="Q34" s="984"/>
      <c r="R34" s="984"/>
      <c r="S34" s="1018"/>
      <c r="T34" s="984"/>
      <c r="U34" s="1017"/>
      <c r="V34" s="984"/>
      <c r="W34" s="984"/>
      <c r="X34" s="984"/>
      <c r="Y34" s="1018"/>
      <c r="Z34" s="984"/>
      <c r="AA34" s="1017"/>
      <c r="AB34" s="984"/>
      <c r="AC34" s="984"/>
      <c r="AD34" s="984"/>
      <c r="AE34" s="1018"/>
      <c r="AF34" s="984"/>
      <c r="AG34" s="1017"/>
      <c r="AH34" s="984"/>
      <c r="AI34" s="984"/>
      <c r="AJ34" s="984"/>
      <c r="AK34" s="1018"/>
      <c r="AL34" s="984"/>
      <c r="AM34" s="1017"/>
      <c r="AN34" s="984"/>
      <c r="AO34" s="984"/>
      <c r="AP34" s="984"/>
      <c r="AQ34" s="1018"/>
      <c r="AR34" s="984"/>
      <c r="AS34" s="970"/>
      <c r="AT34" s="984"/>
      <c r="AU34" s="971"/>
      <c r="AV34" s="971"/>
      <c r="AW34" s="1018"/>
      <c r="AX34" s="984"/>
      <c r="AY34" s="970"/>
      <c r="AZ34" s="971"/>
      <c r="BA34" s="971"/>
      <c r="BB34" s="971"/>
      <c r="BC34" s="1018"/>
      <c r="BD34" s="984"/>
      <c r="BE34" s="970"/>
      <c r="BF34" s="971"/>
      <c r="BG34" s="971"/>
      <c r="BH34" s="971"/>
      <c r="BI34" s="1018"/>
      <c r="BJ34" s="984"/>
      <c r="BK34" s="970"/>
      <c r="BL34" s="971"/>
      <c r="BM34" s="971"/>
      <c r="BN34" s="971"/>
      <c r="BO34" s="1018"/>
      <c r="BP34" s="984"/>
      <c r="BQ34" s="970"/>
      <c r="BR34" s="971"/>
      <c r="BS34" s="971"/>
      <c r="BT34" s="971"/>
      <c r="BU34" s="1018"/>
      <c r="BV34" s="984"/>
      <c r="BW34" s="970"/>
      <c r="BX34" s="971"/>
      <c r="BY34" s="971"/>
      <c r="BZ34" s="971"/>
      <c r="CA34" s="1018"/>
      <c r="CB34" s="971"/>
      <c r="CC34" s="970"/>
      <c r="CD34" s="971"/>
      <c r="CE34" s="971"/>
      <c r="CF34" s="971"/>
      <c r="CG34" s="1018"/>
      <c r="CH34" s="985"/>
      <c r="CI34" s="970"/>
      <c r="CJ34" s="971"/>
      <c r="CK34" s="971"/>
      <c r="CL34" s="971"/>
      <c r="CM34" s="1018"/>
      <c r="CN34" s="985"/>
      <c r="CO34" s="985"/>
      <c r="CP34" s="985"/>
    </row>
    <row r="35" spans="1:94">
      <c r="A35" s="1019" t="s">
        <v>406</v>
      </c>
      <c r="B35" s="1020"/>
      <c r="C35" s="1021"/>
      <c r="D35" s="1022"/>
      <c r="E35" s="1022"/>
      <c r="F35" s="1022"/>
      <c r="G35" s="1023"/>
      <c r="H35" s="1020"/>
      <c r="I35" s="1021"/>
      <c r="J35" s="1022"/>
      <c r="K35" s="1022"/>
      <c r="L35" s="1022"/>
      <c r="M35" s="1023"/>
      <c r="N35" s="1020"/>
      <c r="O35" s="1021"/>
      <c r="P35" s="1022"/>
      <c r="Q35" s="1022"/>
      <c r="R35" s="1022"/>
      <c r="S35" s="1023"/>
      <c r="T35" s="1020"/>
      <c r="U35" s="1021"/>
      <c r="V35" s="1022"/>
      <c r="W35" s="1022"/>
      <c r="X35" s="1022"/>
      <c r="Y35" s="1023"/>
      <c r="Z35" s="1020"/>
      <c r="AA35" s="1021"/>
      <c r="AB35" s="1022"/>
      <c r="AC35" s="1022"/>
      <c r="AD35" s="1022"/>
      <c r="AE35" s="1023"/>
      <c r="AF35" s="1022"/>
      <c r="AG35" s="1021"/>
      <c r="AH35" s="1022"/>
      <c r="AI35" s="1022"/>
      <c r="AJ35" s="1022"/>
      <c r="AK35" s="1023"/>
      <c r="AL35" s="1020"/>
      <c r="AM35" s="1021"/>
      <c r="AN35" s="1022"/>
      <c r="AO35" s="1022"/>
      <c r="AP35" s="1022"/>
      <c r="AQ35" s="1023"/>
      <c r="AR35" s="1020"/>
      <c r="AS35" s="1026"/>
      <c r="AT35" s="1022"/>
      <c r="AU35" s="1024"/>
      <c r="AV35" s="1024"/>
      <c r="AW35" s="1025"/>
      <c r="AX35" s="1020"/>
      <c r="AY35" s="1026"/>
      <c r="AZ35" s="1024"/>
      <c r="BA35" s="1024"/>
      <c r="BB35" s="1024"/>
      <c r="BC35" s="1025"/>
      <c r="BD35" s="1020"/>
      <c r="BE35" s="1026"/>
      <c r="BF35" s="1024"/>
      <c r="BG35" s="1024"/>
      <c r="BH35" s="1024"/>
      <c r="BI35" s="2093"/>
      <c r="BJ35" s="1020"/>
      <c r="BK35" s="1026"/>
      <c r="BL35" s="1024"/>
      <c r="BM35" s="1024"/>
      <c r="BN35" s="1024"/>
      <c r="BO35" s="2093"/>
      <c r="BP35" s="1020"/>
      <c r="BQ35" s="1026"/>
      <c r="BR35" s="1024"/>
      <c r="BS35" s="1024"/>
      <c r="BT35" s="1024"/>
      <c r="BU35" s="1025"/>
      <c r="BV35" s="1020"/>
      <c r="BW35" s="1026"/>
      <c r="BX35" s="1024"/>
      <c r="BY35" s="1024"/>
      <c r="BZ35" s="1024"/>
      <c r="CA35" s="1025"/>
      <c r="CB35" s="2131"/>
      <c r="CC35" s="1026"/>
      <c r="CD35" s="1024"/>
      <c r="CE35" s="1024"/>
      <c r="CF35" s="1024"/>
      <c r="CG35" s="1025"/>
      <c r="CH35" s="456"/>
      <c r="CI35" s="1026"/>
      <c r="CJ35" s="1024"/>
      <c r="CK35" s="1024"/>
      <c r="CL35" s="1024"/>
      <c r="CM35" s="1025"/>
      <c r="CN35" s="456"/>
      <c r="CO35" s="456"/>
      <c r="CP35" s="456"/>
    </row>
    <row r="36" spans="1:94">
      <c r="A36" s="981" t="s">
        <v>407</v>
      </c>
      <c r="B36" s="982"/>
      <c r="C36" s="1727">
        <f>(-51/4)</f>
        <v>-12.75</v>
      </c>
      <c r="D36" s="1738">
        <f>C36</f>
        <v>-12.75</v>
      </c>
      <c r="E36" s="1738">
        <f>D36</f>
        <v>-12.75</v>
      </c>
      <c r="F36" s="1738">
        <f>E36</f>
        <v>-12.75</v>
      </c>
      <c r="G36" s="972">
        <f>+SUM(C36:F36)</f>
        <v>-51</v>
      </c>
      <c r="H36" s="982"/>
      <c r="I36" s="1727">
        <f>(-60)/4</f>
        <v>-15</v>
      </c>
      <c r="J36" s="1738">
        <f>I36</f>
        <v>-15</v>
      </c>
      <c r="K36" s="1738">
        <f>J36</f>
        <v>-15</v>
      </c>
      <c r="L36" s="1738">
        <f>K36</f>
        <v>-15</v>
      </c>
      <c r="M36" s="972">
        <f t="shared" ref="M36:M46" si="37">+SUM(I36:L36)</f>
        <v>-60</v>
      </c>
      <c r="N36" s="982"/>
      <c r="O36" s="1727">
        <f>(-35-16)/4</f>
        <v>-12.75</v>
      </c>
      <c r="P36" s="1738">
        <f>O36</f>
        <v>-12.75</v>
      </c>
      <c r="Q36" s="1738">
        <f>P36</f>
        <v>-12.75</v>
      </c>
      <c r="R36" s="1738">
        <f>Q36</f>
        <v>-12.75</v>
      </c>
      <c r="S36" s="972">
        <f t="shared" ref="S36:S46" si="38">+SUM(O36:R36)</f>
        <v>-51</v>
      </c>
      <c r="T36" s="984"/>
      <c r="U36" s="1727">
        <f>(-30-15)/4</f>
        <v>-11.25</v>
      </c>
      <c r="V36" s="1738">
        <f>U36</f>
        <v>-11.25</v>
      </c>
      <c r="W36" s="1738">
        <f>V36</f>
        <v>-11.25</v>
      </c>
      <c r="X36" s="1738">
        <f>W36</f>
        <v>-11.25</v>
      </c>
      <c r="Y36" s="972">
        <f t="shared" ref="Y36:Y46" si="39">+SUM(U36:X36)</f>
        <v>-45</v>
      </c>
      <c r="Z36" s="984"/>
      <c r="AA36" s="1727">
        <f>(-33-23-8)/4</f>
        <v>-16</v>
      </c>
      <c r="AB36" s="1738">
        <f>AA36</f>
        <v>-16</v>
      </c>
      <c r="AC36" s="1738">
        <f>AB36</f>
        <v>-16</v>
      </c>
      <c r="AD36" s="1738">
        <f>AC36</f>
        <v>-16</v>
      </c>
      <c r="AE36" s="972">
        <f t="shared" ref="AE36:AE46" si="40">+SUM(AA36:AD36)</f>
        <v>-64</v>
      </c>
      <c r="AF36" s="982"/>
      <c r="AG36" s="1727">
        <f>(-56-32)/4</f>
        <v>-22</v>
      </c>
      <c r="AH36" s="1738">
        <f>AG36</f>
        <v>-22</v>
      </c>
      <c r="AI36" s="1738">
        <f>AH36</f>
        <v>-22</v>
      </c>
      <c r="AJ36" s="1738">
        <f>AI36</f>
        <v>-22</v>
      </c>
      <c r="AK36" s="972">
        <f t="shared" ref="AK36:AK46" si="41">+SUM(AG36:AJ36)</f>
        <v>-88</v>
      </c>
      <c r="AL36" s="982"/>
      <c r="AM36" s="1727">
        <f>(-77-30)/4</f>
        <v>-26.75</v>
      </c>
      <c r="AN36" s="1738">
        <f>AM36</f>
        <v>-26.75</v>
      </c>
      <c r="AO36" s="1738">
        <f>AN36</f>
        <v>-26.75</v>
      </c>
      <c r="AP36" s="1738">
        <f>AO36</f>
        <v>-26.75</v>
      </c>
      <c r="AQ36" s="972">
        <f t="shared" ref="AQ36:AQ46" si="42">+SUM(AM36:AP36)</f>
        <v>-107</v>
      </c>
      <c r="AR36" s="982"/>
      <c r="AS36" s="1723">
        <v>-45</v>
      </c>
      <c r="AT36" s="1724">
        <f>-98-AS36</f>
        <v>-53</v>
      </c>
      <c r="AU36" s="1738">
        <f>-64+18</f>
        <v>-46</v>
      </c>
      <c r="AV36" s="1027">
        <f>-BS!AV101</f>
        <v>-47.550049554013874</v>
      </c>
      <c r="AW36" s="894">
        <f t="shared" ref="AW36:AW46" si="43">+SUM(AS36:AV36)</f>
        <v>-191.55004955401387</v>
      </c>
      <c r="AX36" s="982"/>
      <c r="AY36" s="1723">
        <v>-32</v>
      </c>
      <c r="AZ36" s="1724">
        <f>-52-AY36</f>
        <v>-20</v>
      </c>
      <c r="BA36" s="1724">
        <f>-71-SUM(AY36:AZ36)</f>
        <v>-19</v>
      </c>
      <c r="BB36" s="1724">
        <f>-98-SUM(AY36:BA36)</f>
        <v>-27</v>
      </c>
      <c r="BC36" s="894">
        <f>+SUM(AY36:BB36)</f>
        <v>-98</v>
      </c>
      <c r="BD36" s="982"/>
      <c r="BE36" s="1725">
        <v>-38</v>
      </c>
      <c r="BF36" s="1726">
        <f>-63-BE36</f>
        <v>-25</v>
      </c>
      <c r="BG36" s="1726">
        <f>-87-SUM(BE36:BF36)</f>
        <v>-24</v>
      </c>
      <c r="BH36" s="1726">
        <f>-139-SUM(BE36:BG36)</f>
        <v>-52</v>
      </c>
      <c r="BI36" s="894">
        <f>+SUM(BE36:BH36)</f>
        <v>-139</v>
      </c>
      <c r="BJ36" s="982"/>
      <c r="BK36" s="1725">
        <v>-32</v>
      </c>
      <c r="BL36" s="1726">
        <f>-75-BK36</f>
        <v>-43</v>
      </c>
      <c r="BM36" s="1726">
        <f>-118-SUM(BK36:BL36)</f>
        <v>-43</v>
      </c>
      <c r="BN36" s="2426">
        <f>-176-SUM(BK36:BM36)</f>
        <v>-58</v>
      </c>
      <c r="BO36" s="894">
        <f>+SUM(BK36:BN36)</f>
        <v>-176</v>
      </c>
      <c r="BP36" s="982"/>
      <c r="BQ36" s="1725">
        <v>-60</v>
      </c>
      <c r="BR36" s="975">
        <f>-BS!BR101</f>
        <v>-47.716748501966933</v>
      </c>
      <c r="BS36" s="975">
        <f>-BS!BS101</f>
        <v>-47.231696639298399</v>
      </c>
      <c r="BT36" s="975">
        <f>-BS!BT101</f>
        <v>-50.097748980334771</v>
      </c>
      <c r="BU36" s="894">
        <f>+SUM(BQ36:BT36)</f>
        <v>-205.04619412160008</v>
      </c>
      <c r="BV36" s="982"/>
      <c r="BW36" s="974">
        <f>-BS!BW101</f>
        <v>-31.022060587411055</v>
      </c>
      <c r="BX36" s="975">
        <f>-BS!BX101</f>
        <v>-32.17308210380228</v>
      </c>
      <c r="BY36" s="975">
        <f>-BS!BY101</f>
        <v>-32.244713819534098</v>
      </c>
      <c r="BZ36" s="975">
        <f>-BS!BZ101</f>
        <v>-34.119752263078986</v>
      </c>
      <c r="CA36" s="894">
        <f>+SUM(BW36:BZ36)</f>
        <v>-129.55960877382643</v>
      </c>
      <c r="CB36" s="984"/>
      <c r="CC36" s="974">
        <f>-BS!CC101</f>
        <v>-31.478431808907963</v>
      </c>
      <c r="CD36" s="975">
        <f>-BS!CD101</f>
        <v>-32.738358911414437</v>
      </c>
      <c r="CE36" s="975">
        <f>-BS!CE101</f>
        <v>-33.064094475147769</v>
      </c>
      <c r="CF36" s="975">
        <f>-BS!CF101</f>
        <v>-34.868625693583397</v>
      </c>
      <c r="CG36" s="894">
        <f>+SUM(CC36:CF36)</f>
        <v>-132.14951088905354</v>
      </c>
      <c r="CH36" s="985"/>
      <c r="CI36" s="974">
        <f>-BS!CI101</f>
        <v>-30.489963359062202</v>
      </c>
      <c r="CJ36" s="975">
        <f>-BS!CJ101</f>
        <v>-31.808257826792882</v>
      </c>
      <c r="CK36" s="975">
        <f>-BS!CK101</f>
        <v>-32.413667555823132</v>
      </c>
      <c r="CL36" s="975">
        <f>-BS!CL101</f>
        <v>-34.048122216987686</v>
      </c>
      <c r="CM36" s="894">
        <f>+SUM(CI36:CL36)</f>
        <v>-128.7600109586659</v>
      </c>
      <c r="CN36" s="985"/>
      <c r="CO36" s="985"/>
      <c r="CP36" s="985"/>
    </row>
    <row r="37" spans="1:94">
      <c r="A37" s="981" t="s">
        <v>408</v>
      </c>
      <c r="B37" s="982" t="s">
        <v>113</v>
      </c>
      <c r="C37" s="1728">
        <v>0</v>
      </c>
      <c r="D37" s="1738">
        <f t="shared" ref="D37:D42" si="44">0-C37</f>
        <v>0</v>
      </c>
      <c r="E37" s="1738">
        <f t="shared" ref="E37:E42" si="45">0-D37-C37</f>
        <v>0</v>
      </c>
      <c r="F37" s="1738">
        <f t="shared" ref="F37:F42" si="46">0-E37-D37-C37</f>
        <v>0</v>
      </c>
      <c r="G37" s="894">
        <f t="shared" ref="G37:G46" si="47">+SUM(C37:F37)</f>
        <v>0</v>
      </c>
      <c r="H37" s="982"/>
      <c r="I37" s="1723">
        <v>0</v>
      </c>
      <c r="J37" s="1724">
        <v>0</v>
      </c>
      <c r="K37" s="1724">
        <v>0</v>
      </c>
      <c r="L37" s="1724">
        <v>0</v>
      </c>
      <c r="M37" s="894">
        <f t="shared" si="37"/>
        <v>0</v>
      </c>
      <c r="N37" s="982"/>
      <c r="O37" s="1723">
        <v>0</v>
      </c>
      <c r="P37" s="1724">
        <v>0</v>
      </c>
      <c r="Q37" s="1724">
        <v>0</v>
      </c>
      <c r="R37" s="1724">
        <v>0</v>
      </c>
      <c r="S37" s="894">
        <f t="shared" si="38"/>
        <v>0</v>
      </c>
      <c r="T37" s="984"/>
      <c r="U37" s="1723">
        <v>0</v>
      </c>
      <c r="V37" s="1724">
        <v>0</v>
      </c>
      <c r="W37" s="1724">
        <v>0</v>
      </c>
      <c r="X37" s="1724">
        <v>0</v>
      </c>
      <c r="Y37" s="894">
        <f t="shared" si="39"/>
        <v>0</v>
      </c>
      <c r="Z37" s="984"/>
      <c r="AA37" s="1723">
        <v>0</v>
      </c>
      <c r="AB37" s="1724">
        <v>0</v>
      </c>
      <c r="AC37" s="1724">
        <v>0</v>
      </c>
      <c r="AD37" s="1724">
        <v>0</v>
      </c>
      <c r="AE37" s="894">
        <f t="shared" si="40"/>
        <v>0</v>
      </c>
      <c r="AF37" s="982"/>
      <c r="AG37" s="1723">
        <v>0</v>
      </c>
      <c r="AH37" s="1724">
        <v>0</v>
      </c>
      <c r="AI37" s="1724">
        <v>0</v>
      </c>
      <c r="AJ37" s="1724">
        <v>0</v>
      </c>
      <c r="AK37" s="894">
        <f t="shared" si="41"/>
        <v>0</v>
      </c>
      <c r="AL37" s="982"/>
      <c r="AM37" s="1723">
        <v>0</v>
      </c>
      <c r="AN37" s="1724">
        <v>0</v>
      </c>
      <c r="AO37" s="1724">
        <v>0</v>
      </c>
      <c r="AP37" s="1724">
        <v>0</v>
      </c>
      <c r="AQ37" s="894">
        <f t="shared" si="42"/>
        <v>0</v>
      </c>
      <c r="AR37" s="982"/>
      <c r="AS37" s="1723">
        <v>0</v>
      </c>
      <c r="AT37" s="1724">
        <f>2-AS37</f>
        <v>2</v>
      </c>
      <c r="AU37" s="1724">
        <v>0</v>
      </c>
      <c r="AV37" s="1724">
        <v>0</v>
      </c>
      <c r="AW37" s="894">
        <f t="shared" si="43"/>
        <v>2</v>
      </c>
      <c r="AX37" s="982"/>
      <c r="AY37" s="1723">
        <v>0</v>
      </c>
      <c r="AZ37" s="1724">
        <f>11-AY37</f>
        <v>11</v>
      </c>
      <c r="BA37" s="1724">
        <f>11-SUM(AY37:AZ37)</f>
        <v>0</v>
      </c>
      <c r="BB37" s="1724">
        <f>12-SUM(AY37:BA37)</f>
        <v>1</v>
      </c>
      <c r="BC37" s="894">
        <f t="shared" ref="BC37:BC46" si="48">+SUM(AY37:BB37)</f>
        <v>12</v>
      </c>
      <c r="BD37" s="982"/>
      <c r="BE37" s="1725">
        <v>0</v>
      </c>
      <c r="BF37" s="1726">
        <f t="shared" ref="BF37:BF44" si="49">0-BE37</f>
        <v>0</v>
      </c>
      <c r="BG37" s="1726">
        <f t="shared" ref="BG37:BG48" si="50">0-SUM(BE37:BF37)</f>
        <v>0</v>
      </c>
      <c r="BH37" s="1726">
        <f>0-SUM(BE37:BG37)</f>
        <v>0</v>
      </c>
      <c r="BI37" s="894">
        <f t="shared" ref="BI37:BI46" si="51">+SUM(BE37:BH37)</f>
        <v>0</v>
      </c>
      <c r="BJ37" s="982"/>
      <c r="BK37" s="1725">
        <v>0</v>
      </c>
      <c r="BL37" s="1726">
        <f t="shared" ref="BL37:BL45" si="52">0-BK37</f>
        <v>0</v>
      </c>
      <c r="BM37" s="1726">
        <f t="shared" ref="BM37:BM45" si="53">0-SUM(BK37:BL37)</f>
        <v>0</v>
      </c>
      <c r="BN37" s="1724">
        <v>0</v>
      </c>
      <c r="BO37" s="894">
        <f t="shared" ref="BO37:BO46" si="54">+SUM(BK37:BN37)</f>
        <v>0</v>
      </c>
      <c r="BP37" s="982"/>
      <c r="BQ37" s="1725">
        <v>0</v>
      </c>
      <c r="BR37" s="1724">
        <v>0</v>
      </c>
      <c r="BS37" s="1724">
        <v>0</v>
      </c>
      <c r="BT37" s="1724">
        <v>0</v>
      </c>
      <c r="BU37" s="894">
        <f t="shared" ref="BU37:BU46" si="55">+SUM(BQ37:BT37)</f>
        <v>0</v>
      </c>
      <c r="BV37" s="982"/>
      <c r="BW37" s="1723">
        <v>0</v>
      </c>
      <c r="BX37" s="1724">
        <v>0</v>
      </c>
      <c r="BY37" s="1724">
        <v>0</v>
      </c>
      <c r="BZ37" s="1724">
        <v>0</v>
      </c>
      <c r="CA37" s="894">
        <f t="shared" ref="CA37:CA46" si="56">+SUM(BW37:BZ37)</f>
        <v>0</v>
      </c>
      <c r="CB37" s="984"/>
      <c r="CC37" s="1723">
        <v>0</v>
      </c>
      <c r="CD37" s="1724">
        <v>0</v>
      </c>
      <c r="CE37" s="1724">
        <v>0</v>
      </c>
      <c r="CF37" s="1724">
        <v>0</v>
      </c>
      <c r="CG37" s="894">
        <f t="shared" ref="CG37:CG46" si="57">+SUM(CC37:CF37)</f>
        <v>0</v>
      </c>
      <c r="CH37" s="985"/>
      <c r="CI37" s="1723">
        <v>0</v>
      </c>
      <c r="CJ37" s="1724">
        <v>0</v>
      </c>
      <c r="CK37" s="1724">
        <v>0</v>
      </c>
      <c r="CL37" s="1724">
        <v>0</v>
      </c>
      <c r="CM37" s="894">
        <f t="shared" ref="CM37:CM46" si="58">+SUM(CI37:CL37)</f>
        <v>0</v>
      </c>
      <c r="CN37" s="985"/>
      <c r="CO37" s="985"/>
      <c r="CP37" s="985"/>
    </row>
    <row r="38" spans="1:94" hidden="1" outlineLevel="1">
      <c r="A38" s="981" t="s">
        <v>409</v>
      </c>
      <c r="B38" s="982" t="s">
        <v>113</v>
      </c>
      <c r="C38" s="1728">
        <v>0</v>
      </c>
      <c r="D38" s="1738">
        <f t="shared" si="44"/>
        <v>0</v>
      </c>
      <c r="E38" s="1738">
        <f t="shared" si="45"/>
        <v>0</v>
      </c>
      <c r="F38" s="1738">
        <f t="shared" si="46"/>
        <v>0</v>
      </c>
      <c r="G38" s="894">
        <f t="shared" si="47"/>
        <v>0</v>
      </c>
      <c r="H38" s="982"/>
      <c r="I38" s="1723">
        <v>0</v>
      </c>
      <c r="J38" s="1724">
        <v>0</v>
      </c>
      <c r="K38" s="1724">
        <v>0</v>
      </c>
      <c r="L38" s="1724">
        <v>0</v>
      </c>
      <c r="M38" s="894">
        <f t="shared" si="37"/>
        <v>0</v>
      </c>
      <c r="N38" s="982"/>
      <c r="O38" s="1723">
        <v>0</v>
      </c>
      <c r="P38" s="1724">
        <v>0</v>
      </c>
      <c r="Q38" s="1724">
        <v>0</v>
      </c>
      <c r="R38" s="1724">
        <v>0</v>
      </c>
      <c r="S38" s="894">
        <f t="shared" si="38"/>
        <v>0</v>
      </c>
      <c r="T38" s="982"/>
      <c r="U38" s="1723">
        <v>0</v>
      </c>
      <c r="V38" s="1724">
        <v>0</v>
      </c>
      <c r="W38" s="1724">
        <v>0</v>
      </c>
      <c r="X38" s="1724">
        <v>0</v>
      </c>
      <c r="Y38" s="894">
        <f t="shared" si="39"/>
        <v>0</v>
      </c>
      <c r="Z38" s="982"/>
      <c r="AA38" s="1723">
        <v>0</v>
      </c>
      <c r="AB38" s="1724">
        <v>0</v>
      </c>
      <c r="AC38" s="1724">
        <v>0</v>
      </c>
      <c r="AD38" s="1724">
        <v>0</v>
      </c>
      <c r="AE38" s="894">
        <f t="shared" si="40"/>
        <v>0</v>
      </c>
      <c r="AF38" s="982"/>
      <c r="AG38" s="1723">
        <v>0</v>
      </c>
      <c r="AH38" s="1724">
        <v>0</v>
      </c>
      <c r="AI38" s="1724">
        <v>0</v>
      </c>
      <c r="AJ38" s="1724">
        <v>0</v>
      </c>
      <c r="AK38" s="894">
        <f t="shared" si="41"/>
        <v>0</v>
      </c>
      <c r="AL38" s="982"/>
      <c r="AM38" s="1723">
        <v>0</v>
      </c>
      <c r="AN38" s="1724">
        <v>0</v>
      </c>
      <c r="AO38" s="1724">
        <v>0</v>
      </c>
      <c r="AP38" s="1724">
        <v>0</v>
      </c>
      <c r="AQ38" s="894">
        <f t="shared" si="42"/>
        <v>0</v>
      </c>
      <c r="AR38" s="982"/>
      <c r="AS38" s="1723">
        <v>0</v>
      </c>
      <c r="AT38" s="1724">
        <f>-4-AS38</f>
        <v>-4</v>
      </c>
      <c r="AU38" s="1724">
        <v>0</v>
      </c>
      <c r="AV38" s="1724">
        <v>0</v>
      </c>
      <c r="AW38" s="894">
        <f t="shared" si="43"/>
        <v>-4</v>
      </c>
      <c r="AX38" s="982"/>
      <c r="AY38" s="1723">
        <v>0</v>
      </c>
      <c r="AZ38" s="1724">
        <f>-1-AY38</f>
        <v>-1</v>
      </c>
      <c r="BA38" s="1724">
        <f>-1-SUM(AY38:AZ38)</f>
        <v>0</v>
      </c>
      <c r="BB38" s="1724">
        <f>-1-SUM(AY38:BA38)</f>
        <v>0</v>
      </c>
      <c r="BC38" s="894">
        <f t="shared" si="48"/>
        <v>-1</v>
      </c>
      <c r="BD38" s="982"/>
      <c r="BE38" s="1725">
        <v>-1</v>
      </c>
      <c r="BF38" s="1726">
        <f>-1-BE38</f>
        <v>0</v>
      </c>
      <c r="BG38" s="1726">
        <f>-3-1-SUM(BE38:BF38)</f>
        <v>-3</v>
      </c>
      <c r="BH38" s="1726">
        <f>-1-SUM(BE38:BG38)</f>
        <v>3</v>
      </c>
      <c r="BI38" s="894">
        <f t="shared" si="51"/>
        <v>-1</v>
      </c>
      <c r="BJ38" s="982"/>
      <c r="BK38" s="1725">
        <v>0</v>
      </c>
      <c r="BL38" s="1726">
        <f t="shared" si="52"/>
        <v>0</v>
      </c>
      <c r="BM38" s="1726">
        <f t="shared" si="53"/>
        <v>0</v>
      </c>
      <c r="BN38" s="1724">
        <v>0</v>
      </c>
      <c r="BO38" s="894">
        <f t="shared" si="54"/>
        <v>0</v>
      </c>
      <c r="BP38" s="982"/>
      <c r="BQ38" s="1725">
        <v>0</v>
      </c>
      <c r="BR38" s="1724">
        <v>0</v>
      </c>
      <c r="BS38" s="1724">
        <v>0</v>
      </c>
      <c r="BT38" s="1724">
        <v>0</v>
      </c>
      <c r="BU38" s="894">
        <f t="shared" si="55"/>
        <v>0</v>
      </c>
      <c r="BV38" s="982"/>
      <c r="BW38" s="1723">
        <v>0</v>
      </c>
      <c r="BX38" s="1724">
        <v>0</v>
      </c>
      <c r="BY38" s="1724">
        <v>0</v>
      </c>
      <c r="BZ38" s="1724">
        <v>0</v>
      </c>
      <c r="CA38" s="894">
        <f t="shared" si="56"/>
        <v>0</v>
      </c>
      <c r="CB38" s="984"/>
      <c r="CC38" s="1723">
        <v>0</v>
      </c>
      <c r="CD38" s="1724">
        <v>0</v>
      </c>
      <c r="CE38" s="1724">
        <v>0</v>
      </c>
      <c r="CF38" s="1724">
        <v>0</v>
      </c>
      <c r="CG38" s="894">
        <f t="shared" si="57"/>
        <v>0</v>
      </c>
      <c r="CH38" s="985"/>
      <c r="CI38" s="1723">
        <v>0</v>
      </c>
      <c r="CJ38" s="1724">
        <v>0</v>
      </c>
      <c r="CK38" s="1724">
        <v>0</v>
      </c>
      <c r="CL38" s="1724">
        <v>0</v>
      </c>
      <c r="CM38" s="894">
        <f t="shared" si="58"/>
        <v>0</v>
      </c>
      <c r="CN38" s="985"/>
      <c r="CO38" s="985"/>
      <c r="CP38" s="985"/>
    </row>
    <row r="39" spans="1:94" collapsed="1">
      <c r="A39" s="981" t="s">
        <v>410</v>
      </c>
      <c r="B39" s="982" t="s">
        <v>113</v>
      </c>
      <c r="C39" s="1728">
        <v>0</v>
      </c>
      <c r="D39" s="1738">
        <f t="shared" si="44"/>
        <v>0</v>
      </c>
      <c r="E39" s="1738">
        <f t="shared" si="45"/>
        <v>0</v>
      </c>
      <c r="F39" s="1738">
        <f t="shared" si="46"/>
        <v>0</v>
      </c>
      <c r="G39" s="894">
        <f t="shared" si="47"/>
        <v>0</v>
      </c>
      <c r="H39" s="982"/>
      <c r="I39" s="1723">
        <v>0</v>
      </c>
      <c r="J39" s="1724">
        <v>0</v>
      </c>
      <c r="K39" s="1724">
        <v>0</v>
      </c>
      <c r="L39" s="1724">
        <v>0</v>
      </c>
      <c r="M39" s="894">
        <f t="shared" si="37"/>
        <v>0</v>
      </c>
      <c r="N39" s="982"/>
      <c r="O39" s="1723">
        <v>0</v>
      </c>
      <c r="P39" s="1724">
        <v>0</v>
      </c>
      <c r="Q39" s="1724">
        <v>0</v>
      </c>
      <c r="R39" s="1724">
        <v>0</v>
      </c>
      <c r="S39" s="894">
        <f t="shared" si="38"/>
        <v>0</v>
      </c>
      <c r="T39" s="984"/>
      <c r="U39" s="1723">
        <v>0</v>
      </c>
      <c r="V39" s="1724">
        <v>0</v>
      </c>
      <c r="W39" s="1724">
        <v>0</v>
      </c>
      <c r="X39" s="1724">
        <v>0</v>
      </c>
      <c r="Y39" s="894">
        <f t="shared" si="39"/>
        <v>0</v>
      </c>
      <c r="Z39" s="984"/>
      <c r="AA39" s="1723">
        <v>0</v>
      </c>
      <c r="AB39" s="1724">
        <v>0</v>
      </c>
      <c r="AC39" s="1724">
        <v>0</v>
      </c>
      <c r="AD39" s="1724">
        <v>0</v>
      </c>
      <c r="AE39" s="894">
        <f t="shared" si="40"/>
        <v>0</v>
      </c>
      <c r="AF39" s="982"/>
      <c r="AG39" s="1723">
        <v>0</v>
      </c>
      <c r="AH39" s="1724">
        <v>0</v>
      </c>
      <c r="AI39" s="1724">
        <v>0</v>
      </c>
      <c r="AJ39" s="1724">
        <v>0</v>
      </c>
      <c r="AK39" s="894">
        <f t="shared" si="41"/>
        <v>0</v>
      </c>
      <c r="AL39" s="982"/>
      <c r="AM39" s="1723">
        <v>0</v>
      </c>
      <c r="AN39" s="1724">
        <v>0</v>
      </c>
      <c r="AO39" s="1724">
        <v>0</v>
      </c>
      <c r="AP39" s="1724">
        <v>0</v>
      </c>
      <c r="AQ39" s="894">
        <f t="shared" si="42"/>
        <v>0</v>
      </c>
      <c r="AR39" s="982"/>
      <c r="AS39" s="1723">
        <v>0</v>
      </c>
      <c r="AT39" s="1724">
        <f t="shared" ref="AT39:AT45" si="59">0-AS39</f>
        <v>0</v>
      </c>
      <c r="AU39" s="1724">
        <v>0</v>
      </c>
      <c r="AV39" s="1724">
        <v>0</v>
      </c>
      <c r="AW39" s="894">
        <f t="shared" si="43"/>
        <v>0</v>
      </c>
      <c r="AX39" s="982"/>
      <c r="AY39" s="1723">
        <v>0</v>
      </c>
      <c r="AZ39" s="1724">
        <f t="shared" ref="AZ39:AZ48" si="60">0-AY39</f>
        <v>0</v>
      </c>
      <c r="BA39" s="1724">
        <f>0-SUM(AY39:AZ39)</f>
        <v>0</v>
      </c>
      <c r="BB39" s="1724">
        <f>0-SUM(AY39:BA39)</f>
        <v>0</v>
      </c>
      <c r="BC39" s="894">
        <f t="shared" si="48"/>
        <v>0</v>
      </c>
      <c r="BD39" s="982"/>
      <c r="BE39" s="1725">
        <v>1</v>
      </c>
      <c r="BF39" s="1726">
        <f t="shared" si="49"/>
        <v>-1</v>
      </c>
      <c r="BG39" s="1726">
        <f t="shared" si="50"/>
        <v>0</v>
      </c>
      <c r="BH39" s="1726">
        <f t="shared" ref="BH39:BH48" si="61">0-SUM(BE39:BG39)</f>
        <v>0</v>
      </c>
      <c r="BI39" s="894">
        <f t="shared" si="51"/>
        <v>0</v>
      </c>
      <c r="BJ39" s="982"/>
      <c r="BK39" s="1725">
        <v>0</v>
      </c>
      <c r="BL39" s="1726">
        <f t="shared" si="52"/>
        <v>0</v>
      </c>
      <c r="BM39" s="1726">
        <f t="shared" si="53"/>
        <v>0</v>
      </c>
      <c r="BN39" s="1724">
        <v>0</v>
      </c>
      <c r="BO39" s="894">
        <f t="shared" si="54"/>
        <v>0</v>
      </c>
      <c r="BP39" s="982"/>
      <c r="BQ39" s="1725">
        <v>0</v>
      </c>
      <c r="BR39" s="1724">
        <v>0</v>
      </c>
      <c r="BS39" s="1724">
        <v>0</v>
      </c>
      <c r="BT39" s="1724">
        <v>0</v>
      </c>
      <c r="BU39" s="894">
        <f t="shared" si="55"/>
        <v>0</v>
      </c>
      <c r="BV39" s="982"/>
      <c r="BW39" s="1723">
        <v>0</v>
      </c>
      <c r="BX39" s="1724">
        <v>0</v>
      </c>
      <c r="BY39" s="1724">
        <v>0</v>
      </c>
      <c r="BZ39" s="1724">
        <v>0</v>
      </c>
      <c r="CA39" s="894">
        <f t="shared" si="56"/>
        <v>0</v>
      </c>
      <c r="CB39" s="984"/>
      <c r="CC39" s="1723">
        <v>0</v>
      </c>
      <c r="CD39" s="1724">
        <v>0</v>
      </c>
      <c r="CE39" s="1724">
        <v>0</v>
      </c>
      <c r="CF39" s="1724">
        <v>0</v>
      </c>
      <c r="CG39" s="894">
        <f t="shared" si="57"/>
        <v>0</v>
      </c>
      <c r="CH39" s="985"/>
      <c r="CI39" s="1723">
        <v>0</v>
      </c>
      <c r="CJ39" s="1724">
        <v>0</v>
      </c>
      <c r="CK39" s="1724">
        <v>0</v>
      </c>
      <c r="CL39" s="1724">
        <v>0</v>
      </c>
      <c r="CM39" s="894">
        <f t="shared" si="58"/>
        <v>0</v>
      </c>
      <c r="CN39" s="985"/>
      <c r="CO39" s="985"/>
      <c r="CP39" s="985"/>
    </row>
    <row r="40" spans="1:94" hidden="1" outlineLevel="1">
      <c r="A40" s="981" t="s">
        <v>411</v>
      </c>
      <c r="B40" s="982" t="s">
        <v>113</v>
      </c>
      <c r="C40" s="1728">
        <v>0</v>
      </c>
      <c r="D40" s="1738">
        <f t="shared" si="44"/>
        <v>0</v>
      </c>
      <c r="E40" s="1738">
        <f t="shared" si="45"/>
        <v>0</v>
      </c>
      <c r="F40" s="1738">
        <f t="shared" si="46"/>
        <v>0</v>
      </c>
      <c r="G40" s="894">
        <f t="shared" si="47"/>
        <v>0</v>
      </c>
      <c r="H40" s="982"/>
      <c r="I40" s="1723">
        <v>0</v>
      </c>
      <c r="J40" s="1724">
        <v>0</v>
      </c>
      <c r="K40" s="1724">
        <v>0</v>
      </c>
      <c r="L40" s="1724">
        <v>0</v>
      </c>
      <c r="M40" s="894">
        <f t="shared" si="37"/>
        <v>0</v>
      </c>
      <c r="N40" s="982"/>
      <c r="O40" s="1723">
        <v>0</v>
      </c>
      <c r="P40" s="1724">
        <v>0</v>
      </c>
      <c r="Q40" s="1724">
        <v>0</v>
      </c>
      <c r="R40" s="1724">
        <v>0</v>
      </c>
      <c r="S40" s="894">
        <f t="shared" si="38"/>
        <v>0</v>
      </c>
      <c r="T40" s="982"/>
      <c r="U40" s="1723">
        <v>0</v>
      </c>
      <c r="V40" s="1724">
        <v>0</v>
      </c>
      <c r="W40" s="1724">
        <v>0</v>
      </c>
      <c r="X40" s="1724">
        <v>0</v>
      </c>
      <c r="Y40" s="894">
        <f t="shared" si="39"/>
        <v>0</v>
      </c>
      <c r="Z40" s="982"/>
      <c r="AA40" s="1723">
        <v>0</v>
      </c>
      <c r="AB40" s="1724">
        <v>0</v>
      </c>
      <c r="AC40" s="1724">
        <v>0</v>
      </c>
      <c r="AD40" s="1724">
        <v>0</v>
      </c>
      <c r="AE40" s="894">
        <f t="shared" si="40"/>
        <v>0</v>
      </c>
      <c r="AF40" s="982"/>
      <c r="AG40" s="1723">
        <v>0</v>
      </c>
      <c r="AH40" s="1724">
        <v>0</v>
      </c>
      <c r="AI40" s="1724">
        <v>0</v>
      </c>
      <c r="AJ40" s="1724">
        <v>0</v>
      </c>
      <c r="AK40" s="894">
        <f t="shared" si="41"/>
        <v>0</v>
      </c>
      <c r="AL40" s="982"/>
      <c r="AM40" s="1723">
        <v>0</v>
      </c>
      <c r="AN40" s="1724">
        <v>0</v>
      </c>
      <c r="AO40" s="1724">
        <v>0</v>
      </c>
      <c r="AP40" s="1724">
        <v>0</v>
      </c>
      <c r="AQ40" s="894">
        <f t="shared" si="42"/>
        <v>0</v>
      </c>
      <c r="AR40" s="982"/>
      <c r="AS40" s="1723">
        <v>0</v>
      </c>
      <c r="AT40" s="1724">
        <f t="shared" si="59"/>
        <v>0</v>
      </c>
      <c r="AU40" s="1724">
        <v>0</v>
      </c>
      <c r="AV40" s="1724">
        <v>0</v>
      </c>
      <c r="AW40" s="894">
        <f t="shared" si="43"/>
        <v>0</v>
      </c>
      <c r="AX40" s="982"/>
      <c r="AY40" s="1723">
        <v>0</v>
      </c>
      <c r="AZ40" s="1724">
        <f t="shared" si="60"/>
        <v>0</v>
      </c>
      <c r="BA40" s="1724">
        <f>0-SUM(AY40:AZ40)</f>
        <v>0</v>
      </c>
      <c r="BB40" s="1724">
        <f>0-SUM(AY40:BA40)</f>
        <v>0</v>
      </c>
      <c r="BC40" s="894">
        <f t="shared" si="48"/>
        <v>0</v>
      </c>
      <c r="BD40" s="982"/>
      <c r="BE40" s="1725">
        <v>0</v>
      </c>
      <c r="BF40" s="1726">
        <f>1-BE40</f>
        <v>1</v>
      </c>
      <c r="BG40" s="1726">
        <f>1-SUM(BE40:BF40)</f>
        <v>0</v>
      </c>
      <c r="BH40" s="1726">
        <f>1-SUM(BE40:BG40)</f>
        <v>0</v>
      </c>
      <c r="BI40" s="894">
        <f t="shared" si="51"/>
        <v>1</v>
      </c>
      <c r="BJ40" s="982"/>
      <c r="BK40" s="1725">
        <v>0</v>
      </c>
      <c r="BL40" s="1726">
        <f t="shared" si="52"/>
        <v>0</v>
      </c>
      <c r="BM40" s="1726">
        <f t="shared" si="53"/>
        <v>0</v>
      </c>
      <c r="BN40" s="1724">
        <v>0</v>
      </c>
      <c r="BO40" s="894">
        <f t="shared" si="54"/>
        <v>0</v>
      </c>
      <c r="BP40" s="982"/>
      <c r="BQ40" s="1725">
        <v>0</v>
      </c>
      <c r="BR40" s="1724">
        <v>0</v>
      </c>
      <c r="BS40" s="1724">
        <v>0</v>
      </c>
      <c r="BT40" s="1724">
        <v>0</v>
      </c>
      <c r="BU40" s="894">
        <f t="shared" si="55"/>
        <v>0</v>
      </c>
      <c r="BV40" s="982"/>
      <c r="BW40" s="1723">
        <v>0</v>
      </c>
      <c r="BX40" s="1724">
        <v>0</v>
      </c>
      <c r="BY40" s="1724">
        <v>0</v>
      </c>
      <c r="BZ40" s="1724">
        <v>0</v>
      </c>
      <c r="CA40" s="894">
        <f t="shared" si="56"/>
        <v>0</v>
      </c>
      <c r="CB40" s="984"/>
      <c r="CC40" s="1723">
        <v>0</v>
      </c>
      <c r="CD40" s="1724">
        <v>0</v>
      </c>
      <c r="CE40" s="1724">
        <v>0</v>
      </c>
      <c r="CF40" s="1724">
        <v>0</v>
      </c>
      <c r="CG40" s="894">
        <f t="shared" si="57"/>
        <v>0</v>
      </c>
      <c r="CH40" s="985"/>
      <c r="CI40" s="1723">
        <v>0</v>
      </c>
      <c r="CJ40" s="1724">
        <v>0</v>
      </c>
      <c r="CK40" s="1724">
        <v>0</v>
      </c>
      <c r="CL40" s="1724">
        <v>0</v>
      </c>
      <c r="CM40" s="894">
        <f t="shared" si="58"/>
        <v>0</v>
      </c>
      <c r="CN40" s="985"/>
      <c r="CO40" s="985"/>
      <c r="CP40" s="985"/>
    </row>
    <row r="41" spans="1:94" hidden="1" outlineLevel="1">
      <c r="A41" s="981" t="s">
        <v>412</v>
      </c>
      <c r="B41" s="982" t="s">
        <v>113</v>
      </c>
      <c r="C41" s="1728">
        <v>0</v>
      </c>
      <c r="D41" s="1738">
        <f t="shared" si="44"/>
        <v>0</v>
      </c>
      <c r="E41" s="1738">
        <f t="shared" si="45"/>
        <v>0</v>
      </c>
      <c r="F41" s="1738">
        <f t="shared" si="46"/>
        <v>0</v>
      </c>
      <c r="G41" s="894">
        <f t="shared" si="47"/>
        <v>0</v>
      </c>
      <c r="H41" s="982"/>
      <c r="I41" s="1725">
        <v>0</v>
      </c>
      <c r="J41" s="1726">
        <v>0</v>
      </c>
      <c r="K41" s="1726">
        <v>0</v>
      </c>
      <c r="L41" s="1726">
        <v>0</v>
      </c>
      <c r="M41" s="894">
        <f t="shared" si="37"/>
        <v>0</v>
      </c>
      <c r="N41" s="982"/>
      <c r="O41" s="1725">
        <v>0</v>
      </c>
      <c r="P41" s="1726">
        <v>0</v>
      </c>
      <c r="Q41" s="1726">
        <v>0</v>
      </c>
      <c r="R41" s="1726">
        <v>0</v>
      </c>
      <c r="S41" s="894">
        <f t="shared" si="38"/>
        <v>0</v>
      </c>
      <c r="T41" s="984"/>
      <c r="U41" s="1725">
        <v>0</v>
      </c>
      <c r="V41" s="1726">
        <v>0</v>
      </c>
      <c r="W41" s="1726">
        <v>0</v>
      </c>
      <c r="X41" s="1726">
        <v>0</v>
      </c>
      <c r="Y41" s="894">
        <f t="shared" si="39"/>
        <v>0</v>
      </c>
      <c r="Z41" s="984"/>
      <c r="AA41" s="1725">
        <v>0</v>
      </c>
      <c r="AB41" s="1726">
        <v>0</v>
      </c>
      <c r="AC41" s="1726">
        <v>0</v>
      </c>
      <c r="AD41" s="1726">
        <v>0</v>
      </c>
      <c r="AE41" s="894">
        <f t="shared" si="40"/>
        <v>0</v>
      </c>
      <c r="AF41" s="982"/>
      <c r="AG41" s="1725">
        <v>0</v>
      </c>
      <c r="AH41" s="1726">
        <v>0</v>
      </c>
      <c r="AI41" s="1726">
        <v>0</v>
      </c>
      <c r="AJ41" s="1726">
        <v>0</v>
      </c>
      <c r="AK41" s="894">
        <f t="shared" si="41"/>
        <v>0</v>
      </c>
      <c r="AL41" s="982"/>
      <c r="AM41" s="1725">
        <v>0</v>
      </c>
      <c r="AN41" s="1726">
        <v>0</v>
      </c>
      <c r="AO41" s="1726">
        <v>0</v>
      </c>
      <c r="AP41" s="1726">
        <v>0</v>
      </c>
      <c r="AQ41" s="894">
        <f t="shared" si="42"/>
        <v>0</v>
      </c>
      <c r="AR41" s="982"/>
      <c r="AS41" s="1725">
        <v>0</v>
      </c>
      <c r="AT41" s="1724">
        <f t="shared" si="59"/>
        <v>0</v>
      </c>
      <c r="AU41" s="1726">
        <v>0</v>
      </c>
      <c r="AV41" s="1726">
        <v>0</v>
      </c>
      <c r="AW41" s="894">
        <f t="shared" si="43"/>
        <v>0</v>
      </c>
      <c r="AX41" s="982"/>
      <c r="AY41" s="1725">
        <v>0</v>
      </c>
      <c r="AZ41" s="1724">
        <f>3-AY41</f>
        <v>3</v>
      </c>
      <c r="BA41" s="1724">
        <f>3-SUM(AY41:AZ41)</f>
        <v>0</v>
      </c>
      <c r="BB41" s="1726">
        <f>3-SUM(AY41:BA41)</f>
        <v>0</v>
      </c>
      <c r="BC41" s="894">
        <f t="shared" si="48"/>
        <v>3</v>
      </c>
      <c r="BD41" s="982"/>
      <c r="BE41" s="1725">
        <v>0</v>
      </c>
      <c r="BF41" s="1726">
        <f t="shared" si="49"/>
        <v>0</v>
      </c>
      <c r="BG41" s="1726">
        <f t="shared" si="50"/>
        <v>0</v>
      </c>
      <c r="BH41" s="1726">
        <f t="shared" si="61"/>
        <v>0</v>
      </c>
      <c r="BI41" s="894">
        <f t="shared" si="51"/>
        <v>0</v>
      </c>
      <c r="BJ41" s="982"/>
      <c r="BK41" s="1725">
        <v>1</v>
      </c>
      <c r="BL41" s="1726">
        <f>1-BK41</f>
        <v>0</v>
      </c>
      <c r="BM41" s="1726">
        <f>1-SUM(BK41:BL41)</f>
        <v>0</v>
      </c>
      <c r="BN41" s="1726">
        <f>2-SUM(BK41:BM41)</f>
        <v>1</v>
      </c>
      <c r="BO41" s="894">
        <f t="shared" si="54"/>
        <v>2</v>
      </c>
      <c r="BP41" s="982"/>
      <c r="BQ41" s="1725">
        <v>0</v>
      </c>
      <c r="BR41" s="1726">
        <v>0</v>
      </c>
      <c r="BS41" s="1726">
        <v>0</v>
      </c>
      <c r="BT41" s="1726">
        <v>0</v>
      </c>
      <c r="BU41" s="894">
        <f t="shared" si="55"/>
        <v>0</v>
      </c>
      <c r="BV41" s="982"/>
      <c r="BW41" s="1725">
        <v>0</v>
      </c>
      <c r="BX41" s="1726">
        <v>0</v>
      </c>
      <c r="BY41" s="1726">
        <v>0</v>
      </c>
      <c r="BZ41" s="1726">
        <v>0</v>
      </c>
      <c r="CA41" s="894">
        <f t="shared" si="56"/>
        <v>0</v>
      </c>
      <c r="CB41" s="984"/>
      <c r="CC41" s="1725">
        <v>0</v>
      </c>
      <c r="CD41" s="1726">
        <v>0</v>
      </c>
      <c r="CE41" s="1726">
        <v>0</v>
      </c>
      <c r="CF41" s="1726">
        <v>0</v>
      </c>
      <c r="CG41" s="894">
        <f t="shared" si="57"/>
        <v>0</v>
      </c>
      <c r="CH41" s="985"/>
      <c r="CI41" s="1725">
        <v>0</v>
      </c>
      <c r="CJ41" s="1726">
        <v>0</v>
      </c>
      <c r="CK41" s="1726">
        <v>0</v>
      </c>
      <c r="CL41" s="1726">
        <v>0</v>
      </c>
      <c r="CM41" s="894">
        <f t="shared" si="58"/>
        <v>0</v>
      </c>
      <c r="CN41" s="985"/>
      <c r="CO41" s="985"/>
      <c r="CP41" s="985"/>
    </row>
    <row r="42" spans="1:94" hidden="1" outlineLevel="1">
      <c r="A42" s="981" t="s">
        <v>413</v>
      </c>
      <c r="B42" s="982" t="s">
        <v>113</v>
      </c>
      <c r="C42" s="1728">
        <v>0</v>
      </c>
      <c r="D42" s="1738">
        <f t="shared" si="44"/>
        <v>0</v>
      </c>
      <c r="E42" s="1738">
        <f t="shared" si="45"/>
        <v>0</v>
      </c>
      <c r="F42" s="1738">
        <f t="shared" si="46"/>
        <v>0</v>
      </c>
      <c r="G42" s="894">
        <f t="shared" si="47"/>
        <v>0</v>
      </c>
      <c r="H42" s="982"/>
      <c r="I42" s="1725">
        <v>0</v>
      </c>
      <c r="J42" s="1726">
        <v>0</v>
      </c>
      <c r="K42" s="1726">
        <v>0</v>
      </c>
      <c r="L42" s="1726">
        <v>0</v>
      </c>
      <c r="M42" s="894">
        <f t="shared" si="37"/>
        <v>0</v>
      </c>
      <c r="N42" s="982"/>
      <c r="O42" s="1725">
        <v>0</v>
      </c>
      <c r="P42" s="1726">
        <v>0</v>
      </c>
      <c r="Q42" s="1726">
        <v>0</v>
      </c>
      <c r="R42" s="1726">
        <v>0</v>
      </c>
      <c r="S42" s="894">
        <f t="shared" si="38"/>
        <v>0</v>
      </c>
      <c r="T42" s="982"/>
      <c r="U42" s="1725">
        <v>0</v>
      </c>
      <c r="V42" s="1726">
        <v>0</v>
      </c>
      <c r="W42" s="1726">
        <v>0</v>
      </c>
      <c r="X42" s="1726">
        <v>0</v>
      </c>
      <c r="Y42" s="894">
        <f t="shared" si="39"/>
        <v>0</v>
      </c>
      <c r="Z42" s="982"/>
      <c r="AA42" s="1725">
        <v>0</v>
      </c>
      <c r="AB42" s="1726">
        <v>0</v>
      </c>
      <c r="AC42" s="1726">
        <v>0</v>
      </c>
      <c r="AD42" s="1726">
        <v>0</v>
      </c>
      <c r="AE42" s="894">
        <f t="shared" si="40"/>
        <v>0</v>
      </c>
      <c r="AF42" s="982"/>
      <c r="AG42" s="1725">
        <v>0</v>
      </c>
      <c r="AH42" s="1726">
        <v>0</v>
      </c>
      <c r="AI42" s="1726">
        <v>0</v>
      </c>
      <c r="AJ42" s="1726">
        <v>0</v>
      </c>
      <c r="AK42" s="894">
        <f t="shared" si="41"/>
        <v>0</v>
      </c>
      <c r="AL42" s="982"/>
      <c r="AM42" s="1725">
        <v>0</v>
      </c>
      <c r="AN42" s="1726">
        <v>0</v>
      </c>
      <c r="AO42" s="1726">
        <v>0</v>
      </c>
      <c r="AP42" s="1726">
        <v>0</v>
      </c>
      <c r="AQ42" s="894">
        <f t="shared" si="42"/>
        <v>0</v>
      </c>
      <c r="AR42" s="982"/>
      <c r="AS42" s="1725">
        <v>0</v>
      </c>
      <c r="AT42" s="1724">
        <f t="shared" si="59"/>
        <v>0</v>
      </c>
      <c r="AU42" s="1726">
        <v>0</v>
      </c>
      <c r="AV42" s="1726">
        <v>0</v>
      </c>
      <c r="AW42" s="894">
        <f t="shared" si="43"/>
        <v>0</v>
      </c>
      <c r="AX42" s="982"/>
      <c r="AY42" s="1725">
        <v>0</v>
      </c>
      <c r="AZ42" s="1724">
        <f t="shared" si="60"/>
        <v>0</v>
      </c>
      <c r="BA42" s="1724">
        <f>0-SUM(AY42:AZ42)</f>
        <v>0</v>
      </c>
      <c r="BB42" s="1726">
        <f>0-SUM(AY42:BA42)</f>
        <v>0</v>
      </c>
      <c r="BC42" s="894">
        <f t="shared" si="48"/>
        <v>0</v>
      </c>
      <c r="BD42" s="982"/>
      <c r="BE42" s="1725">
        <v>0</v>
      </c>
      <c r="BF42" s="1726">
        <f t="shared" si="49"/>
        <v>0</v>
      </c>
      <c r="BG42" s="1726">
        <f t="shared" si="50"/>
        <v>0</v>
      </c>
      <c r="BH42" s="1726">
        <f t="shared" si="61"/>
        <v>0</v>
      </c>
      <c r="BI42" s="894">
        <f t="shared" si="51"/>
        <v>0</v>
      </c>
      <c r="BJ42" s="982"/>
      <c r="BK42" s="1725">
        <v>0</v>
      </c>
      <c r="BL42" s="1726">
        <f t="shared" si="52"/>
        <v>0</v>
      </c>
      <c r="BM42" s="1726">
        <f t="shared" si="53"/>
        <v>0</v>
      </c>
      <c r="BN42" s="1726">
        <v>0</v>
      </c>
      <c r="BO42" s="894">
        <f t="shared" si="54"/>
        <v>0</v>
      </c>
      <c r="BP42" s="982"/>
      <c r="BQ42" s="1725">
        <v>0</v>
      </c>
      <c r="BR42" s="1726">
        <v>0</v>
      </c>
      <c r="BS42" s="1726">
        <v>0</v>
      </c>
      <c r="BT42" s="1726">
        <v>0</v>
      </c>
      <c r="BU42" s="894">
        <f t="shared" si="55"/>
        <v>0</v>
      </c>
      <c r="BV42" s="982"/>
      <c r="BW42" s="1725">
        <v>0</v>
      </c>
      <c r="BX42" s="1726">
        <v>0</v>
      </c>
      <c r="BY42" s="1726">
        <v>0</v>
      </c>
      <c r="BZ42" s="1726">
        <v>0</v>
      </c>
      <c r="CA42" s="894">
        <f t="shared" si="56"/>
        <v>0</v>
      </c>
      <c r="CB42" s="984"/>
      <c r="CC42" s="1725">
        <v>0</v>
      </c>
      <c r="CD42" s="1726">
        <v>0</v>
      </c>
      <c r="CE42" s="1726">
        <v>0</v>
      </c>
      <c r="CF42" s="1726">
        <v>0</v>
      </c>
      <c r="CG42" s="894">
        <f t="shared" si="57"/>
        <v>0</v>
      </c>
      <c r="CH42" s="985"/>
      <c r="CI42" s="1725">
        <v>0</v>
      </c>
      <c r="CJ42" s="1726">
        <v>0</v>
      </c>
      <c r="CK42" s="1726">
        <v>0</v>
      </c>
      <c r="CL42" s="1726">
        <v>0</v>
      </c>
      <c r="CM42" s="894">
        <f t="shared" si="58"/>
        <v>0</v>
      </c>
      <c r="CN42" s="985"/>
      <c r="CO42" s="985"/>
      <c r="CP42" s="985"/>
    </row>
    <row r="43" spans="1:94" collapsed="1">
      <c r="A43" s="981" t="s">
        <v>414</v>
      </c>
      <c r="B43" s="982" t="s">
        <v>113</v>
      </c>
      <c r="C43" s="1729">
        <v>0</v>
      </c>
      <c r="D43" s="1724">
        <f>BS!C19-BS!D19+BS!C20-BS!D20+BS!C10-BS!D10</f>
        <v>0</v>
      </c>
      <c r="E43" s="1724">
        <f>BS!D19-BS!E19+BS!D20-BS!E20+BS!D10-BS!E10</f>
        <v>-13</v>
      </c>
      <c r="F43" s="1724">
        <f>BS!E19-BS!F19+BS!E20-BS!F20+BS!E10-BS!F10</f>
        <v>-145.72477064220183</v>
      </c>
      <c r="G43" s="894">
        <f t="shared" si="47"/>
        <v>-158.72477064220183</v>
      </c>
      <c r="H43" s="982"/>
      <c r="I43" s="1723">
        <f>BS!F19-BS!I19+BS!F20-BS!I20+BS!F10-BS!I10</f>
        <v>-11.275229357798253</v>
      </c>
      <c r="J43" s="1724">
        <f>BS!I19-BS!J19+BS!I20-BS!J20+BS!I10-BS!J10</f>
        <v>-48.642201834862362</v>
      </c>
      <c r="K43" s="1724">
        <f>BS!J19-BS!K19+BS!J20-BS!K20+BS!J10-BS!K10</f>
        <v>20.513761467889935</v>
      </c>
      <c r="L43" s="1724">
        <f>BS!K19-BS!L19+BS!K20-BS!L20+BS!K10-BS!L10</f>
        <v>39.266055045871553</v>
      </c>
      <c r="M43" s="894">
        <f t="shared" si="37"/>
        <v>-0.13761467889912637</v>
      </c>
      <c r="N43" s="982"/>
      <c r="O43" s="1723">
        <f>BS!L19-BS!O19+BS!L20-BS!O20+BS!L10-BS!O10</f>
        <v>38.174311926605498</v>
      </c>
      <c r="P43" s="1724">
        <f>BS!O19-BS!P19+BS!O20-BS!P20+BS!O10-BS!P10</f>
        <v>13.522935779816507</v>
      </c>
      <c r="Q43" s="1724">
        <f>BS!P19-BS!Q19+BS!P20-BS!Q20+BS!P10-BS!Q10</f>
        <v>6.6605504587155764</v>
      </c>
      <c r="R43" s="1724">
        <f>BS!Q19-BS!R19+BS!Q20-BS!R20+BS!Q10-BS!R10</f>
        <v>0.38532110091743732</v>
      </c>
      <c r="S43" s="894">
        <f t="shared" si="38"/>
        <v>58.743119266055018</v>
      </c>
      <c r="T43" s="984"/>
      <c r="U43" s="1723">
        <f>BS!R19-BS!U19+BS!R20-BS!U20+BS!R10-BS!U10</f>
        <v>10.853211009174402</v>
      </c>
      <c r="V43" s="1724">
        <f>BS!U19-BS!V19+BS!U20-BS!V20+BS!U10-BS!V10</f>
        <v>-1.0458715596330421</v>
      </c>
      <c r="W43" s="1724">
        <f>BS!V19-BS!W19+BS!V20-BS!W20+BS!V10-BS!W10</f>
        <v>28.752293577981618</v>
      </c>
      <c r="X43" s="1724">
        <f>BS!W19-BS!X19+BS!W20-BS!X20+BS!W10-BS!X10</f>
        <v>1.4311926605505505</v>
      </c>
      <c r="Y43" s="894">
        <f t="shared" si="39"/>
        <v>39.990825688073528</v>
      </c>
      <c r="Z43" s="984"/>
      <c r="AA43" s="1723">
        <f>BS!X19-BS!AA19+BS!X20-BS!AA20+BS!X10-BS!AA10</f>
        <v>1545.0917431192661</v>
      </c>
      <c r="AB43" s="1724">
        <f>BS!AA19-BS!AB19+BS!AA20-BS!AB20+BS!AA10-BS!AB10</f>
        <v>25.376146788990823</v>
      </c>
      <c r="AC43" s="1724">
        <f>BS!AB19-BS!AC19+BS!AB20-BS!AC20+BS!AB10-BS!AC10</f>
        <v>0.76146788990824632</v>
      </c>
      <c r="AD43" s="1724">
        <f>BS!AC19-BS!AD19+BS!AC20-BS!AD20+BS!AC10-BS!AD10</f>
        <v>3.8073394495412884</v>
      </c>
      <c r="AE43" s="894">
        <f t="shared" si="40"/>
        <v>1575.0366972477066</v>
      </c>
      <c r="AF43" s="982"/>
      <c r="AG43" s="1723">
        <f>BS!AD19-BS!AG19+BS!AD20-BS!AG20+BS!AD10-BS!AG10</f>
        <v>5.3302752293577953</v>
      </c>
      <c r="AH43" s="1724">
        <f>BS!AG19-BS!AH19+BS!AG20-BS!AH20+BS!AG10-BS!AH10</f>
        <v>-0.76146788990824632</v>
      </c>
      <c r="AI43" s="1724">
        <f>BS!AH19-BS!AI19+BS!AH20-BS!AI20+BS!AH10-BS!AI10</f>
        <v>5.3302752293577953</v>
      </c>
      <c r="AJ43" s="1724">
        <f>BS!AI19-BS!AJ19+BS!AI20-BS!AJ20+BS!AI10-BS!AJ10</f>
        <v>-3.8073394495412884</v>
      </c>
      <c r="AK43" s="894">
        <f t="shared" si="41"/>
        <v>6.0917431192660558</v>
      </c>
      <c r="AL43" s="982"/>
      <c r="AM43" s="1723">
        <f>BS!AJ19-BS!AM19+BS!AJ20-BS!AM20+BS!AJ10-BS!AM10</f>
        <v>-4.4820143884892047</v>
      </c>
      <c r="AN43" s="1724">
        <f>BS!AM19-BS!AN19+BS!AM20-BS!AN20+BS!AM10-BS!AN10</f>
        <v>5.4676258992805771</v>
      </c>
      <c r="AO43" s="1724">
        <f>BS!AN19-BS!AO19+BS!AN20-BS!AO20+BS!AN10-BS!AO10</f>
        <v>-2.7338129496402956</v>
      </c>
      <c r="AP43" s="1724">
        <f>BS!AO19-BS!AP19+BS!AO20-BS!AP20+BS!AO10-BS!AP10</f>
        <v>-10.251798561151077</v>
      </c>
      <c r="AQ43" s="894">
        <f t="shared" si="42"/>
        <v>-12</v>
      </c>
      <c r="AR43" s="982"/>
      <c r="AS43" s="1723">
        <v>0</v>
      </c>
      <c r="AT43" s="1724">
        <f t="shared" si="59"/>
        <v>0</v>
      </c>
      <c r="AU43" s="1724">
        <f>BS!AT19-BS!AU19+BS!AT20-BS!AU20+BS!AT10-BS!AU10</f>
        <v>-21</v>
      </c>
      <c r="AV43" s="1724">
        <v>0</v>
      </c>
      <c r="AW43" s="894">
        <f t="shared" si="43"/>
        <v>-21</v>
      </c>
      <c r="AX43" s="982"/>
      <c r="AY43" s="1723">
        <v>1</v>
      </c>
      <c r="AZ43" s="1724">
        <f>1-AY43</f>
        <v>0</v>
      </c>
      <c r="BA43" s="1724">
        <f>1-SUM(AY43:AZ43)</f>
        <v>0</v>
      </c>
      <c r="BB43" s="1724">
        <f>-240-SUM(AY43:BA43)</f>
        <v>-241</v>
      </c>
      <c r="BC43" s="894">
        <f t="shared" si="48"/>
        <v>-240</v>
      </c>
      <c r="BD43" s="982"/>
      <c r="BE43" s="1725">
        <v>245</v>
      </c>
      <c r="BF43" s="1726">
        <f>245-BE43</f>
        <v>0</v>
      </c>
      <c r="BG43" s="1726">
        <f>245-SUM(BE43:BF43)</f>
        <v>0</v>
      </c>
      <c r="BH43" s="1726">
        <f>245-SUM(BE43:BG43)</f>
        <v>0</v>
      </c>
      <c r="BI43" s="894">
        <f t="shared" si="51"/>
        <v>245</v>
      </c>
      <c r="BJ43" s="982"/>
      <c r="BK43" s="1725">
        <v>0</v>
      </c>
      <c r="BL43" s="1726">
        <f t="shared" si="52"/>
        <v>0</v>
      </c>
      <c r="BM43" s="1726">
        <f t="shared" si="53"/>
        <v>0</v>
      </c>
      <c r="BN43" s="1724">
        <f>-1-SUM(BK43:BM43)</f>
        <v>-1</v>
      </c>
      <c r="BO43" s="894">
        <f t="shared" si="54"/>
        <v>-1</v>
      </c>
      <c r="BP43" s="982"/>
      <c r="BQ43" s="1725">
        <v>0</v>
      </c>
      <c r="BR43" s="1724">
        <v>0</v>
      </c>
      <c r="BS43" s="1724">
        <v>0</v>
      </c>
      <c r="BT43" s="1724">
        <v>0</v>
      </c>
      <c r="BU43" s="894">
        <f t="shared" si="55"/>
        <v>0</v>
      </c>
      <c r="BV43" s="982"/>
      <c r="BW43" s="1723">
        <v>0</v>
      </c>
      <c r="BX43" s="1724">
        <v>0</v>
      </c>
      <c r="BY43" s="1724">
        <v>0</v>
      </c>
      <c r="BZ43" s="1724">
        <v>0</v>
      </c>
      <c r="CA43" s="894">
        <f t="shared" si="56"/>
        <v>0</v>
      </c>
      <c r="CB43" s="984"/>
      <c r="CC43" s="1723">
        <v>0</v>
      </c>
      <c r="CD43" s="1724">
        <v>0</v>
      </c>
      <c r="CE43" s="1724">
        <v>0</v>
      </c>
      <c r="CF43" s="1724">
        <v>0</v>
      </c>
      <c r="CG43" s="894">
        <f t="shared" si="57"/>
        <v>0</v>
      </c>
      <c r="CH43" s="985"/>
      <c r="CI43" s="1723">
        <v>0</v>
      </c>
      <c r="CJ43" s="1724">
        <v>0</v>
      </c>
      <c r="CK43" s="1724">
        <v>0</v>
      </c>
      <c r="CL43" s="1724">
        <v>0</v>
      </c>
      <c r="CM43" s="894">
        <f t="shared" si="58"/>
        <v>0</v>
      </c>
      <c r="CN43" s="985"/>
      <c r="CO43" s="985"/>
      <c r="CP43" s="985"/>
    </row>
    <row r="44" spans="1:94" hidden="1" outlineLevel="1">
      <c r="A44" s="981" t="s">
        <v>415</v>
      </c>
      <c r="B44" s="982" t="s">
        <v>113</v>
      </c>
      <c r="C44" s="1728">
        <v>0</v>
      </c>
      <c r="D44" s="1738">
        <f>0-C44</f>
        <v>0</v>
      </c>
      <c r="E44" s="1738">
        <f>0-D44-C44</f>
        <v>0</v>
      </c>
      <c r="F44" s="1738">
        <f>0-E44-D44-C44</f>
        <v>0</v>
      </c>
      <c r="G44" s="894">
        <f t="shared" si="47"/>
        <v>0</v>
      </c>
      <c r="H44" s="982"/>
      <c r="I44" s="1725">
        <v>0</v>
      </c>
      <c r="J44" s="1726">
        <v>0</v>
      </c>
      <c r="K44" s="1726">
        <v>0</v>
      </c>
      <c r="L44" s="1726">
        <v>0</v>
      </c>
      <c r="M44" s="894">
        <f t="shared" si="37"/>
        <v>0</v>
      </c>
      <c r="N44" s="982"/>
      <c r="O44" s="1725">
        <v>0</v>
      </c>
      <c r="P44" s="1726">
        <v>0</v>
      </c>
      <c r="Q44" s="1726">
        <v>0</v>
      </c>
      <c r="R44" s="1726">
        <v>0</v>
      </c>
      <c r="S44" s="894">
        <f t="shared" si="38"/>
        <v>0</v>
      </c>
      <c r="T44" s="982"/>
      <c r="U44" s="1725">
        <v>0</v>
      </c>
      <c r="V44" s="1726">
        <v>0</v>
      </c>
      <c r="W44" s="1726">
        <v>0</v>
      </c>
      <c r="X44" s="1726">
        <v>0</v>
      </c>
      <c r="Y44" s="894">
        <f t="shared" si="39"/>
        <v>0</v>
      </c>
      <c r="Z44" s="982"/>
      <c r="AA44" s="1725">
        <v>0</v>
      </c>
      <c r="AB44" s="1726">
        <v>0</v>
      </c>
      <c r="AC44" s="1726">
        <v>0</v>
      </c>
      <c r="AD44" s="1726">
        <v>0</v>
      </c>
      <c r="AE44" s="894">
        <f t="shared" si="40"/>
        <v>0</v>
      </c>
      <c r="AF44" s="982"/>
      <c r="AG44" s="1725">
        <v>0</v>
      </c>
      <c r="AH44" s="1726">
        <v>0</v>
      </c>
      <c r="AI44" s="1726">
        <v>0</v>
      </c>
      <c r="AJ44" s="1726">
        <v>0</v>
      </c>
      <c r="AK44" s="894">
        <f t="shared" si="41"/>
        <v>0</v>
      </c>
      <c r="AL44" s="982"/>
      <c r="AM44" s="1725">
        <v>0</v>
      </c>
      <c r="AN44" s="1726">
        <v>0</v>
      </c>
      <c r="AO44" s="1726">
        <v>0</v>
      </c>
      <c r="AP44" s="1726">
        <v>0</v>
      </c>
      <c r="AQ44" s="894">
        <f t="shared" si="42"/>
        <v>0</v>
      </c>
      <c r="AR44" s="982"/>
      <c r="AS44" s="1725">
        <v>0</v>
      </c>
      <c r="AT44" s="1724">
        <f t="shared" si="59"/>
        <v>0</v>
      </c>
      <c r="AU44" s="1726">
        <v>0</v>
      </c>
      <c r="AV44" s="1726">
        <v>0</v>
      </c>
      <c r="AW44" s="894">
        <f t="shared" si="43"/>
        <v>0</v>
      </c>
      <c r="AX44" s="982"/>
      <c r="AY44" s="1725">
        <v>0</v>
      </c>
      <c r="AZ44" s="1724">
        <f t="shared" si="60"/>
        <v>0</v>
      </c>
      <c r="BA44" s="1724">
        <f>-2-SUM(AY44:AZ44)</f>
        <v>-2</v>
      </c>
      <c r="BB44" s="1726">
        <f>-2-SUM(AY44:BA44)</f>
        <v>0</v>
      </c>
      <c r="BC44" s="894">
        <f t="shared" si="48"/>
        <v>-2</v>
      </c>
      <c r="BD44" s="982"/>
      <c r="BE44" s="1725">
        <v>0</v>
      </c>
      <c r="BF44" s="1726">
        <f t="shared" si="49"/>
        <v>0</v>
      </c>
      <c r="BG44" s="1726">
        <f t="shared" si="50"/>
        <v>0</v>
      </c>
      <c r="BH44" s="1726">
        <f t="shared" si="61"/>
        <v>0</v>
      </c>
      <c r="BI44" s="894">
        <f t="shared" si="51"/>
        <v>0</v>
      </c>
      <c r="BJ44" s="982"/>
      <c r="BK44" s="1725">
        <v>0</v>
      </c>
      <c r="BL44" s="1726">
        <f t="shared" si="52"/>
        <v>0</v>
      </c>
      <c r="BM44" s="1726">
        <f>-1-SUM(BK44:BL44)</f>
        <v>-1</v>
      </c>
      <c r="BN44" s="1726">
        <v>0</v>
      </c>
      <c r="BO44" s="894">
        <f t="shared" si="54"/>
        <v>-1</v>
      </c>
      <c r="BP44" s="982"/>
      <c r="BQ44" s="1725">
        <v>0</v>
      </c>
      <c r="BR44" s="1726">
        <v>0</v>
      </c>
      <c r="BS44" s="1726">
        <v>0</v>
      </c>
      <c r="BT44" s="1726">
        <v>0</v>
      </c>
      <c r="BU44" s="894">
        <f t="shared" si="55"/>
        <v>0</v>
      </c>
      <c r="BV44" s="982"/>
      <c r="BW44" s="1725">
        <v>0</v>
      </c>
      <c r="BX44" s="1726">
        <v>0</v>
      </c>
      <c r="BY44" s="1726">
        <v>0</v>
      </c>
      <c r="BZ44" s="1726">
        <v>0</v>
      </c>
      <c r="CA44" s="894">
        <f t="shared" si="56"/>
        <v>0</v>
      </c>
      <c r="CB44" s="984"/>
      <c r="CC44" s="1725">
        <v>0</v>
      </c>
      <c r="CD44" s="1726">
        <v>0</v>
      </c>
      <c r="CE44" s="1726">
        <v>0</v>
      </c>
      <c r="CF44" s="1726">
        <v>0</v>
      </c>
      <c r="CG44" s="894">
        <f t="shared" si="57"/>
        <v>0</v>
      </c>
      <c r="CH44" s="985"/>
      <c r="CI44" s="1725">
        <v>0</v>
      </c>
      <c r="CJ44" s="1726">
        <v>0</v>
      </c>
      <c r="CK44" s="1726">
        <v>0</v>
      </c>
      <c r="CL44" s="1726">
        <v>0</v>
      </c>
      <c r="CM44" s="894">
        <f t="shared" si="58"/>
        <v>0</v>
      </c>
      <c r="CN44" s="985"/>
      <c r="CO44" s="985"/>
      <c r="CP44" s="985"/>
    </row>
    <row r="45" spans="1:94" hidden="1" outlineLevel="1">
      <c r="A45" s="981" t="s">
        <v>416</v>
      </c>
      <c r="B45" s="982" t="s">
        <v>113</v>
      </c>
      <c r="C45" s="1728">
        <v>0</v>
      </c>
      <c r="D45" s="1738">
        <f>0-C45</f>
        <v>0</v>
      </c>
      <c r="E45" s="1738">
        <f>0-D45-C45</f>
        <v>0</v>
      </c>
      <c r="F45" s="1738">
        <f>0-E45-D45-C45</f>
        <v>0</v>
      </c>
      <c r="G45" s="894">
        <f t="shared" si="47"/>
        <v>0</v>
      </c>
      <c r="H45" s="982"/>
      <c r="I45" s="1723">
        <v>0</v>
      </c>
      <c r="J45" s="1724">
        <v>0</v>
      </c>
      <c r="K45" s="1724">
        <v>0</v>
      </c>
      <c r="L45" s="1724">
        <v>0</v>
      </c>
      <c r="M45" s="894">
        <f t="shared" si="37"/>
        <v>0</v>
      </c>
      <c r="N45" s="982"/>
      <c r="O45" s="1723">
        <v>0</v>
      </c>
      <c r="P45" s="1724">
        <v>0</v>
      </c>
      <c r="Q45" s="1724">
        <v>0</v>
      </c>
      <c r="R45" s="1724">
        <v>0</v>
      </c>
      <c r="S45" s="894">
        <f t="shared" si="38"/>
        <v>0</v>
      </c>
      <c r="T45" s="984"/>
      <c r="U45" s="1723">
        <v>0</v>
      </c>
      <c r="V45" s="1724">
        <v>0</v>
      </c>
      <c r="W45" s="1724">
        <v>0</v>
      </c>
      <c r="X45" s="1724">
        <v>0</v>
      </c>
      <c r="Y45" s="894">
        <f t="shared" si="39"/>
        <v>0</v>
      </c>
      <c r="Z45" s="984"/>
      <c r="AA45" s="1723">
        <v>0</v>
      </c>
      <c r="AB45" s="1724">
        <v>0</v>
      </c>
      <c r="AC45" s="1724">
        <v>0</v>
      </c>
      <c r="AD45" s="1724">
        <v>0</v>
      </c>
      <c r="AE45" s="894">
        <f t="shared" si="40"/>
        <v>0</v>
      </c>
      <c r="AF45" s="982"/>
      <c r="AG45" s="1723">
        <v>0</v>
      </c>
      <c r="AH45" s="1724">
        <v>0</v>
      </c>
      <c r="AI45" s="1724">
        <v>0</v>
      </c>
      <c r="AJ45" s="1724">
        <v>0</v>
      </c>
      <c r="AK45" s="894">
        <f t="shared" si="41"/>
        <v>0</v>
      </c>
      <c r="AL45" s="982"/>
      <c r="AM45" s="1723">
        <v>0</v>
      </c>
      <c r="AN45" s="1724">
        <v>0</v>
      </c>
      <c r="AO45" s="1724">
        <v>0</v>
      </c>
      <c r="AP45" s="1724">
        <v>0</v>
      </c>
      <c r="AQ45" s="894">
        <f t="shared" si="42"/>
        <v>0</v>
      </c>
      <c r="AR45" s="982"/>
      <c r="AS45" s="1723">
        <v>0</v>
      </c>
      <c r="AT45" s="1724">
        <f t="shared" si="59"/>
        <v>0</v>
      </c>
      <c r="AU45" s="1724">
        <v>0</v>
      </c>
      <c r="AV45" s="1724">
        <v>0</v>
      </c>
      <c r="AW45" s="894">
        <f t="shared" si="43"/>
        <v>0</v>
      </c>
      <c r="AX45" s="982"/>
      <c r="AY45" s="1723">
        <v>0</v>
      </c>
      <c r="AZ45" s="1724">
        <f t="shared" si="60"/>
        <v>0</v>
      </c>
      <c r="BA45" s="1724">
        <f>0-SUM(AY45:AZ45)</f>
        <v>0</v>
      </c>
      <c r="BB45" s="1724">
        <f>0-SUM(AY45:BA45)</f>
        <v>0</v>
      </c>
      <c r="BC45" s="894">
        <f t="shared" si="48"/>
        <v>0</v>
      </c>
      <c r="BD45" s="982"/>
      <c r="BE45" s="1725">
        <v>0</v>
      </c>
      <c r="BF45" s="1726">
        <f>-80-3-BE45</f>
        <v>-83</v>
      </c>
      <c r="BG45" s="1726">
        <f>-80-SUM(BE45:BF45)</f>
        <v>3</v>
      </c>
      <c r="BH45" s="1726">
        <f>-80-3-SUM(BE45:BG45)</f>
        <v>-3</v>
      </c>
      <c r="BI45" s="894">
        <f t="shared" si="51"/>
        <v>-83</v>
      </c>
      <c r="BJ45" s="982"/>
      <c r="BK45" s="1725">
        <v>0</v>
      </c>
      <c r="BL45" s="1726">
        <f t="shared" si="52"/>
        <v>0</v>
      </c>
      <c r="BM45" s="1726">
        <f t="shared" si="53"/>
        <v>0</v>
      </c>
      <c r="BN45" s="1724">
        <f>-1-SUM(BK45:BM45)</f>
        <v>-1</v>
      </c>
      <c r="BO45" s="894">
        <f t="shared" si="54"/>
        <v>-1</v>
      </c>
      <c r="BP45" s="982"/>
      <c r="BQ45" s="1725">
        <v>-1</v>
      </c>
      <c r="BR45" s="1724">
        <v>0</v>
      </c>
      <c r="BS45" s="1724">
        <v>0</v>
      </c>
      <c r="BT45" s="1724">
        <v>0</v>
      </c>
      <c r="BU45" s="894">
        <f t="shared" si="55"/>
        <v>-1</v>
      </c>
      <c r="BV45" s="982"/>
      <c r="BW45" s="1723">
        <v>0</v>
      </c>
      <c r="BX45" s="1724">
        <v>0</v>
      </c>
      <c r="BY45" s="1724">
        <v>0</v>
      </c>
      <c r="BZ45" s="1724">
        <v>0</v>
      </c>
      <c r="CA45" s="894">
        <f t="shared" si="56"/>
        <v>0</v>
      </c>
      <c r="CB45" s="984"/>
      <c r="CC45" s="1723">
        <v>0</v>
      </c>
      <c r="CD45" s="1724">
        <v>0</v>
      </c>
      <c r="CE45" s="1724">
        <v>0</v>
      </c>
      <c r="CF45" s="1724">
        <v>0</v>
      </c>
      <c r="CG45" s="894">
        <f t="shared" si="57"/>
        <v>0</v>
      </c>
      <c r="CH45" s="985"/>
      <c r="CI45" s="1723">
        <v>0</v>
      </c>
      <c r="CJ45" s="1724">
        <v>0</v>
      </c>
      <c r="CK45" s="1724">
        <v>0</v>
      </c>
      <c r="CL45" s="1724">
        <v>0</v>
      </c>
      <c r="CM45" s="894">
        <f t="shared" si="58"/>
        <v>0</v>
      </c>
      <c r="CN45" s="985"/>
      <c r="CO45" s="985"/>
      <c r="CP45" s="985"/>
    </row>
    <row r="46" spans="1:94" collapsed="1">
      <c r="A46" s="981" t="s">
        <v>417</v>
      </c>
      <c r="B46" s="982" t="s">
        <v>113</v>
      </c>
      <c r="C46" s="1729">
        <v>0</v>
      </c>
      <c r="D46" s="1724">
        <f>-BS!D124-BS!D104-BS!D103-BS!D118-BS!D115</f>
        <v>-0.40292096219928908</v>
      </c>
      <c r="E46" s="1724">
        <f>-BS!E124-BS!E104-BS!E103-BS!E118-BS!E115</f>
        <v>-126.01460481099656</v>
      </c>
      <c r="F46" s="1724">
        <f>-BS!F124-BS!F104-BS!F103-BS!F118-BS!F115</f>
        <v>-196.17557257947132</v>
      </c>
      <c r="G46" s="894">
        <f t="shared" si="47"/>
        <v>-322.5930983526672</v>
      </c>
      <c r="H46" s="982"/>
      <c r="I46" s="1723">
        <f>-BS!I124-BS!I104-BS!I103-BS!I118-BS!I115</f>
        <v>-95.282381829343137</v>
      </c>
      <c r="J46" s="1724">
        <f>-BS!J124-BS!J104-BS!J103-BS!J118-BS!J115</f>
        <v>-26.363678937808942</v>
      </c>
      <c r="K46" s="1724">
        <f>-BS!K124-BS!K104-BS!K103-BS!K118-BS!K115</f>
        <v>-31.709870390410913</v>
      </c>
      <c r="L46" s="1724">
        <f>-BS!L124-BS!L104-BS!L103-BS!L118-BS!L115</f>
        <v>23.275363419465492</v>
      </c>
      <c r="M46" s="894">
        <f t="shared" si="37"/>
        <v>-130.0805677380975</v>
      </c>
      <c r="N46" s="982"/>
      <c r="O46" s="1723">
        <f>-BS!O124-BS!O104-BS!O103-BS!O118-BS!O115</f>
        <v>5.8975574794478405</v>
      </c>
      <c r="P46" s="1724">
        <f>-BS!P124-BS!P104-BS!P103-BS!P118-BS!P115</f>
        <v>12.826299101972694</v>
      </c>
      <c r="Q46" s="1724">
        <f>-BS!Q124-BS!Q104-BS!Q103-BS!Q118-BS!Q115</f>
        <v>-4.1598982362210961</v>
      </c>
      <c r="R46" s="1724">
        <f>-BS!R124-BS!R104-BS!R103-BS!R118-BS!R115</f>
        <v>-3.2423724630251911</v>
      </c>
      <c r="S46" s="894">
        <f t="shared" si="38"/>
        <v>11.321585882174247</v>
      </c>
      <c r="T46" s="984"/>
      <c r="U46" s="1723">
        <f>-BS!U124-BS!U104-BS!U103-BS!U118-BS!U115</f>
        <v>10.871812762241063</v>
      </c>
      <c r="V46" s="1724">
        <f>-BS!V124-BS!V104-BS!V103-BS!V118-BS!V115</f>
        <v>17.641543733743404</v>
      </c>
      <c r="W46" s="1724">
        <f>-BS!W124-BS!W104-BS!W103-BS!W118-BS!W115</f>
        <v>-1231.9061200660703</v>
      </c>
      <c r="X46" s="1724">
        <f>-BS!X124-BS!X104-BS!X103-BS!X118-BS!X115</f>
        <v>-68.998462151848344</v>
      </c>
      <c r="Y46" s="894">
        <f t="shared" si="39"/>
        <v>-1272.3912257219342</v>
      </c>
      <c r="Z46" s="984"/>
      <c r="AA46" s="1723">
        <f>-BS!AA124-BS!AA104-BS!AA103-BS!AA118-BS!AA115</f>
        <v>1.90094644111565</v>
      </c>
      <c r="AB46" s="1724">
        <f>-BS!AB124-BS!AB104-BS!AB103-BS!AB118-BS!AB115</f>
        <v>-169.26178067627347</v>
      </c>
      <c r="AC46" s="1724">
        <f>-BS!AC124-BS!AC104-BS!AC103-BS!AC118-BS!AC115</f>
        <v>17.256578572649005</v>
      </c>
      <c r="AD46" s="1724">
        <f>-BS!AD124-BS!AD104-BS!AD103-BS!AD118-BS!AD115</f>
        <v>10.440408384120303</v>
      </c>
      <c r="AE46" s="894">
        <f t="shared" si="40"/>
        <v>-139.66384727838852</v>
      </c>
      <c r="AF46" s="982"/>
      <c r="AG46" s="1723">
        <f>-BS!AG124-BS!AG104-BS!AG103-BS!AG118-BS!AG115</f>
        <v>-30.21320081259131</v>
      </c>
      <c r="AH46" s="1724">
        <f>-BS!AH124-BS!AH104-BS!AH103-BS!AH118-BS!AH115</f>
        <v>9.5754115167739542</v>
      </c>
      <c r="AI46" s="1724">
        <f>-BS!AI124-BS!AI104-BS!AI103-BS!AI118-BS!AI115</f>
        <v>-2138.868010859866</v>
      </c>
      <c r="AJ46" s="1724">
        <f>-BS!AJ124-BS!AJ104-BS!AJ103-BS!AJ118-BS!AJ115</f>
        <v>-127.63572933872547</v>
      </c>
      <c r="AK46" s="894">
        <f t="shared" si="41"/>
        <v>-2287.141529494409</v>
      </c>
      <c r="AL46" s="982"/>
      <c r="AM46" s="1723">
        <f>-BS!AM124-BS!AM104-BS!AM103-BS!AM118-BS!AM115</f>
        <v>-133.91556148579423</v>
      </c>
      <c r="AN46" s="1724">
        <f>-BS!AN124-BS!AN104-BS!AN103-BS!AN118-BS!AN115</f>
        <v>85.850328858698504</v>
      </c>
      <c r="AO46" s="1724">
        <f>-BS!AO124-BS!AO104-BS!AO103-BS!AO118-BS!AO115</f>
        <v>20.682988301256273</v>
      </c>
      <c r="AP46" s="1724">
        <f>-BS!AP124-BS!AP104-BS!AP103-BS!AP118-BS!AP115</f>
        <v>-56.617755674160435</v>
      </c>
      <c r="AQ46" s="894">
        <f t="shared" si="42"/>
        <v>-83.999999999999886</v>
      </c>
      <c r="AR46" s="982"/>
      <c r="AS46" s="1723">
        <v>-2</v>
      </c>
      <c r="AT46" s="1724">
        <f>-2-AS46</f>
        <v>0</v>
      </c>
      <c r="AU46" s="1724">
        <f>-BS!AU124-BS!AU104-BS!AU103-BS!AU118-BS!AU115</f>
        <v>83.726315789473688</v>
      </c>
      <c r="AV46" s="1724">
        <v>0</v>
      </c>
      <c r="AW46" s="894">
        <f t="shared" si="43"/>
        <v>81.726315789473688</v>
      </c>
      <c r="AX46" s="982"/>
      <c r="AY46" s="1723">
        <v>0</v>
      </c>
      <c r="AZ46" s="1724">
        <f t="shared" si="60"/>
        <v>0</v>
      </c>
      <c r="BA46" s="1724">
        <f>-66-SUM(AY46:AZ46)</f>
        <v>-66</v>
      </c>
      <c r="BB46" s="1724">
        <f>-74-SUM(AY46:BA46)</f>
        <v>-8</v>
      </c>
      <c r="BC46" s="894">
        <f t="shared" si="48"/>
        <v>-74</v>
      </c>
      <c r="BD46" s="982"/>
      <c r="BE46" s="1725">
        <v>-235</v>
      </c>
      <c r="BF46" s="1726">
        <f>-235-BE46</f>
        <v>0</v>
      </c>
      <c r="BG46" s="1726">
        <f>-235-SUM(BE46:BF46)</f>
        <v>0</v>
      </c>
      <c r="BH46" s="1726">
        <f>-261-SUM(BE46:BG46)</f>
        <v>-26</v>
      </c>
      <c r="BI46" s="894">
        <f t="shared" si="51"/>
        <v>-261</v>
      </c>
      <c r="BJ46" s="982"/>
      <c r="BK46" s="1725">
        <v>-70</v>
      </c>
      <c r="BL46" s="1726">
        <f>-70-BK46</f>
        <v>0</v>
      </c>
      <c r="BM46" s="1726">
        <f>-127-SUM(BK46:BL46)</f>
        <v>-57</v>
      </c>
      <c r="BN46" s="1724">
        <f>-128-SUM(BK46:BM46)</f>
        <v>-1</v>
      </c>
      <c r="BO46" s="894">
        <f t="shared" si="54"/>
        <v>-128</v>
      </c>
      <c r="BP46" s="982"/>
      <c r="BQ46" s="1725">
        <v>-6</v>
      </c>
      <c r="BR46" s="1724">
        <v>0</v>
      </c>
      <c r="BS46" s="1724">
        <v>0</v>
      </c>
      <c r="BT46" s="1724">
        <v>0</v>
      </c>
      <c r="BU46" s="894">
        <f t="shared" si="55"/>
        <v>-6</v>
      </c>
      <c r="BV46" s="982"/>
      <c r="BW46" s="1723">
        <v>0</v>
      </c>
      <c r="BX46" s="1724">
        <v>0</v>
      </c>
      <c r="BY46" s="1724">
        <v>0</v>
      </c>
      <c r="BZ46" s="1724">
        <v>0</v>
      </c>
      <c r="CA46" s="894">
        <f t="shared" si="56"/>
        <v>0</v>
      </c>
      <c r="CB46" s="984"/>
      <c r="CC46" s="1723">
        <v>0</v>
      </c>
      <c r="CD46" s="1724">
        <v>0</v>
      </c>
      <c r="CE46" s="1724">
        <v>0</v>
      </c>
      <c r="CF46" s="1724">
        <v>0</v>
      </c>
      <c r="CG46" s="894">
        <f t="shared" si="57"/>
        <v>0</v>
      </c>
      <c r="CH46" s="985"/>
      <c r="CI46" s="1723">
        <v>0</v>
      </c>
      <c r="CJ46" s="1724">
        <v>0</v>
      </c>
      <c r="CK46" s="1724">
        <v>0</v>
      </c>
      <c r="CL46" s="1724">
        <v>0</v>
      </c>
      <c r="CM46" s="894">
        <f t="shared" si="58"/>
        <v>0</v>
      </c>
      <c r="CN46" s="985"/>
      <c r="CO46" s="985"/>
      <c r="CP46" s="985"/>
    </row>
    <row r="47" spans="1:94">
      <c r="A47" s="964" t="s">
        <v>418</v>
      </c>
      <c r="B47" s="982" t="s">
        <v>113</v>
      </c>
      <c r="C47" s="1004">
        <f>SUM(C36:C46)</f>
        <v>-12.75</v>
      </c>
      <c r="D47" s="1005">
        <f>SUM(D36:D46)</f>
        <v>-13.152920962199289</v>
      </c>
      <c r="E47" s="1005">
        <f>SUM(E36:E46)</f>
        <v>-151.76460481099656</v>
      </c>
      <c r="F47" s="1005">
        <f>SUM(F36:F46)</f>
        <v>-354.65034322167315</v>
      </c>
      <c r="G47" s="1006">
        <f>SUM(G36:G46)</f>
        <v>-532.31786899486906</v>
      </c>
      <c r="H47" s="965"/>
      <c r="I47" s="1004">
        <f>SUM(I36:I46)</f>
        <v>-121.55761118714139</v>
      </c>
      <c r="J47" s="1005">
        <f>SUM(J36:J46)</f>
        <v>-90.005880772671304</v>
      </c>
      <c r="K47" s="1005">
        <f>SUM(K36:K46)</f>
        <v>-26.196108922520978</v>
      </c>
      <c r="L47" s="1005">
        <f>SUM(L36:L46)</f>
        <v>47.541418465337046</v>
      </c>
      <c r="M47" s="1006">
        <f>SUM(M36:M46)</f>
        <v>-190.21818241699663</v>
      </c>
      <c r="N47" s="965"/>
      <c r="O47" s="1004">
        <f>SUM(O36:O46)</f>
        <v>31.321869406053338</v>
      </c>
      <c r="P47" s="1005">
        <f>SUM(P36:P46)</f>
        <v>13.599234881789201</v>
      </c>
      <c r="Q47" s="1005">
        <f>SUM(Q36:Q46)</f>
        <v>-10.24934777750552</v>
      </c>
      <c r="R47" s="1005">
        <f>SUM(R36:R46)</f>
        <v>-15.607051362107754</v>
      </c>
      <c r="S47" s="1006">
        <f>SUM(S36:S46)</f>
        <v>19.064705148229265</v>
      </c>
      <c r="T47" s="965"/>
      <c r="U47" s="1004">
        <f>SUM(U36:U46)</f>
        <v>10.475023771415465</v>
      </c>
      <c r="V47" s="1005">
        <f>SUM(V36:V46)</f>
        <v>5.3456721741103621</v>
      </c>
      <c r="W47" s="1005">
        <f>SUM(W36:W46)</f>
        <v>-1214.4038264880887</v>
      </c>
      <c r="X47" s="1005">
        <f>SUM(X36:X46)</f>
        <v>-78.817269491297793</v>
      </c>
      <c r="Y47" s="1006">
        <f>SUM(Y36:Y46)</f>
        <v>-1277.4004000338607</v>
      </c>
      <c r="Z47" s="965"/>
      <c r="AA47" s="1004">
        <f>SUM(AA36:AA46)</f>
        <v>1530.9926895603817</v>
      </c>
      <c r="AB47" s="1005">
        <f>SUM(AB36:AB46)</f>
        <v>-159.88563388728267</v>
      </c>
      <c r="AC47" s="1005">
        <f>SUM(AC36:AC46)</f>
        <v>2.0180464625572512</v>
      </c>
      <c r="AD47" s="1005">
        <f>SUM(AD36:AD46)</f>
        <v>-1.7522521663384083</v>
      </c>
      <c r="AE47" s="1006">
        <f>SUM(AE36:AE46)</f>
        <v>1371.3728499693179</v>
      </c>
      <c r="AF47" s="965"/>
      <c r="AG47" s="1004">
        <f>SUM(AG36:AG46)</f>
        <v>-46.882925583233515</v>
      </c>
      <c r="AH47" s="1005">
        <f>SUM(AH36:AH46)</f>
        <v>-13.186056373134292</v>
      </c>
      <c r="AI47" s="1005">
        <f>SUM(AI36:AI46)</f>
        <v>-2155.537735630508</v>
      </c>
      <c r="AJ47" s="1005">
        <f>SUM(AJ36:AJ46)</f>
        <v>-153.44306878826677</v>
      </c>
      <c r="AK47" s="1006">
        <f>SUM(AK36:AK46)</f>
        <v>-2369.049786375143</v>
      </c>
      <c r="AL47" s="965"/>
      <c r="AM47" s="1004">
        <f>SUM(AM36:AM46)</f>
        <v>-165.14757587428343</v>
      </c>
      <c r="AN47" s="1005">
        <f>SUM(AN36:AN46)</f>
        <v>64.567954757979081</v>
      </c>
      <c r="AO47" s="1005">
        <f>SUM(AO36:AO46)</f>
        <v>-8.8008246483840225</v>
      </c>
      <c r="AP47" s="1005">
        <f>SUM(AP36:AP46)</f>
        <v>-93.619554235311512</v>
      </c>
      <c r="AQ47" s="1006">
        <f>SUM(AQ36:AQ46)</f>
        <v>-202.99999999999989</v>
      </c>
      <c r="AR47" s="965"/>
      <c r="AS47" s="1004">
        <f>SUM(AS36:AS46)</f>
        <v>-47</v>
      </c>
      <c r="AT47" s="1005">
        <f>SUM(AT36:AT46)</f>
        <v>-55</v>
      </c>
      <c r="AU47" s="1005">
        <f>SUM(AU36:AU46)</f>
        <v>16.726315789473688</v>
      </c>
      <c r="AV47" s="1005">
        <f>SUM(AV36:AV46)</f>
        <v>-47.550049554013874</v>
      </c>
      <c r="AW47" s="1006">
        <f>SUM(AW36:AW46)</f>
        <v>-132.82373376454018</v>
      </c>
      <c r="AX47" s="965"/>
      <c r="AY47" s="1004">
        <f>SUM(AY36:AY46)</f>
        <v>-31</v>
      </c>
      <c r="AZ47" s="1005">
        <f>SUM(AZ36:AZ46)</f>
        <v>-7</v>
      </c>
      <c r="BA47" s="1005">
        <f>SUM(BA36:BA46)</f>
        <v>-87</v>
      </c>
      <c r="BB47" s="1005">
        <f>SUM(BB36:BB46)</f>
        <v>-275</v>
      </c>
      <c r="BC47" s="1006">
        <f>SUM(BC36:BC46)</f>
        <v>-400</v>
      </c>
      <c r="BD47" s="965"/>
      <c r="BE47" s="1004">
        <f>SUM(BE36:BE46)</f>
        <v>-28</v>
      </c>
      <c r="BF47" s="1005">
        <f>SUM(BF36:BF46)</f>
        <v>-108</v>
      </c>
      <c r="BG47" s="1005">
        <f>SUM(BG36:BG46)</f>
        <v>-24</v>
      </c>
      <c r="BH47" s="1005">
        <f>SUM(BH36:BH46)</f>
        <v>-78</v>
      </c>
      <c r="BI47" s="1006">
        <f>SUM(BI36:BI46)</f>
        <v>-238</v>
      </c>
      <c r="BJ47" s="965"/>
      <c r="BK47" s="1004">
        <f>SUM(BK36:BK46)</f>
        <v>-101</v>
      </c>
      <c r="BL47" s="1005">
        <f>SUM(BL36:BL46)</f>
        <v>-43</v>
      </c>
      <c r="BM47" s="1005">
        <f>SUM(BM36:BM46)</f>
        <v>-101</v>
      </c>
      <c r="BN47" s="1005">
        <f>SUM(BN36:BN46)</f>
        <v>-60</v>
      </c>
      <c r="BO47" s="1006">
        <f>SUM(BO36:BO46)</f>
        <v>-305</v>
      </c>
      <c r="BP47" s="965"/>
      <c r="BQ47" s="1004">
        <f>SUM(BQ36:BQ46)</f>
        <v>-67</v>
      </c>
      <c r="BR47" s="1005">
        <f>SUM(BR36:BR46)</f>
        <v>-47.716748501966933</v>
      </c>
      <c r="BS47" s="1005">
        <f>SUM(BS36:BS46)</f>
        <v>-47.231696639298399</v>
      </c>
      <c r="BT47" s="1005">
        <f>SUM(BT36:BT46)</f>
        <v>-50.097748980334771</v>
      </c>
      <c r="BU47" s="1006">
        <f>SUM(BU36:BU46)</f>
        <v>-212.04619412160008</v>
      </c>
      <c r="BV47" s="965"/>
      <c r="BW47" s="1004">
        <f>SUM(BW36:BW46)</f>
        <v>-31.022060587411055</v>
      </c>
      <c r="BX47" s="1005">
        <f>SUM(BX36:BX46)</f>
        <v>-32.17308210380228</v>
      </c>
      <c r="BY47" s="1005">
        <f>SUM(BY36:BY46)</f>
        <v>-32.244713819534098</v>
      </c>
      <c r="BZ47" s="1005">
        <f>SUM(BZ36:BZ46)</f>
        <v>-34.119752263078986</v>
      </c>
      <c r="CA47" s="1006">
        <f>SUM(CA36:CA46)</f>
        <v>-129.55960877382643</v>
      </c>
      <c r="CB47" s="1005"/>
      <c r="CC47" s="1004">
        <f>SUM(CC36:CC46)</f>
        <v>-31.478431808907963</v>
      </c>
      <c r="CD47" s="1005">
        <f>SUM(CD36:CD46)</f>
        <v>-32.738358911414437</v>
      </c>
      <c r="CE47" s="1005">
        <f>SUM(CE36:CE46)</f>
        <v>-33.064094475147769</v>
      </c>
      <c r="CF47" s="1005">
        <f>SUM(CF36:CF46)</f>
        <v>-34.868625693583397</v>
      </c>
      <c r="CG47" s="1006">
        <f>SUM(CG36:CG46)</f>
        <v>-132.14951088905354</v>
      </c>
      <c r="CH47" s="954"/>
      <c r="CI47" s="1004">
        <f>SUM(CI36:CI46)</f>
        <v>-30.489963359062202</v>
      </c>
      <c r="CJ47" s="1005">
        <f>SUM(CJ36:CJ46)</f>
        <v>-31.808257826792882</v>
      </c>
      <c r="CK47" s="1005">
        <f>SUM(CK36:CK46)</f>
        <v>-32.413667555823132</v>
      </c>
      <c r="CL47" s="1005">
        <f>SUM(CL36:CL46)</f>
        <v>-34.048122216987686</v>
      </c>
      <c r="CM47" s="1006">
        <f>SUM(CM36:CM46)</f>
        <v>-128.7600109586659</v>
      </c>
      <c r="CN47" s="954"/>
      <c r="CO47" s="954"/>
      <c r="CP47" s="954"/>
    </row>
    <row r="48" spans="1:94">
      <c r="A48" s="1007" t="s">
        <v>419</v>
      </c>
      <c r="B48" s="982" t="s">
        <v>113</v>
      </c>
      <c r="C48" s="1727">
        <v>0</v>
      </c>
      <c r="D48" s="1738">
        <f>0-C48</f>
        <v>0</v>
      </c>
      <c r="E48" s="1738">
        <f>0-D48-C48</f>
        <v>0</v>
      </c>
      <c r="F48" s="1738">
        <f>0-E48-D48-C48</f>
        <v>0</v>
      </c>
      <c r="G48" s="972">
        <f>+SUM(C48:F48)</f>
        <v>0</v>
      </c>
      <c r="H48" s="1008"/>
      <c r="I48" s="1727">
        <v>0</v>
      </c>
      <c r="J48" s="1738">
        <f>0-I48</f>
        <v>0</v>
      </c>
      <c r="K48" s="1738">
        <f>0-J48-I48</f>
        <v>0</v>
      </c>
      <c r="L48" s="1738">
        <f>0-K48-J48-I48</f>
        <v>0</v>
      </c>
      <c r="M48" s="972">
        <f>+SUM(I48:L48)</f>
        <v>0</v>
      </c>
      <c r="N48" s="1008"/>
      <c r="O48" s="1727">
        <v>0</v>
      </c>
      <c r="P48" s="1738">
        <f>0-O48</f>
        <v>0</v>
      </c>
      <c r="Q48" s="1738">
        <f>0-P48-O48</f>
        <v>0</v>
      </c>
      <c r="R48" s="1738">
        <f>0-Q48-P48-O48</f>
        <v>0</v>
      </c>
      <c r="S48" s="972">
        <f>+SUM(O48:R48)</f>
        <v>0</v>
      </c>
      <c r="T48" s="1008"/>
      <c r="U48" s="1727">
        <v>0</v>
      </c>
      <c r="V48" s="1738">
        <f>0-U48</f>
        <v>0</v>
      </c>
      <c r="W48" s="1738">
        <f>0-V48-U48</f>
        <v>0</v>
      </c>
      <c r="X48" s="1738">
        <f>0-W48-V48-U48</f>
        <v>0</v>
      </c>
      <c r="Y48" s="972">
        <f>+SUM(U48:X48)</f>
        <v>0</v>
      </c>
      <c r="Z48" s="1008"/>
      <c r="AA48" s="1727">
        <v>0</v>
      </c>
      <c r="AB48" s="1738">
        <f>0-AA48</f>
        <v>0</v>
      </c>
      <c r="AC48" s="1738">
        <f>0-AB48-AA48</f>
        <v>0</v>
      </c>
      <c r="AD48" s="1738">
        <f>0-AC48-AB48-AA48</f>
        <v>0</v>
      </c>
      <c r="AE48" s="972">
        <f>+SUM(AA48:AD48)</f>
        <v>0</v>
      </c>
      <c r="AF48" s="1008"/>
      <c r="AG48" s="1727">
        <v>0</v>
      </c>
      <c r="AH48" s="1738">
        <f>0-AG48</f>
        <v>0</v>
      </c>
      <c r="AI48" s="1738">
        <f>0-AH48-AG48</f>
        <v>0</v>
      </c>
      <c r="AJ48" s="1738">
        <f>0-AI48-AH48-AG48</f>
        <v>0</v>
      </c>
      <c r="AK48" s="972">
        <f>+SUM(AG48:AJ48)</f>
        <v>0</v>
      </c>
      <c r="AL48" s="1008"/>
      <c r="AM48" s="1727">
        <v>0</v>
      </c>
      <c r="AN48" s="1738">
        <f>0-AM48</f>
        <v>0</v>
      </c>
      <c r="AO48" s="1738">
        <f>0-AN48-AM48</f>
        <v>0</v>
      </c>
      <c r="AP48" s="1738">
        <f>0-AO48-AN48-AM48</f>
        <v>0</v>
      </c>
      <c r="AQ48" s="972">
        <f>+SUM(AM48:AP48)</f>
        <v>0</v>
      </c>
      <c r="AR48" s="1008"/>
      <c r="AS48" s="1725">
        <v>0</v>
      </c>
      <c r="AT48" s="1724">
        <f>0-AS48</f>
        <v>0</v>
      </c>
      <c r="AU48" s="1738">
        <f>0-AT48</f>
        <v>0</v>
      </c>
      <c r="AV48" s="1726">
        <v>0</v>
      </c>
      <c r="AW48" s="894">
        <f>+SUM(AS48:AV48)</f>
        <v>0</v>
      </c>
      <c r="AX48" s="1008"/>
      <c r="AY48" s="1725">
        <v>0</v>
      </c>
      <c r="AZ48" s="1724">
        <f t="shared" si="60"/>
        <v>0</v>
      </c>
      <c r="BA48" s="1724">
        <f>0-SUM(AY48:AZ48)</f>
        <v>0</v>
      </c>
      <c r="BB48" s="1724">
        <f>0-SUM(AY48:BA48)</f>
        <v>0</v>
      </c>
      <c r="BC48" s="894">
        <f>+SUM(AY48:BB48)</f>
        <v>0</v>
      </c>
      <c r="BD48" s="1008"/>
      <c r="BE48" s="1725">
        <v>0</v>
      </c>
      <c r="BF48" s="1726">
        <f>0-BE48</f>
        <v>0</v>
      </c>
      <c r="BG48" s="1726">
        <f t="shared" si="50"/>
        <v>0</v>
      </c>
      <c r="BH48" s="1726">
        <f t="shared" si="61"/>
        <v>0</v>
      </c>
      <c r="BI48" s="894">
        <f>+SUM(BE48:BH48)</f>
        <v>0</v>
      </c>
      <c r="BJ48" s="1008"/>
      <c r="BK48" s="1725">
        <v>0</v>
      </c>
      <c r="BL48" s="1724">
        <f t="shared" ref="BL48" si="62">0-BK48</f>
        <v>0</v>
      </c>
      <c r="BM48" s="1724">
        <f t="shared" ref="BM48" si="63">0-SUM(BK48:BL48)</f>
        <v>0</v>
      </c>
      <c r="BN48" s="1726">
        <v>0</v>
      </c>
      <c r="BO48" s="894">
        <f>+SUM(BK48:BN48)</f>
        <v>0</v>
      </c>
      <c r="BP48" s="1008"/>
      <c r="BQ48" s="1725">
        <v>0</v>
      </c>
      <c r="BR48" s="1726">
        <v>0</v>
      </c>
      <c r="BS48" s="1726">
        <v>0</v>
      </c>
      <c r="BT48" s="1726">
        <v>0</v>
      </c>
      <c r="BU48" s="894">
        <f>+SUM(BQ48:BT48)</f>
        <v>0</v>
      </c>
      <c r="BV48" s="1008"/>
      <c r="BW48" s="1725">
        <v>0</v>
      </c>
      <c r="BX48" s="1726">
        <v>0</v>
      </c>
      <c r="BY48" s="1726">
        <v>0</v>
      </c>
      <c r="BZ48" s="1726">
        <v>0</v>
      </c>
      <c r="CA48" s="894">
        <f>+SUM(BW48:BZ48)</f>
        <v>0</v>
      </c>
      <c r="CB48" s="984"/>
      <c r="CC48" s="1725">
        <v>0</v>
      </c>
      <c r="CD48" s="1726">
        <v>0</v>
      </c>
      <c r="CE48" s="1726">
        <v>0</v>
      </c>
      <c r="CF48" s="1726">
        <v>0</v>
      </c>
      <c r="CG48" s="894">
        <f>+SUM(CC48:CF48)</f>
        <v>0</v>
      </c>
      <c r="CH48" s="985"/>
      <c r="CI48" s="1725">
        <v>0</v>
      </c>
      <c r="CJ48" s="1726">
        <v>0</v>
      </c>
      <c r="CK48" s="1726">
        <v>0</v>
      </c>
      <c r="CL48" s="1726">
        <v>0</v>
      </c>
      <c r="CM48" s="894">
        <f>+SUM(CI48:CL48)</f>
        <v>0</v>
      </c>
      <c r="CN48" s="985"/>
      <c r="CO48" s="985"/>
      <c r="CP48" s="985"/>
    </row>
    <row r="49" spans="1:94" ht="12.75" customHeight="1">
      <c r="A49" s="1009" t="s">
        <v>420</v>
      </c>
      <c r="B49" s="982" t="s">
        <v>113</v>
      </c>
      <c r="C49" s="1011">
        <f>C47+C48</f>
        <v>-12.75</v>
      </c>
      <c r="D49" s="1012">
        <f>D47+D48</f>
        <v>-13.152920962199289</v>
      </c>
      <c r="E49" s="1012">
        <f>E47+E48</f>
        <v>-151.76460481099656</v>
      </c>
      <c r="F49" s="1012">
        <f>F47+F48</f>
        <v>-354.65034322167315</v>
      </c>
      <c r="G49" s="1013">
        <f>G47+G48</f>
        <v>-532.31786899486906</v>
      </c>
      <c r="H49" s="1010"/>
      <c r="I49" s="1011">
        <f>I47+I48</f>
        <v>-121.55761118714139</v>
      </c>
      <c r="J49" s="1012">
        <f>J47+J48</f>
        <v>-90.005880772671304</v>
      </c>
      <c r="K49" s="1012">
        <f>K47+K48</f>
        <v>-26.196108922520978</v>
      </c>
      <c r="L49" s="1012">
        <f>L47+L48</f>
        <v>47.541418465337046</v>
      </c>
      <c r="M49" s="1013">
        <f>M47+M48</f>
        <v>-190.21818241699663</v>
      </c>
      <c r="N49" s="1010"/>
      <c r="O49" s="1011">
        <f>O47+O48</f>
        <v>31.321869406053338</v>
      </c>
      <c r="P49" s="1012">
        <f>P47+P48</f>
        <v>13.599234881789201</v>
      </c>
      <c r="Q49" s="1012">
        <f>Q47+Q48</f>
        <v>-10.24934777750552</v>
      </c>
      <c r="R49" s="1012">
        <f>R47+R48</f>
        <v>-15.607051362107754</v>
      </c>
      <c r="S49" s="1013">
        <f>S47+S48</f>
        <v>19.064705148229265</v>
      </c>
      <c r="T49" s="1010"/>
      <c r="U49" s="1011">
        <f>U47+U48</f>
        <v>10.475023771415465</v>
      </c>
      <c r="V49" s="1012">
        <f>V47+V48</f>
        <v>5.3456721741103621</v>
      </c>
      <c r="W49" s="1012">
        <f>W47+W48</f>
        <v>-1214.4038264880887</v>
      </c>
      <c r="X49" s="1012">
        <f>X47+X48</f>
        <v>-78.817269491297793</v>
      </c>
      <c r="Y49" s="1013">
        <f>Y47+Y48</f>
        <v>-1277.4004000338607</v>
      </c>
      <c r="Z49" s="1010"/>
      <c r="AA49" s="1011">
        <f>AA47+AA48</f>
        <v>1530.9926895603817</v>
      </c>
      <c r="AB49" s="1012">
        <f>AB47+AB48</f>
        <v>-159.88563388728267</v>
      </c>
      <c r="AC49" s="1012">
        <f>AC47+AC48</f>
        <v>2.0180464625572512</v>
      </c>
      <c r="AD49" s="1012">
        <f>AD47+AD48</f>
        <v>-1.7522521663384083</v>
      </c>
      <c r="AE49" s="1013">
        <f>AE47+AE48</f>
        <v>1371.3728499693179</v>
      </c>
      <c r="AF49" s="1010"/>
      <c r="AG49" s="1011">
        <f>AG47+AG48</f>
        <v>-46.882925583233515</v>
      </c>
      <c r="AH49" s="1012">
        <f>AH47+AH48</f>
        <v>-13.186056373134292</v>
      </c>
      <c r="AI49" s="1012">
        <f>AI47+AI48</f>
        <v>-2155.537735630508</v>
      </c>
      <c r="AJ49" s="1012">
        <f>AJ47+AJ48</f>
        <v>-153.44306878826677</v>
      </c>
      <c r="AK49" s="1013">
        <f>AK47+AK48</f>
        <v>-2369.049786375143</v>
      </c>
      <c r="AL49" s="1010"/>
      <c r="AM49" s="1011">
        <f>AM47+AM48</f>
        <v>-165.14757587428343</v>
      </c>
      <c r="AN49" s="1012">
        <f>AN47+AN48</f>
        <v>64.567954757979081</v>
      </c>
      <c r="AO49" s="1012">
        <f>AO47+AO48</f>
        <v>-8.8008246483840225</v>
      </c>
      <c r="AP49" s="1012">
        <f>AP47+AP48</f>
        <v>-93.619554235311512</v>
      </c>
      <c r="AQ49" s="1013">
        <f>AQ47+AQ48</f>
        <v>-202.99999999999989</v>
      </c>
      <c r="AR49" s="1010"/>
      <c r="AS49" s="1016">
        <f>AS47+AS48</f>
        <v>-47</v>
      </c>
      <c r="AT49" s="1012">
        <f>AT47+AT48</f>
        <v>-55</v>
      </c>
      <c r="AU49" s="1012">
        <f>AU47+AU48</f>
        <v>16.726315789473688</v>
      </c>
      <c r="AV49" s="1014">
        <f>AV47+AV48</f>
        <v>-47.550049554013874</v>
      </c>
      <c r="AW49" s="1015">
        <f>AW47+AW48</f>
        <v>-132.82373376454018</v>
      </c>
      <c r="AX49" s="1010"/>
      <c r="AY49" s="1016">
        <f>AY47+AY48</f>
        <v>-31</v>
      </c>
      <c r="AZ49" s="1014">
        <f>AZ47+AZ48</f>
        <v>-7</v>
      </c>
      <c r="BA49" s="1014">
        <f>BA47+BA48</f>
        <v>-87</v>
      </c>
      <c r="BB49" s="1014">
        <f>BB47+BB48</f>
        <v>-275</v>
      </c>
      <c r="BC49" s="1015">
        <f>BC47+BC48</f>
        <v>-400</v>
      </c>
      <c r="BD49" s="1010"/>
      <c r="BE49" s="1016">
        <f>BE47+BE48</f>
        <v>-28</v>
      </c>
      <c r="BF49" s="1014">
        <f>BF47+BF48</f>
        <v>-108</v>
      </c>
      <c r="BG49" s="1014">
        <f>BG47+BG48</f>
        <v>-24</v>
      </c>
      <c r="BH49" s="1014">
        <f>BH47+BH48</f>
        <v>-78</v>
      </c>
      <c r="BI49" s="1015">
        <f>BI47+BI48</f>
        <v>-238</v>
      </c>
      <c r="BJ49" s="1010"/>
      <c r="BK49" s="1016">
        <f>BK47+BK48</f>
        <v>-101</v>
      </c>
      <c r="BL49" s="1014">
        <f>BL47+BL48</f>
        <v>-43</v>
      </c>
      <c r="BM49" s="1014">
        <f>BM47+BM48</f>
        <v>-101</v>
      </c>
      <c r="BN49" s="1014">
        <f>BN47+BN48</f>
        <v>-60</v>
      </c>
      <c r="BO49" s="1015">
        <f>BO47+BO48</f>
        <v>-305</v>
      </c>
      <c r="BP49" s="1010"/>
      <c r="BQ49" s="1016">
        <f>BQ47+BQ48</f>
        <v>-67</v>
      </c>
      <c r="BR49" s="1014">
        <f>BR47+BR48</f>
        <v>-47.716748501966933</v>
      </c>
      <c r="BS49" s="1014">
        <f>BS47+BS48</f>
        <v>-47.231696639298399</v>
      </c>
      <c r="BT49" s="1014">
        <f>BT47+BT48</f>
        <v>-50.097748980334771</v>
      </c>
      <c r="BU49" s="1015">
        <f>BU47+BU48</f>
        <v>-212.04619412160008</v>
      </c>
      <c r="BV49" s="1010"/>
      <c r="BW49" s="1016">
        <f>BW47+BW48</f>
        <v>-31.022060587411055</v>
      </c>
      <c r="BX49" s="1014">
        <f>BX47+BX48</f>
        <v>-32.17308210380228</v>
      </c>
      <c r="BY49" s="1014">
        <f>BY47+BY48</f>
        <v>-32.244713819534098</v>
      </c>
      <c r="BZ49" s="1014">
        <f>BZ47+BZ48</f>
        <v>-34.119752263078986</v>
      </c>
      <c r="CA49" s="1015">
        <f>CA47+CA48</f>
        <v>-129.55960877382643</v>
      </c>
      <c r="CB49" s="2130"/>
      <c r="CC49" s="1016">
        <f>CC47+CC48</f>
        <v>-31.478431808907963</v>
      </c>
      <c r="CD49" s="1014">
        <f>CD47+CD48</f>
        <v>-32.738358911414437</v>
      </c>
      <c r="CE49" s="1014">
        <f>CE47+CE48</f>
        <v>-33.064094475147769</v>
      </c>
      <c r="CF49" s="1014">
        <f>CF47+CF48</f>
        <v>-34.868625693583397</v>
      </c>
      <c r="CG49" s="1015">
        <f>CG47+CG48</f>
        <v>-132.14951088905354</v>
      </c>
      <c r="CH49" s="954"/>
      <c r="CI49" s="1016">
        <f>CI47+CI48</f>
        <v>-30.489963359062202</v>
      </c>
      <c r="CJ49" s="1014">
        <f>CJ47+CJ48</f>
        <v>-31.808257826792882</v>
      </c>
      <c r="CK49" s="1014">
        <f>CK47+CK48</f>
        <v>-32.413667555823132</v>
      </c>
      <c r="CL49" s="1014">
        <f>CL47+CL48</f>
        <v>-34.048122216987686</v>
      </c>
      <c r="CM49" s="1015">
        <f>CM47+CM48</f>
        <v>-128.7600109586659</v>
      </c>
      <c r="CN49" s="954"/>
      <c r="CO49" s="954"/>
      <c r="CP49" s="954"/>
    </row>
    <row r="50" spans="1:94" ht="9.75" customHeight="1">
      <c r="A50" s="894"/>
      <c r="B50" s="982" t="s">
        <v>113</v>
      </c>
      <c r="C50" s="1017"/>
      <c r="D50" s="984"/>
      <c r="E50" s="984"/>
      <c r="F50" s="984"/>
      <c r="G50" s="1018"/>
      <c r="H50" s="984"/>
      <c r="I50" s="1017"/>
      <c r="J50" s="984"/>
      <c r="K50" s="984"/>
      <c r="L50" s="984"/>
      <c r="M50" s="1018"/>
      <c r="N50" s="984"/>
      <c r="O50" s="1017"/>
      <c r="P50" s="984"/>
      <c r="Q50" s="984"/>
      <c r="R50" s="984"/>
      <c r="S50" s="1018"/>
      <c r="T50" s="984"/>
      <c r="U50" s="1017"/>
      <c r="V50" s="984"/>
      <c r="W50" s="984"/>
      <c r="X50" s="984"/>
      <c r="Y50" s="1018"/>
      <c r="Z50" s="984"/>
      <c r="AA50" s="1017"/>
      <c r="AB50" s="984"/>
      <c r="AC50" s="984"/>
      <c r="AD50" s="984"/>
      <c r="AE50" s="1018"/>
      <c r="AF50" s="984"/>
      <c r="AG50" s="1017"/>
      <c r="AH50" s="984"/>
      <c r="AI50" s="984"/>
      <c r="AJ50" s="984"/>
      <c r="AK50" s="1018"/>
      <c r="AL50" s="984"/>
      <c r="AM50" s="1017"/>
      <c r="AN50" s="984"/>
      <c r="AO50" s="984"/>
      <c r="AP50" s="984"/>
      <c r="AQ50" s="1018"/>
      <c r="AR50" s="984"/>
      <c r="AS50" s="970"/>
      <c r="AT50" s="984"/>
      <c r="AU50" s="984"/>
      <c r="AV50" s="971"/>
      <c r="AW50" s="1018"/>
      <c r="AX50" s="984"/>
      <c r="AY50" s="970"/>
      <c r="AZ50" s="971"/>
      <c r="BA50" s="971"/>
      <c r="BB50" s="971"/>
      <c r="BC50" s="1018"/>
      <c r="BD50" s="984"/>
      <c r="BE50" s="970"/>
      <c r="BF50" s="971"/>
      <c r="BG50" s="971"/>
      <c r="BH50" s="971"/>
      <c r="BI50" s="1018"/>
      <c r="BJ50" s="984"/>
      <c r="BK50" s="970"/>
      <c r="BL50" s="971"/>
      <c r="BM50" s="971"/>
      <c r="BN50" s="971"/>
      <c r="BO50" s="1018"/>
      <c r="BP50" s="984"/>
      <c r="BQ50" s="970"/>
      <c r="BR50" s="971"/>
      <c r="BS50" s="971"/>
      <c r="BT50" s="971"/>
      <c r="BU50" s="1018"/>
      <c r="BV50" s="984"/>
      <c r="BW50" s="970"/>
      <c r="BX50" s="971"/>
      <c r="BY50" s="971"/>
      <c r="BZ50" s="971"/>
      <c r="CA50" s="1018"/>
      <c r="CB50" s="971"/>
      <c r="CC50" s="970"/>
      <c r="CD50" s="971"/>
      <c r="CE50" s="971"/>
      <c r="CF50" s="971"/>
      <c r="CG50" s="1018"/>
      <c r="CH50" s="985"/>
      <c r="CI50" s="970"/>
      <c r="CJ50" s="971"/>
      <c r="CK50" s="971"/>
      <c r="CL50" s="971"/>
      <c r="CM50" s="1018"/>
      <c r="CN50" s="985"/>
      <c r="CO50" s="985"/>
      <c r="CP50" s="985"/>
    </row>
    <row r="51" spans="1:94">
      <c r="A51" s="1007" t="s">
        <v>421</v>
      </c>
      <c r="B51" s="982" t="s">
        <v>113</v>
      </c>
      <c r="C51" s="1028"/>
      <c r="D51" s="1029"/>
      <c r="E51" s="1029"/>
      <c r="F51" s="1029"/>
      <c r="G51" s="1018"/>
      <c r="H51" s="1008"/>
      <c r="I51" s="1028"/>
      <c r="J51" s="1029"/>
      <c r="K51" s="1029"/>
      <c r="L51" s="1029"/>
      <c r="M51" s="1018"/>
      <c r="N51" s="1008"/>
      <c r="O51" s="1028"/>
      <c r="P51" s="1029"/>
      <c r="Q51" s="1029"/>
      <c r="R51" s="1029"/>
      <c r="S51" s="1018"/>
      <c r="T51" s="1008"/>
      <c r="U51" s="1028"/>
      <c r="V51" s="1029"/>
      <c r="W51" s="1029"/>
      <c r="X51" s="1029"/>
      <c r="Y51" s="1018"/>
      <c r="Z51" s="1008"/>
      <c r="AA51" s="1028"/>
      <c r="AB51" s="1029"/>
      <c r="AC51" s="1029"/>
      <c r="AD51" s="1029"/>
      <c r="AE51" s="1018"/>
      <c r="AF51" s="1008"/>
      <c r="AG51" s="1028"/>
      <c r="AH51" s="1029"/>
      <c r="AI51" s="1029"/>
      <c r="AJ51" s="1029"/>
      <c r="AK51" s="1018"/>
      <c r="AL51" s="1008"/>
      <c r="AM51" s="1028"/>
      <c r="AN51" s="1029"/>
      <c r="AO51" s="1029"/>
      <c r="AP51" s="1029"/>
      <c r="AQ51" s="1018"/>
      <c r="AR51" s="1008"/>
      <c r="AS51" s="1031"/>
      <c r="AT51" s="1029"/>
      <c r="AU51" s="1030"/>
      <c r="AV51" s="1030"/>
      <c r="AW51" s="1018"/>
      <c r="AX51" s="1008"/>
      <c r="AY51" s="1031"/>
      <c r="AZ51" s="1030"/>
      <c r="BA51" s="1030"/>
      <c r="BB51" s="1030"/>
      <c r="BC51" s="1018"/>
      <c r="BD51" s="1008"/>
      <c r="BE51" s="1031"/>
      <c r="BF51" s="1030"/>
      <c r="BG51" s="1030"/>
      <c r="BH51" s="1030"/>
      <c r="BI51" s="1018"/>
      <c r="BJ51" s="1008"/>
      <c r="BK51" s="1031"/>
      <c r="BL51" s="1030"/>
      <c r="BM51" s="1030"/>
      <c r="BN51" s="1030"/>
      <c r="BO51" s="1018"/>
      <c r="BP51" s="1008"/>
      <c r="BQ51" s="1031"/>
      <c r="BR51" s="1030"/>
      <c r="BS51" s="1030"/>
      <c r="BT51" s="1030"/>
      <c r="BU51" s="1018"/>
      <c r="BV51" s="1008"/>
      <c r="BW51" s="1031"/>
      <c r="BX51" s="1030"/>
      <c r="BY51" s="1030"/>
      <c r="BZ51" s="1030"/>
      <c r="CA51" s="1018"/>
      <c r="CB51" s="971"/>
      <c r="CC51" s="1031"/>
      <c r="CD51" s="1030"/>
      <c r="CE51" s="1030"/>
      <c r="CF51" s="1030"/>
      <c r="CG51" s="1018"/>
      <c r="CH51" s="985"/>
      <c r="CI51" s="1031"/>
      <c r="CJ51" s="1030"/>
      <c r="CK51" s="1030"/>
      <c r="CL51" s="1030"/>
      <c r="CM51" s="1018"/>
      <c r="CN51" s="985"/>
      <c r="CO51" s="985"/>
      <c r="CP51" s="985"/>
    </row>
    <row r="52" spans="1:94">
      <c r="A52" s="981" t="s">
        <v>422</v>
      </c>
      <c r="B52" s="982" t="s">
        <v>113</v>
      </c>
      <c r="C52" s="1727">
        <v>0</v>
      </c>
      <c r="D52" s="1738">
        <f>BS!D38-BS!C38+BS!D40-BS!C40</f>
        <v>104</v>
      </c>
      <c r="E52" s="1738">
        <f>BS!E38-BS!D38+BS!E40-BS!D40</f>
        <v>222</v>
      </c>
      <c r="F52" s="1738">
        <f>BS!F38-BS!E38+BS!F40-BS!E40</f>
        <v>66</v>
      </c>
      <c r="G52" s="972">
        <f t="shared" ref="G52:G63" si="64">+SUM(C52:F52)</f>
        <v>392</v>
      </c>
      <c r="H52" s="982"/>
      <c r="I52" s="1727">
        <f>BS!I38-BS!F38+BS!I40-BS!F40</f>
        <v>99</v>
      </c>
      <c r="J52" s="1738">
        <f>BS!J38-BS!I38+BS!J40-BS!I40</f>
        <v>35</v>
      </c>
      <c r="K52" s="1738">
        <f>BS!K38-BS!J38+BS!K40-BS!J40</f>
        <v>132</v>
      </c>
      <c r="L52" s="1738">
        <f>BS!L38-BS!K38+BS!L40-BS!K40</f>
        <v>27</v>
      </c>
      <c r="M52" s="972">
        <f t="shared" ref="M52:M63" si="65">+SUM(I52:L52)</f>
        <v>293</v>
      </c>
      <c r="N52" s="982"/>
      <c r="O52" s="1727">
        <f>BS!O38-BS!L38+BS!O40-BS!L40</f>
        <v>49</v>
      </c>
      <c r="P52" s="1738">
        <f>BS!P38-BS!O38+BS!P40-BS!O40</f>
        <v>15</v>
      </c>
      <c r="Q52" s="1738">
        <f>BS!Q38-BS!P38+BS!Q40-BS!P40</f>
        <v>42</v>
      </c>
      <c r="R52" s="1738">
        <f>BS!R38-BS!Q38+BS!R40-BS!Q40</f>
        <v>36</v>
      </c>
      <c r="S52" s="972">
        <f t="shared" ref="S52:S63" si="66">+SUM(O52:R52)</f>
        <v>142</v>
      </c>
      <c r="T52" s="984"/>
      <c r="U52" s="1727">
        <f>BS!U38-BS!R38+BS!U40-BS!R40</f>
        <v>121</v>
      </c>
      <c r="V52" s="1738">
        <f>BS!V38-BS!U38+BS!V40-BS!U40</f>
        <v>129</v>
      </c>
      <c r="W52" s="1738">
        <f>BS!W38-BS!V38+BS!W40-BS!V40</f>
        <v>53</v>
      </c>
      <c r="X52" s="1738">
        <f>BS!X38-BS!W38+BS!X40-BS!W40</f>
        <v>49</v>
      </c>
      <c r="Y52" s="972">
        <f t="shared" ref="Y52:Y63" si="67">+SUM(U52:X52)</f>
        <v>352</v>
      </c>
      <c r="Z52" s="984"/>
      <c r="AA52" s="1727">
        <f>BS!AA38-BS!X38+BS!AA40-BS!X40</f>
        <v>156</v>
      </c>
      <c r="AB52" s="1738">
        <f>BS!AB38-BS!AA38+BS!AB40-BS!AA40</f>
        <v>80</v>
      </c>
      <c r="AC52" s="1738">
        <f>BS!AC38-BS!AB38+BS!AC40-BS!AB40</f>
        <v>108</v>
      </c>
      <c r="AD52" s="1738">
        <f>BS!AD38-BS!AC38+BS!AD40-BS!AC40</f>
        <v>17</v>
      </c>
      <c r="AE52" s="972">
        <f t="shared" ref="AE52:AE63" si="68">+SUM(AA52:AD52)</f>
        <v>361</v>
      </c>
      <c r="AF52" s="982"/>
      <c r="AG52" s="1727">
        <f>BS!AG38-BS!AD38+BS!AG40-BS!AD40</f>
        <v>55</v>
      </c>
      <c r="AH52" s="1738">
        <f>BS!AH38-BS!AG38+BS!AH40-BS!AG40</f>
        <v>34</v>
      </c>
      <c r="AI52" s="1738">
        <f>BS!AI38-BS!AH38+BS!AI40-BS!AH40</f>
        <v>43</v>
      </c>
      <c r="AJ52" s="1738">
        <f>BS!AJ38-BS!AI38+BS!AJ40-BS!AI40</f>
        <v>92</v>
      </c>
      <c r="AK52" s="972">
        <f t="shared" ref="AK52:AK63" si="69">+SUM(AG52:AJ52)</f>
        <v>224</v>
      </c>
      <c r="AL52" s="982"/>
      <c r="AM52" s="1727">
        <f>BS!AM38-BS!AJ38+BS!AM40-BS!AJ40</f>
        <v>73</v>
      </c>
      <c r="AN52" s="1738">
        <f>BS!AN38-BS!AM38+BS!AN40-BS!AM40</f>
        <v>34</v>
      </c>
      <c r="AO52" s="1738">
        <f>BS!AO38-BS!AN38+BS!AO40-BS!AN40</f>
        <v>64</v>
      </c>
      <c r="AP52" s="1738">
        <f>BS!AP38-BS!AO38+BS!AP40-BS!AO40</f>
        <v>63</v>
      </c>
      <c r="AQ52" s="972">
        <f t="shared" ref="AQ52:AQ63" si="70">+SUM(AM52:AP52)</f>
        <v>234</v>
      </c>
      <c r="AR52" s="982"/>
      <c r="AS52" s="1725">
        <v>73</v>
      </c>
      <c r="AT52" s="1724">
        <f>95-AS52</f>
        <v>22</v>
      </c>
      <c r="AU52" s="1738">
        <f>BS!AU38-BS!AT38+BS!AU40-BS!AT40</f>
        <v>37</v>
      </c>
      <c r="AV52" s="1726">
        <v>0</v>
      </c>
      <c r="AW52" s="894">
        <f t="shared" ref="AW52:AW63" si="71">+SUM(AS52:AV52)</f>
        <v>132</v>
      </c>
      <c r="AX52" s="982"/>
      <c r="AY52" s="1725">
        <v>8</v>
      </c>
      <c r="AZ52" s="1724">
        <f>40-AY52</f>
        <v>32</v>
      </c>
      <c r="BA52" s="1724">
        <f>57-SUM(AY52:AZ52)</f>
        <v>17</v>
      </c>
      <c r="BB52" s="1726">
        <f>58-SUM(AY52:BA52)</f>
        <v>1</v>
      </c>
      <c r="BC52" s="894">
        <f t="shared" ref="BC52:BC63" si="72">+SUM(AY52:BB52)</f>
        <v>58</v>
      </c>
      <c r="BD52" s="982"/>
      <c r="BE52" s="1725">
        <v>24</v>
      </c>
      <c r="BF52" s="1726">
        <f>32-BE52</f>
        <v>8</v>
      </c>
      <c r="BG52" s="1726">
        <f>59-SUM(BE52:BF52)</f>
        <v>27</v>
      </c>
      <c r="BH52" s="1726">
        <f>62-SUM(BE52:BG52)</f>
        <v>3</v>
      </c>
      <c r="BI52" s="894">
        <f t="shared" ref="BI52:BI57" si="73">+SUM(BE52:BH52)</f>
        <v>62</v>
      </c>
      <c r="BJ52" s="982"/>
      <c r="BK52" s="1725">
        <v>18</v>
      </c>
      <c r="BL52" s="1724">
        <f>26-BK52</f>
        <v>8</v>
      </c>
      <c r="BM52" s="1724">
        <f>58-SUM(BK52:BL52)</f>
        <v>32</v>
      </c>
      <c r="BN52" s="2427">
        <f>66-SUM(BK52:BM52)</f>
        <v>8</v>
      </c>
      <c r="BO52" s="894">
        <f t="shared" ref="BO52:BO57" si="74">+SUM(BK52:BN52)</f>
        <v>66</v>
      </c>
      <c r="BP52" s="982"/>
      <c r="BQ52" s="1725">
        <v>25</v>
      </c>
      <c r="BR52" s="1033">
        <f>(BU52-BQ52)/3</f>
        <v>1.2473333333333312</v>
      </c>
      <c r="BS52" s="1033">
        <f>(BU52-SUM(BQ52:BR52))/2</f>
        <v>1.2473333333333319</v>
      </c>
      <c r="BT52" s="1033">
        <f>BU52-SUM(BQ52:BS52)</f>
        <v>1.2473333333333336</v>
      </c>
      <c r="BU52" s="894">
        <f>BU103</f>
        <v>28.741999999999994</v>
      </c>
      <c r="BV52" s="982"/>
      <c r="BW52" s="1032">
        <f>CA52/4</f>
        <v>5.4322379999999999</v>
      </c>
      <c r="BX52" s="1033">
        <f>CA52/4</f>
        <v>5.4322379999999999</v>
      </c>
      <c r="BY52" s="1033">
        <f>CA52/4</f>
        <v>5.4322379999999999</v>
      </c>
      <c r="BZ52" s="1033">
        <f>CA52/4</f>
        <v>5.4322379999999999</v>
      </c>
      <c r="CA52" s="894">
        <f>CA103</f>
        <v>21.728952</v>
      </c>
      <c r="CB52" s="984"/>
      <c r="CC52" s="1032">
        <f>CG52/4</f>
        <v>4.1067719279999997</v>
      </c>
      <c r="CD52" s="1033">
        <f>CG52/4</f>
        <v>4.1067719279999997</v>
      </c>
      <c r="CE52" s="1033">
        <f>CG52/4</f>
        <v>4.1067719279999997</v>
      </c>
      <c r="CF52" s="1033">
        <f>CG52/4</f>
        <v>4.1067719279999997</v>
      </c>
      <c r="CG52" s="894">
        <f>CG103</f>
        <v>16.427087711999999</v>
      </c>
      <c r="CH52" s="985"/>
      <c r="CI52" s="1032">
        <f>CM52/4</f>
        <v>3.1047195775680008</v>
      </c>
      <c r="CJ52" s="1033">
        <f>CM52/4</f>
        <v>3.1047195775680008</v>
      </c>
      <c r="CK52" s="1033">
        <f>CM52/4</f>
        <v>3.1047195775680008</v>
      </c>
      <c r="CL52" s="1033">
        <f>CM52/4</f>
        <v>3.1047195775680008</v>
      </c>
      <c r="CM52" s="894">
        <f>CM103</f>
        <v>12.418878310272003</v>
      </c>
      <c r="CN52" s="985"/>
      <c r="CO52" s="985"/>
      <c r="CP52" s="985"/>
    </row>
    <row r="53" spans="1:94">
      <c r="A53" s="981" t="s">
        <v>423</v>
      </c>
      <c r="B53" s="982" t="s">
        <v>113</v>
      </c>
      <c r="C53" s="1727">
        <v>0</v>
      </c>
      <c r="D53" s="1738">
        <f>BS!D39-BS!C39</f>
        <v>-382</v>
      </c>
      <c r="E53" s="1738">
        <f>BS!E39-BS!D39</f>
        <v>-677</v>
      </c>
      <c r="F53" s="1738">
        <f>BS!F39-BS!E39</f>
        <v>-631</v>
      </c>
      <c r="G53" s="972">
        <f t="shared" si="64"/>
        <v>-1690</v>
      </c>
      <c r="H53" s="982"/>
      <c r="I53" s="1727">
        <f>BS!I39-BS!F39</f>
        <v>-237</v>
      </c>
      <c r="J53" s="1738">
        <f>BS!J39-BS!I39</f>
        <v>-263</v>
      </c>
      <c r="K53" s="1738">
        <f>BS!K39-BS!J39</f>
        <v>-250</v>
      </c>
      <c r="L53" s="1738">
        <f>BS!L39-BS!K39</f>
        <v>-251</v>
      </c>
      <c r="M53" s="972">
        <f t="shared" si="65"/>
        <v>-1001</v>
      </c>
      <c r="N53" s="982"/>
      <c r="O53" s="1727">
        <f>BS!O39-BS!L39</f>
        <v>-125</v>
      </c>
      <c r="P53" s="1738">
        <f>BS!P39-BS!O39</f>
        <v>-32</v>
      </c>
      <c r="Q53" s="1738">
        <f>BS!Q39-BS!P39</f>
        <v>0</v>
      </c>
      <c r="R53" s="1738">
        <f>BS!R39-BS!Q39</f>
        <v>0</v>
      </c>
      <c r="S53" s="972">
        <f t="shared" si="66"/>
        <v>-157</v>
      </c>
      <c r="T53" s="984"/>
      <c r="U53" s="1727">
        <f>BS!U39-BS!R39</f>
        <v>-100</v>
      </c>
      <c r="V53" s="1738">
        <f>BS!V39-BS!U39</f>
        <v>-165</v>
      </c>
      <c r="W53" s="1738">
        <f>BS!W39-BS!V39</f>
        <v>-94</v>
      </c>
      <c r="X53" s="1738">
        <f>BS!X39-BS!W39</f>
        <v>-52</v>
      </c>
      <c r="Y53" s="972">
        <f t="shared" si="67"/>
        <v>-411</v>
      </c>
      <c r="Z53" s="984"/>
      <c r="AA53" s="1727">
        <f>BS!AA39-BS!X39</f>
        <v>-270</v>
      </c>
      <c r="AB53" s="1738">
        <f>BS!AB39-BS!AA39</f>
        <v>0</v>
      </c>
      <c r="AC53" s="1738">
        <f>BS!AC39-BS!AB39</f>
        <v>-192</v>
      </c>
      <c r="AD53" s="1738">
        <f>BS!AD39-BS!AC39</f>
        <v>-35</v>
      </c>
      <c r="AE53" s="972">
        <f t="shared" si="68"/>
        <v>-497</v>
      </c>
      <c r="AF53" s="982"/>
      <c r="AG53" s="1727">
        <f>BS!AG39-BS!AD39</f>
        <v>-33</v>
      </c>
      <c r="AH53" s="1738">
        <f>BS!AH39-BS!AG39</f>
        <v>-44</v>
      </c>
      <c r="AI53" s="1738">
        <f>BS!AI39-BS!AH39</f>
        <v>0</v>
      </c>
      <c r="AJ53" s="1738">
        <f>BS!AJ39-BS!AI39</f>
        <v>-95</v>
      </c>
      <c r="AK53" s="972">
        <f t="shared" si="69"/>
        <v>-172</v>
      </c>
      <c r="AL53" s="982"/>
      <c r="AM53" s="1727">
        <f>BS!AM39-BS!AJ39</f>
        <v>-79</v>
      </c>
      <c r="AN53" s="1738">
        <f>BS!AN39-BS!AM39</f>
        <v>-140</v>
      </c>
      <c r="AO53" s="1738">
        <f>BS!AO39-BS!AN39</f>
        <v>-681</v>
      </c>
      <c r="AP53" s="1738">
        <f>BS!AP39-BS!AO39</f>
        <v>0</v>
      </c>
      <c r="AQ53" s="972">
        <f t="shared" si="70"/>
        <v>-900</v>
      </c>
      <c r="AR53" s="982"/>
      <c r="AS53" s="1725">
        <v>-100</v>
      </c>
      <c r="AT53" s="1724">
        <f>-150-AS53</f>
        <v>-50</v>
      </c>
      <c r="AU53" s="1738">
        <f>BS!AU39-BS!AT39</f>
        <v>-50</v>
      </c>
      <c r="AV53" s="1033">
        <f>AV107</f>
        <v>0</v>
      </c>
      <c r="AW53" s="894">
        <f t="shared" si="71"/>
        <v>-200</v>
      </c>
      <c r="AX53" s="982"/>
      <c r="AY53" s="1725">
        <v>-6</v>
      </c>
      <c r="AZ53" s="1724">
        <f>-168-AY53</f>
        <v>-162</v>
      </c>
      <c r="BA53" s="1724">
        <f>-267-SUM(AY53:AZ53)</f>
        <v>-99</v>
      </c>
      <c r="BB53" s="1726">
        <f>-267-SUM(AY53:BA53)</f>
        <v>0</v>
      </c>
      <c r="BC53" s="894">
        <f t="shared" si="72"/>
        <v>-267</v>
      </c>
      <c r="BD53" s="982"/>
      <c r="BE53" s="1725">
        <v>-200</v>
      </c>
      <c r="BF53" s="1726">
        <f>-294-BE53</f>
        <v>-94</v>
      </c>
      <c r="BG53" s="1726">
        <f>-388-SUM(BE53:BF53)</f>
        <v>-94</v>
      </c>
      <c r="BH53" s="1726">
        <f>-434-SUM(BE53:BG53)</f>
        <v>-46</v>
      </c>
      <c r="BI53" s="894">
        <f t="shared" si="73"/>
        <v>-434</v>
      </c>
      <c r="BJ53" s="982"/>
      <c r="BK53" s="1725">
        <v>-111</v>
      </c>
      <c r="BL53" s="1724">
        <f>-194-BK53</f>
        <v>-83</v>
      </c>
      <c r="BM53" s="1724">
        <f>-194-SUM(BK53:BL53)</f>
        <v>0</v>
      </c>
      <c r="BN53" s="2427">
        <f>-194-SUM(BK53:BM53)</f>
        <v>0</v>
      </c>
      <c r="BO53" s="894">
        <f t="shared" si="74"/>
        <v>-194</v>
      </c>
      <c r="BP53" s="982"/>
      <c r="BQ53" s="1725">
        <v>-47</v>
      </c>
      <c r="BR53" s="1033">
        <f>BR107</f>
        <v>-111</v>
      </c>
      <c r="BS53" s="1033">
        <f>BS107</f>
        <v>-111</v>
      </c>
      <c r="BT53" s="1033">
        <f>BT107</f>
        <v>-111</v>
      </c>
      <c r="BU53" s="894">
        <f>+SUM(BQ53:BT53)</f>
        <v>-380</v>
      </c>
      <c r="BV53" s="982"/>
      <c r="BW53" s="1032">
        <f>BW107</f>
        <v>-107.5</v>
      </c>
      <c r="BX53" s="1033">
        <f>BX107</f>
        <v>-107.5</v>
      </c>
      <c r="BY53" s="1033">
        <f>BY107</f>
        <v>-107.5</v>
      </c>
      <c r="BZ53" s="1033">
        <f>BZ107</f>
        <v>-107.5</v>
      </c>
      <c r="CA53" s="894">
        <f>+SUM(BW53:BZ53)</f>
        <v>-430</v>
      </c>
      <c r="CB53" s="984"/>
      <c r="CC53" s="1032">
        <f>CC107</f>
        <v>-107.5</v>
      </c>
      <c r="CD53" s="1033">
        <f>CD107</f>
        <v>-107.5</v>
      </c>
      <c r="CE53" s="1033">
        <f>CE107</f>
        <v>-107.5</v>
      </c>
      <c r="CF53" s="1033">
        <f>CF107</f>
        <v>-107.5</v>
      </c>
      <c r="CG53" s="894">
        <f>+SUM(CC53:CF53)</f>
        <v>-430</v>
      </c>
      <c r="CH53" s="985"/>
      <c r="CI53" s="1032">
        <f>CI107</f>
        <v>-107.5</v>
      </c>
      <c r="CJ53" s="1033">
        <f>CJ107</f>
        <v>-107.5</v>
      </c>
      <c r="CK53" s="1033">
        <f>CK107</f>
        <v>-107.5</v>
      </c>
      <c r="CL53" s="1033">
        <f>CL107</f>
        <v>-107.5</v>
      </c>
      <c r="CM53" s="894">
        <f>+SUM(CI53:CL53)</f>
        <v>-430</v>
      </c>
      <c r="CN53" s="985"/>
      <c r="CO53" s="985"/>
      <c r="CP53" s="985"/>
    </row>
    <row r="54" spans="1:94">
      <c r="A54" s="981" t="s">
        <v>424</v>
      </c>
      <c r="B54" s="982" t="s">
        <v>113</v>
      </c>
      <c r="C54" s="1727">
        <v>0</v>
      </c>
      <c r="D54" s="1738">
        <f>0-C54</f>
        <v>0</v>
      </c>
      <c r="E54" s="1738">
        <f>0-D54-C54</f>
        <v>0</v>
      </c>
      <c r="F54" s="1738">
        <f>0-E54-D54-C54</f>
        <v>0</v>
      </c>
      <c r="G54" s="894">
        <f t="shared" si="64"/>
        <v>0</v>
      </c>
      <c r="H54" s="982"/>
      <c r="I54" s="1727">
        <v>0</v>
      </c>
      <c r="J54" s="1738">
        <f>0-I54</f>
        <v>0</v>
      </c>
      <c r="K54" s="1738">
        <f>0-J54-I54</f>
        <v>0</v>
      </c>
      <c r="L54" s="1738">
        <f>0-K54-J54-I54</f>
        <v>0</v>
      </c>
      <c r="M54" s="894">
        <f t="shared" si="65"/>
        <v>0</v>
      </c>
      <c r="N54" s="982"/>
      <c r="O54" s="1727">
        <v>0</v>
      </c>
      <c r="P54" s="1738">
        <f>0-O54</f>
        <v>0</v>
      </c>
      <c r="Q54" s="1738">
        <f>0-P54-O54</f>
        <v>0</v>
      </c>
      <c r="R54" s="1738">
        <f>0-Q54-P54-O54</f>
        <v>0</v>
      </c>
      <c r="S54" s="894">
        <f t="shared" si="66"/>
        <v>0</v>
      </c>
      <c r="T54" s="984"/>
      <c r="U54" s="1727">
        <v>0</v>
      </c>
      <c r="V54" s="1738">
        <f>0-U54</f>
        <v>0</v>
      </c>
      <c r="W54" s="1738">
        <f>0-V54-U54</f>
        <v>0</v>
      </c>
      <c r="X54" s="1738">
        <f>0-W54-V54-U54</f>
        <v>0</v>
      </c>
      <c r="Y54" s="894">
        <f t="shared" si="67"/>
        <v>0</v>
      </c>
      <c r="Z54" s="984"/>
      <c r="AA54" s="1727">
        <v>0</v>
      </c>
      <c r="AB54" s="1738">
        <f>0-AA54</f>
        <v>0</v>
      </c>
      <c r="AC54" s="1738">
        <f>0-AB54-AA54</f>
        <v>0</v>
      </c>
      <c r="AD54" s="1738">
        <f>0-AC54-AB54-AA54</f>
        <v>0</v>
      </c>
      <c r="AE54" s="894">
        <f t="shared" si="68"/>
        <v>0</v>
      </c>
      <c r="AF54" s="982"/>
      <c r="AG54" s="1727">
        <v>0</v>
      </c>
      <c r="AH54" s="1738">
        <f>0-AG54</f>
        <v>0</v>
      </c>
      <c r="AI54" s="1738">
        <f>0-AH54-AG54</f>
        <v>0</v>
      </c>
      <c r="AJ54" s="1738">
        <f>0-AI54-AH54-AG54</f>
        <v>0</v>
      </c>
      <c r="AK54" s="894">
        <f t="shared" si="69"/>
        <v>0</v>
      </c>
      <c r="AL54" s="982"/>
      <c r="AM54" s="1727">
        <v>0</v>
      </c>
      <c r="AN54" s="1738">
        <f>0-AM54</f>
        <v>0</v>
      </c>
      <c r="AO54" s="1738">
        <f>0-AN54-AM54</f>
        <v>0</v>
      </c>
      <c r="AP54" s="1738">
        <f>0-AO54-AN54-AM54</f>
        <v>0</v>
      </c>
      <c r="AQ54" s="894">
        <f t="shared" si="70"/>
        <v>0</v>
      </c>
      <c r="AR54" s="982"/>
      <c r="AS54" s="1725">
        <v>-44</v>
      </c>
      <c r="AT54" s="1724">
        <f>-88-AS54</f>
        <v>-44</v>
      </c>
      <c r="AU54" s="1738">
        <f>-132-AT54-AS54</f>
        <v>-44</v>
      </c>
      <c r="AV54" s="1726">
        <f>-IS!AV34*0.132</f>
        <v>-44.088000000000001</v>
      </c>
      <c r="AW54" s="894">
        <f t="shared" si="71"/>
        <v>-176.08799999999999</v>
      </c>
      <c r="AX54" s="982"/>
      <c r="AY54" s="1725">
        <v>-34</v>
      </c>
      <c r="AZ54" s="1724">
        <f>-67-AY54</f>
        <v>-33</v>
      </c>
      <c r="BA54" s="1724">
        <f>-100-SUM(AY54:AZ54)</f>
        <v>-33</v>
      </c>
      <c r="BB54" s="1726">
        <f>-133-SUM(AY54:BA54)</f>
        <v>-33</v>
      </c>
      <c r="BC54" s="894">
        <f t="shared" si="72"/>
        <v>-133</v>
      </c>
      <c r="BD54" s="982"/>
      <c r="BE54" s="1725">
        <v>-38</v>
      </c>
      <c r="BF54" s="1726">
        <f>-75-BE54</f>
        <v>-37</v>
      </c>
      <c r="BG54" s="1726">
        <f>-112-SUM(BE54:BF54)</f>
        <v>-37</v>
      </c>
      <c r="BH54" s="1726">
        <f>-150-SUM(BE54:BG54)</f>
        <v>-38</v>
      </c>
      <c r="BI54" s="894">
        <f t="shared" si="73"/>
        <v>-150</v>
      </c>
      <c r="BJ54" s="982"/>
      <c r="BK54" s="1725">
        <v>-42</v>
      </c>
      <c r="BL54" s="1724">
        <f>-85-BK54</f>
        <v>-43</v>
      </c>
      <c r="BM54" s="1724">
        <f>-127-SUM(BK54:BL54)</f>
        <v>-42</v>
      </c>
      <c r="BN54" s="1726">
        <f>-170-SUM(BK54:BM54)</f>
        <v>-43</v>
      </c>
      <c r="BO54" s="894">
        <f t="shared" si="74"/>
        <v>-170</v>
      </c>
      <c r="BP54" s="982"/>
      <c r="BQ54" s="1725">
        <v>-48</v>
      </c>
      <c r="BR54" s="1726">
        <f>BQ54</f>
        <v>-48</v>
      </c>
      <c r="BS54" s="1726">
        <f>BR54</f>
        <v>-48</v>
      </c>
      <c r="BT54" s="1726">
        <f>BS54</f>
        <v>-48</v>
      </c>
      <c r="BU54" s="894">
        <f>+SUM(BQ54:BT54)</f>
        <v>-192</v>
      </c>
      <c r="BV54" s="982"/>
      <c r="BW54" s="1725">
        <f>+BT54*1.05</f>
        <v>-50.400000000000006</v>
      </c>
      <c r="BX54" s="1726">
        <f>BW54</f>
        <v>-50.400000000000006</v>
      </c>
      <c r="BY54" s="1726">
        <f>BX54</f>
        <v>-50.400000000000006</v>
      </c>
      <c r="BZ54" s="1726">
        <f>BY54</f>
        <v>-50.400000000000006</v>
      </c>
      <c r="CA54" s="894">
        <f>+SUM(BW54:BZ54)</f>
        <v>-201.60000000000002</v>
      </c>
      <c r="CB54" s="984"/>
      <c r="CC54" s="1725">
        <f>+BZ54*1.05</f>
        <v>-52.920000000000009</v>
      </c>
      <c r="CD54" s="1726">
        <f>CC54</f>
        <v>-52.920000000000009</v>
      </c>
      <c r="CE54" s="1726">
        <f>CD54</f>
        <v>-52.920000000000009</v>
      </c>
      <c r="CF54" s="1726">
        <f>CE54</f>
        <v>-52.920000000000009</v>
      </c>
      <c r="CG54" s="894">
        <f>+SUM(CC54:CF54)</f>
        <v>-211.68000000000004</v>
      </c>
      <c r="CH54" s="985"/>
      <c r="CI54" s="1725">
        <f>+CF54*1.05</f>
        <v>-55.56600000000001</v>
      </c>
      <c r="CJ54" s="1726">
        <f>CI54</f>
        <v>-55.56600000000001</v>
      </c>
      <c r="CK54" s="1726">
        <f>CJ54</f>
        <v>-55.56600000000001</v>
      </c>
      <c r="CL54" s="1726">
        <f>CK54</f>
        <v>-55.56600000000001</v>
      </c>
      <c r="CM54" s="894">
        <f>+SUM(CI54:CL54)</f>
        <v>-222.26400000000004</v>
      </c>
      <c r="CN54" s="985"/>
      <c r="CO54" s="985"/>
      <c r="CP54" s="1547"/>
    </row>
    <row r="55" spans="1:94" hidden="1" outlineLevel="1">
      <c r="A55" s="981" t="s">
        <v>425</v>
      </c>
      <c r="B55" s="982" t="s">
        <v>113</v>
      </c>
      <c r="C55" s="1727">
        <v>0</v>
      </c>
      <c r="D55" s="1738">
        <f>0-C55</f>
        <v>0</v>
      </c>
      <c r="E55" s="1738">
        <f>0-D55-C55</f>
        <v>0</v>
      </c>
      <c r="F55" s="1738">
        <f>0-E55-D55-C55</f>
        <v>0</v>
      </c>
      <c r="G55" s="894">
        <f t="shared" si="64"/>
        <v>0</v>
      </c>
      <c r="H55" s="982"/>
      <c r="I55" s="1727">
        <v>0</v>
      </c>
      <c r="J55" s="1738">
        <f>0-I55</f>
        <v>0</v>
      </c>
      <c r="K55" s="1738">
        <f>0-J55-I55</f>
        <v>0</v>
      </c>
      <c r="L55" s="1738">
        <f>0-K55-J55-I55</f>
        <v>0</v>
      </c>
      <c r="M55" s="894">
        <f t="shared" si="65"/>
        <v>0</v>
      </c>
      <c r="N55" s="982"/>
      <c r="O55" s="1727">
        <v>0</v>
      </c>
      <c r="P55" s="1738">
        <f>0-O55</f>
        <v>0</v>
      </c>
      <c r="Q55" s="1738">
        <f>0-P55-O55</f>
        <v>0</v>
      </c>
      <c r="R55" s="1738">
        <f>0-Q55-P55-O55</f>
        <v>0</v>
      </c>
      <c r="S55" s="894">
        <f t="shared" si="66"/>
        <v>0</v>
      </c>
      <c r="T55" s="982"/>
      <c r="U55" s="1727">
        <v>0</v>
      </c>
      <c r="V55" s="1738">
        <f>0-U55</f>
        <v>0</v>
      </c>
      <c r="W55" s="1738">
        <f>0-V55-U55</f>
        <v>0</v>
      </c>
      <c r="X55" s="1738">
        <f>0-W55-V55-U55</f>
        <v>0</v>
      </c>
      <c r="Y55" s="894">
        <f t="shared" si="67"/>
        <v>0</v>
      </c>
      <c r="Z55" s="982"/>
      <c r="AA55" s="1727">
        <v>0</v>
      </c>
      <c r="AB55" s="1738">
        <f>0-AA55</f>
        <v>0</v>
      </c>
      <c r="AC55" s="1738">
        <f>0-AB55-AA55</f>
        <v>0</v>
      </c>
      <c r="AD55" s="1738">
        <f>0-AC55-AB55-AA55</f>
        <v>0</v>
      </c>
      <c r="AE55" s="894">
        <f t="shared" si="68"/>
        <v>0</v>
      </c>
      <c r="AF55" s="982"/>
      <c r="AG55" s="1727">
        <v>0</v>
      </c>
      <c r="AH55" s="1738">
        <f>0-AG55</f>
        <v>0</v>
      </c>
      <c r="AI55" s="1738">
        <f>0-AH55-AG55</f>
        <v>0</v>
      </c>
      <c r="AJ55" s="1738">
        <f>0-AI55-AH55-AG55</f>
        <v>0</v>
      </c>
      <c r="AK55" s="894">
        <f t="shared" si="69"/>
        <v>0</v>
      </c>
      <c r="AL55" s="982"/>
      <c r="AM55" s="1727">
        <v>0</v>
      </c>
      <c r="AN55" s="1738">
        <f>0-AM55</f>
        <v>0</v>
      </c>
      <c r="AO55" s="1738">
        <f>0-AN55-AM55</f>
        <v>0</v>
      </c>
      <c r="AP55" s="1738">
        <f>0-AO55-AN55-AM55</f>
        <v>0</v>
      </c>
      <c r="AQ55" s="894">
        <f t="shared" si="70"/>
        <v>0</v>
      </c>
      <c r="AR55" s="982"/>
      <c r="AS55" s="1725">
        <v>0</v>
      </c>
      <c r="AT55" s="1724">
        <f t="shared" ref="AT55:AT63" si="75">0-AS55</f>
        <v>0</v>
      </c>
      <c r="AU55" s="1738">
        <f>0-AT55</f>
        <v>0</v>
      </c>
      <c r="AV55" s="1726">
        <v>0</v>
      </c>
      <c r="AW55" s="894">
        <f t="shared" si="71"/>
        <v>0</v>
      </c>
      <c r="AX55" s="982"/>
      <c r="AY55" s="1725">
        <v>0</v>
      </c>
      <c r="AZ55" s="1724">
        <f t="shared" ref="AZ55:AZ65" si="76">0-AY55</f>
        <v>0</v>
      </c>
      <c r="BA55" s="1724">
        <f t="shared" ref="BA55:BA65" si="77">0-SUM(AY55:AZ55)</f>
        <v>0</v>
      </c>
      <c r="BB55" s="1726">
        <f t="shared" ref="BB55:BB65" si="78">0-SUM(AY55:BA55)</f>
        <v>0</v>
      </c>
      <c r="BC55" s="894">
        <f t="shared" si="72"/>
        <v>0</v>
      </c>
      <c r="BD55" s="982"/>
      <c r="BE55" s="1725">
        <v>0</v>
      </c>
      <c r="BF55" s="1726">
        <f t="shared" ref="BF55:BF63" si="79">0-BE55</f>
        <v>0</v>
      </c>
      <c r="BG55" s="1726">
        <f t="shared" ref="BG55:BG65" si="80">0-SUM(BE55:BF55)</f>
        <v>0</v>
      </c>
      <c r="BH55" s="1726">
        <f t="shared" ref="BH55:BH65" si="81">0-SUM(BE55:BG55)</f>
        <v>0</v>
      </c>
      <c r="BI55" s="894">
        <f t="shared" si="73"/>
        <v>0</v>
      </c>
      <c r="BJ55" s="982"/>
      <c r="BK55" s="1725">
        <v>0</v>
      </c>
      <c r="BL55" s="1724">
        <f t="shared" ref="BL55:BL65" si="82">0-BK55</f>
        <v>0</v>
      </c>
      <c r="BM55" s="1724">
        <f t="shared" ref="BM55:BM65" si="83">0-SUM(BK55:BL55)</f>
        <v>0</v>
      </c>
      <c r="BN55" s="1726">
        <v>0</v>
      </c>
      <c r="BO55" s="894">
        <f t="shared" si="74"/>
        <v>0</v>
      </c>
      <c r="BP55" s="982"/>
      <c r="BQ55" s="1725">
        <v>0</v>
      </c>
      <c r="BR55" s="1726">
        <v>0</v>
      </c>
      <c r="BS55" s="1726">
        <v>0</v>
      </c>
      <c r="BT55" s="1726">
        <v>0</v>
      </c>
      <c r="BU55" s="894">
        <f>+SUM(BQ55:BT55)</f>
        <v>0</v>
      </c>
      <c r="BV55" s="982"/>
      <c r="BW55" s="1725">
        <v>0</v>
      </c>
      <c r="BX55" s="1726">
        <v>0</v>
      </c>
      <c r="BY55" s="1726">
        <v>0</v>
      </c>
      <c r="BZ55" s="1726">
        <v>0</v>
      </c>
      <c r="CA55" s="894">
        <f>+SUM(BW55:BZ55)</f>
        <v>0</v>
      </c>
      <c r="CB55" s="984"/>
      <c r="CC55" s="1725">
        <v>0</v>
      </c>
      <c r="CD55" s="1726">
        <v>0</v>
      </c>
      <c r="CE55" s="1726">
        <v>0</v>
      </c>
      <c r="CF55" s="1726">
        <v>0</v>
      </c>
      <c r="CG55" s="894">
        <f>+SUM(CC55:CF55)</f>
        <v>0</v>
      </c>
      <c r="CH55" s="985"/>
      <c r="CI55" s="1725">
        <v>0</v>
      </c>
      <c r="CJ55" s="1726">
        <v>0</v>
      </c>
      <c r="CK55" s="1726">
        <v>0</v>
      </c>
      <c r="CL55" s="1726">
        <v>0</v>
      </c>
      <c r="CM55" s="894">
        <f>+SUM(CI55:CL55)</f>
        <v>0</v>
      </c>
      <c r="CN55" s="985"/>
      <c r="CO55" s="985"/>
      <c r="CP55" s="985"/>
    </row>
    <row r="56" spans="1:94" hidden="1" outlineLevel="1">
      <c r="A56" s="981" t="s">
        <v>426</v>
      </c>
      <c r="B56" s="982" t="s">
        <v>113</v>
      </c>
      <c r="C56" s="1727">
        <v>0</v>
      </c>
      <c r="D56" s="1738">
        <f>0-C56</f>
        <v>0</v>
      </c>
      <c r="E56" s="1738">
        <f>0-D56-C56</f>
        <v>0</v>
      </c>
      <c r="F56" s="1738">
        <f>0-E56-D56-C56</f>
        <v>0</v>
      </c>
      <c r="G56" s="894">
        <f t="shared" si="64"/>
        <v>0</v>
      </c>
      <c r="H56" s="982"/>
      <c r="I56" s="1727">
        <v>0</v>
      </c>
      <c r="J56" s="1738">
        <f>0-I56</f>
        <v>0</v>
      </c>
      <c r="K56" s="1738">
        <f>0-J56-I56</f>
        <v>0</v>
      </c>
      <c r="L56" s="1738">
        <f>0-K56-J56-I56</f>
        <v>0</v>
      </c>
      <c r="M56" s="894">
        <f t="shared" si="65"/>
        <v>0</v>
      </c>
      <c r="N56" s="982"/>
      <c r="O56" s="1727">
        <v>0</v>
      </c>
      <c r="P56" s="1738">
        <f>0-O56</f>
        <v>0</v>
      </c>
      <c r="Q56" s="1738">
        <f>0-P56-O56</f>
        <v>0</v>
      </c>
      <c r="R56" s="1738">
        <f>0-Q56-P56-O56</f>
        <v>0</v>
      </c>
      <c r="S56" s="894">
        <f t="shared" si="66"/>
        <v>0</v>
      </c>
      <c r="T56" s="982"/>
      <c r="U56" s="1727">
        <v>0</v>
      </c>
      <c r="V56" s="1738">
        <f>0-U56</f>
        <v>0</v>
      </c>
      <c r="W56" s="1738">
        <f>0-V56-U56</f>
        <v>0</v>
      </c>
      <c r="X56" s="1738">
        <f>0-W56-V56-U56</f>
        <v>0</v>
      </c>
      <c r="Y56" s="894">
        <f t="shared" si="67"/>
        <v>0</v>
      </c>
      <c r="Z56" s="982"/>
      <c r="AA56" s="1727">
        <v>0</v>
      </c>
      <c r="AB56" s="1738">
        <f>0-AA56</f>
        <v>0</v>
      </c>
      <c r="AC56" s="1738">
        <f>0-AB56-AA56</f>
        <v>0</v>
      </c>
      <c r="AD56" s="1738">
        <f>0-AC56-AB56-AA56</f>
        <v>0</v>
      </c>
      <c r="AE56" s="894">
        <f t="shared" si="68"/>
        <v>0</v>
      </c>
      <c r="AF56" s="982"/>
      <c r="AG56" s="1727">
        <v>0</v>
      </c>
      <c r="AH56" s="1738">
        <f>0-AG56</f>
        <v>0</v>
      </c>
      <c r="AI56" s="1738">
        <f>0-AH56-AG56</f>
        <v>0</v>
      </c>
      <c r="AJ56" s="1738">
        <f>0-AI56-AH56-AG56</f>
        <v>0</v>
      </c>
      <c r="AK56" s="894">
        <f t="shared" si="69"/>
        <v>0</v>
      </c>
      <c r="AL56" s="982"/>
      <c r="AM56" s="1727">
        <v>0</v>
      </c>
      <c r="AN56" s="1738">
        <f>0-AM56</f>
        <v>0</v>
      </c>
      <c r="AO56" s="1738">
        <f>0-AN56-AM56</f>
        <v>0</v>
      </c>
      <c r="AP56" s="1738">
        <f>0-AO56-AN56-AM56</f>
        <v>0</v>
      </c>
      <c r="AQ56" s="894">
        <f t="shared" si="70"/>
        <v>0</v>
      </c>
      <c r="AR56" s="982"/>
      <c r="AS56" s="1725">
        <v>0</v>
      </c>
      <c r="AT56" s="1724">
        <f t="shared" si="75"/>
        <v>0</v>
      </c>
      <c r="AU56" s="1738">
        <f>0-AT56</f>
        <v>0</v>
      </c>
      <c r="AV56" s="1726">
        <v>0</v>
      </c>
      <c r="AW56" s="894">
        <f t="shared" si="71"/>
        <v>0</v>
      </c>
      <c r="AX56" s="982"/>
      <c r="AY56" s="1725">
        <v>0</v>
      </c>
      <c r="AZ56" s="1724">
        <f t="shared" si="76"/>
        <v>0</v>
      </c>
      <c r="BA56" s="1724">
        <f t="shared" si="77"/>
        <v>0</v>
      </c>
      <c r="BB56" s="1726">
        <f t="shared" si="78"/>
        <v>0</v>
      </c>
      <c r="BC56" s="894">
        <f t="shared" si="72"/>
        <v>0</v>
      </c>
      <c r="BD56" s="982"/>
      <c r="BE56" s="1725">
        <v>0</v>
      </c>
      <c r="BF56" s="1726">
        <f t="shared" si="79"/>
        <v>0</v>
      </c>
      <c r="BG56" s="1726">
        <f t="shared" si="80"/>
        <v>0</v>
      </c>
      <c r="BH56" s="1726">
        <f t="shared" si="81"/>
        <v>0</v>
      </c>
      <c r="BI56" s="894">
        <f t="shared" si="73"/>
        <v>0</v>
      </c>
      <c r="BJ56" s="982"/>
      <c r="BK56" s="1725">
        <v>0</v>
      </c>
      <c r="BL56" s="1724">
        <f t="shared" si="82"/>
        <v>0</v>
      </c>
      <c r="BM56" s="1724">
        <f t="shared" si="83"/>
        <v>0</v>
      </c>
      <c r="BN56" s="1726">
        <v>0</v>
      </c>
      <c r="BO56" s="894">
        <f t="shared" si="74"/>
        <v>0</v>
      </c>
      <c r="BP56" s="982"/>
      <c r="BQ56" s="1725">
        <v>0</v>
      </c>
      <c r="BR56" s="1726">
        <v>0</v>
      </c>
      <c r="BS56" s="1726">
        <v>0</v>
      </c>
      <c r="BT56" s="1726">
        <v>0</v>
      </c>
      <c r="BU56" s="894">
        <f>+SUM(BQ56:BT56)</f>
        <v>0</v>
      </c>
      <c r="BV56" s="982"/>
      <c r="BW56" s="1725">
        <v>0</v>
      </c>
      <c r="BX56" s="1726">
        <v>0</v>
      </c>
      <c r="BY56" s="1726">
        <v>0</v>
      </c>
      <c r="BZ56" s="1726">
        <v>0</v>
      </c>
      <c r="CA56" s="894">
        <f>+SUM(BW56:BZ56)</f>
        <v>0</v>
      </c>
      <c r="CB56" s="984"/>
      <c r="CC56" s="1725">
        <v>0</v>
      </c>
      <c r="CD56" s="1726">
        <v>0</v>
      </c>
      <c r="CE56" s="1726">
        <v>0</v>
      </c>
      <c r="CF56" s="1726">
        <v>0</v>
      </c>
      <c r="CG56" s="894">
        <f>+SUM(CC56:CF56)</f>
        <v>0</v>
      </c>
      <c r="CH56" s="985"/>
      <c r="CI56" s="1725">
        <v>0</v>
      </c>
      <c r="CJ56" s="1726">
        <v>0</v>
      </c>
      <c r="CK56" s="1726">
        <v>0</v>
      </c>
      <c r="CL56" s="1726">
        <v>0</v>
      </c>
      <c r="CM56" s="894">
        <f>+SUM(CI56:CL56)</f>
        <v>0</v>
      </c>
      <c r="CN56" s="985"/>
      <c r="CO56" s="985"/>
      <c r="CP56" s="985"/>
    </row>
    <row r="57" spans="1:94" collapsed="1">
      <c r="A57" s="981" t="s">
        <v>138</v>
      </c>
      <c r="B57" s="982" t="s">
        <v>113</v>
      </c>
      <c r="C57" s="1727">
        <f>BS!C9-(C74+C33+C49+SUM(C52:C56,C58:C63,C65)+C69)</f>
        <v>-270.35555555555538</v>
      </c>
      <c r="D57" s="1738">
        <f>BS!D9-(D74+D33+D49+SUM(D52:D56,D58:D63,D65)+D69)</f>
        <v>140.90859494356482</v>
      </c>
      <c r="E57" s="1738">
        <f>BS!E9-(E74+E33+E49+SUM(E52:E56,E58:E63,E65)+E69)</f>
        <v>-65.554661159588932</v>
      </c>
      <c r="F57" s="1738">
        <f>BS!F9-(F74+F33+F49+SUM(F52:F56,F58:F63,F65)+F69)</f>
        <v>363.99842825617247</v>
      </c>
      <c r="G57" s="972">
        <f t="shared" si="64"/>
        <v>168.99680648459298</v>
      </c>
      <c r="H57" s="982"/>
      <c r="I57" s="1727">
        <f>BS!I9-(I74+I33+I49+SUM(I52:I56,I58:I63,I65)+I69)</f>
        <v>-640.0271952963235</v>
      </c>
      <c r="J57" s="1738">
        <f>BS!J9-(J74+J33+J49+SUM(J52:J56,J58:J63,J65)+J69)</f>
        <v>209.2869542668368</v>
      </c>
      <c r="K57" s="1738">
        <f>BS!K9-(K74+K33+K49+SUM(K52:K56,K58:K63,K65)+K69)</f>
        <v>27.962549907552329</v>
      </c>
      <c r="L57" s="1738">
        <f>BS!L9-(L74+L33+L49+SUM(L52:L56,L58:L63,L65)+L69)</f>
        <v>265.37152481929797</v>
      </c>
      <c r="M57" s="972">
        <f t="shared" si="65"/>
        <v>-137.40616630263639</v>
      </c>
      <c r="N57" s="982"/>
      <c r="O57" s="1727">
        <f>BS!O9-(O74+O33+O49+SUM(O52:O56,O58:O63,O65)+O69)</f>
        <v>-776.33798222532369</v>
      </c>
      <c r="P57" s="1738">
        <f>BS!P9-(P74+P33+P49+SUM(P52:P56,P58:P63,P65)+P69)</f>
        <v>-21.685102890875214</v>
      </c>
      <c r="Q57" s="1738">
        <f>BS!Q9-(Q74+Q33+Q49+SUM(Q52:Q56,Q58:Q63,Q65)+Q69)</f>
        <v>-91.129012048422283</v>
      </c>
      <c r="R57" s="1738">
        <f>BS!R9-(R74+R33+R49+SUM(R52:R56,R58:R63,R65)+R69)</f>
        <v>9.7044286938289588</v>
      </c>
      <c r="S57" s="972">
        <f t="shared" si="66"/>
        <v>-879.44766847079222</v>
      </c>
      <c r="T57" s="982"/>
      <c r="U57" s="1727">
        <f>BS!U9-(U74+U33+U49+SUM(U52:U56,U58:U63,U65)+U69)</f>
        <v>-92.767825471310061</v>
      </c>
      <c r="V57" s="1738">
        <f>BS!V9-(V74+V33+V49+SUM(V52:V56,V58:V63,V65)+V69)</f>
        <v>137.58996902239551</v>
      </c>
      <c r="W57" s="1738">
        <f>BS!W9-(W74+W33+W49+SUM(W52:W56,W58:W63,W65)+W69)</f>
        <v>-10.273476062977352</v>
      </c>
      <c r="X57" s="1738">
        <f>BS!X9-(X74+X33+X49+SUM(X52:X56,X58:X63,X65)+X69)</f>
        <v>325.50372255489992</v>
      </c>
      <c r="Y57" s="972">
        <f t="shared" si="67"/>
        <v>360.05239004300802</v>
      </c>
      <c r="Z57" s="982"/>
      <c r="AA57" s="1727">
        <f>BS!AA9-(AA74+AA33+AA49+SUM(AA52:AA56,AA58:AA63,AA65)+AA69)</f>
        <v>-24.751629743846934</v>
      </c>
      <c r="AB57" s="1738">
        <f>BS!AB9-(AB74+AB33+AB49+SUM(AB52:AB56,AB58:AB63,AB65)+AB69)</f>
        <v>340.57041447175197</v>
      </c>
      <c r="AC57" s="1738">
        <f>BS!AC9-(AC74+AC33+AC49+SUM(AC52:AC56,AC58:AC63,AC65)+AC69)</f>
        <v>109.19550287823904</v>
      </c>
      <c r="AD57" s="1738">
        <f>BS!AD9-(AD74+AD33+AD49+SUM(AD52:AD56,AD58:AD63,AD65)+AD69)</f>
        <v>288.34988712291124</v>
      </c>
      <c r="AE57" s="972">
        <f t="shared" si="68"/>
        <v>713.36417472905532</v>
      </c>
      <c r="AF57" s="982"/>
      <c r="AG57" s="1727">
        <f>BS!AG9-(AG74+AG33+AG49+SUM(AG52:AG56,AG58:AG63,AG65)+AG69)</f>
        <v>-104.55638219026923</v>
      </c>
      <c r="AH57" s="1738">
        <f>BS!AH9-(AH74+AH33+AH49+SUM(AH52:AH56,AH58:AH63,AH65)+AH69)</f>
        <v>232.50450807326615</v>
      </c>
      <c r="AI57" s="1738">
        <f>BS!AI9-(AI74+AI33+AI49+SUM(AI52:AI56,AI58:AI63,AI65)+AI69)</f>
        <v>91.861672493758761</v>
      </c>
      <c r="AJ57" s="1738">
        <f>BS!AJ9-(AJ74+AJ33+AJ49+SUM(AJ52:AJ56,AJ58:AJ63,AJ65)+AJ69)</f>
        <v>360.86857474072622</v>
      </c>
      <c r="AK57" s="972">
        <f t="shared" si="69"/>
        <v>580.6783731174819</v>
      </c>
      <c r="AL57" s="982"/>
      <c r="AM57" s="1727">
        <f>BS!AM9-(AM74+AM33+AM49+SUM(AM52:AM56,AM58:AM63,AM65)+AM69)</f>
        <v>-40.742363068269242</v>
      </c>
      <c r="AN57" s="1738">
        <f>BS!AN9-(AN74+AN33+AN49+SUM(AN52:AN56,AN58:AN63,AN65)+AN69)</f>
        <v>136.18572704537473</v>
      </c>
      <c r="AO57" s="1738">
        <f>BS!AO9-(AO74+AO33+AO49+SUM(AO52:AO56,AO58:AO63,AO65)+AO69)</f>
        <v>-37.330400769866174</v>
      </c>
      <c r="AP57" s="1738">
        <f>BS!AP9-(AP74+AP33+AP49+SUM(AP52:AP56,AP58:AP63,AP65)+AP69)</f>
        <v>133.35730706303139</v>
      </c>
      <c r="AQ57" s="972">
        <f t="shared" si="70"/>
        <v>191.4702702702707</v>
      </c>
      <c r="AR57" s="982"/>
      <c r="AS57" s="1725">
        <v>3</v>
      </c>
      <c r="AT57" s="1724">
        <f>3-AS57</f>
        <v>0</v>
      </c>
      <c r="AU57" s="1738">
        <f>BS!AU9-(AU74+AU33+AU49+SUM(AU52:AU56,AU58:AU63,AU65)+AU69)</f>
        <v>-63.528863789474144</v>
      </c>
      <c r="AV57" s="1726">
        <v>500</v>
      </c>
      <c r="AW57" s="894">
        <f t="shared" si="71"/>
        <v>439.47113621052586</v>
      </c>
      <c r="AX57" s="982"/>
      <c r="AY57" s="1725">
        <v>-796</v>
      </c>
      <c r="AZ57" s="1724">
        <f>-734-AY57</f>
        <v>62</v>
      </c>
      <c r="BA57" s="1724">
        <f>-734+5-SUM(AY57:AZ57)</f>
        <v>5</v>
      </c>
      <c r="BB57" s="1726">
        <f>-734+8-SUM(AY57:BA57)</f>
        <v>3</v>
      </c>
      <c r="BC57" s="894">
        <f>+SUM(AY57:BB57)</f>
        <v>-726</v>
      </c>
      <c r="BD57" s="982"/>
      <c r="BE57" s="1725">
        <v>2</v>
      </c>
      <c r="BF57" s="1726">
        <f t="shared" si="79"/>
        <v>-2</v>
      </c>
      <c r="BG57" s="1726">
        <f>-6-SUM(BE57:BF57)</f>
        <v>-6</v>
      </c>
      <c r="BH57" s="1726">
        <f>-6-SUM(BE57:BG57)</f>
        <v>0</v>
      </c>
      <c r="BI57" s="894">
        <f t="shared" si="73"/>
        <v>-6</v>
      </c>
      <c r="BJ57" s="982"/>
      <c r="BK57" s="1725">
        <v>-12</v>
      </c>
      <c r="BL57" s="1724">
        <f>-13-BK57</f>
        <v>-1</v>
      </c>
      <c r="BM57" s="1724">
        <f>-13-SUM(BK57:BL57)</f>
        <v>0</v>
      </c>
      <c r="BN57" s="1726">
        <f>-14-SUM(BK57:BM57)</f>
        <v>-1</v>
      </c>
      <c r="BO57" s="894">
        <f t="shared" si="74"/>
        <v>-14</v>
      </c>
      <c r="BP57" s="982"/>
      <c r="BQ57" s="1725">
        <f>-28</f>
        <v>-28</v>
      </c>
      <c r="BR57" s="1726">
        <v>0</v>
      </c>
      <c r="BS57" s="1726">
        <v>0</v>
      </c>
      <c r="BT57" s="1726">
        <v>0</v>
      </c>
      <c r="BU57" s="894">
        <f>+SUM(BQ57:BT57)</f>
        <v>-28</v>
      </c>
      <c r="BV57" s="982"/>
      <c r="BW57" s="1725">
        <v>0</v>
      </c>
      <c r="BX57" s="1726">
        <v>0</v>
      </c>
      <c r="BY57" s="1726">
        <v>0</v>
      </c>
      <c r="BZ57" s="1726">
        <v>0</v>
      </c>
      <c r="CA57" s="894">
        <f>+SUM(BW57:BZ57)</f>
        <v>0</v>
      </c>
      <c r="CB57" s="984"/>
      <c r="CC57" s="1725">
        <v>0</v>
      </c>
      <c r="CD57" s="1726">
        <v>0</v>
      </c>
      <c r="CE57" s="1726">
        <v>0</v>
      </c>
      <c r="CF57" s="1726">
        <v>0</v>
      </c>
      <c r="CG57" s="894">
        <f>+SUM(CC57:CF57)</f>
        <v>0</v>
      </c>
      <c r="CH57" s="985"/>
      <c r="CI57" s="1725">
        <v>0</v>
      </c>
      <c r="CJ57" s="1726">
        <v>0</v>
      </c>
      <c r="CK57" s="1726">
        <v>0</v>
      </c>
      <c r="CL57" s="1726">
        <v>0</v>
      </c>
      <c r="CM57" s="894">
        <f>+SUM(CI57:CL57)</f>
        <v>0</v>
      </c>
      <c r="CN57" s="985"/>
      <c r="CO57" s="985"/>
      <c r="CP57" s="985"/>
    </row>
    <row r="58" spans="1:94" hidden="1" outlineLevel="1">
      <c r="A58" s="981" t="s">
        <v>427</v>
      </c>
      <c r="B58" s="982" t="s">
        <v>113</v>
      </c>
      <c r="C58" s="1727">
        <v>0</v>
      </c>
      <c r="D58" s="1738">
        <f>0-C58</f>
        <v>0</v>
      </c>
      <c r="E58" s="1738">
        <f>0-D58-C58</f>
        <v>0</v>
      </c>
      <c r="F58" s="1738">
        <f>0-E58-D58-C58</f>
        <v>0</v>
      </c>
      <c r="G58" s="894">
        <f t="shared" si="64"/>
        <v>0</v>
      </c>
      <c r="H58" s="982"/>
      <c r="I58" s="1727">
        <v>0</v>
      </c>
      <c r="J58" s="1738">
        <f>0-I58</f>
        <v>0</v>
      </c>
      <c r="K58" s="1738">
        <f>0-J58-I58</f>
        <v>0</v>
      </c>
      <c r="L58" s="1738">
        <f>0-K58-J58-I58</f>
        <v>0</v>
      </c>
      <c r="M58" s="894">
        <f t="shared" si="65"/>
        <v>0</v>
      </c>
      <c r="N58" s="982"/>
      <c r="O58" s="1727">
        <v>0</v>
      </c>
      <c r="P58" s="1738">
        <f>0-O58</f>
        <v>0</v>
      </c>
      <c r="Q58" s="1738">
        <f>0-P58-O58</f>
        <v>0</v>
      </c>
      <c r="R58" s="1738">
        <f>0-Q58-P58-O58</f>
        <v>0</v>
      </c>
      <c r="S58" s="894">
        <f t="shared" si="66"/>
        <v>0</v>
      </c>
      <c r="T58" s="982"/>
      <c r="U58" s="1727">
        <v>0</v>
      </c>
      <c r="V58" s="1738">
        <f>0-U58</f>
        <v>0</v>
      </c>
      <c r="W58" s="1738">
        <f>0-V58-U58</f>
        <v>0</v>
      </c>
      <c r="X58" s="1738">
        <f>0-W58-V58-U58</f>
        <v>0</v>
      </c>
      <c r="Y58" s="894">
        <f t="shared" si="67"/>
        <v>0</v>
      </c>
      <c r="Z58" s="982"/>
      <c r="AA58" s="1727">
        <v>0</v>
      </c>
      <c r="AB58" s="1738">
        <f>0-AA58</f>
        <v>0</v>
      </c>
      <c r="AC58" s="1738">
        <f>0-AB58-AA58</f>
        <v>0</v>
      </c>
      <c r="AD58" s="1738">
        <f>0-AC58-AB58-AA58</f>
        <v>0</v>
      </c>
      <c r="AE58" s="894">
        <f t="shared" si="68"/>
        <v>0</v>
      </c>
      <c r="AF58" s="982"/>
      <c r="AG58" s="1727">
        <v>0</v>
      </c>
      <c r="AH58" s="1738">
        <f>0-AG58</f>
        <v>0</v>
      </c>
      <c r="AI58" s="1738">
        <f>0-AH58-AG58</f>
        <v>0</v>
      </c>
      <c r="AJ58" s="1738">
        <f>0-AI58-AH58-AG58</f>
        <v>0</v>
      </c>
      <c r="AK58" s="894">
        <f t="shared" si="69"/>
        <v>0</v>
      </c>
      <c r="AL58" s="982"/>
      <c r="AM58" s="1727">
        <v>0</v>
      </c>
      <c r="AN58" s="1738">
        <f>0-AM58</f>
        <v>0</v>
      </c>
      <c r="AO58" s="1738">
        <f>0-AN58-AM58</f>
        <v>0</v>
      </c>
      <c r="AP58" s="1738">
        <f>0-AO58-AN58-AM58</f>
        <v>0</v>
      </c>
      <c r="AQ58" s="894">
        <f t="shared" si="70"/>
        <v>0</v>
      </c>
      <c r="AR58" s="982"/>
      <c r="AS58" s="1725">
        <v>0</v>
      </c>
      <c r="AT58" s="1724">
        <f t="shared" si="75"/>
        <v>0</v>
      </c>
      <c r="AU58" s="1738">
        <f>0-AT58</f>
        <v>0</v>
      </c>
      <c r="AV58" s="1726">
        <v>0</v>
      </c>
      <c r="AW58" s="894">
        <f t="shared" si="71"/>
        <v>0</v>
      </c>
      <c r="AX58" s="982"/>
      <c r="AY58" s="1725">
        <v>0</v>
      </c>
      <c r="AZ58" s="1724">
        <f t="shared" si="76"/>
        <v>0</v>
      </c>
      <c r="BA58" s="1724">
        <f t="shared" si="77"/>
        <v>0</v>
      </c>
      <c r="BB58" s="1726">
        <f t="shared" si="78"/>
        <v>0</v>
      </c>
      <c r="BC58" s="894">
        <f t="shared" si="72"/>
        <v>0</v>
      </c>
      <c r="BD58" s="982"/>
      <c r="BE58" s="1725">
        <v>100</v>
      </c>
      <c r="BF58" s="1726">
        <f>255-BE58</f>
        <v>155</v>
      </c>
      <c r="BG58" s="1726">
        <f>255-SUM(BE58:BF58)</f>
        <v>0</v>
      </c>
      <c r="BH58" s="1726">
        <f>255-SUM(BE58:BG58)</f>
        <v>0</v>
      </c>
      <c r="BI58" s="894">
        <f t="shared" ref="BI58:BI63" si="84">+SUM(BE58:BH58)</f>
        <v>255</v>
      </c>
      <c r="BJ58" s="982"/>
      <c r="BK58" s="1725">
        <v>131</v>
      </c>
      <c r="BL58" s="1724">
        <f>228-BK58</f>
        <v>97</v>
      </c>
      <c r="BM58" s="1724">
        <f>343-SUM(BK58:BL58)</f>
        <v>115</v>
      </c>
      <c r="BN58" s="1726">
        <f>400-SUM(BK58:BM58)</f>
        <v>57</v>
      </c>
      <c r="BO58" s="894">
        <f t="shared" ref="BO58:BO63" si="85">+SUM(BK58:BN58)</f>
        <v>400</v>
      </c>
      <c r="BP58" s="982"/>
      <c r="BQ58" s="1725">
        <v>274</v>
      </c>
      <c r="BR58" s="1726">
        <v>0</v>
      </c>
      <c r="BS58" s="1726">
        <v>0</v>
      </c>
      <c r="BT58" s="1726">
        <v>0</v>
      </c>
      <c r="BU58" s="894">
        <f t="shared" ref="BU58:BU63" si="86">+SUM(BQ58:BT58)</f>
        <v>274</v>
      </c>
      <c r="BV58" s="982"/>
      <c r="BW58" s="1725">
        <v>0</v>
      </c>
      <c r="BX58" s="1726">
        <v>0</v>
      </c>
      <c r="BY58" s="1726">
        <v>0</v>
      </c>
      <c r="BZ58" s="1726">
        <v>0</v>
      </c>
      <c r="CA58" s="894">
        <f t="shared" ref="CA58:CA63" si="87">+SUM(BW58:BZ58)</f>
        <v>0</v>
      </c>
      <c r="CB58" s="984"/>
      <c r="CC58" s="1725">
        <v>0</v>
      </c>
      <c r="CD58" s="1726">
        <v>0</v>
      </c>
      <c r="CE58" s="1726">
        <v>0</v>
      </c>
      <c r="CF58" s="1726">
        <v>0</v>
      </c>
      <c r="CG58" s="894">
        <f t="shared" ref="CG58:CG63" si="88">+SUM(CC58:CF58)</f>
        <v>0</v>
      </c>
      <c r="CH58" s="985"/>
      <c r="CI58" s="1725">
        <v>0</v>
      </c>
      <c r="CJ58" s="1726">
        <v>0</v>
      </c>
      <c r="CK58" s="1726">
        <v>0</v>
      </c>
      <c r="CL58" s="1726">
        <v>0</v>
      </c>
      <c r="CM58" s="894">
        <f t="shared" ref="CM58:CM63" si="89">+SUM(CI58:CL58)</f>
        <v>0</v>
      </c>
      <c r="CN58" s="985"/>
      <c r="CO58" s="985"/>
      <c r="CP58" s="985"/>
    </row>
    <row r="59" spans="1:94" collapsed="1">
      <c r="A59" s="981" t="s">
        <v>428</v>
      </c>
      <c r="B59" s="982" t="s">
        <v>113</v>
      </c>
      <c r="C59" s="1727">
        <v>0</v>
      </c>
      <c r="D59" s="1738">
        <f>0-C59</f>
        <v>0</v>
      </c>
      <c r="E59" s="1738">
        <f>0-D59-C59</f>
        <v>0</v>
      </c>
      <c r="F59" s="1738">
        <f>0-E59-D59-C59</f>
        <v>0</v>
      </c>
      <c r="G59" s="894">
        <f t="shared" si="64"/>
        <v>0</v>
      </c>
      <c r="H59" s="982"/>
      <c r="I59" s="1727">
        <v>0</v>
      </c>
      <c r="J59" s="1738">
        <f>0-I59</f>
        <v>0</v>
      </c>
      <c r="K59" s="1738">
        <f>0-J59-I59</f>
        <v>0</v>
      </c>
      <c r="L59" s="1738">
        <f>0-K59-J59-I59</f>
        <v>0</v>
      </c>
      <c r="M59" s="894">
        <f t="shared" si="65"/>
        <v>0</v>
      </c>
      <c r="N59" s="982"/>
      <c r="O59" s="1727">
        <v>0</v>
      </c>
      <c r="P59" s="1738">
        <f>0-O59</f>
        <v>0</v>
      </c>
      <c r="Q59" s="1738">
        <f>0-P59-O59</f>
        <v>0</v>
      </c>
      <c r="R59" s="1738">
        <f>0-Q59-P59-O59</f>
        <v>0</v>
      </c>
      <c r="S59" s="894">
        <f t="shared" si="66"/>
        <v>0</v>
      </c>
      <c r="T59" s="984"/>
      <c r="U59" s="1727">
        <v>0</v>
      </c>
      <c r="V59" s="1738">
        <f>0-U59</f>
        <v>0</v>
      </c>
      <c r="W59" s="1738">
        <f>0-V59-U59</f>
        <v>0</v>
      </c>
      <c r="X59" s="1738">
        <f>0-W59-V59-U59</f>
        <v>0</v>
      </c>
      <c r="Y59" s="894">
        <f t="shared" si="67"/>
        <v>0</v>
      </c>
      <c r="Z59" s="984"/>
      <c r="AA59" s="1727">
        <v>0</v>
      </c>
      <c r="AB59" s="1738">
        <f>0-AA59</f>
        <v>0</v>
      </c>
      <c r="AC59" s="1738">
        <f>0-AB59-AA59</f>
        <v>0</v>
      </c>
      <c r="AD59" s="1738">
        <f>0-AC59-AB59-AA59</f>
        <v>0</v>
      </c>
      <c r="AE59" s="894">
        <f t="shared" si="68"/>
        <v>0</v>
      </c>
      <c r="AF59" s="982"/>
      <c r="AG59" s="1727">
        <v>0</v>
      </c>
      <c r="AH59" s="1738">
        <f>0-AG59</f>
        <v>0</v>
      </c>
      <c r="AI59" s="1738">
        <f>0-AH59-AG59</f>
        <v>0</v>
      </c>
      <c r="AJ59" s="1738">
        <f>0-AI59-AH59-AG59</f>
        <v>0</v>
      </c>
      <c r="AK59" s="894">
        <f t="shared" si="69"/>
        <v>0</v>
      </c>
      <c r="AL59" s="982"/>
      <c r="AM59" s="1727">
        <v>0</v>
      </c>
      <c r="AN59" s="1738">
        <f>0-AM59</f>
        <v>0</v>
      </c>
      <c r="AO59" s="1738">
        <f>0-AN59-AM59</f>
        <v>0</v>
      </c>
      <c r="AP59" s="1738">
        <f>0-AO59-AN59-AM59</f>
        <v>0</v>
      </c>
      <c r="AQ59" s="894">
        <f t="shared" si="70"/>
        <v>0</v>
      </c>
      <c r="AR59" s="982"/>
      <c r="AS59" s="1725">
        <v>0</v>
      </c>
      <c r="AT59" s="1724">
        <f t="shared" si="75"/>
        <v>0</v>
      </c>
      <c r="AU59" s="1738">
        <f>0-AT59</f>
        <v>0</v>
      </c>
      <c r="AV59" s="1726">
        <v>0</v>
      </c>
      <c r="AW59" s="894">
        <f t="shared" si="71"/>
        <v>0</v>
      </c>
      <c r="AX59" s="982"/>
      <c r="AY59" s="1725">
        <v>0</v>
      </c>
      <c r="AZ59" s="1724">
        <f t="shared" si="76"/>
        <v>0</v>
      </c>
      <c r="BA59" s="1724">
        <f t="shared" si="77"/>
        <v>0</v>
      </c>
      <c r="BB59" s="1726">
        <f t="shared" si="78"/>
        <v>0</v>
      </c>
      <c r="BC59" s="894">
        <f t="shared" si="72"/>
        <v>0</v>
      </c>
      <c r="BD59" s="982"/>
      <c r="BE59" s="1725">
        <v>-20</v>
      </c>
      <c r="BF59" s="1726">
        <f>-20-BE59</f>
        <v>0</v>
      </c>
      <c r="BG59" s="1726">
        <f>-20-SUM(BE59:BF59)</f>
        <v>0</v>
      </c>
      <c r="BH59" s="1726">
        <f>-292-SUM(BE59:BG59)</f>
        <v>-272</v>
      </c>
      <c r="BI59" s="894">
        <f t="shared" si="84"/>
        <v>-292</v>
      </c>
      <c r="BJ59" s="982"/>
      <c r="BK59" s="1725">
        <v>-42</v>
      </c>
      <c r="BL59" s="1724">
        <f>-87-BK59</f>
        <v>-45</v>
      </c>
      <c r="BM59" s="1724">
        <f>-163-SUM(BK59:BL59)</f>
        <v>-76</v>
      </c>
      <c r="BN59" s="1726">
        <f>-290-SUM(BK59:BM59)</f>
        <v>-127</v>
      </c>
      <c r="BO59" s="894">
        <f t="shared" si="85"/>
        <v>-290</v>
      </c>
      <c r="BP59" s="982"/>
      <c r="BQ59" s="1725">
        <v>-139</v>
      </c>
      <c r="BR59" s="1726">
        <v>0</v>
      </c>
      <c r="BS59" s="1726">
        <v>0</v>
      </c>
      <c r="BT59" s="1726">
        <v>0</v>
      </c>
      <c r="BU59" s="894">
        <f t="shared" si="86"/>
        <v>-139</v>
      </c>
      <c r="BV59" s="982"/>
      <c r="BW59" s="1725">
        <v>0</v>
      </c>
      <c r="BX59" s="1726">
        <v>0</v>
      </c>
      <c r="BY59" s="1726">
        <v>0</v>
      </c>
      <c r="BZ59" s="1726">
        <v>0</v>
      </c>
      <c r="CA59" s="894">
        <f t="shared" si="87"/>
        <v>0</v>
      </c>
      <c r="CB59" s="984"/>
      <c r="CC59" s="1725">
        <v>0</v>
      </c>
      <c r="CD59" s="1726">
        <v>0</v>
      </c>
      <c r="CE59" s="1726">
        <v>0</v>
      </c>
      <c r="CF59" s="1726">
        <v>0</v>
      </c>
      <c r="CG59" s="894">
        <f t="shared" si="88"/>
        <v>0</v>
      </c>
      <c r="CH59" s="985"/>
      <c r="CI59" s="1725">
        <v>0</v>
      </c>
      <c r="CJ59" s="1726">
        <v>0</v>
      </c>
      <c r="CK59" s="1726">
        <v>0</v>
      </c>
      <c r="CL59" s="1726">
        <v>0</v>
      </c>
      <c r="CM59" s="894">
        <f t="shared" si="89"/>
        <v>0</v>
      </c>
      <c r="CN59" s="985"/>
      <c r="CO59" s="985"/>
      <c r="CP59" s="985"/>
    </row>
    <row r="60" spans="1:94">
      <c r="A60" s="981" t="s">
        <v>429</v>
      </c>
      <c r="B60" s="982" t="s">
        <v>113</v>
      </c>
      <c r="C60" s="1727">
        <v>0</v>
      </c>
      <c r="D60" s="1738">
        <f>0-C60</f>
        <v>0</v>
      </c>
      <c r="E60" s="1738">
        <f>0-D60-C60</f>
        <v>0</v>
      </c>
      <c r="F60" s="1738">
        <f>0-E60-D60-C60</f>
        <v>0</v>
      </c>
      <c r="G60" s="894">
        <f t="shared" si="64"/>
        <v>0</v>
      </c>
      <c r="H60" s="982"/>
      <c r="I60" s="1727">
        <v>0</v>
      </c>
      <c r="J60" s="1738">
        <f>0-I60</f>
        <v>0</v>
      </c>
      <c r="K60" s="1738">
        <f>0-J60-I60</f>
        <v>0</v>
      </c>
      <c r="L60" s="1738">
        <f>0-K60-J60-I60</f>
        <v>0</v>
      </c>
      <c r="M60" s="894">
        <f t="shared" si="65"/>
        <v>0</v>
      </c>
      <c r="N60" s="982"/>
      <c r="O60" s="1727">
        <v>0</v>
      </c>
      <c r="P60" s="1738">
        <f>0-O60</f>
        <v>0</v>
      </c>
      <c r="Q60" s="1738">
        <f>0-P60-O60</f>
        <v>0</v>
      </c>
      <c r="R60" s="1738">
        <f>0-Q60-P60-O60</f>
        <v>0</v>
      </c>
      <c r="S60" s="894">
        <f t="shared" si="66"/>
        <v>0</v>
      </c>
      <c r="T60" s="984"/>
      <c r="U60" s="1727">
        <v>0</v>
      </c>
      <c r="V60" s="1738">
        <f>0-U60</f>
        <v>0</v>
      </c>
      <c r="W60" s="1738">
        <f>0-V60-U60</f>
        <v>0</v>
      </c>
      <c r="X60" s="1738">
        <f>0-W60-V60-U60</f>
        <v>0</v>
      </c>
      <c r="Y60" s="894">
        <f t="shared" si="67"/>
        <v>0</v>
      </c>
      <c r="Z60" s="984"/>
      <c r="AA60" s="1727">
        <v>0</v>
      </c>
      <c r="AB60" s="1738">
        <f>0-AA60</f>
        <v>0</v>
      </c>
      <c r="AC60" s="1738">
        <f>0-AB60-AA60</f>
        <v>0</v>
      </c>
      <c r="AD60" s="1738">
        <f>0-AC60-AB60-AA60</f>
        <v>0</v>
      </c>
      <c r="AE60" s="894">
        <f t="shared" si="68"/>
        <v>0</v>
      </c>
      <c r="AF60" s="982"/>
      <c r="AG60" s="1727">
        <v>0</v>
      </c>
      <c r="AH60" s="1738">
        <f>0-AG60</f>
        <v>0</v>
      </c>
      <c r="AI60" s="1738">
        <f>0-AH60-AG60</f>
        <v>0</v>
      </c>
      <c r="AJ60" s="1738">
        <f>0-AI60-AH60-AG60</f>
        <v>0</v>
      </c>
      <c r="AK60" s="894">
        <f t="shared" si="69"/>
        <v>0</v>
      </c>
      <c r="AL60" s="982"/>
      <c r="AM60" s="1727">
        <v>0</v>
      </c>
      <c r="AN60" s="1738">
        <f>0-AM60</f>
        <v>0</v>
      </c>
      <c r="AO60" s="1738">
        <f>0-AN60-AM60</f>
        <v>0</v>
      </c>
      <c r="AP60" s="1738">
        <f>0-AO60-AN60-AM60</f>
        <v>0</v>
      </c>
      <c r="AQ60" s="894">
        <f t="shared" si="70"/>
        <v>0</v>
      </c>
      <c r="AR60" s="982"/>
      <c r="AS60" s="1725">
        <v>0</v>
      </c>
      <c r="AT60" s="1724">
        <f t="shared" si="75"/>
        <v>0</v>
      </c>
      <c r="AU60" s="1738">
        <f>0-AT60</f>
        <v>0</v>
      </c>
      <c r="AV60" s="1726">
        <v>0</v>
      </c>
      <c r="AW60" s="894">
        <f t="shared" si="71"/>
        <v>0</v>
      </c>
      <c r="AX60" s="982"/>
      <c r="AY60" s="1725">
        <v>0</v>
      </c>
      <c r="AZ60" s="1724">
        <f t="shared" si="76"/>
        <v>0</v>
      </c>
      <c r="BA60" s="1724">
        <f t="shared" si="77"/>
        <v>0</v>
      </c>
      <c r="BB60" s="1726">
        <f t="shared" si="78"/>
        <v>0</v>
      </c>
      <c r="BC60" s="894">
        <f t="shared" si="72"/>
        <v>0</v>
      </c>
      <c r="BD60" s="982"/>
      <c r="BE60" s="1725">
        <v>0</v>
      </c>
      <c r="BF60" s="1726">
        <f t="shared" si="79"/>
        <v>0</v>
      </c>
      <c r="BG60" s="1726">
        <f t="shared" si="80"/>
        <v>0</v>
      </c>
      <c r="BH60" s="1726">
        <f>299-SUM(BE60:BG60)</f>
        <v>299</v>
      </c>
      <c r="BI60" s="894">
        <f t="shared" si="84"/>
        <v>299</v>
      </c>
      <c r="BJ60" s="982"/>
      <c r="BK60" s="1725">
        <v>0</v>
      </c>
      <c r="BL60" s="1724">
        <f t="shared" si="82"/>
        <v>0</v>
      </c>
      <c r="BM60" s="1724">
        <f t="shared" si="83"/>
        <v>0</v>
      </c>
      <c r="BN60" s="1726">
        <v>0</v>
      </c>
      <c r="BO60" s="894">
        <f t="shared" si="85"/>
        <v>0</v>
      </c>
      <c r="BP60" s="982"/>
      <c r="BQ60" s="1725">
        <v>0</v>
      </c>
      <c r="BR60" s="1726">
        <v>0</v>
      </c>
      <c r="BS60" s="1726">
        <v>0</v>
      </c>
      <c r="BT60" s="1726">
        <v>0</v>
      </c>
      <c r="BU60" s="894">
        <f t="shared" si="86"/>
        <v>0</v>
      </c>
      <c r="BV60" s="982"/>
      <c r="BW60" s="1725">
        <v>0</v>
      </c>
      <c r="BX60" s="1726">
        <v>0</v>
      </c>
      <c r="BY60" s="1726">
        <v>0</v>
      </c>
      <c r="BZ60" s="1726">
        <v>0</v>
      </c>
      <c r="CA60" s="894">
        <f t="shared" si="87"/>
        <v>0</v>
      </c>
      <c r="CB60" s="984"/>
      <c r="CC60" s="1725">
        <v>0</v>
      </c>
      <c r="CD60" s="1726">
        <v>0</v>
      </c>
      <c r="CE60" s="1726">
        <v>0</v>
      </c>
      <c r="CF60" s="1726">
        <v>0</v>
      </c>
      <c r="CG60" s="894">
        <f t="shared" si="88"/>
        <v>0</v>
      </c>
      <c r="CH60" s="985"/>
      <c r="CI60" s="1725">
        <v>0</v>
      </c>
      <c r="CJ60" s="1726">
        <v>0</v>
      </c>
      <c r="CK60" s="1726">
        <v>0</v>
      </c>
      <c r="CL60" s="1726">
        <v>0</v>
      </c>
      <c r="CM60" s="894">
        <f t="shared" si="89"/>
        <v>0</v>
      </c>
      <c r="CN60" s="985"/>
      <c r="CO60" s="985"/>
      <c r="CP60" s="985"/>
    </row>
    <row r="61" spans="1:94" hidden="1" outlineLevel="1">
      <c r="A61" s="981" t="s">
        <v>430</v>
      </c>
      <c r="B61" s="982" t="s">
        <v>113</v>
      </c>
      <c r="C61" s="1727">
        <v>0</v>
      </c>
      <c r="D61" s="1738">
        <f>0-C61</f>
        <v>0</v>
      </c>
      <c r="E61" s="1738">
        <f>0-D61-C61</f>
        <v>0</v>
      </c>
      <c r="F61" s="1738">
        <f>0-E61-D61-C61</f>
        <v>0</v>
      </c>
      <c r="G61" s="894">
        <f t="shared" si="64"/>
        <v>0</v>
      </c>
      <c r="H61" s="982"/>
      <c r="I61" s="1727">
        <v>0</v>
      </c>
      <c r="J61" s="1738">
        <f>0-I61</f>
        <v>0</v>
      </c>
      <c r="K61" s="1738">
        <f>0-J61-I61</f>
        <v>0</v>
      </c>
      <c r="L61" s="1738">
        <f>0-K61-J61-I61</f>
        <v>0</v>
      </c>
      <c r="M61" s="894">
        <f t="shared" si="65"/>
        <v>0</v>
      </c>
      <c r="N61" s="982"/>
      <c r="O61" s="1727">
        <v>0</v>
      </c>
      <c r="P61" s="1738">
        <f>0-O61</f>
        <v>0</v>
      </c>
      <c r="Q61" s="1738">
        <f>0-P61-O61</f>
        <v>0</v>
      </c>
      <c r="R61" s="1738">
        <f>0-Q61-P61-O61</f>
        <v>0</v>
      </c>
      <c r="S61" s="894">
        <f t="shared" si="66"/>
        <v>0</v>
      </c>
      <c r="T61" s="984"/>
      <c r="U61" s="1727">
        <v>0</v>
      </c>
      <c r="V61" s="1738">
        <f>0-U61</f>
        <v>0</v>
      </c>
      <c r="W61" s="1738">
        <f>0-V61-U61</f>
        <v>0</v>
      </c>
      <c r="X61" s="1738">
        <f>0-W61-V61-U61</f>
        <v>0</v>
      </c>
      <c r="Y61" s="894">
        <f t="shared" si="67"/>
        <v>0</v>
      </c>
      <c r="Z61" s="984"/>
      <c r="AA61" s="1727">
        <v>0</v>
      </c>
      <c r="AB61" s="1738">
        <f>0-AA61</f>
        <v>0</v>
      </c>
      <c r="AC61" s="1738">
        <f>0-AB61-AA61</f>
        <v>0</v>
      </c>
      <c r="AD61" s="1738">
        <f>0-AC61-AB61-AA61</f>
        <v>0</v>
      </c>
      <c r="AE61" s="894">
        <f t="shared" si="68"/>
        <v>0</v>
      </c>
      <c r="AF61" s="982"/>
      <c r="AG61" s="1727">
        <v>0</v>
      </c>
      <c r="AH61" s="1738">
        <f>0-AG61</f>
        <v>0</v>
      </c>
      <c r="AI61" s="1738">
        <f>0-AH61-AG61</f>
        <v>0</v>
      </c>
      <c r="AJ61" s="1738">
        <f>0-AI61-AH61-AG61</f>
        <v>0</v>
      </c>
      <c r="AK61" s="894">
        <f t="shared" si="69"/>
        <v>0</v>
      </c>
      <c r="AL61" s="982"/>
      <c r="AM61" s="1727">
        <v>0</v>
      </c>
      <c r="AN61" s="1738">
        <f>0-AM61</f>
        <v>0</v>
      </c>
      <c r="AO61" s="1738">
        <f>0-AN61-AM61</f>
        <v>0</v>
      </c>
      <c r="AP61" s="1738">
        <f>0-AO61-AN61-AM61</f>
        <v>0</v>
      </c>
      <c r="AQ61" s="894">
        <f t="shared" si="70"/>
        <v>0</v>
      </c>
      <c r="AR61" s="982"/>
      <c r="AS61" s="1725">
        <v>0</v>
      </c>
      <c r="AT61" s="1724">
        <f t="shared" si="75"/>
        <v>0</v>
      </c>
      <c r="AU61" s="1738">
        <f>0-AT61</f>
        <v>0</v>
      </c>
      <c r="AV61" s="1726">
        <v>0</v>
      </c>
      <c r="AW61" s="894">
        <f t="shared" si="71"/>
        <v>0</v>
      </c>
      <c r="AX61" s="982"/>
      <c r="AY61" s="1725">
        <v>0</v>
      </c>
      <c r="AZ61" s="1724">
        <f t="shared" si="76"/>
        <v>0</v>
      </c>
      <c r="BA61" s="1724">
        <f t="shared" si="77"/>
        <v>0</v>
      </c>
      <c r="BB61" s="1726">
        <f t="shared" si="78"/>
        <v>0</v>
      </c>
      <c r="BC61" s="894">
        <f t="shared" si="72"/>
        <v>0</v>
      </c>
      <c r="BD61" s="982"/>
      <c r="BE61" s="1725">
        <v>0</v>
      </c>
      <c r="BF61" s="1726">
        <f t="shared" si="79"/>
        <v>0</v>
      </c>
      <c r="BG61" s="1726">
        <f t="shared" si="80"/>
        <v>0</v>
      </c>
      <c r="BH61" s="1726">
        <f>-2-SUM(BE61:BG61)</f>
        <v>-2</v>
      </c>
      <c r="BI61" s="894">
        <f t="shared" si="84"/>
        <v>-2</v>
      </c>
      <c r="BJ61" s="982"/>
      <c r="BK61" s="1725">
        <v>0</v>
      </c>
      <c r="BL61" s="1724">
        <f t="shared" si="82"/>
        <v>0</v>
      </c>
      <c r="BM61" s="1724">
        <f t="shared" si="83"/>
        <v>0</v>
      </c>
      <c r="BN61" s="1726">
        <v>0</v>
      </c>
      <c r="BO61" s="894">
        <f t="shared" si="85"/>
        <v>0</v>
      </c>
      <c r="BP61" s="982"/>
      <c r="BQ61" s="1725">
        <v>0</v>
      </c>
      <c r="BR61" s="1726">
        <v>0</v>
      </c>
      <c r="BS61" s="1726">
        <v>0</v>
      </c>
      <c r="BT61" s="1726">
        <v>0</v>
      </c>
      <c r="BU61" s="894">
        <f t="shared" si="86"/>
        <v>0</v>
      </c>
      <c r="BV61" s="982"/>
      <c r="BW61" s="1725">
        <v>0</v>
      </c>
      <c r="BX61" s="1726">
        <v>0</v>
      </c>
      <c r="BY61" s="1726">
        <v>0</v>
      </c>
      <c r="BZ61" s="1726">
        <v>0</v>
      </c>
      <c r="CA61" s="894">
        <f t="shared" si="87"/>
        <v>0</v>
      </c>
      <c r="CB61" s="984"/>
      <c r="CC61" s="1725">
        <v>0</v>
      </c>
      <c r="CD61" s="1726">
        <v>0</v>
      </c>
      <c r="CE61" s="1726">
        <v>0</v>
      </c>
      <c r="CF61" s="1726">
        <v>0</v>
      </c>
      <c r="CG61" s="894">
        <f t="shared" si="88"/>
        <v>0</v>
      </c>
      <c r="CH61" s="985"/>
      <c r="CI61" s="1725">
        <v>0</v>
      </c>
      <c r="CJ61" s="1726">
        <v>0</v>
      </c>
      <c r="CK61" s="1726">
        <v>0</v>
      </c>
      <c r="CL61" s="1726">
        <v>0</v>
      </c>
      <c r="CM61" s="894">
        <f t="shared" si="89"/>
        <v>0</v>
      </c>
      <c r="CN61" s="985"/>
      <c r="CO61" s="985"/>
      <c r="CP61" s="985"/>
    </row>
    <row r="62" spans="1:94" collapsed="1">
      <c r="A62" s="981" t="s">
        <v>431</v>
      </c>
      <c r="B62" s="982" t="s">
        <v>113</v>
      </c>
      <c r="C62" s="1727">
        <v>0</v>
      </c>
      <c r="D62" s="1738">
        <f>BS!D32-BS!C32+BS!D29-BS!C29+BS!D33-BS!C33</f>
        <v>0</v>
      </c>
      <c r="E62" s="1738">
        <f>BS!E32-BS!D32+BS!E29-BS!D29+BS!E33-BS!D33</f>
        <v>0</v>
      </c>
      <c r="F62" s="1738">
        <f>BS!F32-BS!E32+BS!F29-BS!E29+BS!F33-BS!E33</f>
        <v>587</v>
      </c>
      <c r="G62" s="972">
        <f t="shared" si="64"/>
        <v>587</v>
      </c>
      <c r="H62" s="982"/>
      <c r="I62" s="1725">
        <f>BS!I29-BS!F29+BS!I32-BS!F32+BS!I33-BS!F33</f>
        <v>39</v>
      </c>
      <c r="J62" s="1738">
        <f>BS!J32-BS!I32+BS!J29-BS!I29+BS!J33-BS!I33</f>
        <v>248</v>
      </c>
      <c r="K62" s="1738">
        <f>BS!K32-BS!J32+BS!K29-BS!J29+BS!K33-BS!J33</f>
        <v>-59</v>
      </c>
      <c r="L62" s="1738">
        <f>BS!L32-BS!K32+BS!L29-BS!K29+BS!L33-BS!K33</f>
        <v>-190</v>
      </c>
      <c r="M62" s="972">
        <f t="shared" si="65"/>
        <v>38</v>
      </c>
      <c r="N62" s="982"/>
      <c r="O62" s="1725">
        <f>BS!O29-BS!L29+BS!O32-BS!L32+BS!O33-BS!L33</f>
        <v>79</v>
      </c>
      <c r="P62" s="1738">
        <f>BS!P32-BS!O32+BS!P29-BS!O29+BS!P33-BS!O33</f>
        <v>-50</v>
      </c>
      <c r="Q62" s="1738">
        <f>BS!Q32-BS!P32+BS!Q29-BS!P29+BS!Q33-BS!P33</f>
        <v>-1</v>
      </c>
      <c r="R62" s="1738">
        <f>BS!R32-BS!Q32+BS!R29-BS!Q29+BS!R33-BS!Q33</f>
        <v>752</v>
      </c>
      <c r="S62" s="972">
        <f t="shared" si="66"/>
        <v>780</v>
      </c>
      <c r="T62" s="982"/>
      <c r="U62" s="1725">
        <f>BS!U29-BS!R29+BS!U32-BS!R32+BS!U33-BS!R33</f>
        <v>6</v>
      </c>
      <c r="V62" s="1738">
        <f>BS!V32-BS!U32+BS!V29-BS!U29+BS!V33-BS!U33</f>
        <v>-17</v>
      </c>
      <c r="W62" s="1738">
        <f>BS!W32-BS!V32+BS!W29-BS!V29+BS!W33-BS!V33</f>
        <v>784</v>
      </c>
      <c r="X62" s="1738">
        <f>BS!X32-BS!W32+BS!X29-BS!W29+BS!X33-BS!W33</f>
        <v>13</v>
      </c>
      <c r="Y62" s="972">
        <f t="shared" si="67"/>
        <v>786</v>
      </c>
      <c r="Z62" s="982"/>
      <c r="AA62" s="1725">
        <f>BS!AA29-BS!X29+BS!AA32-BS!X32+BS!AA33-BS!X33</f>
        <v>-1552</v>
      </c>
      <c r="AB62" s="1738">
        <f>BS!AB32-BS!AA32+BS!AB29-BS!AA29+BS!AB33-BS!AA33</f>
        <v>5</v>
      </c>
      <c r="AC62" s="1738">
        <f>BS!AC32-BS!AB32+BS!AC29-BS!AB29+BS!AC33-BS!AB33</f>
        <v>24</v>
      </c>
      <c r="AD62" s="1738">
        <f>BS!AD32-BS!AC32+BS!AD29-BS!AC29+BS!AD33-BS!AC33</f>
        <v>17</v>
      </c>
      <c r="AE62" s="972">
        <f t="shared" si="68"/>
        <v>-1506</v>
      </c>
      <c r="AF62" s="982"/>
      <c r="AG62" s="1725">
        <f>BS!AG29-BS!AD29+BS!AG32-BS!AD32+BS!AG33-BS!AD33</f>
        <v>-4</v>
      </c>
      <c r="AH62" s="1738">
        <f>BS!AH32-BS!AG32+BS!AH29-BS!AG29+BS!AH33-BS!AG33</f>
        <v>-4</v>
      </c>
      <c r="AI62" s="1738">
        <f>BS!AI32-BS!AH32+BS!AI29-BS!AH29+BS!AI33-BS!AH33</f>
        <v>37</v>
      </c>
      <c r="AJ62" s="1738">
        <f>BS!AJ32-BS!AI32+BS!AJ29-BS!AI29+BS!AJ33-BS!AI33</f>
        <v>148</v>
      </c>
      <c r="AK62" s="972">
        <f t="shared" si="69"/>
        <v>177</v>
      </c>
      <c r="AL62" s="982"/>
      <c r="AM62" s="1725">
        <f>BS!AM29-BS!AJ29+BS!AM32-BS!AJ32+BS!AM33-BS!AJ33</f>
        <v>-1</v>
      </c>
      <c r="AN62" s="1738">
        <f>BS!AN32-BS!AM32+BS!AN29-BS!AM29+BS!AN33-BS!AM33</f>
        <v>-5</v>
      </c>
      <c r="AO62" s="1738">
        <f>BS!AO32-BS!AN32+BS!AO29-BS!AN29+BS!AO33-BS!AN33</f>
        <v>345</v>
      </c>
      <c r="AP62" s="1738">
        <f>BS!AP32-BS!AO32+BS!AP29-BS!AO29+BS!AP33-BS!AO33</f>
        <v>-2</v>
      </c>
      <c r="AQ62" s="972">
        <f t="shared" si="70"/>
        <v>337</v>
      </c>
      <c r="AR62" s="982"/>
      <c r="AS62" s="1725">
        <v>0</v>
      </c>
      <c r="AT62" s="1724">
        <f t="shared" si="75"/>
        <v>0</v>
      </c>
      <c r="AU62" s="1738">
        <f>BS!AU32-BS!AT32+BS!AU29-BS!AT29+BS!AU33-BS!AT33</f>
        <v>-477</v>
      </c>
      <c r="AV62" s="987">
        <f>Debt!AX22-Debt!AW22</f>
        <v>-518</v>
      </c>
      <c r="AW62" s="894">
        <f t="shared" si="71"/>
        <v>-995</v>
      </c>
      <c r="AX62" s="982"/>
      <c r="AY62" s="1725">
        <v>0</v>
      </c>
      <c r="AZ62" s="1724">
        <f t="shared" si="76"/>
        <v>0</v>
      </c>
      <c r="BA62" s="1724">
        <f t="shared" si="77"/>
        <v>0</v>
      </c>
      <c r="BB62" s="1726">
        <f t="shared" si="78"/>
        <v>0</v>
      </c>
      <c r="BC62" s="894">
        <f t="shared" si="72"/>
        <v>0</v>
      </c>
      <c r="BD62" s="982"/>
      <c r="BE62" s="1725">
        <v>0</v>
      </c>
      <c r="BF62" s="1726">
        <f t="shared" si="79"/>
        <v>0</v>
      </c>
      <c r="BG62" s="1726">
        <f t="shared" si="80"/>
        <v>0</v>
      </c>
      <c r="BH62" s="1726">
        <f t="shared" si="81"/>
        <v>0</v>
      </c>
      <c r="BI62" s="894">
        <f t="shared" si="84"/>
        <v>0</v>
      </c>
      <c r="BJ62" s="982"/>
      <c r="BK62" s="1725">
        <v>0</v>
      </c>
      <c r="BL62" s="1724">
        <f t="shared" si="82"/>
        <v>0</v>
      </c>
      <c r="BM62" s="1724">
        <f t="shared" si="83"/>
        <v>0</v>
      </c>
      <c r="BN62" s="987">
        <f>Debt!BP22-Debt!BO22</f>
        <v>0</v>
      </c>
      <c r="BO62" s="894">
        <f t="shared" si="85"/>
        <v>0</v>
      </c>
      <c r="BP62" s="982"/>
      <c r="BQ62" s="1725">
        <v>0</v>
      </c>
      <c r="BR62" s="987">
        <f>Debt!BT22-Debt!BS22</f>
        <v>0</v>
      </c>
      <c r="BS62" s="987">
        <f>Debt!BU22-Debt!BT22</f>
        <v>0</v>
      </c>
      <c r="BT62" s="987">
        <f>Debt!BV22-Debt!BU22</f>
        <v>0</v>
      </c>
      <c r="BU62" s="894">
        <f t="shared" si="86"/>
        <v>0</v>
      </c>
      <c r="BV62" s="982"/>
      <c r="BW62" s="986">
        <f>Debt!BY22-Debt!BW22</f>
        <v>0</v>
      </c>
      <c r="BX62" s="987">
        <f>Debt!BZ22-Debt!BY22</f>
        <v>0</v>
      </c>
      <c r="BY62" s="987">
        <f>Debt!CA22-Debt!BZ22</f>
        <v>0</v>
      </c>
      <c r="BZ62" s="987">
        <f>Debt!CB22-Debt!CA22</f>
        <v>0</v>
      </c>
      <c r="CA62" s="894">
        <f t="shared" si="87"/>
        <v>0</v>
      </c>
      <c r="CB62" s="984"/>
      <c r="CC62" s="986">
        <f>Debt!CE22-Debt!CC22</f>
        <v>-509</v>
      </c>
      <c r="CD62" s="987">
        <f>Debt!CF22-Debt!CE22</f>
        <v>0</v>
      </c>
      <c r="CE62" s="987">
        <f>Debt!CG22-Debt!CF22</f>
        <v>0</v>
      </c>
      <c r="CF62" s="987">
        <f>Debt!CH22-Debt!CG22</f>
        <v>0</v>
      </c>
      <c r="CG62" s="894">
        <f t="shared" si="88"/>
        <v>-509</v>
      </c>
      <c r="CH62" s="985"/>
      <c r="CI62" s="986">
        <f>Debt!CK22-Debt!CI22</f>
        <v>-398</v>
      </c>
      <c r="CJ62" s="987">
        <f>Debt!CL22-Debt!CK22</f>
        <v>0</v>
      </c>
      <c r="CK62" s="987">
        <f>Debt!CM22-Debt!CL22</f>
        <v>0</v>
      </c>
      <c r="CL62" s="987">
        <f>Debt!CN22-Debt!CM22</f>
        <v>0</v>
      </c>
      <c r="CM62" s="894">
        <f t="shared" si="89"/>
        <v>-398</v>
      </c>
      <c r="CN62" s="985"/>
      <c r="CO62" s="985"/>
      <c r="CP62" s="985"/>
    </row>
    <row r="63" spans="1:94" hidden="1" outlineLevel="1">
      <c r="A63" s="981" t="s">
        <v>432</v>
      </c>
      <c r="B63" s="982" t="s">
        <v>113</v>
      </c>
      <c r="C63" s="1727">
        <v>0</v>
      </c>
      <c r="D63" s="1738">
        <f>0-C63</f>
        <v>0</v>
      </c>
      <c r="E63" s="1738">
        <f>0-D63-C63</f>
        <v>0</v>
      </c>
      <c r="F63" s="1738">
        <f>0-E63-D63-C63</f>
        <v>0</v>
      </c>
      <c r="G63" s="894">
        <f t="shared" si="64"/>
        <v>0</v>
      </c>
      <c r="H63" s="982"/>
      <c r="I63" s="1727">
        <v>0</v>
      </c>
      <c r="J63" s="1738">
        <f>0-I63</f>
        <v>0</v>
      </c>
      <c r="K63" s="1738">
        <f>0-J63-I63</f>
        <v>0</v>
      </c>
      <c r="L63" s="1738">
        <f>0-K63-J63-I63</f>
        <v>0</v>
      </c>
      <c r="M63" s="894">
        <f t="shared" si="65"/>
        <v>0</v>
      </c>
      <c r="N63" s="982"/>
      <c r="O63" s="1727">
        <v>0</v>
      </c>
      <c r="P63" s="1738">
        <f>0-O63</f>
        <v>0</v>
      </c>
      <c r="Q63" s="1738">
        <f>0-P63-O63</f>
        <v>0</v>
      </c>
      <c r="R63" s="1738">
        <f>0-Q63-P63-O63</f>
        <v>0</v>
      </c>
      <c r="S63" s="894">
        <f t="shared" si="66"/>
        <v>0</v>
      </c>
      <c r="T63" s="982"/>
      <c r="U63" s="1727">
        <v>0</v>
      </c>
      <c r="V63" s="1738">
        <f>0-U63</f>
        <v>0</v>
      </c>
      <c r="W63" s="1738">
        <f>0-V63-U63</f>
        <v>0</v>
      </c>
      <c r="X63" s="1738">
        <f>0-W63-V63-U63</f>
        <v>0</v>
      </c>
      <c r="Y63" s="894">
        <f t="shared" si="67"/>
        <v>0</v>
      </c>
      <c r="Z63" s="982"/>
      <c r="AA63" s="1727">
        <v>0</v>
      </c>
      <c r="AB63" s="1738">
        <f>0-AA63</f>
        <v>0</v>
      </c>
      <c r="AC63" s="1738">
        <f>0-AB63-AA63</f>
        <v>0</v>
      </c>
      <c r="AD63" s="1738">
        <f>0-AC63-AB63-AA63</f>
        <v>0</v>
      </c>
      <c r="AE63" s="894">
        <f t="shared" si="68"/>
        <v>0</v>
      </c>
      <c r="AF63" s="982"/>
      <c r="AG63" s="1727">
        <v>0</v>
      </c>
      <c r="AH63" s="1738">
        <f>0-AG63</f>
        <v>0</v>
      </c>
      <c r="AI63" s="1738">
        <f>0-AH63-AG63</f>
        <v>0</v>
      </c>
      <c r="AJ63" s="1738">
        <f>0-AI63-AH63-AG63</f>
        <v>0</v>
      </c>
      <c r="AK63" s="894">
        <f t="shared" si="69"/>
        <v>0</v>
      </c>
      <c r="AL63" s="982"/>
      <c r="AM63" s="1727">
        <v>0</v>
      </c>
      <c r="AN63" s="1738">
        <f>0-AM63</f>
        <v>0</v>
      </c>
      <c r="AO63" s="1738">
        <f>0-AN63-AM63</f>
        <v>0</v>
      </c>
      <c r="AP63" s="1738">
        <f>0-AO63-AN63-AM63</f>
        <v>0</v>
      </c>
      <c r="AQ63" s="894">
        <f t="shared" si="70"/>
        <v>0</v>
      </c>
      <c r="AR63" s="982"/>
      <c r="AS63" s="1725">
        <v>0</v>
      </c>
      <c r="AT63" s="1724">
        <f t="shared" si="75"/>
        <v>0</v>
      </c>
      <c r="AU63" s="1738">
        <f>0-AT63</f>
        <v>0</v>
      </c>
      <c r="AV63" s="1726">
        <v>0</v>
      </c>
      <c r="AW63" s="894">
        <f t="shared" si="71"/>
        <v>0</v>
      </c>
      <c r="AX63" s="982"/>
      <c r="AY63" s="1725">
        <v>0</v>
      </c>
      <c r="AZ63" s="1724">
        <f t="shared" si="76"/>
        <v>0</v>
      </c>
      <c r="BA63" s="1724">
        <f t="shared" si="77"/>
        <v>0</v>
      </c>
      <c r="BB63" s="1726">
        <f t="shared" si="78"/>
        <v>0</v>
      </c>
      <c r="BC63" s="894">
        <f t="shared" si="72"/>
        <v>0</v>
      </c>
      <c r="BD63" s="982"/>
      <c r="BE63" s="1725">
        <v>0</v>
      </c>
      <c r="BF63" s="1726">
        <f t="shared" si="79"/>
        <v>0</v>
      </c>
      <c r="BG63" s="1726">
        <f t="shared" si="80"/>
        <v>0</v>
      </c>
      <c r="BH63" s="1726">
        <f t="shared" si="81"/>
        <v>0</v>
      </c>
      <c r="BI63" s="894">
        <f t="shared" si="84"/>
        <v>0</v>
      </c>
      <c r="BJ63" s="982"/>
      <c r="BK63" s="1725">
        <v>0</v>
      </c>
      <c r="BL63" s="1724">
        <f t="shared" si="82"/>
        <v>0</v>
      </c>
      <c r="BM63" s="1724">
        <f t="shared" si="83"/>
        <v>0</v>
      </c>
      <c r="BN63" s="1726">
        <v>0</v>
      </c>
      <c r="BO63" s="894">
        <f t="shared" si="85"/>
        <v>0</v>
      </c>
      <c r="BP63" s="982"/>
      <c r="BQ63" s="1725">
        <v>0</v>
      </c>
      <c r="BR63" s="1726">
        <v>0</v>
      </c>
      <c r="BS63" s="1726">
        <v>0</v>
      </c>
      <c r="BT63" s="1726">
        <v>0</v>
      </c>
      <c r="BU63" s="894">
        <f t="shared" si="86"/>
        <v>0</v>
      </c>
      <c r="BV63" s="982"/>
      <c r="BW63" s="1725">
        <v>0</v>
      </c>
      <c r="BX63" s="1726">
        <v>0</v>
      </c>
      <c r="BY63" s="1726">
        <v>0</v>
      </c>
      <c r="BZ63" s="1726">
        <v>0</v>
      </c>
      <c r="CA63" s="894">
        <f t="shared" si="87"/>
        <v>0</v>
      </c>
      <c r="CB63" s="984"/>
      <c r="CC63" s="1725">
        <v>0</v>
      </c>
      <c r="CD63" s="1726">
        <v>0</v>
      </c>
      <c r="CE63" s="1726">
        <v>0</v>
      </c>
      <c r="CF63" s="1726">
        <v>0</v>
      </c>
      <c r="CG63" s="894">
        <f t="shared" si="88"/>
        <v>0</v>
      </c>
      <c r="CH63" s="985"/>
      <c r="CI63" s="1725">
        <v>0</v>
      </c>
      <c r="CJ63" s="1726">
        <v>0</v>
      </c>
      <c r="CK63" s="1726">
        <v>0</v>
      </c>
      <c r="CL63" s="1726">
        <v>0</v>
      </c>
      <c r="CM63" s="894">
        <f t="shared" si="89"/>
        <v>0</v>
      </c>
      <c r="CN63" s="985"/>
      <c r="CO63" s="985"/>
      <c r="CP63" s="985"/>
    </row>
    <row r="64" spans="1:94" collapsed="1">
      <c r="A64" s="964" t="s">
        <v>433</v>
      </c>
      <c r="B64" s="982" t="s">
        <v>113</v>
      </c>
      <c r="C64" s="1001">
        <f>SUM(C52:C63)</f>
        <v>-270.35555555555538</v>
      </c>
      <c r="D64" s="1002">
        <f>SUM(D52:D63)</f>
        <v>-137.09140505643518</v>
      </c>
      <c r="E64" s="1002">
        <f>SUM(E52:E63)</f>
        <v>-520.55466115958893</v>
      </c>
      <c r="F64" s="1002">
        <f>SUM(F52:F63)</f>
        <v>385.99842825617247</v>
      </c>
      <c r="G64" s="1003">
        <f>SUM(G52:G63)</f>
        <v>-542.00319351540702</v>
      </c>
      <c r="H64" s="965"/>
      <c r="I64" s="1001">
        <f>SUM(I52:I63)</f>
        <v>-739.0271952963235</v>
      </c>
      <c r="J64" s="1002">
        <f>SUM(J52:J63)</f>
        <v>229.2869542668368</v>
      </c>
      <c r="K64" s="1002">
        <f>SUM(K52:K63)</f>
        <v>-149.03745009244767</v>
      </c>
      <c r="L64" s="1002">
        <f>SUM(L52:L63)</f>
        <v>-148.62847518070203</v>
      </c>
      <c r="M64" s="1003">
        <f>SUM(M52:M63)</f>
        <v>-807.40616630263639</v>
      </c>
      <c r="N64" s="965"/>
      <c r="O64" s="1001">
        <f>SUM(O52:O63)</f>
        <v>-773.33798222532369</v>
      </c>
      <c r="P64" s="1002">
        <f>SUM(P52:P63)</f>
        <v>-88.685102890875214</v>
      </c>
      <c r="Q64" s="1002">
        <f>SUM(Q52:Q63)</f>
        <v>-50.129012048422283</v>
      </c>
      <c r="R64" s="1002">
        <f>SUM(R52:R63)</f>
        <v>797.70442869382896</v>
      </c>
      <c r="S64" s="1003">
        <f>SUM(S52:S63)</f>
        <v>-114.44766847079222</v>
      </c>
      <c r="T64" s="965"/>
      <c r="U64" s="1001">
        <f>SUM(U52:U63)</f>
        <v>-65.767825471310061</v>
      </c>
      <c r="V64" s="1002">
        <f>SUM(V52:V63)</f>
        <v>84.589969022395508</v>
      </c>
      <c r="W64" s="1002">
        <f>SUM(W52:W63)</f>
        <v>732.72652393702265</v>
      </c>
      <c r="X64" s="1002">
        <f>SUM(X52:X63)</f>
        <v>335.50372255489992</v>
      </c>
      <c r="Y64" s="1003">
        <f>SUM(Y52:Y63)</f>
        <v>1087.052390043008</v>
      </c>
      <c r="Z64" s="965"/>
      <c r="AA64" s="1001">
        <f>SUM(AA52:AA63)</f>
        <v>-1690.7516297438469</v>
      </c>
      <c r="AB64" s="1002">
        <f>SUM(AB52:AB63)</f>
        <v>425.57041447175197</v>
      </c>
      <c r="AC64" s="1002">
        <f>SUM(AC52:AC63)</f>
        <v>49.19550287823904</v>
      </c>
      <c r="AD64" s="1002">
        <f>SUM(AD52:AD63)</f>
        <v>287.34988712291124</v>
      </c>
      <c r="AE64" s="1003">
        <f>SUM(AE52:AE63)</f>
        <v>-928.63582527094468</v>
      </c>
      <c r="AF64" s="965"/>
      <c r="AG64" s="1001">
        <f>SUM(AG52:AG63)</f>
        <v>-86.556382190269233</v>
      </c>
      <c r="AH64" s="1002">
        <f>SUM(AH52:AH63)</f>
        <v>218.50450807326615</v>
      </c>
      <c r="AI64" s="1002">
        <f>SUM(AI52:AI63)</f>
        <v>171.86167249375876</v>
      </c>
      <c r="AJ64" s="1002">
        <f>SUM(AJ52:AJ63)</f>
        <v>505.86857474072622</v>
      </c>
      <c r="AK64" s="1003">
        <f>SUM(AK52:AK63)</f>
        <v>809.6783731174819</v>
      </c>
      <c r="AL64" s="965"/>
      <c r="AM64" s="1001">
        <f>SUM(AM52:AM63)</f>
        <v>-47.742363068269242</v>
      </c>
      <c r="AN64" s="1002">
        <f>SUM(AN52:AN63)</f>
        <v>25.185727045374733</v>
      </c>
      <c r="AO64" s="1002">
        <f>SUM(AO52:AO63)</f>
        <v>-309.33040076986617</v>
      </c>
      <c r="AP64" s="1002">
        <f>SUM(AP52:AP63)</f>
        <v>194.35730706303139</v>
      </c>
      <c r="AQ64" s="1003">
        <f>SUM(AQ52:AQ63)</f>
        <v>-137.5297297297293</v>
      </c>
      <c r="AR64" s="965"/>
      <c r="AS64" s="1004">
        <f>SUM(AS52:AS63)</f>
        <v>-68</v>
      </c>
      <c r="AT64" s="1002">
        <f>SUM(AT52:AT63)</f>
        <v>-72</v>
      </c>
      <c r="AU64" s="1002">
        <f>SUM(AU52:AU63)</f>
        <v>-597.52886378947414</v>
      </c>
      <c r="AV64" s="1005">
        <f>SUM(AV52:AV63)</f>
        <v>-62.088000000000022</v>
      </c>
      <c r="AW64" s="1006">
        <f>SUM(AW52:AW63)</f>
        <v>-799.61686378947411</v>
      </c>
      <c r="AX64" s="965"/>
      <c r="AY64" s="1004">
        <f>SUM(AY52:AY63)</f>
        <v>-828</v>
      </c>
      <c r="AZ64" s="1005">
        <f>SUM(AZ52:AZ63)</f>
        <v>-101</v>
      </c>
      <c r="BA64" s="1005">
        <f>SUM(BA52:BA63)</f>
        <v>-110</v>
      </c>
      <c r="BB64" s="1005">
        <f>SUM(BB52:BB63)</f>
        <v>-29</v>
      </c>
      <c r="BC64" s="1006">
        <f>SUM(BC52:BC63)</f>
        <v>-1068</v>
      </c>
      <c r="BD64" s="965"/>
      <c r="BE64" s="1004">
        <f>SUM(BE52:BE63)</f>
        <v>-132</v>
      </c>
      <c r="BF64" s="1005">
        <f>SUM(BF52:BF63)</f>
        <v>30</v>
      </c>
      <c r="BG64" s="1005">
        <f>SUM(BG52:BG63)</f>
        <v>-110</v>
      </c>
      <c r="BH64" s="1005">
        <f>SUM(BH52:BH63)</f>
        <v>-56</v>
      </c>
      <c r="BI64" s="1006">
        <f>SUM(BI52:BI63)</f>
        <v>-268</v>
      </c>
      <c r="BJ64" s="965"/>
      <c r="BK64" s="1004">
        <f>SUM(BK52:BK63)</f>
        <v>-58</v>
      </c>
      <c r="BL64" s="1005">
        <f>SUM(BL52:BL63)</f>
        <v>-67</v>
      </c>
      <c r="BM64" s="1005">
        <f>SUM(BM52:BM63)</f>
        <v>29</v>
      </c>
      <c r="BN64" s="1005">
        <f>SUM(BN52:BN63)</f>
        <v>-106</v>
      </c>
      <c r="BO64" s="1006">
        <f>SUM(BO52:BO63)</f>
        <v>-202</v>
      </c>
      <c r="BP64" s="965"/>
      <c r="BQ64" s="1004">
        <f>SUM(BQ52:BQ63)</f>
        <v>37</v>
      </c>
      <c r="BR64" s="1005">
        <f>SUM(BR52:BR63)</f>
        <v>-157.75266666666667</v>
      </c>
      <c r="BS64" s="1005">
        <f>SUM(BS52:BS63)</f>
        <v>-157.75266666666667</v>
      </c>
      <c r="BT64" s="1005">
        <f>SUM(BT52:BT63)</f>
        <v>-157.75266666666667</v>
      </c>
      <c r="BU64" s="1006">
        <f>SUM(BU52:BU63)</f>
        <v>-436.25800000000004</v>
      </c>
      <c r="BV64" s="965"/>
      <c r="BW64" s="1004">
        <f>SUM(BW52:BW63)</f>
        <v>-152.46776199999999</v>
      </c>
      <c r="BX64" s="1005">
        <f>SUM(BX52:BX63)</f>
        <v>-152.46776199999999</v>
      </c>
      <c r="BY64" s="1005">
        <f>SUM(BY52:BY63)</f>
        <v>-152.46776199999999</v>
      </c>
      <c r="BZ64" s="1005">
        <f>SUM(BZ52:BZ63)</f>
        <v>-152.46776199999999</v>
      </c>
      <c r="CA64" s="1006">
        <f>SUM(CA52:CA63)</f>
        <v>-609.87104799999997</v>
      </c>
      <c r="CB64" s="1005"/>
      <c r="CC64" s="1004">
        <f>SUM(CC52:CC63)</f>
        <v>-665.31322807200002</v>
      </c>
      <c r="CD64" s="1005">
        <f>SUM(CD52:CD63)</f>
        <v>-156.31322807200002</v>
      </c>
      <c r="CE64" s="1005">
        <f>SUM(CE52:CE63)</f>
        <v>-156.31322807200002</v>
      </c>
      <c r="CF64" s="1005">
        <f>SUM(CF52:CF63)</f>
        <v>-156.31322807200002</v>
      </c>
      <c r="CG64" s="1006">
        <f>SUM(CG52:CG63)</f>
        <v>-1134.2529122880001</v>
      </c>
      <c r="CH64" s="954"/>
      <c r="CI64" s="1004">
        <f>SUM(CI52:CI63)</f>
        <v>-557.96128042243197</v>
      </c>
      <c r="CJ64" s="1005">
        <f>SUM(CJ52:CJ63)</f>
        <v>-159.961280422432</v>
      </c>
      <c r="CK64" s="1005">
        <f>SUM(CK52:CK63)</f>
        <v>-159.961280422432</v>
      </c>
      <c r="CL64" s="1005">
        <f>SUM(CL52:CL63)</f>
        <v>-159.961280422432</v>
      </c>
      <c r="CM64" s="1006">
        <f>SUM(CM52:CM63)</f>
        <v>-1037.8451216897279</v>
      </c>
      <c r="CN64" s="954"/>
      <c r="CO64" s="954"/>
      <c r="CP64" s="954"/>
    </row>
    <row r="65" spans="1:94">
      <c r="A65" s="1007" t="s">
        <v>434</v>
      </c>
      <c r="B65" s="982" t="s">
        <v>113</v>
      </c>
      <c r="C65" s="1727">
        <v>0</v>
      </c>
      <c r="D65" s="1738">
        <f>0-C65</f>
        <v>0</v>
      </c>
      <c r="E65" s="1738">
        <f>0-D65-C65</f>
        <v>0</v>
      </c>
      <c r="F65" s="1738">
        <f>0-E65-D65-C65</f>
        <v>0</v>
      </c>
      <c r="G65" s="972">
        <f>+SUM(C65:F65)</f>
        <v>0</v>
      </c>
      <c r="H65" s="1008"/>
      <c r="I65" s="1727">
        <v>0</v>
      </c>
      <c r="J65" s="1738">
        <f>0-I65</f>
        <v>0</v>
      </c>
      <c r="K65" s="1738">
        <f>0-J65-I65</f>
        <v>0</v>
      </c>
      <c r="L65" s="1738">
        <f>0-K65-J65-I65</f>
        <v>0</v>
      </c>
      <c r="M65" s="972">
        <f>+SUM(I65:L65)</f>
        <v>0</v>
      </c>
      <c r="N65" s="1008"/>
      <c r="O65" s="1727">
        <v>0</v>
      </c>
      <c r="P65" s="1738">
        <f>0-O65</f>
        <v>0</v>
      </c>
      <c r="Q65" s="1738">
        <f>0-P65-O65</f>
        <v>0</v>
      </c>
      <c r="R65" s="1738">
        <f>0-Q65-P65-O65</f>
        <v>0</v>
      </c>
      <c r="S65" s="972">
        <f>+SUM(O65:R65)</f>
        <v>0</v>
      </c>
      <c r="T65" s="1008"/>
      <c r="U65" s="1727">
        <v>0</v>
      </c>
      <c r="V65" s="1738">
        <f>0-U65</f>
        <v>0</v>
      </c>
      <c r="W65" s="1738">
        <f>0-V65-U65</f>
        <v>0</v>
      </c>
      <c r="X65" s="1738">
        <f>0-W65-V65-U65</f>
        <v>0</v>
      </c>
      <c r="Y65" s="972">
        <f>+SUM(U65:X65)</f>
        <v>0</v>
      </c>
      <c r="Z65" s="1008"/>
      <c r="AA65" s="1727">
        <v>0</v>
      </c>
      <c r="AB65" s="1738">
        <f>0-AA65</f>
        <v>0</v>
      </c>
      <c r="AC65" s="1738">
        <f>0-AB65-AA65</f>
        <v>0</v>
      </c>
      <c r="AD65" s="1738">
        <f>0-AC65-AB65-AA65</f>
        <v>0</v>
      </c>
      <c r="AE65" s="972">
        <f>+SUM(AA65:AD65)</f>
        <v>0</v>
      </c>
      <c r="AF65" s="1008"/>
      <c r="AG65" s="1727">
        <v>0</v>
      </c>
      <c r="AH65" s="1738">
        <f>0-AG65</f>
        <v>0</v>
      </c>
      <c r="AI65" s="1738">
        <f>0-AH65-AG65</f>
        <v>0</v>
      </c>
      <c r="AJ65" s="1738">
        <f>0-AI65-AH65-AG65</f>
        <v>0</v>
      </c>
      <c r="AK65" s="972">
        <f>+SUM(AG65:AJ65)</f>
        <v>0</v>
      </c>
      <c r="AL65" s="1008"/>
      <c r="AM65" s="1727">
        <v>0</v>
      </c>
      <c r="AN65" s="1738">
        <f>0-AM65</f>
        <v>0</v>
      </c>
      <c r="AO65" s="1738">
        <f>0-AN65-AM65</f>
        <v>0</v>
      </c>
      <c r="AP65" s="1738">
        <f>0-AO65-AN65-AM65</f>
        <v>0</v>
      </c>
      <c r="AQ65" s="972">
        <f>+SUM(AM65:AP65)</f>
        <v>0</v>
      </c>
      <c r="AR65" s="1008"/>
      <c r="AS65" s="1725">
        <v>0</v>
      </c>
      <c r="AT65" s="1724">
        <f>0-AS65</f>
        <v>0</v>
      </c>
      <c r="AU65" s="1738">
        <f>0-AT65</f>
        <v>0</v>
      </c>
      <c r="AV65" s="1726">
        <v>0</v>
      </c>
      <c r="AW65" s="894">
        <f>+SUM(AS65:AV65)</f>
        <v>0</v>
      </c>
      <c r="AX65" s="1008"/>
      <c r="AY65" s="1725">
        <v>0</v>
      </c>
      <c r="AZ65" s="1724">
        <f t="shared" si="76"/>
        <v>0</v>
      </c>
      <c r="BA65" s="1724">
        <f t="shared" si="77"/>
        <v>0</v>
      </c>
      <c r="BB65" s="1726">
        <f t="shared" si="78"/>
        <v>0</v>
      </c>
      <c r="BC65" s="894">
        <f>+SUM(AY65:BB65)</f>
        <v>0</v>
      </c>
      <c r="BD65" s="1008"/>
      <c r="BE65" s="1725">
        <v>0</v>
      </c>
      <c r="BF65" s="1726">
        <f>0-BE65</f>
        <v>0</v>
      </c>
      <c r="BG65" s="1726">
        <f t="shared" si="80"/>
        <v>0</v>
      </c>
      <c r="BH65" s="1726">
        <f t="shared" si="81"/>
        <v>0</v>
      </c>
      <c r="BI65" s="894">
        <f>+SUM(BE65:BH65)</f>
        <v>0</v>
      </c>
      <c r="BJ65" s="1008"/>
      <c r="BK65" s="1725">
        <v>0</v>
      </c>
      <c r="BL65" s="1724">
        <f t="shared" si="82"/>
        <v>0</v>
      </c>
      <c r="BM65" s="1724">
        <f t="shared" si="83"/>
        <v>0</v>
      </c>
      <c r="BN65" s="1726">
        <v>0</v>
      </c>
      <c r="BO65" s="894">
        <f>+SUM(BK65:BN65)</f>
        <v>0</v>
      </c>
      <c r="BP65" s="1008"/>
      <c r="BQ65" s="1725">
        <v>0</v>
      </c>
      <c r="BR65" s="1726">
        <v>0</v>
      </c>
      <c r="BS65" s="1726">
        <v>0</v>
      </c>
      <c r="BT65" s="1726">
        <v>0</v>
      </c>
      <c r="BU65" s="894">
        <f>+SUM(BQ65:BT65)</f>
        <v>0</v>
      </c>
      <c r="BV65" s="1008"/>
      <c r="BW65" s="1725">
        <v>0</v>
      </c>
      <c r="BX65" s="1726">
        <v>0</v>
      </c>
      <c r="BY65" s="1726">
        <v>0</v>
      </c>
      <c r="BZ65" s="1726">
        <v>0</v>
      </c>
      <c r="CA65" s="894">
        <f>+SUM(BW65:BZ65)</f>
        <v>0</v>
      </c>
      <c r="CB65" s="984"/>
      <c r="CC65" s="1725">
        <v>0</v>
      </c>
      <c r="CD65" s="1726">
        <v>0</v>
      </c>
      <c r="CE65" s="1726">
        <v>0</v>
      </c>
      <c r="CF65" s="1726">
        <v>0</v>
      </c>
      <c r="CG65" s="894">
        <f>+SUM(CC65:CF65)</f>
        <v>0</v>
      </c>
      <c r="CH65" s="985"/>
      <c r="CI65" s="1725">
        <v>0</v>
      </c>
      <c r="CJ65" s="1726">
        <v>0</v>
      </c>
      <c r="CK65" s="1726">
        <v>0</v>
      </c>
      <c r="CL65" s="1726">
        <v>0</v>
      </c>
      <c r="CM65" s="894">
        <f>+SUM(CI65:CL65)</f>
        <v>0</v>
      </c>
      <c r="CN65" s="985"/>
      <c r="CO65" s="985"/>
      <c r="CP65" s="985"/>
    </row>
    <row r="66" spans="1:94" ht="6" customHeight="1">
      <c r="A66" s="894"/>
      <c r="B66" s="982" t="s">
        <v>113</v>
      </c>
      <c r="C66" s="1017"/>
      <c r="D66" s="984"/>
      <c r="E66" s="984"/>
      <c r="F66" s="984"/>
      <c r="G66" s="1018"/>
      <c r="H66" s="984"/>
      <c r="I66" s="1017"/>
      <c r="J66" s="984"/>
      <c r="K66" s="984"/>
      <c r="L66" s="984"/>
      <c r="M66" s="1018"/>
      <c r="N66" s="984"/>
      <c r="O66" s="1017"/>
      <c r="P66" s="984"/>
      <c r="Q66" s="984"/>
      <c r="R66" s="984"/>
      <c r="S66" s="1018"/>
      <c r="T66" s="984"/>
      <c r="U66" s="1017"/>
      <c r="V66" s="984"/>
      <c r="W66" s="984"/>
      <c r="X66" s="984"/>
      <c r="Y66" s="1018"/>
      <c r="Z66" s="984"/>
      <c r="AA66" s="1017"/>
      <c r="AB66" s="984"/>
      <c r="AC66" s="984"/>
      <c r="AD66" s="984"/>
      <c r="AE66" s="1018"/>
      <c r="AF66" s="984"/>
      <c r="AG66" s="1017"/>
      <c r="AH66" s="984"/>
      <c r="AI66" s="984"/>
      <c r="AJ66" s="984"/>
      <c r="AK66" s="1018"/>
      <c r="AL66" s="984"/>
      <c r="AM66" s="1017"/>
      <c r="AN66" s="984"/>
      <c r="AO66" s="984"/>
      <c r="AP66" s="984"/>
      <c r="AQ66" s="1018"/>
      <c r="AR66" s="984"/>
      <c r="AS66" s="970"/>
      <c r="AT66" s="971"/>
      <c r="AU66" s="971"/>
      <c r="AV66" s="971"/>
      <c r="AW66" s="1018"/>
      <c r="AX66" s="984"/>
      <c r="AY66" s="970"/>
      <c r="AZ66" s="971"/>
      <c r="BA66" s="971"/>
      <c r="BB66" s="971"/>
      <c r="BC66" s="1018"/>
      <c r="BD66" s="984"/>
      <c r="BE66" s="970"/>
      <c r="BF66" s="971"/>
      <c r="BG66" s="971"/>
      <c r="BH66" s="971"/>
      <c r="BI66" s="1018"/>
      <c r="BJ66" s="984"/>
      <c r="BK66" s="970"/>
      <c r="BL66" s="971"/>
      <c r="BM66" s="971"/>
      <c r="BN66" s="971"/>
      <c r="BO66" s="1018"/>
      <c r="BP66" s="984"/>
      <c r="BQ66" s="970"/>
      <c r="BR66" s="971"/>
      <c r="BS66" s="971"/>
      <c r="BT66" s="971"/>
      <c r="BU66" s="1018"/>
      <c r="BV66" s="984"/>
      <c r="BW66" s="970"/>
      <c r="BX66" s="971"/>
      <c r="BY66" s="971"/>
      <c r="BZ66" s="971"/>
      <c r="CA66" s="1018"/>
      <c r="CB66" s="971"/>
      <c r="CC66" s="970"/>
      <c r="CD66" s="971"/>
      <c r="CE66" s="971"/>
      <c r="CF66" s="971"/>
      <c r="CG66" s="1018"/>
      <c r="CH66" s="985"/>
      <c r="CI66" s="970"/>
      <c r="CJ66" s="971"/>
      <c r="CK66" s="971"/>
      <c r="CL66" s="971"/>
      <c r="CM66" s="1018"/>
      <c r="CN66" s="985"/>
      <c r="CO66" s="985"/>
      <c r="CP66" s="985"/>
    </row>
    <row r="67" spans="1:94" ht="13.5" customHeight="1">
      <c r="A67" s="1835" t="s">
        <v>435</v>
      </c>
      <c r="B67" s="982" t="s">
        <v>113</v>
      </c>
      <c r="C67" s="1034">
        <f>C64+C65</f>
        <v>-270.35555555555538</v>
      </c>
      <c r="D67" s="1035">
        <f>D64+D65</f>
        <v>-137.09140505643518</v>
      </c>
      <c r="E67" s="1035">
        <f>E64+E65</f>
        <v>-520.55466115958893</v>
      </c>
      <c r="F67" s="1035">
        <f>F64+F65</f>
        <v>385.99842825617247</v>
      </c>
      <c r="G67" s="1036">
        <f>G64+G65</f>
        <v>-542.00319351540702</v>
      </c>
      <c r="H67" s="1010"/>
      <c r="I67" s="1034">
        <f>I64+I65</f>
        <v>-739.0271952963235</v>
      </c>
      <c r="J67" s="1035">
        <f>J64+J65</f>
        <v>229.2869542668368</v>
      </c>
      <c r="K67" s="1035">
        <f>K64+K65</f>
        <v>-149.03745009244767</v>
      </c>
      <c r="L67" s="1035">
        <f>L64+L65</f>
        <v>-148.62847518070203</v>
      </c>
      <c r="M67" s="1036">
        <f>M64+M65</f>
        <v>-807.40616630263639</v>
      </c>
      <c r="N67" s="1010"/>
      <c r="O67" s="1034">
        <f>O64+O65</f>
        <v>-773.33798222532369</v>
      </c>
      <c r="P67" s="1035">
        <f>P64+P65</f>
        <v>-88.685102890875214</v>
      </c>
      <c r="Q67" s="1035">
        <f>Q64+Q65</f>
        <v>-50.129012048422283</v>
      </c>
      <c r="R67" s="1035">
        <f>R64+R65</f>
        <v>797.70442869382896</v>
      </c>
      <c r="S67" s="1036">
        <f>S64+S65</f>
        <v>-114.44766847079222</v>
      </c>
      <c r="T67" s="1010"/>
      <c r="U67" s="1034">
        <f>U64+U65</f>
        <v>-65.767825471310061</v>
      </c>
      <c r="V67" s="1035">
        <f>V64+V65</f>
        <v>84.589969022395508</v>
      </c>
      <c r="W67" s="1035">
        <f>W64+W65</f>
        <v>732.72652393702265</v>
      </c>
      <c r="X67" s="1035">
        <f>X64+X65</f>
        <v>335.50372255489992</v>
      </c>
      <c r="Y67" s="1036">
        <f>Y64+Y65</f>
        <v>1087.052390043008</v>
      </c>
      <c r="Z67" s="1010"/>
      <c r="AA67" s="1034">
        <f>AA64+AA65</f>
        <v>-1690.7516297438469</v>
      </c>
      <c r="AB67" s="1035">
        <f>AB64+AB65</f>
        <v>425.57041447175197</v>
      </c>
      <c r="AC67" s="1035">
        <f>AC64+AC65</f>
        <v>49.19550287823904</v>
      </c>
      <c r="AD67" s="1035">
        <f>AD64+AD65</f>
        <v>287.34988712291124</v>
      </c>
      <c r="AE67" s="1036">
        <f>AE64+AE65</f>
        <v>-928.63582527094468</v>
      </c>
      <c r="AF67" s="1010"/>
      <c r="AG67" s="1034">
        <f>AG64+AG65</f>
        <v>-86.556382190269233</v>
      </c>
      <c r="AH67" s="1035">
        <f>AH64+AH65</f>
        <v>218.50450807326615</v>
      </c>
      <c r="AI67" s="1035">
        <f>AI64+AI65</f>
        <v>171.86167249375876</v>
      </c>
      <c r="AJ67" s="1035">
        <f>AJ64+AJ65</f>
        <v>505.86857474072622</v>
      </c>
      <c r="AK67" s="1036">
        <f>AK64+AK65</f>
        <v>809.6783731174819</v>
      </c>
      <c r="AL67" s="1010"/>
      <c r="AM67" s="1034">
        <f>AM64+AM65</f>
        <v>-47.742363068269242</v>
      </c>
      <c r="AN67" s="1035">
        <f>AN64+AN65</f>
        <v>25.185727045374733</v>
      </c>
      <c r="AO67" s="1035">
        <f>AO64+AO65</f>
        <v>-309.33040076986617</v>
      </c>
      <c r="AP67" s="1035">
        <f>AP64+AP65</f>
        <v>194.35730706303139</v>
      </c>
      <c r="AQ67" s="1036">
        <f>AQ64+AQ65</f>
        <v>-137.5297297297293</v>
      </c>
      <c r="AR67" s="1010"/>
      <c r="AS67" s="1016">
        <f>AS64+AS65</f>
        <v>-68</v>
      </c>
      <c r="AT67" s="1014">
        <f>AT64+AT65</f>
        <v>-72</v>
      </c>
      <c r="AU67" s="1014">
        <f>AU64+AU65</f>
        <v>-597.52886378947414</v>
      </c>
      <c r="AV67" s="1014">
        <f>AV64+AV65</f>
        <v>-62.088000000000022</v>
      </c>
      <c r="AW67" s="1015">
        <f>AW64+AW65</f>
        <v>-799.61686378947411</v>
      </c>
      <c r="AX67" s="1010"/>
      <c r="AY67" s="1016">
        <f>AY64+AY65</f>
        <v>-828</v>
      </c>
      <c r="AZ67" s="1014">
        <f>AZ64+AZ65</f>
        <v>-101</v>
      </c>
      <c r="BA67" s="1014">
        <f>BA64+BA65</f>
        <v>-110</v>
      </c>
      <c r="BB67" s="1014">
        <f>BB64+BB65</f>
        <v>-29</v>
      </c>
      <c r="BC67" s="1015">
        <f>BC64+BC65</f>
        <v>-1068</v>
      </c>
      <c r="BD67" s="1010"/>
      <c r="BE67" s="1016">
        <f>BE64+BE65</f>
        <v>-132</v>
      </c>
      <c r="BF67" s="1014">
        <f>BF64+BF65</f>
        <v>30</v>
      </c>
      <c r="BG67" s="1014">
        <f>BG64+BG65</f>
        <v>-110</v>
      </c>
      <c r="BH67" s="1014">
        <f>BH64+BH65</f>
        <v>-56</v>
      </c>
      <c r="BI67" s="1015">
        <f>BI64+BI65</f>
        <v>-268</v>
      </c>
      <c r="BJ67" s="1010"/>
      <c r="BK67" s="1016">
        <f>BK64+BK65</f>
        <v>-58</v>
      </c>
      <c r="BL67" s="1014">
        <f>BL64+BL65</f>
        <v>-67</v>
      </c>
      <c r="BM67" s="1014">
        <f>BM64+BM65</f>
        <v>29</v>
      </c>
      <c r="BN67" s="1014">
        <f>BN64+BN65</f>
        <v>-106</v>
      </c>
      <c r="BO67" s="1015">
        <f>BO64+BO65</f>
        <v>-202</v>
      </c>
      <c r="BP67" s="1010"/>
      <c r="BQ67" s="1016">
        <f>BQ64+BQ65</f>
        <v>37</v>
      </c>
      <c r="BR67" s="1014">
        <f>BR64+BR65</f>
        <v>-157.75266666666667</v>
      </c>
      <c r="BS67" s="1014">
        <f>BS64+BS65</f>
        <v>-157.75266666666667</v>
      </c>
      <c r="BT67" s="1014">
        <f>BT64+BT65</f>
        <v>-157.75266666666667</v>
      </c>
      <c r="BU67" s="1015">
        <f>BU64+BU65</f>
        <v>-436.25800000000004</v>
      </c>
      <c r="BV67" s="1010"/>
      <c r="BW67" s="1016">
        <f>BW64+BW65</f>
        <v>-152.46776199999999</v>
      </c>
      <c r="BX67" s="1014">
        <f>BX64+BX65</f>
        <v>-152.46776199999999</v>
      </c>
      <c r="BY67" s="1014">
        <f>BY64+BY65</f>
        <v>-152.46776199999999</v>
      </c>
      <c r="BZ67" s="1014">
        <f>BZ64+BZ65</f>
        <v>-152.46776199999999</v>
      </c>
      <c r="CA67" s="1015">
        <f>CA64+CA65</f>
        <v>-609.87104799999997</v>
      </c>
      <c r="CB67" s="2130"/>
      <c r="CC67" s="1016">
        <f>CC64+CC65</f>
        <v>-665.31322807200002</v>
      </c>
      <c r="CD67" s="1014">
        <f>CD64+CD65</f>
        <v>-156.31322807200002</v>
      </c>
      <c r="CE67" s="1014">
        <f>CE64+CE65</f>
        <v>-156.31322807200002</v>
      </c>
      <c r="CF67" s="1014">
        <f>CF64+CF65</f>
        <v>-156.31322807200002</v>
      </c>
      <c r="CG67" s="1015">
        <f>CG64+CG65</f>
        <v>-1134.2529122880001</v>
      </c>
      <c r="CH67" s="954"/>
      <c r="CI67" s="1016">
        <f>CI64+CI65</f>
        <v>-557.96128042243197</v>
      </c>
      <c r="CJ67" s="1014">
        <f>CJ64+CJ65</f>
        <v>-159.961280422432</v>
      </c>
      <c r="CK67" s="1014">
        <f>CK64+CK65</f>
        <v>-159.961280422432</v>
      </c>
      <c r="CL67" s="1014">
        <f>CL64+CL65</f>
        <v>-159.961280422432</v>
      </c>
      <c r="CM67" s="1015">
        <f>CM64+CM65</f>
        <v>-1037.8451216897279</v>
      </c>
      <c r="CN67" s="954"/>
      <c r="CO67" s="954"/>
      <c r="CP67" s="954"/>
    </row>
    <row r="68" spans="1:94" ht="4.5" customHeight="1">
      <c r="A68" s="894"/>
      <c r="B68" s="982" t="s">
        <v>113</v>
      </c>
      <c r="C68" s="1017"/>
      <c r="D68" s="984"/>
      <c r="E68" s="984"/>
      <c r="F68" s="984"/>
      <c r="G68" s="1018"/>
      <c r="H68" s="984"/>
      <c r="I68" s="1017"/>
      <c r="J68" s="984"/>
      <c r="K68" s="984"/>
      <c r="L68" s="984"/>
      <c r="M68" s="1018"/>
      <c r="N68" s="984"/>
      <c r="O68" s="1017"/>
      <c r="P68" s="984"/>
      <c r="Q68" s="984"/>
      <c r="R68" s="984"/>
      <c r="S68" s="1018"/>
      <c r="T68" s="984"/>
      <c r="U68" s="1017"/>
      <c r="V68" s="984"/>
      <c r="W68" s="984"/>
      <c r="X68" s="984"/>
      <c r="Y68" s="1018"/>
      <c r="Z68" s="984"/>
      <c r="AA68" s="1017"/>
      <c r="AB68" s="984"/>
      <c r="AC68" s="984"/>
      <c r="AD68" s="984"/>
      <c r="AE68" s="1018"/>
      <c r="AF68" s="984"/>
      <c r="AG68" s="1017"/>
      <c r="AH68" s="984"/>
      <c r="AI68" s="984"/>
      <c r="AJ68" s="984"/>
      <c r="AK68" s="1018"/>
      <c r="AL68" s="984"/>
      <c r="AM68" s="1017"/>
      <c r="AN68" s="984"/>
      <c r="AO68" s="984"/>
      <c r="AP68" s="984"/>
      <c r="AQ68" s="1018"/>
      <c r="AR68" s="984"/>
      <c r="AS68" s="970"/>
      <c r="AT68" s="971"/>
      <c r="AU68" s="971"/>
      <c r="AV68" s="971"/>
      <c r="AW68" s="1018"/>
      <c r="AX68" s="984"/>
      <c r="AY68" s="970"/>
      <c r="AZ68" s="971"/>
      <c r="BA68" s="971"/>
      <c r="BB68" s="971"/>
      <c r="BC68" s="1018"/>
      <c r="BD68" s="984"/>
      <c r="BE68" s="970"/>
      <c r="BF68" s="971"/>
      <c r="BG68" s="971"/>
      <c r="BH68" s="971"/>
      <c r="BI68" s="1018"/>
      <c r="BJ68" s="984"/>
      <c r="BK68" s="970"/>
      <c r="BL68" s="971"/>
      <c r="BM68" s="971"/>
      <c r="BN68" s="971"/>
      <c r="BO68" s="1018"/>
      <c r="BP68" s="984"/>
      <c r="BQ68" s="970"/>
      <c r="BR68" s="971"/>
      <c r="BS68" s="971"/>
      <c r="BT68" s="971"/>
      <c r="BU68" s="1018"/>
      <c r="BV68" s="984"/>
      <c r="BW68" s="970"/>
      <c r="BX68" s="971"/>
      <c r="BY68" s="971"/>
      <c r="BZ68" s="971"/>
      <c r="CA68" s="1018"/>
      <c r="CB68" s="971"/>
      <c r="CC68" s="970"/>
      <c r="CD68" s="971"/>
      <c r="CE68" s="971"/>
      <c r="CF68" s="971"/>
      <c r="CG68" s="1018"/>
      <c r="CH68" s="985"/>
      <c r="CI68" s="970"/>
      <c r="CJ68" s="971"/>
      <c r="CK68" s="971"/>
      <c r="CL68" s="971"/>
      <c r="CM68" s="1018"/>
      <c r="CN68" s="985"/>
      <c r="CO68" s="985"/>
      <c r="CP68" s="985"/>
    </row>
    <row r="69" spans="1:94" ht="11.25" customHeight="1">
      <c r="A69" s="981" t="s">
        <v>436</v>
      </c>
      <c r="B69" s="982" t="s">
        <v>113</v>
      </c>
      <c r="C69" s="983"/>
      <c r="D69" s="1738">
        <f>BS!D42-BS!C42</f>
        <v>26.5</v>
      </c>
      <c r="E69" s="1738">
        <f>BS!E42-BS!D42</f>
        <v>1.5</v>
      </c>
      <c r="F69" s="1738">
        <f>BS!F42-BS!E42</f>
        <v>165.5</v>
      </c>
      <c r="G69" s="972">
        <f>+SUM(C69:F69)</f>
        <v>193.5</v>
      </c>
      <c r="H69" s="982"/>
      <c r="I69" s="1727">
        <f>BS!I42-BS!F42</f>
        <v>15.5</v>
      </c>
      <c r="J69" s="1738">
        <f>BS!J42-BS!I42</f>
        <v>19</v>
      </c>
      <c r="K69" s="1738">
        <f>BS!K42-BS!J42</f>
        <v>-11</v>
      </c>
      <c r="L69" s="1738">
        <f>BS!L42-BS!K42</f>
        <v>-316.5</v>
      </c>
      <c r="M69" s="972">
        <f>+SUM(I69:L69)</f>
        <v>-293</v>
      </c>
      <c r="N69" s="982"/>
      <c r="O69" s="1727">
        <f>BS!O42-BS!L42</f>
        <v>12</v>
      </c>
      <c r="P69" s="1738">
        <f>BS!P42-BS!O42</f>
        <v>-17</v>
      </c>
      <c r="Q69" s="1738">
        <f>BS!Q42-BS!P42</f>
        <v>23.5</v>
      </c>
      <c r="R69" s="1738">
        <f>BS!R42-BS!Q42</f>
        <v>-22</v>
      </c>
      <c r="S69" s="972">
        <f>+SUM(O69:R69)</f>
        <v>-3.5</v>
      </c>
      <c r="T69" s="984"/>
      <c r="U69" s="1727">
        <f>BS!U42-BS!R42</f>
        <v>-8</v>
      </c>
      <c r="V69" s="1738">
        <f>BS!V42-BS!U42</f>
        <v>-19</v>
      </c>
      <c r="W69" s="1738">
        <f>BS!W42-BS!V42</f>
        <v>7</v>
      </c>
      <c r="X69" s="1738">
        <f>BS!X42-BS!W42</f>
        <v>68.5</v>
      </c>
      <c r="Y69" s="972">
        <f>+SUM(U69:X69)</f>
        <v>48.5</v>
      </c>
      <c r="Z69" s="984"/>
      <c r="AA69" s="1727">
        <f>BS!AA42-BS!X42</f>
        <v>12.5</v>
      </c>
      <c r="AB69" s="1738">
        <f>BS!AB42-BS!AA42</f>
        <v>170.5</v>
      </c>
      <c r="AC69" s="1738">
        <f>BS!AC42-BS!AB42</f>
        <v>-3.5</v>
      </c>
      <c r="AD69" s="1738">
        <f>BS!AD42-BS!AC42</f>
        <v>-77.5</v>
      </c>
      <c r="AE69" s="972">
        <f>+SUM(AA69:AD69)</f>
        <v>102</v>
      </c>
      <c r="AF69" s="982"/>
      <c r="AG69" s="1727">
        <f>BS!AG42-BS!AD42</f>
        <v>108.16216216216216</v>
      </c>
      <c r="AH69" s="1738">
        <f>BS!AH42-BS!AG42</f>
        <v>-36.288288288288271</v>
      </c>
      <c r="AI69" s="1738">
        <f>BS!AI42-BS!AH42</f>
        <v>-196.72072072072075</v>
      </c>
      <c r="AJ69" s="1738">
        <f>BS!AJ42-BS!AI42</f>
        <v>-145.15315315315314</v>
      </c>
      <c r="AK69" s="972">
        <f>+SUM(AG69:AJ69)</f>
        <v>-270</v>
      </c>
      <c r="AL69" s="982"/>
      <c r="AM69" s="1727">
        <f>BS!AM42-BS!AJ42</f>
        <v>184.96703296703296</v>
      </c>
      <c r="AN69" s="1738">
        <f>BS!AN42-BS!AM42</f>
        <v>-68.571428571428569</v>
      </c>
      <c r="AO69" s="1738">
        <f>BS!AO42-BS!AN42</f>
        <v>-18.461538461538453</v>
      </c>
      <c r="AP69" s="1738">
        <f>BS!AP42-BS!AO42</f>
        <v>174.06593406593407</v>
      </c>
      <c r="AQ69" s="972">
        <f>+SUM(AM69:AP69)</f>
        <v>272</v>
      </c>
      <c r="AR69" s="982"/>
      <c r="AS69" s="1725">
        <v>-12</v>
      </c>
      <c r="AT69" s="1726">
        <f>-2-AS69</f>
        <v>10</v>
      </c>
      <c r="AU69" s="1726">
        <v>0</v>
      </c>
      <c r="AV69" s="1726">
        <v>0</v>
      </c>
      <c r="AW69" s="894">
        <f>+SUM(AS69:AV69)</f>
        <v>-2</v>
      </c>
      <c r="AX69" s="982"/>
      <c r="AY69" s="1725">
        <v>-31</v>
      </c>
      <c r="AZ69" s="1724">
        <f>-27-AY69</f>
        <v>4</v>
      </c>
      <c r="BA69" s="1724">
        <f>-43-SUM(AY69:AZ69)</f>
        <v>-16</v>
      </c>
      <c r="BB69" s="1726">
        <f>-48-SUM(AY69:BA69)</f>
        <v>-5</v>
      </c>
      <c r="BC69" s="894">
        <f>+SUM(AY69:BB69)</f>
        <v>-48</v>
      </c>
      <c r="BD69" s="982"/>
      <c r="BE69" s="1725">
        <v>-16</v>
      </c>
      <c r="BF69" s="1726">
        <f>14-BE69</f>
        <v>30</v>
      </c>
      <c r="BG69" s="1726">
        <f>9-SUM(BE69:BF69)</f>
        <v>-5</v>
      </c>
      <c r="BH69" s="1726">
        <f>-1-SUM(BE69:BG69)</f>
        <v>-10</v>
      </c>
      <c r="BI69" s="894">
        <f>+SUM(BE69:BH69)</f>
        <v>-1</v>
      </c>
      <c r="BJ69" s="982"/>
      <c r="BK69" s="1725">
        <v>-5</v>
      </c>
      <c r="BL69" s="1724">
        <f>-4-BK69</f>
        <v>1</v>
      </c>
      <c r="BM69" s="1724">
        <f>14-SUM(BK69:BL69)</f>
        <v>18</v>
      </c>
      <c r="BN69" s="1726">
        <f>7-SUM(BK69:BM69)</f>
        <v>-7</v>
      </c>
      <c r="BO69" s="894">
        <f>+SUM(BK69:BN69)</f>
        <v>7</v>
      </c>
      <c r="BP69" s="982"/>
      <c r="BQ69" s="1725">
        <v>24</v>
      </c>
      <c r="BR69" s="1726">
        <v>0</v>
      </c>
      <c r="BS69" s="1726">
        <v>0</v>
      </c>
      <c r="BT69" s="1726">
        <v>0</v>
      </c>
      <c r="BU69" s="894">
        <f>+SUM(BQ69:BT69)</f>
        <v>24</v>
      </c>
      <c r="BV69" s="982"/>
      <c r="BW69" s="1725">
        <v>0</v>
      </c>
      <c r="BX69" s="1726">
        <v>0</v>
      </c>
      <c r="BY69" s="1726">
        <v>0</v>
      </c>
      <c r="BZ69" s="1726">
        <v>0</v>
      </c>
      <c r="CA69" s="894">
        <f>+SUM(BW69:BZ69)</f>
        <v>0</v>
      </c>
      <c r="CB69" s="984"/>
      <c r="CC69" s="1725">
        <v>0</v>
      </c>
      <c r="CD69" s="1726">
        <v>0</v>
      </c>
      <c r="CE69" s="1726">
        <v>0</v>
      </c>
      <c r="CF69" s="1726">
        <v>0</v>
      </c>
      <c r="CG69" s="894">
        <f>+SUM(CC69:CF69)</f>
        <v>0</v>
      </c>
      <c r="CH69" s="985"/>
      <c r="CI69" s="1725">
        <v>0</v>
      </c>
      <c r="CJ69" s="1726">
        <v>0</v>
      </c>
      <c r="CK69" s="1726">
        <v>0</v>
      </c>
      <c r="CL69" s="1726">
        <v>0</v>
      </c>
      <c r="CM69" s="894">
        <f>+SUM(CI69:CL69)</f>
        <v>0</v>
      </c>
      <c r="CN69" s="985"/>
      <c r="CO69" s="985"/>
      <c r="CP69" s="985"/>
    </row>
    <row r="70" spans="1:94" ht="11.25" customHeight="1">
      <c r="A70" s="981" t="s">
        <v>507</v>
      </c>
      <c r="B70" s="982" t="s">
        <v>113</v>
      </c>
      <c r="C70" s="983"/>
      <c r="D70" s="1738">
        <v>0</v>
      </c>
      <c r="E70" s="1738">
        <v>0</v>
      </c>
      <c r="F70" s="1738">
        <v>0</v>
      </c>
      <c r="G70" s="972">
        <f>+SUM(C70:F70)</f>
        <v>0</v>
      </c>
      <c r="H70" s="982"/>
      <c r="I70" s="1727">
        <v>0</v>
      </c>
      <c r="J70" s="1738">
        <v>0</v>
      </c>
      <c r="K70" s="1738">
        <v>0</v>
      </c>
      <c r="L70" s="1738">
        <v>0</v>
      </c>
      <c r="M70" s="972">
        <f>+SUM(I70:L70)</f>
        <v>0</v>
      </c>
      <c r="N70" s="982"/>
      <c r="O70" s="1727">
        <v>0</v>
      </c>
      <c r="P70" s="1738">
        <v>0</v>
      </c>
      <c r="Q70" s="1738">
        <v>0</v>
      </c>
      <c r="R70" s="1738">
        <v>0</v>
      </c>
      <c r="S70" s="972">
        <f>+SUM(O70:R70)</f>
        <v>0</v>
      </c>
      <c r="T70" s="984"/>
      <c r="U70" s="1727">
        <v>0</v>
      </c>
      <c r="V70" s="1738">
        <v>0</v>
      </c>
      <c r="W70" s="1738">
        <v>0</v>
      </c>
      <c r="X70" s="1738">
        <v>0</v>
      </c>
      <c r="Y70" s="972">
        <f>+SUM(U70:X70)</f>
        <v>0</v>
      </c>
      <c r="Z70" s="984"/>
      <c r="AA70" s="1727">
        <v>0</v>
      </c>
      <c r="AB70" s="1738">
        <v>0</v>
      </c>
      <c r="AC70" s="1738">
        <v>0</v>
      </c>
      <c r="AD70" s="1738">
        <v>0</v>
      </c>
      <c r="AE70" s="972">
        <f>+SUM(AA70:AD70)</f>
        <v>0</v>
      </c>
      <c r="AF70" s="982"/>
      <c r="AG70" s="1727">
        <v>0</v>
      </c>
      <c r="AH70" s="1738">
        <v>0</v>
      </c>
      <c r="AI70" s="1738">
        <v>0</v>
      </c>
      <c r="AJ70" s="1738">
        <v>0</v>
      </c>
      <c r="AK70" s="972">
        <f>+SUM(AG70:AJ70)</f>
        <v>0</v>
      </c>
      <c r="AL70" s="982"/>
      <c r="AM70" s="1727">
        <v>0</v>
      </c>
      <c r="AN70" s="1738">
        <v>0</v>
      </c>
      <c r="AO70" s="1738">
        <v>0</v>
      </c>
      <c r="AP70" s="1738">
        <v>0</v>
      </c>
      <c r="AQ70" s="972">
        <f>+SUM(AM70:AP70)</f>
        <v>0</v>
      </c>
      <c r="AR70" s="982"/>
      <c r="AS70" s="1727">
        <v>0</v>
      </c>
      <c r="AT70" s="1738">
        <v>0</v>
      </c>
      <c r="AU70" s="1738">
        <v>0</v>
      </c>
      <c r="AV70" s="1738">
        <v>1702.8378188448175</v>
      </c>
      <c r="AW70" s="894">
        <f>+SUM(AS70:AV70)</f>
        <v>1702.8378188448175</v>
      </c>
      <c r="AX70" s="982"/>
      <c r="AY70" s="1725">
        <v>810</v>
      </c>
      <c r="AZ70" s="1724">
        <f>810-AY70</f>
        <v>0</v>
      </c>
      <c r="BA70" s="1724">
        <f>810-SUM(AY70:AZ70)</f>
        <v>0</v>
      </c>
      <c r="BB70" s="1726">
        <f>810-SUM(AY70:BA70)</f>
        <v>0</v>
      </c>
      <c r="BC70" s="894">
        <f>+SUM(AY70:BB70)</f>
        <v>810</v>
      </c>
      <c r="BD70" s="982"/>
      <c r="BE70" s="1725">
        <v>0</v>
      </c>
      <c r="BF70" s="1726">
        <f>0-BE70</f>
        <v>0</v>
      </c>
      <c r="BG70" s="1726">
        <f>0-SUM(BE70:BF70)</f>
        <v>0</v>
      </c>
      <c r="BH70" s="1726">
        <f>0-SUM(BE70:BG70)</f>
        <v>0</v>
      </c>
      <c r="BI70" s="894">
        <f>+SUM(BE70:BH70)</f>
        <v>0</v>
      </c>
      <c r="BJ70" s="982"/>
      <c r="BK70" s="1725">
        <v>0</v>
      </c>
      <c r="BL70" s="1724">
        <f t="shared" ref="BL70" si="90">0-BK70</f>
        <v>0</v>
      </c>
      <c r="BM70" s="1724">
        <f t="shared" ref="BM70" si="91">0-SUM(BK70:BL70)</f>
        <v>0</v>
      </c>
      <c r="BN70" s="1726">
        <v>0</v>
      </c>
      <c r="BO70" s="894">
        <f>+SUM(BK70:BN70)</f>
        <v>0</v>
      </c>
      <c r="BP70" s="982"/>
      <c r="BQ70" s="1725">
        <v>0</v>
      </c>
      <c r="BR70" s="1726">
        <v>0</v>
      </c>
      <c r="BS70" s="1726">
        <v>0</v>
      </c>
      <c r="BT70" s="1726">
        <v>0</v>
      </c>
      <c r="BU70" s="894">
        <f>+SUM(BQ70:BT70)</f>
        <v>0</v>
      </c>
      <c r="BV70" s="982"/>
      <c r="BW70" s="1725">
        <v>0</v>
      </c>
      <c r="BX70" s="1726">
        <v>0</v>
      </c>
      <c r="BY70" s="1726">
        <v>0</v>
      </c>
      <c r="BZ70" s="1726">
        <v>0</v>
      </c>
      <c r="CA70" s="894">
        <f>+SUM(BW70:BZ70)</f>
        <v>0</v>
      </c>
      <c r="CB70" s="984"/>
      <c r="CC70" s="1725">
        <v>0</v>
      </c>
      <c r="CD70" s="1726">
        <v>0</v>
      </c>
      <c r="CE70" s="1726">
        <v>0</v>
      </c>
      <c r="CF70" s="1726">
        <v>0</v>
      </c>
      <c r="CG70" s="894">
        <f>+SUM(CC70:CF70)</f>
        <v>0</v>
      </c>
      <c r="CH70" s="985"/>
      <c r="CI70" s="1725">
        <v>0</v>
      </c>
      <c r="CJ70" s="1726">
        <v>0</v>
      </c>
      <c r="CK70" s="1726">
        <v>0</v>
      </c>
      <c r="CL70" s="1726">
        <v>0</v>
      </c>
      <c r="CM70" s="894">
        <f>+SUM(CI70:CL70)</f>
        <v>0</v>
      </c>
      <c r="CN70" s="985"/>
      <c r="CO70" s="985"/>
      <c r="CP70" s="985"/>
    </row>
    <row r="71" spans="1:94" ht="5.25" customHeight="1">
      <c r="A71" s="894"/>
      <c r="B71" s="982" t="s">
        <v>113</v>
      </c>
      <c r="C71" s="1017"/>
      <c r="D71" s="984"/>
      <c r="E71" s="984"/>
      <c r="F71" s="984"/>
      <c r="G71" s="1018"/>
      <c r="H71" s="984"/>
      <c r="I71" s="1017"/>
      <c r="J71" s="984"/>
      <c r="K71" s="984"/>
      <c r="L71" s="984"/>
      <c r="M71" s="1018"/>
      <c r="N71" s="984"/>
      <c r="O71" s="1017"/>
      <c r="P71" s="984"/>
      <c r="Q71" s="984"/>
      <c r="R71" s="984"/>
      <c r="S71" s="1018"/>
      <c r="T71" s="984"/>
      <c r="U71" s="1017"/>
      <c r="V71" s="984"/>
      <c r="W71" s="984"/>
      <c r="X71" s="984"/>
      <c r="Y71" s="1018"/>
      <c r="Z71" s="984"/>
      <c r="AA71" s="1017"/>
      <c r="AB71" s="984"/>
      <c r="AC71" s="984"/>
      <c r="AD71" s="984"/>
      <c r="AE71" s="1018"/>
      <c r="AF71" s="984"/>
      <c r="AG71" s="1017"/>
      <c r="AH71" s="984"/>
      <c r="AI71" s="984"/>
      <c r="AJ71" s="984"/>
      <c r="AK71" s="1018"/>
      <c r="AL71" s="984"/>
      <c r="AM71" s="1017"/>
      <c r="AN71" s="984"/>
      <c r="AO71" s="984"/>
      <c r="AP71" s="984"/>
      <c r="AQ71" s="1018"/>
      <c r="AR71" s="984"/>
      <c r="AS71" s="970"/>
      <c r="AT71" s="971"/>
      <c r="AU71" s="971"/>
      <c r="AV71" s="971"/>
      <c r="AW71" s="1018"/>
      <c r="AX71" s="984"/>
      <c r="AY71" s="970"/>
      <c r="AZ71" s="971"/>
      <c r="BA71" s="971"/>
      <c r="BB71" s="971"/>
      <c r="BC71" s="1018"/>
      <c r="BD71" s="984"/>
      <c r="BE71" s="970"/>
      <c r="BF71" s="971"/>
      <c r="BG71" s="971"/>
      <c r="BH71" s="971"/>
      <c r="BI71" s="1018"/>
      <c r="BJ71" s="984"/>
      <c r="BK71" s="970"/>
      <c r="BL71" s="971"/>
      <c r="BM71" s="971"/>
      <c r="BN71" s="971"/>
      <c r="BO71" s="1018"/>
      <c r="BP71" s="984"/>
      <c r="BQ71" s="970"/>
      <c r="BR71" s="971"/>
      <c r="BS71" s="971"/>
      <c r="BT71" s="971"/>
      <c r="BU71" s="1018"/>
      <c r="BV71" s="984"/>
      <c r="BW71" s="970"/>
      <c r="BX71" s="971"/>
      <c r="BY71" s="971"/>
      <c r="BZ71" s="971"/>
      <c r="CA71" s="1018"/>
      <c r="CB71" s="971"/>
      <c r="CC71" s="970"/>
      <c r="CD71" s="971"/>
      <c r="CE71" s="971"/>
      <c r="CF71" s="971"/>
      <c r="CG71" s="1018"/>
      <c r="CH71" s="985"/>
      <c r="CI71" s="970"/>
      <c r="CJ71" s="971"/>
      <c r="CK71" s="971"/>
      <c r="CL71" s="971"/>
      <c r="CM71" s="1018"/>
      <c r="CN71" s="985"/>
      <c r="CO71" s="985"/>
      <c r="CP71" s="985"/>
    </row>
    <row r="72" spans="1:94">
      <c r="A72" s="1836" t="s">
        <v>437</v>
      </c>
      <c r="B72" s="982" t="s">
        <v>113</v>
      </c>
      <c r="C72" s="1037">
        <f>(C33+C49+C67+C69)</f>
        <v>-171.99999999999983</v>
      </c>
      <c r="D72" s="1038">
        <f>(D33+D49+D67+D69)</f>
        <v>-39.999999999999673</v>
      </c>
      <c r="E72" s="1038">
        <f>(E33+E49+E67+E69)</f>
        <v>-564.00000000000057</v>
      </c>
      <c r="F72" s="1038">
        <f>(F33+F49+F67+F69)</f>
        <v>340</v>
      </c>
      <c r="G72" s="1039">
        <f>(G33+G49+G67+G69)</f>
        <v>-436.00000000000023</v>
      </c>
      <c r="H72" s="965"/>
      <c r="I72" s="1037">
        <f>(I33+I49+I67+I69)</f>
        <v>-440.99999999999972</v>
      </c>
      <c r="J72" s="1038">
        <f>(J33+J49+J67+J69)</f>
        <v>325.00000000000011</v>
      </c>
      <c r="K72" s="1038">
        <f>(K33+K49+K67+K69)</f>
        <v>-69.999999999999844</v>
      </c>
      <c r="L72" s="1038">
        <f>(L33+L49+L67+L69)</f>
        <v>-235.00000000000026</v>
      </c>
      <c r="M72" s="1039">
        <f>(M33+M49+M67+M69)</f>
        <v>-420.99999999999977</v>
      </c>
      <c r="N72" s="965"/>
      <c r="O72" s="1037">
        <f>(O33+O49+O67+O69)</f>
        <v>-42.999999999999773</v>
      </c>
      <c r="P72" s="1038">
        <f>(P33+P49+P67+P69)</f>
        <v>37.999999999999659</v>
      </c>
      <c r="Q72" s="1038">
        <f>(Q33+Q49+Q67+Q69)</f>
        <v>79.000000000000114</v>
      </c>
      <c r="R72" s="1038">
        <f>(R33+R49+R67+R69)</f>
        <v>1000.0000000000003</v>
      </c>
      <c r="S72" s="1039">
        <f>(S33+S49+S67+S69)</f>
        <v>1074.0000000000002</v>
      </c>
      <c r="T72" s="965"/>
      <c r="U72" s="1037">
        <f>(U33+U49+U67+U69)</f>
        <v>1.9999999999999716</v>
      </c>
      <c r="V72" s="1038">
        <f>(V33+V49+V67+V69)</f>
        <v>164.99999999999983</v>
      </c>
      <c r="W72" s="1038">
        <f>(W33+W49+W67+W69)</f>
        <v>-329</v>
      </c>
      <c r="X72" s="1038">
        <f>(X33+X49+X67+X69)</f>
        <v>332</v>
      </c>
      <c r="Y72" s="1039">
        <f>(Y33+Y49+Y67+Y69)</f>
        <v>169.99999999999977</v>
      </c>
      <c r="Z72" s="965"/>
      <c r="AA72" s="1037">
        <f>(AA33+AA49+AA67+AA69)</f>
        <v>-11</v>
      </c>
      <c r="AB72" s="1038">
        <f>(AB33+AB49+AB67+AB69)</f>
        <v>337.00000000000006</v>
      </c>
      <c r="AC72" s="1038">
        <f>(AC33+AC49+AC67+AC69)</f>
        <v>126.00000000000011</v>
      </c>
      <c r="AD72" s="1038">
        <f>(AD33+AD49+AD67+AD69)</f>
        <v>426</v>
      </c>
      <c r="AE72" s="1039">
        <f>(AE33+AE49+AE67+AE69)</f>
        <v>878.00000000000023</v>
      </c>
      <c r="AF72" s="965"/>
      <c r="AG72" s="1037">
        <f>(AG33+AG49+AG67+AG69)</f>
        <v>134.99999999999994</v>
      </c>
      <c r="AH72" s="1038">
        <f>(AH33+AH49+AH67+AH69)</f>
        <v>233.99999999999991</v>
      </c>
      <c r="AI72" s="1038">
        <f>(AI33+AI49+AI67+AI69)</f>
        <v>-1972.9999999999998</v>
      </c>
      <c r="AJ72" s="1038">
        <f>(AJ33+AJ49+AJ67+AJ69)</f>
        <v>427.99999999999983</v>
      </c>
      <c r="AK72" s="1039">
        <f>(AK33+AK49+AK67+AK69)</f>
        <v>-1176.0000000000005</v>
      </c>
      <c r="AL72" s="965"/>
      <c r="AM72" s="1037">
        <f>(AM33+AM49+AM67+AM69)</f>
        <v>99.000000000000483</v>
      </c>
      <c r="AN72" s="1038">
        <f>(AN33+AN49+AN67+AN69)</f>
        <v>68.999999999999929</v>
      </c>
      <c r="AO72" s="1038">
        <f>(AO33+AO49+AO67+AO69)</f>
        <v>-188.99999999999983</v>
      </c>
      <c r="AP72" s="1038">
        <f>(AP33+AP49+AP67+AP69)</f>
        <v>345.00000000000011</v>
      </c>
      <c r="AQ72" s="1039">
        <f>(AQ33+AQ49+AQ67+AQ69)</f>
        <v>324.00000000000074</v>
      </c>
      <c r="AR72" s="965"/>
      <c r="AS72" s="1042">
        <f>(AS33+AS49+AS67+AS69)</f>
        <v>67</v>
      </c>
      <c r="AT72" s="1040">
        <f>(AT33+AT49+AT67+AT69)</f>
        <v>208</v>
      </c>
      <c r="AU72" s="1040">
        <f>(AU33+AU49+AU67+AU69)</f>
        <v>-559.00000000000045</v>
      </c>
      <c r="AV72" s="1040">
        <f>(AV33+AV49+AV67+AV69)</f>
        <v>-1875.8378188448175</v>
      </c>
      <c r="AW72" s="1041">
        <f>(AW33+AW49+AW67+AW69)</f>
        <v>-2159.8378188448178</v>
      </c>
      <c r="AX72" s="965"/>
      <c r="AY72" s="1042">
        <f>(AY33+AY49+AY67+AY69)</f>
        <v>-910</v>
      </c>
      <c r="AZ72" s="1040">
        <f>(AZ33+AZ49+AZ67+AZ69)</f>
        <v>79</v>
      </c>
      <c r="BA72" s="1040">
        <f>(BA33+BA49+BA67+BA69)</f>
        <v>-122</v>
      </c>
      <c r="BB72" s="1040">
        <f>(BB33+BB49+BB67+BB69)</f>
        <v>-72</v>
      </c>
      <c r="BC72" s="1041">
        <f>(BC33+BC49+BC67+BC69)</f>
        <v>-1025</v>
      </c>
      <c r="BD72" s="965"/>
      <c r="BE72" s="1042">
        <f>(BE33+BE49+BE67+BE69)</f>
        <v>-72</v>
      </c>
      <c r="BF72" s="1040">
        <f>(BF33+BF49+BF67+BF69)</f>
        <v>208</v>
      </c>
      <c r="BG72" s="1040">
        <f>(BG33+BG49+BG67+BG69)</f>
        <v>60</v>
      </c>
      <c r="BH72" s="1040">
        <f>(BH33+BH49+BH67+BH69)</f>
        <v>90</v>
      </c>
      <c r="BI72" s="1041">
        <f>(BI33+BI49+BI67+BI69)</f>
        <v>286</v>
      </c>
      <c r="BJ72" s="965"/>
      <c r="BK72" s="1042">
        <f>(BK33+BK49+BK67+BK69)</f>
        <v>-48</v>
      </c>
      <c r="BL72" s="1040">
        <f>(BL33+BL49+BL67+BL69)</f>
        <v>148</v>
      </c>
      <c r="BM72" s="1040">
        <f>(BM33+BM49+BM67+BM69)</f>
        <v>174</v>
      </c>
      <c r="BN72" s="1040">
        <f>(BN33+BN49+BN67+BN69)</f>
        <v>115</v>
      </c>
      <c r="BO72" s="1041">
        <f>(BO33+BO49+BO67+BO69)</f>
        <v>389</v>
      </c>
      <c r="BP72" s="965"/>
      <c r="BQ72" s="1042">
        <f>(BQ33+BQ49+BQ67+BQ69)</f>
        <v>209</v>
      </c>
      <c r="BR72" s="1040">
        <f>(BR33+BR49+BR67+BR69)</f>
        <v>45.338783510740967</v>
      </c>
      <c r="BS72" s="1040">
        <f>(BS33+BS49+BS67+BS69)</f>
        <v>69.675220047526636</v>
      </c>
      <c r="BT72" s="1040">
        <f>(BT33+BT49+BT67+BT69)</f>
        <v>136.8697967376194</v>
      </c>
      <c r="BU72" s="1041">
        <f>(BU33+BU49+BU67+BU69)</f>
        <v>460.88380029588689</v>
      </c>
      <c r="BV72" s="965"/>
      <c r="BW72" s="1042">
        <f>(BW33+BW49+BW67+BW69)</f>
        <v>17.839585780897437</v>
      </c>
      <c r="BX72" s="1040">
        <f>(BX33+BX49+BX67+BX69)</f>
        <v>88.732303525154151</v>
      </c>
      <c r="BY72" s="1040">
        <f>(BY33+BY49+BY67+BY69)</f>
        <v>113.0827889870867</v>
      </c>
      <c r="BZ72" s="1040">
        <f>(BZ33+BZ49+BZ67+BZ69)</f>
        <v>192.25230323166181</v>
      </c>
      <c r="CA72" s="1041">
        <f>(CA33+CA49+CA67+CA69)</f>
        <v>411.90698152480002</v>
      </c>
      <c r="CB72" s="1251"/>
      <c r="CC72" s="1042">
        <f>(CC33+CC49+CC67+CC69)</f>
        <v>-457.97061720827958</v>
      </c>
      <c r="CD72" s="1040">
        <f>(CD33+CD49+CD67+CD69)</f>
        <v>174.45999610934962</v>
      </c>
      <c r="CE72" s="1040">
        <f>(CE33+CE49+CE67+CE69)</f>
        <v>205.96064929319652</v>
      </c>
      <c r="CF72" s="1040">
        <f>(CF33+CF49+CF67+CF69)</f>
        <v>299.260712508148</v>
      </c>
      <c r="CG72" s="1041">
        <f>(CG33+CG49+CG67+CG69)</f>
        <v>221.71074070241457</v>
      </c>
      <c r="CH72" s="954"/>
      <c r="CI72" s="1042">
        <f>(CI33+CI49+CI67+CI69)</f>
        <v>-237.05708484482352</v>
      </c>
      <c r="CJ72" s="1040">
        <f>(CJ33+CJ49+CJ67+CJ69)</f>
        <v>130.9526103746488</v>
      </c>
      <c r="CK72" s="1040">
        <f>(CK33+CK49+CK67+CK69)</f>
        <v>160.8418482614463</v>
      </c>
      <c r="CL72" s="1040">
        <f>(CL33+CL49+CL67+CL69)</f>
        <v>263.17121124890491</v>
      </c>
      <c r="CM72" s="1041">
        <f>(CM33+CM49+CM67+CM69)</f>
        <v>317.9085850401766</v>
      </c>
      <c r="CN72" s="954"/>
      <c r="CO72" s="954"/>
      <c r="CP72" s="954"/>
    </row>
    <row r="73" spans="1:94" ht="6" customHeight="1">
      <c r="A73" s="1837"/>
      <c r="B73" s="982" t="s">
        <v>113</v>
      </c>
      <c r="C73" s="1043"/>
      <c r="D73" s="1043"/>
      <c r="E73" s="1043"/>
      <c r="F73" s="1043"/>
      <c r="G73" s="1044"/>
      <c r="H73" s="984"/>
      <c r="I73" s="1043"/>
      <c r="J73" s="1043"/>
      <c r="K73" s="1043"/>
      <c r="L73" s="1043"/>
      <c r="M73" s="1044"/>
      <c r="N73" s="984"/>
      <c r="O73" s="1043"/>
      <c r="P73" s="1043"/>
      <c r="Q73" s="1043"/>
      <c r="R73" s="1043"/>
      <c r="S73" s="1044"/>
      <c r="T73" s="984"/>
      <c r="U73" s="1043"/>
      <c r="V73" s="1043"/>
      <c r="W73" s="1043"/>
      <c r="X73" s="1043"/>
      <c r="Y73" s="1044"/>
      <c r="Z73" s="984"/>
      <c r="AA73" s="1043"/>
      <c r="AB73" s="1043"/>
      <c r="AC73" s="1043"/>
      <c r="AD73" s="1043"/>
      <c r="AE73" s="1044"/>
      <c r="AF73" s="984"/>
      <c r="AG73" s="1043"/>
      <c r="AH73" s="1043"/>
      <c r="AI73" s="1043"/>
      <c r="AJ73" s="1043"/>
      <c r="AK73" s="1044"/>
      <c r="AL73" s="984"/>
      <c r="AM73" s="1043"/>
      <c r="AN73" s="1043"/>
      <c r="AO73" s="1043"/>
      <c r="AP73" s="1043"/>
      <c r="AQ73" s="1044"/>
      <c r="AR73" s="984"/>
      <c r="AS73" s="1043"/>
      <c r="AT73" s="1043"/>
      <c r="AU73" s="1043"/>
      <c r="AV73" s="1043"/>
      <c r="AW73" s="1044"/>
      <c r="AX73" s="984"/>
      <c r="AY73" s="1043"/>
      <c r="AZ73" s="1043"/>
      <c r="BA73" s="1043"/>
      <c r="BB73" s="1043"/>
      <c r="BC73" s="1044"/>
      <c r="BD73" s="984"/>
      <c r="BE73" s="1043"/>
      <c r="BF73" s="1043"/>
      <c r="BG73" s="1043"/>
      <c r="BH73" s="1043"/>
      <c r="BI73" s="1044"/>
      <c r="BJ73" s="984"/>
      <c r="BK73" s="1043"/>
      <c r="BL73" s="1043"/>
      <c r="BM73" s="1043"/>
      <c r="BN73" s="1043"/>
      <c r="BO73" s="1044"/>
      <c r="BP73" s="984"/>
      <c r="BQ73" s="1043"/>
      <c r="BR73" s="1043"/>
      <c r="BS73" s="1043"/>
      <c r="BT73" s="1043"/>
      <c r="BU73" s="1044"/>
      <c r="BV73" s="984"/>
      <c r="BW73" s="1043"/>
      <c r="BX73" s="1043"/>
      <c r="BY73" s="1043"/>
      <c r="BZ73" s="1043"/>
      <c r="CA73" s="1044"/>
      <c r="CB73" s="1044"/>
      <c r="CC73" s="1043"/>
      <c r="CD73" s="1043"/>
      <c r="CE73" s="1043"/>
      <c r="CF73" s="1043"/>
      <c r="CG73" s="1044"/>
      <c r="CH73" s="985"/>
      <c r="CI73" s="1043"/>
      <c r="CJ73" s="1043"/>
      <c r="CK73" s="1043"/>
      <c r="CL73" s="1043"/>
      <c r="CM73" s="1044"/>
      <c r="CN73" s="985"/>
      <c r="CO73" s="985"/>
      <c r="CP73" s="985"/>
    </row>
    <row r="74" spans="1:94">
      <c r="A74" s="1529" t="s">
        <v>438</v>
      </c>
      <c r="B74" s="982" t="s">
        <v>113</v>
      </c>
      <c r="C74" s="1731">
        <v>2262</v>
      </c>
      <c r="D74" s="1530">
        <f>C75</f>
        <v>2090</v>
      </c>
      <c r="E74" s="1530">
        <f>D75</f>
        <v>2050.0000000000005</v>
      </c>
      <c r="F74" s="1530">
        <f>E75</f>
        <v>1486</v>
      </c>
      <c r="G74" s="1531">
        <f>C74</f>
        <v>2262</v>
      </c>
      <c r="H74" s="1045"/>
      <c r="I74" s="1532">
        <f>G75</f>
        <v>1825.9999999999998</v>
      </c>
      <c r="J74" s="1530">
        <f>I75</f>
        <v>1385</v>
      </c>
      <c r="K74" s="1530">
        <f>J75</f>
        <v>1710</v>
      </c>
      <c r="L74" s="1530">
        <f>K75</f>
        <v>1640.0000000000002</v>
      </c>
      <c r="M74" s="1531">
        <f>G75</f>
        <v>1825.9999999999998</v>
      </c>
      <c r="N74" s="1045"/>
      <c r="O74" s="1532">
        <f>M75</f>
        <v>1405</v>
      </c>
      <c r="P74" s="1530">
        <f>O75</f>
        <v>1362.0000000000002</v>
      </c>
      <c r="Q74" s="1530">
        <f>P75</f>
        <v>1400</v>
      </c>
      <c r="R74" s="1530">
        <f>Q75</f>
        <v>1479</v>
      </c>
      <c r="S74" s="1531">
        <f>M75</f>
        <v>1405</v>
      </c>
      <c r="T74" s="1045"/>
      <c r="U74" s="1532">
        <f>S75</f>
        <v>2479</v>
      </c>
      <c r="V74" s="1530">
        <f>U75</f>
        <v>2481</v>
      </c>
      <c r="W74" s="1530">
        <f>V75</f>
        <v>2646</v>
      </c>
      <c r="X74" s="1530">
        <f>W75</f>
        <v>2317</v>
      </c>
      <c r="Y74" s="1531">
        <f>S75</f>
        <v>2479</v>
      </c>
      <c r="Z74" s="1045"/>
      <c r="AA74" s="1532">
        <f>Y75</f>
        <v>2649</v>
      </c>
      <c r="AB74" s="1530">
        <f>AA75</f>
        <v>2638</v>
      </c>
      <c r="AC74" s="1530">
        <f>AB75</f>
        <v>2975</v>
      </c>
      <c r="AD74" s="1530">
        <f>AC75</f>
        <v>3101</v>
      </c>
      <c r="AE74" s="1531">
        <f>Y75</f>
        <v>2649</v>
      </c>
      <c r="AF74" s="1045"/>
      <c r="AG74" s="1532">
        <f>AE75</f>
        <v>3527</v>
      </c>
      <c r="AH74" s="1530">
        <f>AG75</f>
        <v>3662</v>
      </c>
      <c r="AI74" s="1530">
        <f>AH75</f>
        <v>3896</v>
      </c>
      <c r="AJ74" s="1530">
        <f>AI75</f>
        <v>1923.0000000000002</v>
      </c>
      <c r="AK74" s="1531">
        <f>AE75</f>
        <v>3527</v>
      </c>
      <c r="AL74" s="1045"/>
      <c r="AM74" s="1532">
        <f>AK75</f>
        <v>2350.9999999999995</v>
      </c>
      <c r="AN74" s="1530">
        <f>AM75</f>
        <v>2450</v>
      </c>
      <c r="AO74" s="1530">
        <f>AN75</f>
        <v>2519</v>
      </c>
      <c r="AP74" s="1530">
        <f>AO75</f>
        <v>2330</v>
      </c>
      <c r="AQ74" s="1531">
        <f>AK75</f>
        <v>2350.9999999999995</v>
      </c>
      <c r="AR74" s="1045"/>
      <c r="AS74" s="1535">
        <f>AQ75</f>
        <v>2675.0000000000005</v>
      </c>
      <c r="AT74" s="1533">
        <f>AS75</f>
        <v>2742.0000000000005</v>
      </c>
      <c r="AU74" s="1533">
        <f>AT75</f>
        <v>2950.0000000000005</v>
      </c>
      <c r="AV74" s="1533">
        <f>AU75</f>
        <v>2391</v>
      </c>
      <c r="AW74" s="1534">
        <f>AQ75</f>
        <v>2675.0000000000005</v>
      </c>
      <c r="AX74" s="1045"/>
      <c r="AY74" s="1535">
        <f>AW75</f>
        <v>2218</v>
      </c>
      <c r="AZ74" s="1533">
        <f>AY75</f>
        <v>2118</v>
      </c>
      <c r="BA74" s="1533">
        <f>AZ75</f>
        <v>2197</v>
      </c>
      <c r="BB74" s="1533">
        <f>BA75</f>
        <v>2075</v>
      </c>
      <c r="BC74" s="1534">
        <f>AW75</f>
        <v>2218</v>
      </c>
      <c r="BD74" s="1045"/>
      <c r="BE74" s="1535">
        <f>BC75</f>
        <v>2003</v>
      </c>
      <c r="BF74" s="1533">
        <f>BE75</f>
        <v>1931</v>
      </c>
      <c r="BG74" s="1533">
        <f>BF75</f>
        <v>2139</v>
      </c>
      <c r="BH74" s="1533">
        <f>BG75</f>
        <v>2199</v>
      </c>
      <c r="BI74" s="1534">
        <f>BC75</f>
        <v>2003</v>
      </c>
      <c r="BJ74" s="1045"/>
      <c r="BK74" s="1535">
        <f>BI75</f>
        <v>2289</v>
      </c>
      <c r="BL74" s="1533">
        <f>BK75</f>
        <v>2241</v>
      </c>
      <c r="BM74" s="1533">
        <f>BL75</f>
        <v>2389</v>
      </c>
      <c r="BN74" s="1533">
        <f>BM75</f>
        <v>2563</v>
      </c>
      <c r="BO74" s="1534">
        <f>BI75</f>
        <v>2289</v>
      </c>
      <c r="BP74" s="1045"/>
      <c r="BQ74" s="1535">
        <f>BO75</f>
        <v>2678</v>
      </c>
      <c r="BR74" s="1533">
        <f>BQ75</f>
        <v>2887</v>
      </c>
      <c r="BS74" s="1533">
        <f>BR75</f>
        <v>2932.338783510741</v>
      </c>
      <c r="BT74" s="1533">
        <f>BS75</f>
        <v>3002.0140035582676</v>
      </c>
      <c r="BU74" s="1534">
        <f>BO75</f>
        <v>2678</v>
      </c>
      <c r="BV74" s="1045"/>
      <c r="BW74" s="1535">
        <f>BU75</f>
        <v>3138.8838002958869</v>
      </c>
      <c r="BX74" s="1533">
        <f>BW75</f>
        <v>3156.7233860767842</v>
      </c>
      <c r="BY74" s="1533">
        <f>BX75</f>
        <v>3245.4556896019385</v>
      </c>
      <c r="BZ74" s="1533">
        <f>BY75</f>
        <v>3358.5384785890251</v>
      </c>
      <c r="CA74" s="1534">
        <f>BU75</f>
        <v>3138.8838002958869</v>
      </c>
      <c r="CB74" s="2132"/>
      <c r="CC74" s="1535">
        <f>CA75</f>
        <v>3550.7907818206868</v>
      </c>
      <c r="CD74" s="1533">
        <f>CC75</f>
        <v>3092.8201646124071</v>
      </c>
      <c r="CE74" s="1533">
        <f>CD75</f>
        <v>3267.2801607217566</v>
      </c>
      <c r="CF74" s="1533">
        <f>CE75</f>
        <v>3473.2408100149532</v>
      </c>
      <c r="CG74" s="1534">
        <f>CA75</f>
        <v>3550.7907818206868</v>
      </c>
      <c r="CH74" s="985"/>
      <c r="CI74" s="1535">
        <f>CG75</f>
        <v>3772.5015225231014</v>
      </c>
      <c r="CJ74" s="1533">
        <f>CI75</f>
        <v>3535.4444376782776</v>
      </c>
      <c r="CK74" s="1533">
        <f>CJ75</f>
        <v>3666.3970480529265</v>
      </c>
      <c r="CL74" s="1533">
        <f>CK75</f>
        <v>3827.2388963143726</v>
      </c>
      <c r="CM74" s="1534">
        <f>CG75</f>
        <v>3772.5015225231014</v>
      </c>
      <c r="CN74" s="985"/>
      <c r="CO74" s="985"/>
      <c r="CP74" s="985"/>
    </row>
    <row r="75" spans="1:94" ht="14.25" customHeight="1">
      <c r="A75" s="1811" t="s">
        <v>439</v>
      </c>
      <c r="B75" s="982" t="s">
        <v>113</v>
      </c>
      <c r="C75" s="1536">
        <f>C74+C72+C70</f>
        <v>2090</v>
      </c>
      <c r="D75" s="1537">
        <f>D74+D72+D70</f>
        <v>2050.0000000000005</v>
      </c>
      <c r="E75" s="1537">
        <f>E74+E72+E70</f>
        <v>1486</v>
      </c>
      <c r="F75" s="1537">
        <f>F74+F72+F70</f>
        <v>1826</v>
      </c>
      <c r="G75" s="1538">
        <f>G74+G72+G70</f>
        <v>1825.9999999999998</v>
      </c>
      <c r="H75" s="1046"/>
      <c r="I75" s="1536">
        <f>I74+I72+I70</f>
        <v>1385</v>
      </c>
      <c r="J75" s="1537">
        <f>J74+J72+J70</f>
        <v>1710</v>
      </c>
      <c r="K75" s="1537">
        <f>K74+K72+K70</f>
        <v>1640.0000000000002</v>
      </c>
      <c r="L75" s="1537">
        <f>L74+L72+L70</f>
        <v>1405</v>
      </c>
      <c r="M75" s="1538">
        <f>M74+M72+M70</f>
        <v>1405</v>
      </c>
      <c r="N75" s="1046"/>
      <c r="O75" s="1536">
        <f>O74+O72+O70</f>
        <v>1362.0000000000002</v>
      </c>
      <c r="P75" s="1537">
        <f>P74+P72+P70</f>
        <v>1400</v>
      </c>
      <c r="Q75" s="1537">
        <f>Q74+Q72+Q70</f>
        <v>1479</v>
      </c>
      <c r="R75" s="1537">
        <f>R74+R72+R70</f>
        <v>2479.0000000000005</v>
      </c>
      <c r="S75" s="1538">
        <f>S74+S72+S70</f>
        <v>2479</v>
      </c>
      <c r="T75" s="1046"/>
      <c r="U75" s="1536">
        <f>U74+U72+U70</f>
        <v>2481</v>
      </c>
      <c r="V75" s="1537">
        <f>V74+V72+V70</f>
        <v>2646</v>
      </c>
      <c r="W75" s="1537">
        <f>W74+W72+W70</f>
        <v>2317</v>
      </c>
      <c r="X75" s="1537">
        <f>X74+X72+X70</f>
        <v>2649</v>
      </c>
      <c r="Y75" s="1538">
        <f>Y74+Y72+Y70</f>
        <v>2649</v>
      </c>
      <c r="Z75" s="1046"/>
      <c r="AA75" s="1536">
        <f>AA74+AA72+AA70</f>
        <v>2638</v>
      </c>
      <c r="AB75" s="1537">
        <f>AB74+AB72+AB70</f>
        <v>2975</v>
      </c>
      <c r="AC75" s="1537">
        <f>AC74+AC72+AC70</f>
        <v>3101</v>
      </c>
      <c r="AD75" s="1537">
        <f>AD74+AD72+AD70</f>
        <v>3527</v>
      </c>
      <c r="AE75" s="1538">
        <f>AE74+AE72+AE70</f>
        <v>3527</v>
      </c>
      <c r="AF75" s="1046"/>
      <c r="AG75" s="1536">
        <f>AG74+AG72+AG70</f>
        <v>3662</v>
      </c>
      <c r="AH75" s="1537">
        <f>AH74+AH72+AH70</f>
        <v>3896</v>
      </c>
      <c r="AI75" s="1537">
        <f>AI74+AI72+AI70</f>
        <v>1923.0000000000002</v>
      </c>
      <c r="AJ75" s="1537">
        <f>AJ74+AJ72+AJ70</f>
        <v>2351</v>
      </c>
      <c r="AK75" s="1538">
        <f>AK74+AK72+AK70</f>
        <v>2350.9999999999995</v>
      </c>
      <c r="AL75" s="1046"/>
      <c r="AM75" s="1536">
        <f>AM74+AM72+AM70</f>
        <v>2450</v>
      </c>
      <c r="AN75" s="1537">
        <f>AN74+AN72+AN70</f>
        <v>2519</v>
      </c>
      <c r="AO75" s="1537">
        <f>AO74+AO72+AO70</f>
        <v>2330</v>
      </c>
      <c r="AP75" s="1537">
        <f>AP74+AP72+AP70</f>
        <v>2675</v>
      </c>
      <c r="AQ75" s="1538">
        <f>AQ74+AQ72+AQ70</f>
        <v>2675.0000000000005</v>
      </c>
      <c r="AR75" s="1046"/>
      <c r="AS75" s="1536">
        <f>AS74+AS72+AS70</f>
        <v>2742.0000000000005</v>
      </c>
      <c r="AT75" s="1537">
        <f>AT74+AT72+AT70</f>
        <v>2950.0000000000005</v>
      </c>
      <c r="AU75" s="1537">
        <f>AU74+AU72+AU70</f>
        <v>2391</v>
      </c>
      <c r="AV75" s="1537">
        <f>AV74+AV72+AV70</f>
        <v>2218</v>
      </c>
      <c r="AW75" s="1538">
        <f>AW74+AW72+AW70</f>
        <v>2218</v>
      </c>
      <c r="AX75" s="1046"/>
      <c r="AY75" s="1541">
        <f>AY74+AY72+AY70</f>
        <v>2118</v>
      </c>
      <c r="AZ75" s="1539">
        <f>AZ74+AZ72+AZ70</f>
        <v>2197</v>
      </c>
      <c r="BA75" s="1539">
        <f>BA74+BA72+BA70</f>
        <v>2075</v>
      </c>
      <c r="BB75" s="1539">
        <f>BB74+BB72+BB70</f>
        <v>2003</v>
      </c>
      <c r="BC75" s="1540">
        <f>BC74+BC72+BC70</f>
        <v>2003</v>
      </c>
      <c r="BD75" s="1046"/>
      <c r="BE75" s="1541">
        <f>BE74+BE72+BE70</f>
        <v>1931</v>
      </c>
      <c r="BF75" s="1539">
        <f>BF74+BF72+BF70</f>
        <v>2139</v>
      </c>
      <c r="BG75" s="1539">
        <f>BG74+BG72+BG70</f>
        <v>2199</v>
      </c>
      <c r="BH75" s="1539">
        <f>BH74+BH72+BH70</f>
        <v>2289</v>
      </c>
      <c r="BI75" s="1540">
        <f>BI74+BI72+BI70</f>
        <v>2289</v>
      </c>
      <c r="BJ75" s="1046"/>
      <c r="BK75" s="1541">
        <f>BK74+BK72+BK70</f>
        <v>2241</v>
      </c>
      <c r="BL75" s="1539">
        <f>BL74+BL72+BL70</f>
        <v>2389</v>
      </c>
      <c r="BM75" s="1539">
        <f>BM74+BM72+BM70</f>
        <v>2563</v>
      </c>
      <c r="BN75" s="1539">
        <f>BN74+BN72+BN70</f>
        <v>2678</v>
      </c>
      <c r="BO75" s="1540">
        <f>BO74+BO72+BO70</f>
        <v>2678</v>
      </c>
      <c r="BP75" s="1046"/>
      <c r="BQ75" s="1541">
        <f>BQ74+BQ72+BQ70</f>
        <v>2887</v>
      </c>
      <c r="BR75" s="1539">
        <f>BR74+BR72+BR70</f>
        <v>2932.338783510741</v>
      </c>
      <c r="BS75" s="1539">
        <f>BS74+BS72+BS70</f>
        <v>3002.0140035582676</v>
      </c>
      <c r="BT75" s="1539">
        <f>BT74+BT72+BT70</f>
        <v>3138.8838002958869</v>
      </c>
      <c r="BU75" s="1540">
        <f>BU74+BU72+BU70</f>
        <v>3138.8838002958869</v>
      </c>
      <c r="BV75" s="1046"/>
      <c r="BW75" s="1541">
        <f>BW74+BW72+BW70</f>
        <v>3156.7233860767842</v>
      </c>
      <c r="BX75" s="1539">
        <f>BX74+BX72+BX70</f>
        <v>3245.4556896019385</v>
      </c>
      <c r="BY75" s="1539">
        <f>BY74+BY72+BY70</f>
        <v>3358.5384785890251</v>
      </c>
      <c r="BZ75" s="1539">
        <f>BZ74+BZ72+BZ70</f>
        <v>3550.7907818206868</v>
      </c>
      <c r="CA75" s="1540">
        <f>CA74+CA72+CA70</f>
        <v>3550.7907818206868</v>
      </c>
      <c r="CB75" s="2133"/>
      <c r="CC75" s="1541">
        <f>CC74+CC72+CC70</f>
        <v>3092.8201646124071</v>
      </c>
      <c r="CD75" s="1539">
        <f>CD74+CD72+CD70</f>
        <v>3267.2801607217566</v>
      </c>
      <c r="CE75" s="1539">
        <f>CE74+CE72+CE70</f>
        <v>3473.2408100149532</v>
      </c>
      <c r="CF75" s="1539">
        <f>CF74+CF72+CF70</f>
        <v>3772.5015225231014</v>
      </c>
      <c r="CG75" s="1540">
        <f>CG74+CG72+CG70</f>
        <v>3772.5015225231014</v>
      </c>
      <c r="CH75" s="954"/>
      <c r="CI75" s="1541">
        <f>CI74+CI72+CI70</f>
        <v>3535.4444376782776</v>
      </c>
      <c r="CJ75" s="1539">
        <f>CJ74+CJ72+CJ70</f>
        <v>3666.3970480529265</v>
      </c>
      <c r="CK75" s="1539">
        <f>CK74+CK72+CK70</f>
        <v>3827.2388963143726</v>
      </c>
      <c r="CL75" s="1539">
        <f>CL74+CL72+CL70</f>
        <v>4090.4101075632775</v>
      </c>
      <c r="CM75" s="1540">
        <f>CM74+CM72+CM70</f>
        <v>4090.410107563278</v>
      </c>
      <c r="CN75" s="954"/>
      <c r="CO75" s="954"/>
      <c r="CP75" s="954"/>
    </row>
    <row r="76" spans="1:94" ht="14.25" hidden="1" customHeight="1" outlineLevel="1">
      <c r="A76" s="1047" t="s">
        <v>440</v>
      </c>
      <c r="B76" s="982" t="s">
        <v>113</v>
      </c>
      <c r="C76" s="1048">
        <f>C75-BS!C9</f>
        <v>0</v>
      </c>
      <c r="D76" s="1048">
        <f>D75-BS!D9</f>
        <v>0</v>
      </c>
      <c r="E76" s="1048">
        <f>E75-BS!E9</f>
        <v>0</v>
      </c>
      <c r="F76" s="1048">
        <f>F75-BS!F9</f>
        <v>0</v>
      </c>
      <c r="G76" s="1048">
        <f>G75-BS!G9</f>
        <v>0</v>
      </c>
      <c r="H76" s="1046"/>
      <c r="I76" s="1048">
        <f>I75-BS!I9</f>
        <v>0</v>
      </c>
      <c r="J76" s="1048">
        <f>J75-BS!J9</f>
        <v>0</v>
      </c>
      <c r="K76" s="1048">
        <f>K75-BS!K9</f>
        <v>0</v>
      </c>
      <c r="L76" s="1048">
        <f>L75-BS!L9</f>
        <v>0</v>
      </c>
      <c r="M76" s="1048">
        <f>M75-BS!M9</f>
        <v>0</v>
      </c>
      <c r="N76" s="1046"/>
      <c r="O76" s="1048">
        <f>O75-BS!O9</f>
        <v>0</v>
      </c>
      <c r="P76" s="1048">
        <f>P75-BS!P9</f>
        <v>0</v>
      </c>
      <c r="Q76" s="1048">
        <f>Q75-BS!Q9</f>
        <v>0</v>
      </c>
      <c r="R76" s="1048">
        <f>R75-BS!R9</f>
        <v>0</v>
      </c>
      <c r="S76" s="1048">
        <f>S75-BS!S9</f>
        <v>0</v>
      </c>
      <c r="T76" s="1046"/>
      <c r="U76" s="1048">
        <f>U75-BS!U9</f>
        <v>0</v>
      </c>
      <c r="V76" s="1048">
        <f>V75-BS!V9</f>
        <v>0</v>
      </c>
      <c r="W76" s="1048">
        <f>W75-BS!W9</f>
        <v>0</v>
      </c>
      <c r="X76" s="1048">
        <f>X75-BS!X9</f>
        <v>0</v>
      </c>
      <c r="Y76" s="1048">
        <f>Y75-BS!Y9</f>
        <v>0</v>
      </c>
      <c r="Z76" s="1046"/>
      <c r="AA76" s="1048">
        <f>AA75-BS!AA9</f>
        <v>0</v>
      </c>
      <c r="AB76" s="1048">
        <f>AB75-BS!AB9</f>
        <v>0</v>
      </c>
      <c r="AC76" s="1048">
        <f>AC75-BS!AC9</f>
        <v>0</v>
      </c>
      <c r="AD76" s="1048">
        <f>AD75-BS!AD9</f>
        <v>0</v>
      </c>
      <c r="AE76" s="1048">
        <f>AE75-BS!AE9</f>
        <v>0</v>
      </c>
      <c r="AF76" s="1048"/>
      <c r="AG76" s="1048">
        <f>AG75-BS!AG9</f>
        <v>0</v>
      </c>
      <c r="AH76" s="1048">
        <f>AH75-BS!AH9</f>
        <v>0</v>
      </c>
      <c r="AI76" s="1048">
        <f>AI75-BS!AI9</f>
        <v>0</v>
      </c>
      <c r="AJ76" s="1048">
        <f>AJ75-BS!AJ9</f>
        <v>0</v>
      </c>
      <c r="AK76" s="1048">
        <f>AK75-BS!AK9</f>
        <v>0</v>
      </c>
      <c r="AL76" s="1048"/>
      <c r="AM76" s="1048">
        <f>AM75-BS!AM9</f>
        <v>0</v>
      </c>
      <c r="AN76" s="1048">
        <f>AN75-BS!AN9</f>
        <v>0</v>
      </c>
      <c r="AO76" s="1048">
        <f>AO75-BS!AO9</f>
        <v>0</v>
      </c>
      <c r="AP76" s="1048">
        <f>AP75-BS!AP9</f>
        <v>0</v>
      </c>
      <c r="AQ76" s="1048">
        <f>AQ75-BS!AQ9</f>
        <v>0</v>
      </c>
      <c r="AR76" s="1048"/>
      <c r="AS76" s="1048">
        <f>AS75-BS!AS9</f>
        <v>0</v>
      </c>
      <c r="AT76" s="1048">
        <f>AT75-BS!AT9</f>
        <v>0</v>
      </c>
      <c r="AU76" s="1048">
        <f>AU75-BS!AU9</f>
        <v>0</v>
      </c>
      <c r="AV76" s="1048">
        <f>AV75-BS!AV9</f>
        <v>0</v>
      </c>
      <c r="AW76" s="1048">
        <f>AW75-BS!AW9</f>
        <v>0</v>
      </c>
      <c r="AX76" s="1048"/>
      <c r="AY76" s="1048">
        <f>AY75-BS!AY9</f>
        <v>0</v>
      </c>
      <c r="AZ76" s="1048">
        <f>AZ75-BS!AZ9</f>
        <v>0</v>
      </c>
      <c r="BA76" s="1048">
        <f>BA75-BS!BA9</f>
        <v>0</v>
      </c>
      <c r="BB76" s="1048">
        <f>BB75-BS!BB9</f>
        <v>0</v>
      </c>
      <c r="BC76" s="1048">
        <f>BC75-BS!BC9</f>
        <v>0</v>
      </c>
      <c r="BD76" s="1048"/>
      <c r="BE76" s="1048">
        <f>BE75-BS!BE9</f>
        <v>0</v>
      </c>
      <c r="BF76" s="1048">
        <f>BF75-BS!BF9</f>
        <v>0</v>
      </c>
      <c r="BG76" s="1048">
        <f>BG75-BS!BG9</f>
        <v>0</v>
      </c>
      <c r="BH76" s="1048">
        <f>BH75-BS!BH9</f>
        <v>0</v>
      </c>
      <c r="BI76" s="1048">
        <f>BI75-BS!BI9</f>
        <v>0</v>
      </c>
      <c r="BJ76" s="1048"/>
      <c r="BK76" s="1048">
        <f>BK75-BS!BK9</f>
        <v>0</v>
      </c>
      <c r="BL76" s="1048">
        <f>BL75-BS!BL9</f>
        <v>0</v>
      </c>
      <c r="BM76" s="1048">
        <f>BM75-BS!BM9</f>
        <v>0</v>
      </c>
      <c r="BN76" s="1048">
        <f>BN75-BS!BN9</f>
        <v>0</v>
      </c>
      <c r="BO76" s="1048">
        <f>BO75-BS!BO9</f>
        <v>0</v>
      </c>
      <c r="BP76" s="1048"/>
      <c r="BQ76" s="1048">
        <f>BQ75-BS!BQ9</f>
        <v>0</v>
      </c>
      <c r="BR76" s="1048">
        <f>BR75-BS!BR9</f>
        <v>0</v>
      </c>
      <c r="BS76" s="1048">
        <f>BS75-BS!BS9</f>
        <v>0</v>
      </c>
      <c r="BT76" s="1048">
        <f>BT75-BS!BT9</f>
        <v>0</v>
      </c>
      <c r="BU76" s="1048">
        <f>BU75-BS!BU9</f>
        <v>0</v>
      </c>
      <c r="BV76" s="1048"/>
      <c r="BW76" s="2484">
        <f>BW75-BS!BW9</f>
        <v>0</v>
      </c>
      <c r="BX76" s="1048">
        <f>BX75-BS!BX9</f>
        <v>0</v>
      </c>
      <c r="BY76" s="1048">
        <f>BY75-BS!BY9</f>
        <v>0</v>
      </c>
      <c r="BZ76" s="1048">
        <f>BZ75-BS!BZ9</f>
        <v>0</v>
      </c>
      <c r="CA76" s="1048">
        <f>CA75-BS!CA9</f>
        <v>0</v>
      </c>
      <c r="CB76" s="1048"/>
      <c r="CC76" s="1048">
        <f>CC75-BS!CC9</f>
        <v>0</v>
      </c>
      <c r="CD76" s="1048">
        <f>CD75-BS!CD9</f>
        <v>0</v>
      </c>
      <c r="CE76" s="1048">
        <f>CE75-BS!CE9</f>
        <v>0</v>
      </c>
      <c r="CF76" s="1048">
        <f>CF75-BS!CF9</f>
        <v>0</v>
      </c>
      <c r="CG76" s="1048">
        <f>CG75-BS!CG9</f>
        <v>0</v>
      </c>
      <c r="CH76" s="954"/>
      <c r="CI76" s="1048">
        <f>CI75-BS!CI9</f>
        <v>0</v>
      </c>
      <c r="CJ76" s="1048">
        <f>CJ75-BS!CJ9</f>
        <v>0</v>
      </c>
      <c r="CK76" s="1048">
        <f>CK75-BS!CK9</f>
        <v>0</v>
      </c>
      <c r="CL76" s="1048">
        <f>CL75-BS!CL9</f>
        <v>0</v>
      </c>
      <c r="CM76" s="1048">
        <f>CM75-BS!CM9</f>
        <v>0</v>
      </c>
      <c r="CN76" s="954"/>
      <c r="CO76" s="954"/>
      <c r="CP76" s="954"/>
    </row>
    <row r="77" spans="1:94" collapsed="1">
      <c r="A77" s="1049"/>
      <c r="B77" s="982" t="s">
        <v>113</v>
      </c>
      <c r="C77" s="1049"/>
      <c r="D77" s="1049"/>
      <c r="E77" s="1050"/>
      <c r="F77" s="1049"/>
      <c r="G77" s="1051"/>
      <c r="H77" s="1052"/>
      <c r="I77" s="1049"/>
      <c r="J77" s="1049"/>
      <c r="K77" s="1050"/>
      <c r="L77" s="1049"/>
      <c r="M77" s="1051"/>
      <c r="N77" s="1052"/>
      <c r="O77" s="1049"/>
      <c r="P77" s="1049"/>
      <c r="Q77" s="1050"/>
      <c r="R77" s="1049"/>
      <c r="S77" s="1051"/>
      <c r="T77" s="1052"/>
      <c r="U77" s="1049"/>
      <c r="V77" s="1049"/>
      <c r="W77" s="1049"/>
      <c r="X77" s="1049"/>
      <c r="Y77" s="1051"/>
      <c r="Z77" s="1052"/>
      <c r="AA77" s="1049"/>
      <c r="AB77" s="1049"/>
      <c r="AC77" s="1049"/>
      <c r="AD77" s="1053"/>
      <c r="AE77" s="1051"/>
      <c r="AF77" s="1052"/>
      <c r="AG77" s="1049"/>
      <c r="AH77" s="1049"/>
      <c r="AI77" s="1049"/>
      <c r="AJ77" s="1049"/>
      <c r="AK77" s="1054"/>
      <c r="AL77" s="1052"/>
      <c r="AM77" s="1049"/>
      <c r="AN77" s="1049"/>
      <c r="AO77" s="1049"/>
      <c r="AP77" s="1049"/>
      <c r="AQ77" s="1054"/>
      <c r="AR77" s="1052"/>
      <c r="AS77" s="1049"/>
      <c r="AT77" s="1049"/>
      <c r="AU77" s="1049"/>
      <c r="AV77" s="1049"/>
      <c r="AW77" s="1054"/>
      <c r="AX77" s="1052"/>
      <c r="AY77" s="1049"/>
      <c r="AZ77" s="1049"/>
      <c r="BA77" s="1049"/>
      <c r="BB77" s="1049"/>
      <c r="BC77" s="1054"/>
      <c r="BD77" s="1052"/>
      <c r="BE77" s="1049"/>
      <c r="BF77" s="1049"/>
      <c r="BG77" s="1049"/>
      <c r="BH77" s="1049"/>
      <c r="BI77" s="1054"/>
      <c r="BJ77" s="1052"/>
      <c r="BK77" s="1049"/>
      <c r="BL77" s="1049"/>
      <c r="BM77" s="1049"/>
      <c r="BN77" s="1049"/>
      <c r="BO77" s="1054"/>
      <c r="BP77" s="1052"/>
      <c r="BQ77" s="1049"/>
      <c r="BR77" s="1049"/>
      <c r="BS77" s="1049"/>
      <c r="BT77" s="1049"/>
      <c r="BU77" s="1054"/>
      <c r="BV77" s="1052"/>
      <c r="BW77" s="1049"/>
      <c r="BX77" s="1049"/>
      <c r="BY77" s="1049"/>
      <c r="BZ77" s="1049"/>
      <c r="CA77" s="1054"/>
      <c r="CB77" s="1051"/>
      <c r="CC77" s="1049"/>
      <c r="CD77" s="1049"/>
      <c r="CE77" s="1049"/>
      <c r="CF77" s="1049"/>
      <c r="CG77" s="1054"/>
      <c r="CH77" s="954"/>
      <c r="CI77" s="1049"/>
      <c r="CJ77" s="1049"/>
      <c r="CK77" s="1049"/>
      <c r="CL77" s="1049"/>
      <c r="CM77" s="1054"/>
      <c r="CN77" s="954"/>
      <c r="CO77" s="954"/>
    </row>
    <row r="78" spans="1:94" hidden="1" outlineLevel="1">
      <c r="A78" s="1055" t="s">
        <v>441</v>
      </c>
      <c r="B78" s="982" t="s">
        <v>113</v>
      </c>
      <c r="C78" s="1049"/>
      <c r="D78" s="1050"/>
      <c r="E78" s="1049"/>
      <c r="F78" s="1049"/>
      <c r="G78" s="1051"/>
      <c r="H78" s="1052"/>
      <c r="I78" s="1049"/>
      <c r="J78" s="1050"/>
      <c r="K78" s="1049"/>
      <c r="L78" s="1049"/>
      <c r="M78" s="1051"/>
      <c r="N78" s="1052"/>
      <c r="O78" s="1049"/>
      <c r="P78" s="1050"/>
      <c r="Q78" s="1049"/>
      <c r="R78" s="1049"/>
      <c r="S78" s="1051"/>
      <c r="T78" s="1052"/>
      <c r="U78" s="1049"/>
      <c r="V78" s="1049"/>
      <c r="W78" s="1049"/>
      <c r="X78" s="1049"/>
      <c r="Y78" s="1051"/>
      <c r="Z78" s="1052"/>
      <c r="AA78" s="1049"/>
      <c r="AB78" s="1049"/>
      <c r="AC78" s="1049"/>
      <c r="AD78" s="1053"/>
      <c r="AE78" s="1051"/>
      <c r="AF78" s="1052"/>
      <c r="AG78" s="1049"/>
      <c r="AH78" s="1049"/>
      <c r="AI78" s="1049"/>
      <c r="AJ78" s="1049"/>
      <c r="AK78" s="1739">
        <f>0.2*AK33+500</f>
        <v>630.67428265153217</v>
      </c>
      <c r="AL78" s="1740"/>
      <c r="AM78" s="1741"/>
      <c r="AN78" s="1741"/>
      <c r="AO78" s="1741"/>
      <c r="AP78" s="1741"/>
      <c r="AQ78" s="1739">
        <f>0.2*AQ33+500</f>
        <v>578.505945945946</v>
      </c>
      <c r="AR78" s="1740"/>
      <c r="AS78" s="1741"/>
      <c r="AT78" s="1741"/>
      <c r="AU78" s="1741"/>
      <c r="AV78" s="1741"/>
      <c r="AW78" s="1739">
        <f>0.2*AW33+500</f>
        <v>254.92055574183922</v>
      </c>
      <c r="AX78" s="1740"/>
      <c r="AY78" s="1741"/>
      <c r="AZ78" s="1741"/>
      <c r="BA78" s="1741"/>
      <c r="BB78" s="1741"/>
      <c r="BC78" s="1739">
        <f>0.2*BC33+500</f>
        <v>598.20000000000005</v>
      </c>
      <c r="BD78" s="1740"/>
      <c r="BE78" s="1741"/>
      <c r="BF78" s="1741"/>
      <c r="BG78" s="1741"/>
      <c r="BH78" s="1741"/>
      <c r="BI78" s="1739">
        <f>0.2*BI33+500</f>
        <v>658.6</v>
      </c>
      <c r="BJ78" s="1740"/>
      <c r="BK78" s="1741"/>
      <c r="BL78" s="1741"/>
      <c r="BM78" s="1741"/>
      <c r="BN78" s="1741"/>
      <c r="BO78" s="1739">
        <f>0.2*BO33+500</f>
        <v>677.8</v>
      </c>
      <c r="BP78" s="1740"/>
      <c r="BQ78" s="1741"/>
      <c r="BR78" s="1741"/>
      <c r="BS78" s="1741"/>
      <c r="BT78" s="1741"/>
      <c r="BU78" s="1739">
        <f>0.2*BU33+500</f>
        <v>717.03759888349737</v>
      </c>
      <c r="BV78" s="1740"/>
      <c r="BW78" s="1741"/>
      <c r="BX78" s="1741"/>
      <c r="BY78" s="1741"/>
      <c r="BZ78" s="1741"/>
      <c r="CA78" s="1739">
        <f>0.2*CA33+500</f>
        <v>730.26752765972526</v>
      </c>
      <c r="CB78" s="1739"/>
      <c r="CC78" s="1741"/>
      <c r="CD78" s="1741"/>
      <c r="CE78" s="1741"/>
      <c r="CF78" s="1741"/>
      <c r="CG78" s="1739">
        <f>0.2*CG33+500</f>
        <v>797.62263277589363</v>
      </c>
      <c r="CI78" s="1741"/>
      <c r="CJ78" s="1741"/>
      <c r="CK78" s="1741"/>
      <c r="CL78" s="1741"/>
      <c r="CM78" s="1739">
        <f>0.2*CM33+500</f>
        <v>796.90274353771406</v>
      </c>
    </row>
    <row r="79" spans="1:94" hidden="1" outlineLevel="1">
      <c r="A79" s="1055" t="s">
        <v>442</v>
      </c>
      <c r="B79" s="982" t="s">
        <v>113</v>
      </c>
      <c r="C79" s="1049"/>
      <c r="D79" s="1049"/>
      <c r="E79" s="1049"/>
      <c r="F79" s="1049"/>
      <c r="G79" s="1051"/>
      <c r="H79" s="1052"/>
      <c r="I79" s="1049"/>
      <c r="J79" s="1049"/>
      <c r="K79" s="1049"/>
      <c r="L79" s="1049"/>
      <c r="M79" s="1051"/>
      <c r="N79" s="1052"/>
      <c r="O79" s="1049"/>
      <c r="P79" s="1049"/>
      <c r="Q79" s="1049"/>
      <c r="R79" s="1049"/>
      <c r="S79" s="1051"/>
      <c r="T79" s="1052"/>
      <c r="U79" s="1049"/>
      <c r="V79" s="1049"/>
      <c r="W79" s="1049"/>
      <c r="X79" s="1049"/>
      <c r="Y79" s="1051"/>
      <c r="Z79" s="1052"/>
      <c r="AA79" s="1049"/>
      <c r="AB79" s="1049"/>
      <c r="AC79" s="1049"/>
      <c r="AD79" s="1053"/>
      <c r="AE79" s="1051"/>
      <c r="AF79" s="1052"/>
      <c r="AG79" s="973">
        <f>-SUM(AG53,AG62,AG46)</f>
        <v>67.21320081259131</v>
      </c>
      <c r="AH79" s="1049"/>
      <c r="AI79" s="973">
        <f>-SUM(AI53,AI62,AI46)</f>
        <v>2101.868010859866</v>
      </c>
      <c r="AJ79" s="973">
        <f>-SUM(AJ53,AJ62,AJ46)</f>
        <v>74.635729338725469</v>
      </c>
      <c r="AK79" s="973">
        <f>-SUM(AK53,AK62,AK46)</f>
        <v>2282.141529494409</v>
      </c>
      <c r="AL79" s="1052"/>
      <c r="AM79" s="1049"/>
      <c r="AN79" s="1049"/>
      <c r="AO79" s="1049"/>
      <c r="AP79" s="1049"/>
      <c r="AQ79" s="973">
        <f>-SUM(AQ53,AQ62,AQ46)</f>
        <v>646.99999999999989</v>
      </c>
      <c r="AR79" s="1052"/>
      <c r="AS79" s="1049"/>
      <c r="AT79" s="1049"/>
      <c r="AU79" s="1049"/>
      <c r="AV79" s="1049"/>
      <c r="AW79" s="973">
        <f>-SUM(AW53,AW62,AW46)</f>
        <v>1113.2736842105264</v>
      </c>
      <c r="AX79" s="1052"/>
      <c r="AY79" s="1049"/>
      <c r="AZ79" s="1049"/>
      <c r="BA79" s="1049"/>
      <c r="BB79" s="1049"/>
      <c r="BC79" s="973">
        <f>-SUM(BC53,BC62,BC46)</f>
        <v>341</v>
      </c>
      <c r="BD79" s="1052"/>
      <c r="BE79" s="1049"/>
      <c r="BF79" s="1049"/>
      <c r="BG79" s="1049"/>
      <c r="BH79" s="1049"/>
      <c r="BI79" s="973">
        <f>-SUM(BI53,BI62,BI46)</f>
        <v>695</v>
      </c>
      <c r="BJ79" s="1052"/>
      <c r="BK79" s="1049"/>
      <c r="BL79" s="1049"/>
      <c r="BM79" s="1049"/>
      <c r="BN79" s="1049"/>
      <c r="BO79" s="973">
        <f>-SUM(BO53,BO62,BO46)</f>
        <v>322</v>
      </c>
      <c r="BP79" s="1052"/>
      <c r="BQ79" s="1049"/>
      <c r="BR79" s="1049"/>
      <c r="BS79" s="1049"/>
      <c r="BT79" s="1049"/>
      <c r="BU79" s="973">
        <f>-SUM(BU53,BU62,BU46)</f>
        <v>386</v>
      </c>
      <c r="BV79" s="1052"/>
      <c r="BW79" s="1049"/>
      <c r="BX79" s="1049"/>
      <c r="BY79" s="1049"/>
      <c r="BZ79" s="1049"/>
      <c r="CA79" s="973">
        <f>-SUM(CA53,CA62,CA46)</f>
        <v>430</v>
      </c>
      <c r="CB79" s="973"/>
      <c r="CC79" s="1049"/>
      <c r="CD79" s="1049"/>
      <c r="CE79" s="1049"/>
      <c r="CF79" s="1049"/>
      <c r="CG79" s="973">
        <f>-SUM(CG53,CG62,CG46)</f>
        <v>939</v>
      </c>
      <c r="CI79" s="1049"/>
      <c r="CJ79" s="1049"/>
      <c r="CK79" s="1049"/>
      <c r="CL79" s="1049"/>
      <c r="CM79" s="973">
        <f>-SUM(CM53,CM62,CM46)</f>
        <v>828</v>
      </c>
    </row>
    <row r="80" spans="1:94" ht="12.75" customHeight="1" collapsed="1">
      <c r="A80" s="1056" t="s">
        <v>291</v>
      </c>
      <c r="B80" s="982" t="s">
        <v>113</v>
      </c>
      <c r="C80" s="1057"/>
      <c r="D80" s="1058"/>
      <c r="E80" s="1058"/>
      <c r="F80" s="1058"/>
      <c r="G80" s="1059"/>
      <c r="H80" s="1060"/>
      <c r="I80" s="1057"/>
      <c r="J80" s="1058"/>
      <c r="K80" s="1058"/>
      <c r="L80" s="1058"/>
      <c r="M80" s="1059"/>
      <c r="N80" s="1060"/>
      <c r="O80" s="1057"/>
      <c r="P80" s="1058"/>
      <c r="Q80" s="1058"/>
      <c r="R80" s="1058"/>
      <c r="S80" s="1059"/>
      <c r="T80" s="1060"/>
      <c r="U80" s="1057"/>
      <c r="V80" s="1058"/>
      <c r="W80" s="1058"/>
      <c r="X80" s="1058"/>
      <c r="Y80" s="1059"/>
      <c r="Z80" s="1060"/>
      <c r="AA80" s="1057"/>
      <c r="AB80" s="1058"/>
      <c r="AC80" s="1058"/>
      <c r="AD80" s="1061"/>
      <c r="AE80" s="1059"/>
      <c r="AF80" s="1060"/>
      <c r="AG80" s="1057"/>
      <c r="AH80" s="1058"/>
      <c r="AI80" s="1058"/>
      <c r="AJ80" s="1058"/>
      <c r="AK80" s="1059"/>
      <c r="AL80" s="1060"/>
      <c r="AM80" s="1057"/>
      <c r="AN80" s="1058"/>
      <c r="AO80" s="1058"/>
      <c r="AP80" s="1058"/>
      <c r="AQ80" s="1059"/>
      <c r="AR80" s="1060"/>
      <c r="AS80" s="1057"/>
      <c r="AT80" s="1058"/>
      <c r="AU80" s="1058"/>
      <c r="AV80" s="1058"/>
      <c r="AW80" s="1059"/>
      <c r="AX80" s="1060"/>
      <c r="AY80" s="1057"/>
      <c r="AZ80" s="1058"/>
      <c r="BA80" s="1058"/>
      <c r="BB80" s="1058"/>
      <c r="BC80" s="1059"/>
      <c r="BD80" s="1060"/>
      <c r="BE80" s="1057"/>
      <c r="BF80" s="1058"/>
      <c r="BG80" s="1058"/>
      <c r="BH80" s="1058"/>
      <c r="BI80" s="1059"/>
      <c r="BJ80" s="1060"/>
      <c r="BK80" s="1057"/>
      <c r="BL80" s="1058"/>
      <c r="BM80" s="1058"/>
      <c r="BN80" s="1058"/>
      <c r="BO80" s="1059"/>
      <c r="BP80" s="1060"/>
      <c r="BQ80" s="1057"/>
      <c r="BR80" s="1058"/>
      <c r="BS80" s="1058"/>
      <c r="BT80" s="1058"/>
      <c r="BU80" s="1059"/>
      <c r="BV80" s="1060"/>
      <c r="BW80" s="1057"/>
      <c r="BX80" s="1058"/>
      <c r="BY80" s="1058"/>
      <c r="BZ80" s="1058"/>
      <c r="CA80" s="1059"/>
      <c r="CB80" s="2134"/>
      <c r="CC80" s="1057"/>
      <c r="CD80" s="1058"/>
      <c r="CE80" s="1058"/>
      <c r="CF80" s="1058"/>
      <c r="CG80" s="1059"/>
      <c r="CI80" s="1057"/>
      <c r="CJ80" s="1058"/>
      <c r="CK80" s="1058"/>
      <c r="CL80" s="1058"/>
      <c r="CM80" s="1059"/>
    </row>
    <row r="81" spans="1:105" ht="12.75" customHeight="1">
      <c r="A81" s="814" t="s">
        <v>443</v>
      </c>
      <c r="B81" s="982" t="s">
        <v>113</v>
      </c>
      <c r="C81" s="1065">
        <f>C31+C36</f>
        <v>98.355555555555554</v>
      </c>
      <c r="D81" s="1063">
        <f>D31+D36</f>
        <v>70.994326018634794</v>
      </c>
      <c r="E81" s="1063">
        <f>E31+E36</f>
        <v>94.069265970584908</v>
      </c>
      <c r="F81" s="1063">
        <f>F31+F36</f>
        <v>130.40191496550068</v>
      </c>
      <c r="G81" s="1064">
        <f>G31+G36</f>
        <v>393.82106251027591</v>
      </c>
      <c r="H81" s="1062"/>
      <c r="I81" s="1065">
        <f>I31+I36</f>
        <v>389.08480648346517</v>
      </c>
      <c r="J81" s="1063">
        <f>J31+J36</f>
        <v>151.71892650583465</v>
      </c>
      <c r="K81" s="1063">
        <f>K31+K36</f>
        <v>101.2335590149688</v>
      </c>
      <c r="L81" s="1063">
        <f>L31+L36</f>
        <v>167.58705671536472</v>
      </c>
      <c r="M81" s="1064">
        <f>M31+M36</f>
        <v>809.6243487196333</v>
      </c>
      <c r="N81" s="1062"/>
      <c r="O81" s="1065">
        <f>O31+O36</f>
        <v>674.26611281927057</v>
      </c>
      <c r="P81" s="1063">
        <f>P31+P36</f>
        <v>117.33586800908569</v>
      </c>
      <c r="Q81" s="1063">
        <f>Q31+Q36</f>
        <v>103.12835982592792</v>
      </c>
      <c r="R81" s="1063">
        <f>R31+R36</f>
        <v>227.15262266827915</v>
      </c>
      <c r="S81" s="1064">
        <f>S31+S36</f>
        <v>1121.8829633225632</v>
      </c>
      <c r="T81" s="1063"/>
      <c r="U81" s="1065">
        <f>U31+U36</f>
        <v>54.042801699894568</v>
      </c>
      <c r="V81" s="1063">
        <f>V31+V36</f>
        <v>82.81435880349396</v>
      </c>
      <c r="W81" s="1063">
        <f>W31+W36</f>
        <v>134.42730255106608</v>
      </c>
      <c r="X81" s="1063">
        <f>X31+X36</f>
        <v>-4.4364530636021016</v>
      </c>
      <c r="Y81" s="1064">
        <f>Y31+Y36</f>
        <v>266.84800999085246</v>
      </c>
      <c r="Z81" s="1063"/>
      <c r="AA81" s="1065">
        <f>AA31+AA36</f>
        <v>120.25894018346526</v>
      </c>
      <c r="AB81" s="1063">
        <f>AB31+AB36</f>
        <v>-115.18478058446925</v>
      </c>
      <c r="AC81" s="1063">
        <f>AC31+AC36</f>
        <v>62.286450659203837</v>
      </c>
      <c r="AD81" s="1063">
        <f>AD31+AD36</f>
        <v>201.90236504342718</v>
      </c>
      <c r="AE81" s="1064">
        <f>AE31+AE36</f>
        <v>269.26297530162702</v>
      </c>
      <c r="AF81" s="1063"/>
      <c r="AG81" s="1065">
        <f>AG31+AG36</f>
        <v>138.27714561134053</v>
      </c>
      <c r="AH81" s="1063">
        <f>AH31+AH36</f>
        <v>42.969836588156312</v>
      </c>
      <c r="AI81" s="1063">
        <f>AI31+AI36</f>
        <v>185.39678385747015</v>
      </c>
      <c r="AJ81" s="1063">
        <f>AJ31+AJ36</f>
        <v>198.72764720069353</v>
      </c>
      <c r="AK81" s="1064">
        <f>AK31+AK36</f>
        <v>565.37141325766049</v>
      </c>
      <c r="AL81" s="1063"/>
      <c r="AM81" s="1065">
        <f>AM31+AM36</f>
        <v>100.17290597552019</v>
      </c>
      <c r="AN81" s="1063">
        <f>AN31+AN36</f>
        <v>21.06774676807467</v>
      </c>
      <c r="AO81" s="1063">
        <f>AO31+AO36</f>
        <v>120.84276387978881</v>
      </c>
      <c r="AP81" s="1063">
        <f>AP31+AP36</f>
        <v>43.446313106346139</v>
      </c>
      <c r="AQ81" s="1064">
        <f>AQ31+AQ36</f>
        <v>285.52972972972992</v>
      </c>
      <c r="AR81" s="1063"/>
      <c r="AS81" s="1065">
        <f t="shared" ref="AS81:BA81" si="92">AS31+AS36</f>
        <v>149</v>
      </c>
      <c r="AT81" s="1063">
        <f t="shared" si="92"/>
        <v>272</v>
      </c>
      <c r="AU81" s="1063">
        <f>AU31+AU36</f>
        <v>-24.197451999999998</v>
      </c>
      <c r="AV81" s="1063">
        <f>AV31+AV36</f>
        <v>7.2501811551824318</v>
      </c>
      <c r="AW81" s="1064">
        <f>AW31+AW36</f>
        <v>404.05272915518242</v>
      </c>
      <c r="AX81" s="1063"/>
      <c r="AY81" s="1065">
        <f t="shared" si="92"/>
        <v>-52</v>
      </c>
      <c r="AZ81" s="1063">
        <f t="shared" si="92"/>
        <v>163</v>
      </c>
      <c r="BA81" s="1063">
        <f t="shared" si="92"/>
        <v>72</v>
      </c>
      <c r="BB81" s="1063">
        <f>BB31+BB36</f>
        <v>210</v>
      </c>
      <c r="BC81" s="1064">
        <f>BC31+BC36</f>
        <v>393</v>
      </c>
      <c r="BD81" s="1063"/>
      <c r="BE81" s="1065">
        <f>BE31+BE36</f>
        <v>66</v>
      </c>
      <c r="BF81" s="1063">
        <f>BF31+BF36</f>
        <v>231</v>
      </c>
      <c r="BG81" s="1063">
        <f>BG31+BG36</f>
        <v>175</v>
      </c>
      <c r="BH81" s="1063">
        <f>BH31+BH36</f>
        <v>182</v>
      </c>
      <c r="BI81" s="1064">
        <f>BI31+BI36</f>
        <v>654</v>
      </c>
      <c r="BJ81" s="1063"/>
      <c r="BK81" s="1065">
        <f>BK31+BK36</f>
        <v>84</v>
      </c>
      <c r="BL81" s="1063">
        <f>BL31+BL36</f>
        <v>214</v>
      </c>
      <c r="BM81" s="1063">
        <f>BM31+BM36</f>
        <v>185</v>
      </c>
      <c r="BN81" s="1063">
        <f>BN31+BN36</f>
        <v>230</v>
      </c>
      <c r="BO81" s="1064">
        <f>BO31+BO36</f>
        <v>713</v>
      </c>
      <c r="BP81" s="1063"/>
      <c r="BQ81" s="1065">
        <f>BQ31+BQ36</f>
        <v>155</v>
      </c>
      <c r="BR81" s="1063">
        <f>BR31+BR36</f>
        <v>203.09145017740764</v>
      </c>
      <c r="BS81" s="1063">
        <f>BS31+BS36</f>
        <v>227.42788671419331</v>
      </c>
      <c r="BT81" s="1063">
        <f>BT31+BT36</f>
        <v>294.62246340428607</v>
      </c>
      <c r="BU81" s="1064">
        <f>BU31+BU36</f>
        <v>880.14180029588692</v>
      </c>
      <c r="BV81" s="1063"/>
      <c r="BW81" s="1065">
        <f>BW31+BW36</f>
        <v>170.30734778089743</v>
      </c>
      <c r="BX81" s="1063">
        <f>BX31+BX36</f>
        <v>241.20006552515414</v>
      </c>
      <c r="BY81" s="1063">
        <f>BY31+BY36</f>
        <v>265.55055098708669</v>
      </c>
      <c r="BZ81" s="1063">
        <f>BZ31+BZ36</f>
        <v>344.72006523166181</v>
      </c>
      <c r="CA81" s="1064">
        <f>CA31+CA36</f>
        <v>1021.7780295248</v>
      </c>
      <c r="CB81" s="1063"/>
      <c r="CC81" s="1065">
        <f>CC31+CC36</f>
        <v>207.34261086372047</v>
      </c>
      <c r="CD81" s="1063">
        <f>CD31+CD36</f>
        <v>330.77322418134963</v>
      </c>
      <c r="CE81" s="1063">
        <f>CE31+CE36</f>
        <v>362.27387736519654</v>
      </c>
      <c r="CF81" s="1063">
        <f>CF31+CF36</f>
        <v>455.57394058014802</v>
      </c>
      <c r="CG81" s="1064">
        <f>CG31+CG36</f>
        <v>1355.9636529904146</v>
      </c>
      <c r="CH81" s="954"/>
      <c r="CI81" s="1065">
        <f>CI31+CI36</f>
        <v>320.90419557760845</v>
      </c>
      <c r="CJ81" s="1063">
        <f>CJ31+CJ36</f>
        <v>290.9138907970808</v>
      </c>
      <c r="CK81" s="1063">
        <f>CK31+CK36</f>
        <v>320.8031286838783</v>
      </c>
      <c r="CL81" s="1063">
        <f>CL31+CL36</f>
        <v>423.13249167133694</v>
      </c>
      <c r="CM81" s="1064">
        <f>CM31+CM36</f>
        <v>1355.7537067299045</v>
      </c>
      <c r="CN81" s="954"/>
      <c r="CO81" s="954"/>
      <c r="CP81" s="1233"/>
    </row>
    <row r="82" spans="1:105" ht="12.75" customHeight="1">
      <c r="A82" s="798" t="s">
        <v>444</v>
      </c>
      <c r="B82" s="982" t="s">
        <v>113</v>
      </c>
      <c r="C82" s="1066">
        <f>C81/IS!C35</f>
        <v>0.2353003721424774</v>
      </c>
      <c r="D82" s="1067">
        <f>D81/IS!D35</f>
        <v>0.17189909447611329</v>
      </c>
      <c r="E82" s="1067">
        <f>E81/IS!E35</f>
        <v>0.23112841761814473</v>
      </c>
      <c r="F82" s="1067">
        <f>F81/IS!F35</f>
        <v>0.32118698267364698</v>
      </c>
      <c r="G82" s="1068">
        <f>G81/IS!G35</f>
        <v>0.97000261702038404</v>
      </c>
      <c r="H82" s="1060"/>
      <c r="I82" s="1066">
        <f>I81/IS!I35</f>
        <v>1.0185466138310606</v>
      </c>
      <c r="J82" s="1067">
        <f>J81/IS!J35</f>
        <v>0.41005115271847203</v>
      </c>
      <c r="K82" s="1067">
        <f>K81/IS!K35</f>
        <v>0.27213322315851829</v>
      </c>
      <c r="L82" s="1067">
        <f>L81/IS!L35</f>
        <v>0.45171713400367852</v>
      </c>
      <c r="M82" s="1068">
        <f>M81/IS!M35</f>
        <v>2.1822758725596585</v>
      </c>
      <c r="N82" s="1060"/>
      <c r="O82" s="1066">
        <f>O81/IS!O35</f>
        <v>1.9155287296002006</v>
      </c>
      <c r="P82" s="1067">
        <f>P81/IS!P35</f>
        <v>0.3410926395612956</v>
      </c>
      <c r="Q82" s="1067">
        <f>Q81/IS!Q35</f>
        <v>0.29892278210413886</v>
      </c>
      <c r="R82" s="1067">
        <f>R81/IS!R35</f>
        <v>0.65651047013953512</v>
      </c>
      <c r="S82" s="1068">
        <f>S81/IS!S35</f>
        <v>3.2424363101808185</v>
      </c>
      <c r="T82" s="350"/>
      <c r="U82" s="1066">
        <f>U81/IS!U35</f>
        <v>0.15266328163812024</v>
      </c>
      <c r="V82" s="1067">
        <f>V81/IS!V35</f>
        <v>0.2339388666765366</v>
      </c>
      <c r="W82" s="1067">
        <f>W81/IS!W35</f>
        <v>0.38189574588371045</v>
      </c>
      <c r="X82" s="1067">
        <f>X81/IS!X35</f>
        <v>-1.2567855704255245E-2</v>
      </c>
      <c r="Y82" s="1068">
        <f>Y81/IS!Y35</f>
        <v>0.75594337107890219</v>
      </c>
      <c r="Z82" s="350"/>
      <c r="AA82" s="1066">
        <f>AA81/IS!AA35</f>
        <v>0.33875757798159228</v>
      </c>
      <c r="AB82" s="1067">
        <f>AB81/IS!AB35</f>
        <v>-0.32446417066047678</v>
      </c>
      <c r="AC82" s="1067">
        <f>AC81/IS!AC35</f>
        <v>0.17447185058600514</v>
      </c>
      <c r="AD82" s="1069">
        <f>AD81/IS!AD35</f>
        <v>0.57522041322913731</v>
      </c>
      <c r="AE82" s="1070">
        <f>AE81/IS!AE35</f>
        <v>0.75955705303702969</v>
      </c>
      <c r="AF82" s="350"/>
      <c r="AG82" s="1066">
        <f>AG81/IS!AG35</f>
        <v>0.39283280003221743</v>
      </c>
      <c r="AH82" s="1067">
        <f>AH81/IS!AH35</f>
        <v>0.1213837191755828</v>
      </c>
      <c r="AI82" s="1067">
        <f>AI81/IS!AI35</f>
        <v>0.52520335370388149</v>
      </c>
      <c r="AJ82" s="350">
        <f>AJ81/IS!AJ35</f>
        <v>0.56296783909544912</v>
      </c>
      <c r="AK82" s="1070">
        <f>AK81/IS!AK35</f>
        <v>1.6016187344409645</v>
      </c>
      <c r="AL82" s="350"/>
      <c r="AM82" s="1071">
        <f>AM81/IS!AM35</f>
        <v>0.28458211924863691</v>
      </c>
      <c r="AN82" s="350">
        <f>AN81/IS!AN35</f>
        <v>6.0366036584741177E-2</v>
      </c>
      <c r="AO82" s="350">
        <f>AO81/IS!AO35</f>
        <v>0.35231126495565251</v>
      </c>
      <c r="AP82" s="350">
        <f>AP81/IS!AP35</f>
        <v>0.12930450329269685</v>
      </c>
      <c r="AQ82" s="1070">
        <f>AQ81/IS!AQ35</f>
        <v>0.82762240501370987</v>
      </c>
      <c r="AR82" s="350"/>
      <c r="AS82" s="1071">
        <f>AS81/IS!AS35</f>
        <v>0.44082840236686388</v>
      </c>
      <c r="AT82" s="350">
        <f>AT81/IS!AT35</f>
        <v>0.80712166172106825</v>
      </c>
      <c r="AU82" s="350">
        <f>AU81/IS!AU35</f>
        <v>-7.1590094674556209E-2</v>
      </c>
      <c r="AV82" s="350">
        <f>AV81/IS!AV35</f>
        <v>2.1450240104090034E-2</v>
      </c>
      <c r="AW82" s="1070">
        <f>AW81/IS!AW35</f>
        <v>1.1963071181500591</v>
      </c>
      <c r="AX82" s="350"/>
      <c r="AY82" s="1071">
        <f>AY81/IS!AY35</f>
        <v>-0.15384615384615385</v>
      </c>
      <c r="AZ82" s="350">
        <f>AZ81/IS!AZ35</f>
        <v>0.48367952522255192</v>
      </c>
      <c r="BA82" s="350">
        <f>BA81/IS!BA35</f>
        <v>0.21428571428571427</v>
      </c>
      <c r="BB82" s="350">
        <f>BB81/IS!BB35</f>
        <v>0.62724014336917555</v>
      </c>
      <c r="BC82" s="1070">
        <f>BC81/IS!BC35</f>
        <v>1.173134328358209</v>
      </c>
      <c r="BD82" s="350"/>
      <c r="BE82" s="1071">
        <f>BE81/IS!BE35</f>
        <v>0.19879518072289157</v>
      </c>
      <c r="BF82" s="350">
        <f>BF81/IS!BF35</f>
        <v>0.70426829268292679</v>
      </c>
      <c r="BG82" s="350">
        <f>BG81/IS!BG35</f>
        <v>0.53353658536585369</v>
      </c>
      <c r="BH82" s="350">
        <f>BH81/IS!BH35</f>
        <v>0.55487804878048785</v>
      </c>
      <c r="BI82" s="1070">
        <f>BI81/IS!BI35</f>
        <v>1.9878419452887539</v>
      </c>
      <c r="BJ82" s="350"/>
      <c r="BK82" s="1071">
        <f>BK81/IS!BK35</f>
        <v>0.25766871165644173</v>
      </c>
      <c r="BL82" s="350">
        <f>BL81/IS!BL35</f>
        <v>0.65846153846153843</v>
      </c>
      <c r="BM82" s="350">
        <f>BM81/IS!BM35</f>
        <v>0.56748466257668717</v>
      </c>
      <c r="BN82" s="350">
        <f>BN81/IS!BN35</f>
        <v>0.70552147239263807</v>
      </c>
      <c r="BO82" s="1070">
        <f>BO81/IS!BO35</f>
        <v>2.1887950882578666</v>
      </c>
      <c r="BP82" s="350"/>
      <c r="BQ82" s="1071">
        <f>BQ81/IS!BQ35</f>
        <v>0.47987616099071206</v>
      </c>
      <c r="BR82" s="350">
        <f>BR81/IS!BR35</f>
        <v>0.62409151621767356</v>
      </c>
      <c r="BS82" s="350">
        <f>BS81/IS!BS35</f>
        <v>0.70224869142233015</v>
      </c>
      <c r="BT82" s="350">
        <f>BT81/IS!BT35</f>
        <v>0.91405777940005484</v>
      </c>
      <c r="BU82" s="1070">
        <f>BU81/IS!BU35</f>
        <v>2.7194254527172985</v>
      </c>
      <c r="BV82" s="350"/>
      <c r="BW82" s="1071">
        <f>BW81/IS!BW35</f>
        <v>0.5307718044968267</v>
      </c>
      <c r="BX82" s="350">
        <f>BX81/IS!BX35</f>
        <v>0.75507442453495832</v>
      </c>
      <c r="BY82" s="350">
        <f>BY81/IS!BY35</f>
        <v>0.83496627769256659</v>
      </c>
      <c r="BZ82" s="350">
        <f>BZ81/IS!BZ35</f>
        <v>1.0886029024468749</v>
      </c>
      <c r="CA82" s="1070">
        <f>CA81/IS!CA35</f>
        <v>3.205561957463535</v>
      </c>
      <c r="CB82" s="350"/>
      <c r="CC82" s="1071">
        <f>CC81/IS!CC35</f>
        <v>0.65757423105443391</v>
      </c>
      <c r="CD82" s="350">
        <f>CD81/IS!CD35</f>
        <v>1.0534459727566607</v>
      </c>
      <c r="CE82" s="350">
        <f>CE81/IS!CE35</f>
        <v>1.1585568108000803</v>
      </c>
      <c r="CF82" s="350">
        <f>CF81/IS!CF35</f>
        <v>1.4628863188343082</v>
      </c>
      <c r="CG82" s="1070">
        <f>CG81/IS!CG35</f>
        <v>4.3272395113327136</v>
      </c>
      <c r="CI82" s="1071">
        <f>CI81/IS!CI35</f>
        <v>1.0345983484046488</v>
      </c>
      <c r="CJ82" s="350">
        <f>CJ81/IS!CJ35</f>
        <v>0.94162746035951106</v>
      </c>
      <c r="CK82" s="350">
        <f>CK81/IS!CK35</f>
        <v>1.0424264190664208</v>
      </c>
      <c r="CL82" s="350">
        <f>CL81/IS!CL35</f>
        <v>1.3802238640033329</v>
      </c>
      <c r="CM82" s="1070">
        <f>CM81/IS!CM35</f>
        <v>4.3966756914613176</v>
      </c>
      <c r="CP82" s="1233"/>
      <c r="CX82" s="954"/>
      <c r="CY82" s="954"/>
      <c r="CZ82" s="954"/>
      <c r="DA82" s="1898"/>
    </row>
    <row r="83" spans="1:105" ht="12.75" customHeight="1">
      <c r="A83" s="2167" t="s">
        <v>575</v>
      </c>
      <c r="B83" s="982"/>
      <c r="C83" s="2168"/>
      <c r="D83" s="2169"/>
      <c r="E83" s="2169"/>
      <c r="F83" s="2169"/>
      <c r="G83" s="2170"/>
      <c r="H83" s="1060"/>
      <c r="I83" s="2172">
        <f>+I82/C82-1</f>
        <v>3.3287080447723119</v>
      </c>
      <c r="J83" s="1075">
        <f>+J82/D82-1</f>
        <v>1.3854177589949539</v>
      </c>
      <c r="K83" s="1075">
        <f>+K82/E82-1</f>
        <v>0.17741135409891062</v>
      </c>
      <c r="L83" s="2204">
        <f>+L82/F82-1</f>
        <v>0.40639925766437801</v>
      </c>
      <c r="M83" s="2171">
        <f>+M82/G82-1</f>
        <v>1.2497628710148101</v>
      </c>
      <c r="N83" s="1060"/>
      <c r="O83" s="2172">
        <f>+O82/I82-1</f>
        <v>0.88064905777391966</v>
      </c>
      <c r="P83" s="1075">
        <f>+P82/J82-1</f>
        <v>-0.16817051409320427</v>
      </c>
      <c r="Q83" s="1075">
        <f>+Q82/K82-1</f>
        <v>9.8442809131083608E-2</v>
      </c>
      <c r="R83" s="2204">
        <f>+R82/L82-1</f>
        <v>0.45336632312510172</v>
      </c>
      <c r="S83" s="2171">
        <f>+S82/M82-1</f>
        <v>0.48580495754538355</v>
      </c>
      <c r="T83" s="1075"/>
      <c r="U83" s="2172">
        <f>+U82/O82-1</f>
        <v>-0.92030227514782126</v>
      </c>
      <c r="V83" s="1075">
        <f>+V82/P82-1</f>
        <v>-0.31414859324603828</v>
      </c>
      <c r="W83" s="1075">
        <f>+W82/Q82-1</f>
        <v>0.27757323545404922</v>
      </c>
      <c r="X83" s="2204">
        <f>+X82/R82-1</f>
        <v>-1.0191434200608926</v>
      </c>
      <c r="Y83" s="2171">
        <f>+Y82/S82-1</f>
        <v>-0.76685945419950408</v>
      </c>
      <c r="Z83" s="1075"/>
      <c r="AA83" s="2172">
        <f>+AA82/U82-1</f>
        <v>1.2189853011583898</v>
      </c>
      <c r="AB83" s="1075">
        <f>+AB82/V82-1</f>
        <v>-2.3869613684548963</v>
      </c>
      <c r="AC83" s="1075">
        <f>+AC82/W82-1</f>
        <v>-0.54314272293796939</v>
      </c>
      <c r="AD83" s="2204">
        <f>+AD82/X82-1</f>
        <v>-46.769177078821663</v>
      </c>
      <c r="AE83" s="2171">
        <f>+AE82/Y82-1</f>
        <v>4.780360667717698E-3</v>
      </c>
      <c r="AF83" s="1075"/>
      <c r="AG83" s="2172">
        <f>+AG82/AA82-1</f>
        <v>0.15962808086189462</v>
      </c>
      <c r="AH83" s="1075">
        <f>+AH82/AB82-1</f>
        <v>-1.3741051559822308</v>
      </c>
      <c r="AI83" s="1075">
        <f>+AI82/AC82-1</f>
        <v>2.0102469363387923</v>
      </c>
      <c r="AJ83" s="2204">
        <f>+AJ82/AD82-1</f>
        <v>-2.1300659454878246E-2</v>
      </c>
      <c r="AK83" s="2171">
        <f>+AK82/AE82-1</f>
        <v>1.1086220291642568</v>
      </c>
      <c r="AL83" s="2172"/>
      <c r="AM83" s="2172">
        <f t="shared" ref="AM83:CA83" si="93">+AM82/AG82-1</f>
        <v>-0.2755642623902651</v>
      </c>
      <c r="AN83" s="1075">
        <f t="shared" si="93"/>
        <v>-0.50268423974206056</v>
      </c>
      <c r="AO83" s="1075">
        <f t="shared" si="93"/>
        <v>-0.32919075540730158</v>
      </c>
      <c r="AP83" s="2204">
        <f t="shared" si="93"/>
        <v>-0.77031635856773384</v>
      </c>
      <c r="AQ83" s="2171">
        <f t="shared" si="93"/>
        <v>-0.4832587886138916</v>
      </c>
      <c r="AR83" s="2171"/>
      <c r="AS83" s="2172">
        <f t="shared" si="93"/>
        <v>0.5490375977617763</v>
      </c>
      <c r="AT83" s="1075">
        <f t="shared" si="93"/>
        <v>12.37045973836695</v>
      </c>
      <c r="AU83" s="1075">
        <f t="shared" si="93"/>
        <v>-1.2032012648916226</v>
      </c>
      <c r="AV83" s="2204">
        <f t="shared" si="93"/>
        <v>-0.83411064922050904</v>
      </c>
      <c r="AW83" s="2204">
        <f t="shared" si="93"/>
        <v>0.44547454358759397</v>
      </c>
      <c r="AX83" s="2171"/>
      <c r="AY83" s="2172">
        <f t="shared" si="93"/>
        <v>-1.348993288590604</v>
      </c>
      <c r="AZ83" s="1075">
        <f t="shared" si="93"/>
        <v>-0.40073529411764708</v>
      </c>
      <c r="BA83" s="1075">
        <f t="shared" si="93"/>
        <v>-3.9932313298347046</v>
      </c>
      <c r="BB83" s="2204">
        <f t="shared" si="93"/>
        <v>28.241637404775542</v>
      </c>
      <c r="BC83" s="2204">
        <f t="shared" si="93"/>
        <v>-1.9370268253259271E-2</v>
      </c>
      <c r="BD83" s="2171"/>
      <c r="BE83" s="2172">
        <f t="shared" si="93"/>
        <v>-2.2921686746987948</v>
      </c>
      <c r="BF83" s="1075">
        <f t="shared" si="93"/>
        <v>0.45606389346102039</v>
      </c>
      <c r="BG83" s="1075">
        <f t="shared" si="93"/>
        <v>1.4898373983739841</v>
      </c>
      <c r="BH83" s="2204">
        <f t="shared" si="93"/>
        <v>-0.11536585365853635</v>
      </c>
      <c r="BI83" s="2204">
        <f t="shared" si="93"/>
        <v>0.6944708693937216</v>
      </c>
      <c r="BJ83" s="2171"/>
      <c r="BK83" s="2172">
        <f t="shared" si="93"/>
        <v>0.29615170105967659</v>
      </c>
      <c r="BL83" s="1075">
        <f t="shared" si="93"/>
        <v>-6.5041625041625029E-2</v>
      </c>
      <c r="BM83" s="1075">
        <f t="shared" si="93"/>
        <v>6.3628396143733612E-2</v>
      </c>
      <c r="BN83" s="2204">
        <f t="shared" si="93"/>
        <v>0.27148924694936949</v>
      </c>
      <c r="BO83" s="2204">
        <f t="shared" si="93"/>
        <v>0.10109110708996649</v>
      </c>
      <c r="BP83" s="2171"/>
      <c r="BQ83" s="2172">
        <f t="shared" si="93"/>
        <v>0.86237652955919208</v>
      </c>
      <c r="BR83" s="1075">
        <f t="shared" si="93"/>
        <v>-5.2197463688112511E-2</v>
      </c>
      <c r="BS83" s="1075">
        <f t="shared" si="93"/>
        <v>0.23747607245232216</v>
      </c>
      <c r="BT83" s="2204">
        <f t="shared" si="93"/>
        <v>0.2955775481931211</v>
      </c>
      <c r="BU83" s="2204">
        <f t="shared" si="93"/>
        <v>0.24243035234594656</v>
      </c>
      <c r="BV83" s="2171"/>
      <c r="BW83" s="2172">
        <f t="shared" si="93"/>
        <v>0.10605995388693557</v>
      </c>
      <c r="BX83" s="1075">
        <f t="shared" si="93"/>
        <v>0.20987772612438449</v>
      </c>
      <c r="BY83" s="1075">
        <f t="shared" si="93"/>
        <v>0.18898943905674082</v>
      </c>
      <c r="BZ83" s="2204">
        <f t="shared" si="93"/>
        <v>0.19095633446868465</v>
      </c>
      <c r="CA83" s="2204">
        <f t="shared" si="93"/>
        <v>0.17876441667502974</v>
      </c>
      <c r="CB83" s="1075"/>
      <c r="CC83" s="2172"/>
      <c r="CD83" s="1075"/>
      <c r="CE83" s="1075"/>
      <c r="CF83" s="1075"/>
      <c r="CG83" s="2171">
        <f>+CG82/CA82-1</f>
        <v>0.34991604241420693</v>
      </c>
      <c r="CI83" s="2172"/>
      <c r="CJ83" s="1075"/>
      <c r="CK83" s="1075"/>
      <c r="CL83" s="1075"/>
      <c r="CM83" s="2171">
        <f>+CM82/CG82-1</f>
        <v>1.6046299250770835E-2</v>
      </c>
      <c r="CX83" s="954"/>
      <c r="CY83" s="954"/>
      <c r="CZ83" s="954"/>
      <c r="DA83" s="1898"/>
    </row>
    <row r="84" spans="1:105" ht="12.75" customHeight="1">
      <c r="A84" s="650" t="s">
        <v>445</v>
      </c>
      <c r="B84" s="982" t="s">
        <v>113</v>
      </c>
      <c r="C84" s="1072">
        <f>C82/C87</f>
        <v>1.028286593484818E-2</v>
      </c>
      <c r="D84" s="1073">
        <f>D82/D87</f>
        <v>6.9941613228589761E-3</v>
      </c>
      <c r="E84" s="1073">
        <f>E82/E87</f>
        <v>8.4856271510158066E-3</v>
      </c>
      <c r="F84" s="1073">
        <f>F82/F87</f>
        <v>1.2466232528006615E-2</v>
      </c>
      <c r="G84" s="1074">
        <f>G82/G87</f>
        <v>3.7648718126406223E-2</v>
      </c>
      <c r="H84" s="1060"/>
      <c r="I84" s="1072">
        <f>I82/I87</f>
        <v>4.2066431564849412E-2</v>
      </c>
      <c r="J84" s="1073">
        <f>J82/J87</f>
        <v>1.8764035828689359E-2</v>
      </c>
      <c r="K84" s="1073">
        <f>K82/K87</f>
        <v>1.0533077073267659E-2</v>
      </c>
      <c r="L84" s="1073">
        <f>L82/L87</f>
        <v>2.9867429925041985E-2</v>
      </c>
      <c r="M84" s="1074">
        <f>M82/M87</f>
        <v>0.14429156388886208</v>
      </c>
      <c r="N84" s="1060"/>
      <c r="O84" s="1072">
        <f>O82/O87</f>
        <v>0.14816038370386647</v>
      </c>
      <c r="P84" s="1073">
        <f>P82/P87</f>
        <v>2.6455634574665092E-2</v>
      </c>
      <c r="Q84" s="1073">
        <f>Q82/Q87</f>
        <v>1.8472096618236181E-2</v>
      </c>
      <c r="R84" s="1073">
        <f>R82/R87</f>
        <v>3.6259316505745293E-2</v>
      </c>
      <c r="S84" s="1074">
        <f>S82/S87</f>
        <v>0.17908095874781577</v>
      </c>
      <c r="T84" s="1075"/>
      <c r="U84" s="1072">
        <f>U82/U87</f>
        <v>7.6164579611506219E-3</v>
      </c>
      <c r="V84" s="1073">
        <f>V82/V87</f>
        <v>8.7872084728105888E-3</v>
      </c>
      <c r="W84" s="1073">
        <f>W82/W87</f>
        <v>1.8971778777855736E-2</v>
      </c>
      <c r="X84" s="1073">
        <f>X82/X87</f>
        <v>-5.0330182026935737E-4</v>
      </c>
      <c r="Y84" s="1074">
        <f>Y82/Y87</f>
        <v>2.1647863480147932E-2</v>
      </c>
      <c r="Z84" s="1075"/>
      <c r="AA84" s="1072">
        <f>AA82/AA87</f>
        <v>8.2664131539103205E-3</v>
      </c>
      <c r="AB84" s="1073">
        <f>AB82/AB87</f>
        <v>-6.5009866193414057E-3</v>
      </c>
      <c r="AC84" s="1073">
        <f>AC82/AC87</f>
        <v>4.1383277065372365E-3</v>
      </c>
      <c r="AD84" s="1076">
        <f>AD82/AD87</f>
        <v>1.4067508271683475E-2</v>
      </c>
      <c r="AE84" s="1077">
        <f>AE82/AE87</f>
        <v>1.8575618807459761E-2</v>
      </c>
      <c r="AF84" s="1075"/>
      <c r="AG84" s="1072">
        <f>AG82/AG87</f>
        <v>9.1017817458715622E-3</v>
      </c>
      <c r="AH84" s="1073">
        <f>AH82/AH87</f>
        <v>2.8520612048802915E-3</v>
      </c>
      <c r="AI84" s="1073">
        <f>AI82/AI87</f>
        <v>1.3843002630994019E-2</v>
      </c>
      <c r="AJ84" s="1078">
        <f>AJ82/AJ87</f>
        <v>1.5664107597794664E-2</v>
      </c>
      <c r="AK84" s="1077">
        <f>AK82/AK87</f>
        <v>4.4563696972880582E-2</v>
      </c>
      <c r="AL84" s="1075"/>
      <c r="AM84" s="1079">
        <f>AM82/AM87</f>
        <v>6.3750474742078162E-3</v>
      </c>
      <c r="AN84" s="1078">
        <f>AN82/AN87</f>
        <v>1.4616477996250551E-3</v>
      </c>
      <c r="AO84" s="1078">
        <f>AO82/AO87</f>
        <v>7.7261257563768487E-3</v>
      </c>
      <c r="AP84" s="1078">
        <f>AP82/AP87</f>
        <v>2.4928573985757941E-3</v>
      </c>
      <c r="AQ84" s="1077">
        <f>AQ82/AQ87</f>
        <v>1.59557059733282E-2</v>
      </c>
      <c r="AR84" s="1075"/>
      <c r="AS84" s="1079">
        <f>AS82/AS87</f>
        <v>7.6466339678519981E-3</v>
      </c>
      <c r="AT84" s="1078">
        <f>AT82/AT87</f>
        <v>2.0112675348145231E-2</v>
      </c>
      <c r="AU84" s="1078">
        <f>AU82/AU87</f>
        <v>-1.7589547732920262E-3</v>
      </c>
      <c r="AV84" s="1078">
        <f>AV82/AV87</f>
        <v>5.248722597454463E-4</v>
      </c>
      <c r="AW84" s="1077">
        <f>AW82/AW87</f>
        <v>2.6681263043803145E-2</v>
      </c>
      <c r="AX84" s="1075"/>
      <c r="AY84" s="1079">
        <f>AY82/AY87</f>
        <v>-3.7953982190935703E-3</v>
      </c>
      <c r="AZ84" s="1078">
        <f>AZ82/AZ87</f>
        <v>1.1630834834061141E-2</v>
      </c>
      <c r="BA84" s="1078">
        <f>BA82/BA87</f>
        <v>5.2751715765586822E-3</v>
      </c>
      <c r="BB84" s="1078">
        <f>BB82/BB87</f>
        <v>1.7179807666406297E-2</v>
      </c>
      <c r="BC84" s="1077">
        <f>BC82/BC87</f>
        <v>2.9465971513870971E-2</v>
      </c>
      <c r="BD84" s="1075"/>
      <c r="BE84" s="1079">
        <f>BE82/BE87</f>
        <v>5.0412420073042896E-3</v>
      </c>
      <c r="BF84" s="1078">
        <f>BF82/BF87</f>
        <v>1.806808890163367E-2</v>
      </c>
      <c r="BG84" s="1078">
        <f>BG82/BG87</f>
        <v>1.1878155648559072E-2</v>
      </c>
      <c r="BH84" s="1078">
        <f>BH82/BH87</f>
        <v>1.1948792865365277E-2</v>
      </c>
      <c r="BI84" s="1077">
        <f>BI82/BI87</f>
        <v>4.6836724347328773E-2</v>
      </c>
      <c r="BJ84" s="1075"/>
      <c r="BK84" s="1079">
        <f>BK82/BK87</f>
        <v>5.5825068565840503E-3</v>
      </c>
      <c r="BL84" s="1078">
        <f>BL82/BL87</f>
        <v>1.2608266045167757E-2</v>
      </c>
      <c r="BM84" s="1078">
        <f>BM82/BM87</f>
        <v>9.6036071891090896E-3</v>
      </c>
      <c r="BN84" s="1078">
        <f>BN82/BN87</f>
        <v>1.0960093694624603E-2</v>
      </c>
      <c r="BO84" s="1077">
        <f>BO82/BO87</f>
        <v>3.9465540077694636E-2</v>
      </c>
      <c r="BP84" s="1075"/>
      <c r="BQ84" s="1079">
        <f>BQ82/BQ87</f>
        <v>6.9348689137663164E-3</v>
      </c>
      <c r="BR84" s="1078">
        <f>BR82/BR87</f>
        <v>8.8471098646803227E-3</v>
      </c>
      <c r="BS84" s="1078">
        <f>BS82/BS87</f>
        <v>9.7653573710066895E-3</v>
      </c>
      <c r="BT84" s="1078">
        <f>BT82/BT87</f>
        <v>1.2468520193984908E-2</v>
      </c>
      <c r="BU84" s="1077">
        <f>BU82/BU87</f>
        <v>3.8172609880272296E-2</v>
      </c>
      <c r="BV84" s="1075"/>
      <c r="BW84" s="1079">
        <f>BW82/BW87</f>
        <v>7.1022044360854776E-3</v>
      </c>
      <c r="BX84" s="1078">
        <f>BX82/BX87</f>
        <v>9.9110381165296683E-3</v>
      </c>
      <c r="BY84" s="1078">
        <f>BY82/BY87</f>
        <v>1.0750839613649865E-2</v>
      </c>
      <c r="BZ84" s="1078">
        <f>BZ82/BZ87</f>
        <v>1.3749502876367628E-2</v>
      </c>
      <c r="CA84" s="1077">
        <f>CA82/CA87</f>
        <v>4.1663439091187644E-2</v>
      </c>
      <c r="CB84" s="1075"/>
      <c r="CC84" s="1079">
        <f>CC82/CC87</f>
        <v>8.1471620601515464E-3</v>
      </c>
      <c r="CD84" s="1078">
        <f>CD82/CD87</f>
        <v>1.2803181370138488E-2</v>
      </c>
      <c r="CE84" s="1078">
        <f>CE82/CE87</f>
        <v>1.3812332560031398E-2</v>
      </c>
      <c r="CF84" s="1078">
        <f>CF82/CF87</f>
        <v>1.7108200492406724E-2</v>
      </c>
      <c r="CG84" s="1077">
        <f>CG82/CG87</f>
        <v>5.2076060010501288E-2</v>
      </c>
      <c r="CI84" s="1079">
        <f>CI82/CI87</f>
        <v>1.1868876058721644E-2</v>
      </c>
      <c r="CJ84" s="1078">
        <f>CJ82/CJ87</f>
        <v>1.0596464567558771E-2</v>
      </c>
      <c r="CK84" s="1078">
        <f>CK82/CK87</f>
        <v>1.1507244628967888E-2</v>
      </c>
      <c r="CL84" s="1078">
        <f>CL82/CL87</f>
        <v>1.4945812493196809E-2</v>
      </c>
      <c r="CM84" s="1077">
        <f>CM82/CM87</f>
        <v>4.899230375299158E-2</v>
      </c>
      <c r="CX84" s="954"/>
      <c r="CY84" s="954"/>
      <c r="CZ84" s="954"/>
      <c r="DA84" s="1898"/>
    </row>
    <row r="85" spans="1:105" ht="12.75" customHeight="1">
      <c r="A85" s="650" t="s">
        <v>619</v>
      </c>
      <c r="B85" s="982"/>
      <c r="C85" s="1072">
        <f>C81/IS!C30</f>
        <v>1.3352439852175881</v>
      </c>
      <c r="D85" s="1073">
        <f>D81/IS!D30</f>
        <v>1.2312340960934833</v>
      </c>
      <c r="E85" s="1073">
        <f>E81/IS!E30</f>
        <v>1.3503842311751562</v>
      </c>
      <c r="F85" s="1073">
        <f>F81/IS!F30</f>
        <v>1.6126653860384834</v>
      </c>
      <c r="G85" s="1074">
        <f>G81/IS!G30</f>
        <v>1.3972993623718692</v>
      </c>
      <c r="H85" s="1060"/>
      <c r="I85" s="1072">
        <f>I81/IS!I30</f>
        <v>5.5380263055865351</v>
      </c>
      <c r="J85" s="1073">
        <f>J81/IS!J30</f>
        <v>2.5346921382973511</v>
      </c>
      <c r="K85" s="1073">
        <f>K81/IS!K30</f>
        <v>1.3069655631404102</v>
      </c>
      <c r="L85" s="1073">
        <f>L81/IS!L30</f>
        <v>1.5771868614477824</v>
      </c>
      <c r="M85" s="1074">
        <f>M81/IS!M30</f>
        <v>2.5798364773590254</v>
      </c>
      <c r="N85" s="1060"/>
      <c r="O85" s="1072">
        <f>O81/IS!O30</f>
        <v>9.7733324175431751</v>
      </c>
      <c r="P85" s="1073">
        <f>P81/IS!P30</f>
        <v>2.1624745302079913</v>
      </c>
      <c r="Q85" s="1073">
        <f>Q81/IS!Q30</f>
        <v>1.9405310780802461</v>
      </c>
      <c r="R85" s="1073">
        <f>R81/IS!R30</f>
        <v>3.1709460473323197</v>
      </c>
      <c r="S85" s="1074">
        <f>S81/IS!S30</f>
        <v>4.5231671735503527</v>
      </c>
      <c r="T85" s="1075"/>
      <c r="U85" s="1072">
        <f>U81/IS!U30</f>
        <v>0.65367925534618243</v>
      </c>
      <c r="V85" s="1073">
        <f>V81/IS!V30</f>
        <v>1.1758259000819806</v>
      </c>
      <c r="W85" s="1073">
        <f>W81/IS!W30</f>
        <v>1.9947189642487499</v>
      </c>
      <c r="X85" s="1073">
        <f>X81/IS!X30</f>
        <v>-5.5507285070141479E-2</v>
      </c>
      <c r="Y85" s="1074">
        <f>Y81/IS!Y30</f>
        <v>0.88824153822829766</v>
      </c>
      <c r="Z85" s="1075"/>
      <c r="AA85" s="1072">
        <f>AA81/IS!AA30</f>
        <v>2.392203491929084</v>
      </c>
      <c r="AB85" s="1073">
        <f>AB81/IS!AB30</f>
        <v>-1.6140098392568583</v>
      </c>
      <c r="AC85" s="1073">
        <f>AC81/IS!AC30</f>
        <v>0.81384026261797138</v>
      </c>
      <c r="AD85" s="1073">
        <f>AD81/IS!AD30</f>
        <v>2.1212153196749299</v>
      </c>
      <c r="AE85" s="1074">
        <f>AE81/IS!AE30</f>
        <v>0.91787979576028866</v>
      </c>
      <c r="AF85" s="1075"/>
      <c r="AG85" s="1072">
        <f>AG81/IS!AG30</f>
        <v>1.4528725569880803</v>
      </c>
      <c r="AH85" s="1073">
        <f>AH81/IS!AH30</f>
        <v>0.54203515090704901</v>
      </c>
      <c r="AI85" s="1073">
        <f>AI81/IS!AI30</f>
        <v>7.4232946489477518</v>
      </c>
      <c r="AJ85" s="1073">
        <f>AJ81/IS!AJ30</f>
        <v>3.9606905271687811</v>
      </c>
      <c r="AK85" s="1074">
        <f>AK81/IS!AK30</f>
        <v>2.2651098287566529</v>
      </c>
      <c r="AL85" s="1075"/>
      <c r="AM85" s="1072">
        <f>AM81/IS!AM30</f>
        <v>1.387676619574304</v>
      </c>
      <c r="AN85" s="1073">
        <f>AN81/IS!AN30</f>
        <v>0.39351383176417787</v>
      </c>
      <c r="AO85" s="1073">
        <f>AO81/IS!AO30</f>
        <v>1.485695575592916</v>
      </c>
      <c r="AP85" s="1073">
        <f>AP81/IS!AP30</f>
        <v>0.39233604791824039</v>
      </c>
      <c r="AQ85" s="1074">
        <f>AQ81/IS!AQ30</f>
        <v>0.89845729933835705</v>
      </c>
      <c r="AR85" s="1075"/>
      <c r="AS85" s="1072">
        <f>AS81/IS!AS30</f>
        <v>0.7663032297881095</v>
      </c>
      <c r="AT85" s="1073">
        <f>AT81/IS!AT30</f>
        <v>6.7610495932930341</v>
      </c>
      <c r="AU85" s="1073">
        <f>AU81/IS!AU30</f>
        <v>-0.37605028539316626</v>
      </c>
      <c r="AV85" s="1073">
        <f>AV81/IS!AV30</f>
        <v>-0.27586150938447757</v>
      </c>
      <c r="AW85" s="1074">
        <f>AW81/IS!AW30</f>
        <v>1.4814857845613474</v>
      </c>
      <c r="AX85" s="1075"/>
      <c r="AY85" s="1072">
        <f>AY81/IS!AY30</f>
        <v>-0.71754819302046347</v>
      </c>
      <c r="AZ85" s="1073">
        <f>AZ81/IS!AZ30</f>
        <v>0.92561570480241206</v>
      </c>
      <c r="BA85" s="1073">
        <f>BA81/IS!BA30</f>
        <v>0.6821476281158515</v>
      </c>
      <c r="BB85" s="1073">
        <f>BB81/IS!BB30</f>
        <v>1.4998071676498732</v>
      </c>
      <c r="BC85" s="1074">
        <f>BC81/IS!BC30</f>
        <v>0.79532921165268589</v>
      </c>
      <c r="BD85" s="1075"/>
      <c r="BE85" s="1072">
        <f>BE81/IS!BE30</f>
        <v>0.53513224252841851</v>
      </c>
      <c r="BF85" s="1073">
        <f>BF81/IS!BF30</f>
        <v>2.5345622119815641</v>
      </c>
      <c r="BG85" s="1073">
        <f>BG81/IS!BG30</f>
        <v>1.4132962915105316</v>
      </c>
      <c r="BH85" s="1073">
        <f>BH81/IS!BH30</f>
        <v>1.4666147710670756</v>
      </c>
      <c r="BI85" s="1074">
        <f>BI81/IS!BI30</f>
        <v>1.4143803554246999</v>
      </c>
      <c r="BJ85" s="1075"/>
      <c r="BK85" s="1072">
        <f>BK81/IS!BK30</f>
        <v>0.49344713947518376</v>
      </c>
      <c r="BL85" s="1073">
        <f>BL81/IS!BL30</f>
        <v>1.3035585931313431</v>
      </c>
      <c r="BM85" s="1073">
        <f>BM81/IS!BM30</f>
        <v>1.0558390467542653</v>
      </c>
      <c r="BN85" s="1073">
        <f>BN81/IS!BN30</f>
        <v>1.2948919328232587</v>
      </c>
      <c r="BO85" s="1074">
        <f>BO81/IS!BO30</f>
        <v>1.0374921733365676</v>
      </c>
      <c r="BP85" s="1075"/>
      <c r="BQ85" s="1072">
        <f>BQ81/IS!BQ30</f>
        <v>-0.48246414046367597</v>
      </c>
      <c r="BR85" s="1073">
        <f>BR81/IS!BR30</f>
        <v>0.93898642505631469</v>
      </c>
      <c r="BS85" s="1073">
        <f>BS81/IS!BS30</f>
        <v>1.0915431801774693</v>
      </c>
      <c r="BT85" s="1073">
        <f>BT81/IS!BT30</f>
        <v>1.238587492796654</v>
      </c>
      <c r="BU85" s="1074">
        <f>BU81/IS!BU30</f>
        <v>2.5792099339678809</v>
      </c>
      <c r="BV85" s="1075"/>
      <c r="BW85" s="1072">
        <f>BW81/IS!BW30</f>
        <v>0.75584441498658861</v>
      </c>
      <c r="BX85" s="1073">
        <f>BX81/IS!BX30</f>
        <v>0.98428037870359975</v>
      </c>
      <c r="BY85" s="1073">
        <f>BY81/IS!BY30</f>
        <v>1.1106262528229476</v>
      </c>
      <c r="BZ85" s="1073">
        <f>BZ81/IS!BZ30</f>
        <v>1.268170421857217</v>
      </c>
      <c r="CA85" s="1074">
        <f>CA81/IS!CA30</f>
        <v>1.0412521704391156</v>
      </c>
      <c r="CB85" s="1075"/>
      <c r="CC85" s="1072">
        <f>CC81/IS!CC30</f>
        <v>0.81407160123208944</v>
      </c>
      <c r="CD85" s="1073">
        <f>CD81/IS!CD30</f>
        <v>0.96251915124785437</v>
      </c>
      <c r="CE85" s="1073">
        <f>CE81/IS!CE30</f>
        <v>1.0583385409057626</v>
      </c>
      <c r="CF85" s="1073">
        <f>CF81/IS!CF30</f>
        <v>1.1925618797582542</v>
      </c>
      <c r="CG85" s="1074">
        <f>CG81/IS!CG30</f>
        <v>1.0251722651053561</v>
      </c>
      <c r="CI85" s="1072">
        <f>CI81/IS!CI30</f>
        <v>0.88999087235501095</v>
      </c>
      <c r="CJ85" s="1073">
        <f>CJ81/IS!CJ30</f>
        <v>0.94238159353959594</v>
      </c>
      <c r="CK85" s="1073">
        <f>CK81/IS!CK30</f>
        <v>1.0537900566436984</v>
      </c>
      <c r="CL85" s="1073">
        <f>CL81/IS!CL30</f>
        <v>1.2378220938641826</v>
      </c>
      <c r="CM85" s="1074">
        <f>CM81/IS!CM30</f>
        <v>1.0305720111958943</v>
      </c>
      <c r="CX85" s="954"/>
      <c r="CY85" s="954"/>
      <c r="CZ85" s="954"/>
      <c r="DA85" s="1898"/>
    </row>
    <row r="86" spans="1:105" ht="12.75" customHeight="1">
      <c r="A86" s="650" t="s">
        <v>620</v>
      </c>
      <c r="B86" s="982"/>
      <c r="C86" s="1072">
        <f>C81/IS!C28</f>
        <v>1.1936353829557713</v>
      </c>
      <c r="D86" s="1073">
        <f>D81/IS!D28</f>
        <v>1.0691916569071505</v>
      </c>
      <c r="E86" s="1073">
        <f>E81/IS!E28</f>
        <v>1.1998630863595012</v>
      </c>
      <c r="F86" s="1073">
        <f>F81/IS!F28</f>
        <v>1.455378515239963</v>
      </c>
      <c r="G86" s="1074">
        <f>G81/IS!G28</f>
        <v>1.2431220407521335</v>
      </c>
      <c r="H86" s="1060"/>
      <c r="I86" s="1072">
        <f>I81/IS!I28</f>
        <v>4.9628164092278721</v>
      </c>
      <c r="J86" s="1073">
        <f>J81/IS!J28</f>
        <v>2.2311606839093332</v>
      </c>
      <c r="K86" s="1073">
        <f>K81/IS!K28</f>
        <v>1.1826350352215982</v>
      </c>
      <c r="L86" s="1073">
        <f>L81/IS!L28</f>
        <v>1.4649218244350062</v>
      </c>
      <c r="M86" s="1074">
        <f>M81/IS!M28</f>
        <v>2.3372527387980178</v>
      </c>
      <c r="N86" s="1060"/>
      <c r="O86" s="1072">
        <f>O81/IS!O28</f>
        <v>8.6344302605604604</v>
      </c>
      <c r="P86" s="1073">
        <f>P81/IS!P28</f>
        <v>1.8906843056571965</v>
      </c>
      <c r="Q86" s="1073">
        <f>Q81/IS!Q28</f>
        <v>1.674313895840009</v>
      </c>
      <c r="R86" s="1073">
        <f>R81/IS!R28</f>
        <v>2.8831743702945603</v>
      </c>
      <c r="S86" s="1074">
        <f>S81/IS!S28</f>
        <v>3.9991493375497389</v>
      </c>
      <c r="T86" s="1075"/>
      <c r="U86" s="1072">
        <f>U81/IS!U28</f>
        <v>0.61048205361542263</v>
      </c>
      <c r="V86" s="1073">
        <f>V81/IS!V28</f>
        <v>1.1239611785362531</v>
      </c>
      <c r="W86" s="1073">
        <f>W81/IS!W28</f>
        <v>1.5587292275545217</v>
      </c>
      <c r="X86" s="1073">
        <f>X81/IS!X28</f>
        <v>-4.2936630066528529E-2</v>
      </c>
      <c r="Y86" s="1074">
        <f>Y81/IS!Y28</f>
        <v>0.75858056674891361</v>
      </c>
      <c r="Z86" s="1075"/>
      <c r="AA86" s="1072">
        <f>AA81/IS!AA28</f>
        <v>1.4760914308794435</v>
      </c>
      <c r="AB86" s="1073">
        <f>AB81/IS!AB28</f>
        <v>-1.1830131030309397</v>
      </c>
      <c r="AC86" s="1073">
        <f>AC81/IS!AC28</f>
        <v>0.611346734121195</v>
      </c>
      <c r="AD86" s="1073">
        <f>AD81/IS!AD28</f>
        <v>1.7215060831243827</v>
      </c>
      <c r="AE86" s="1074">
        <f>AE81/IS!AE28</f>
        <v>0.67653469947384115</v>
      </c>
      <c r="AF86" s="1075"/>
      <c r="AG86" s="1072">
        <f>AG81/IS!AG28</f>
        <v>1.2898987463744451</v>
      </c>
      <c r="AH86" s="1073">
        <f>AH81/IS!AH28</f>
        <v>0.45136382970752426</v>
      </c>
      <c r="AI86" s="1073">
        <f>AI81/IS!AI28</f>
        <v>1.729447610610729</v>
      </c>
      <c r="AJ86" s="1073">
        <f>AJ81/IS!AJ28</f>
        <v>1.4442416220980634</v>
      </c>
      <c r="AK86" s="1074">
        <f>AK81/IS!AK28</f>
        <v>1.2642473462827828</v>
      </c>
      <c r="AL86" s="1075"/>
      <c r="AM86" s="1072">
        <f>AM81/IS!AM28</f>
        <v>0.8944009462100011</v>
      </c>
      <c r="AN86" s="1073">
        <f>AN81/IS!AN28</f>
        <v>0.16156247521529654</v>
      </c>
      <c r="AO86" s="1073">
        <f>AO81/IS!AO28</f>
        <v>1.0137815761727249</v>
      </c>
      <c r="AP86" s="1073">
        <f>AP81/IS!AP28</f>
        <v>0.28734334065043743</v>
      </c>
      <c r="AQ86" s="1074">
        <f>AQ81/IS!AQ28</f>
        <v>0.55680524518278063</v>
      </c>
      <c r="AR86" s="1075"/>
      <c r="AS86" s="1072">
        <f>AS81/IS!AS28</f>
        <v>0.69808845577211398</v>
      </c>
      <c r="AT86" s="1073">
        <f>AT81/IS!AT28</f>
        <v>2.2812966219029294</v>
      </c>
      <c r="AU86" s="1073">
        <f>AU81/IS!AU28</f>
        <v>-0.17490491976945971</v>
      </c>
      <c r="AV86" s="1073">
        <f>AV81/IS!AV28</f>
        <v>4.511118450164292E-2</v>
      </c>
      <c r="AW86" s="1074">
        <f>AW81/IS!AW28</f>
        <v>0.6395923244297802</v>
      </c>
      <c r="AX86" s="1075"/>
      <c r="AY86" s="1072">
        <f>AY81/IS!AY28</f>
        <v>-0.47502032538892269</v>
      </c>
      <c r="AZ86" s="1073">
        <f>AZ81/IS!AZ28</f>
        <v>0.75080953850547427</v>
      </c>
      <c r="BA86" s="1073">
        <f>BA81/IS!BA28</f>
        <v>0.48797348677388536</v>
      </c>
      <c r="BB86" s="1073">
        <f>BB81/IS!BB28</f>
        <v>1.2498660857765238</v>
      </c>
      <c r="BC86" s="1074">
        <f>BC81/IS!BC28</f>
        <v>0.61202083673993779</v>
      </c>
      <c r="BD86" s="1075"/>
      <c r="BE86" s="1072">
        <f>BE81/IS!BE28</f>
        <v>0.43043291116125565</v>
      </c>
      <c r="BF86" s="1073">
        <f>BF81/IS!BF28</f>
        <v>1.5915667631252572</v>
      </c>
      <c r="BG86" s="1073">
        <f>BG81/IS!BG28</f>
        <v>1.0949544498948847</v>
      </c>
      <c r="BH86" s="1073">
        <f>BH81/IS!BH28</f>
        <v>0.9425397718121572</v>
      </c>
      <c r="BI86" s="1074">
        <f>BI81/IS!BI28</f>
        <v>1.0040017298305033</v>
      </c>
      <c r="BJ86" s="1075"/>
      <c r="BK86" s="1072">
        <f>BK81/IS!BK28</f>
        <v>0.48771707764572003</v>
      </c>
      <c r="BL86" s="1073">
        <f>BL81/IS!BL28</f>
        <v>1.143370056527361</v>
      </c>
      <c r="BM86" s="1073">
        <f>BM81/IS!BM28</f>
        <v>0.9674917540939284</v>
      </c>
      <c r="BN86" s="1073">
        <f>BN81/IS!BN28</f>
        <v>1.052048979741196</v>
      </c>
      <c r="BO86" s="1074">
        <f>BO81/IS!BO28</f>
        <v>0.92689598654037841</v>
      </c>
      <c r="BP86" s="1075"/>
      <c r="BQ86" s="1072">
        <f>BQ81/IS!BQ28</f>
        <v>0.72182798513127511</v>
      </c>
      <c r="BR86" s="1073">
        <f>BR81/IS!BR28</f>
        <v>0.85011225118152611</v>
      </c>
      <c r="BS86" s="1073">
        <f>BS81/IS!BS28</f>
        <v>0.98850312314054578</v>
      </c>
      <c r="BT86" s="1073">
        <f>BT81/IS!BT28</f>
        <v>1.1182315115345125</v>
      </c>
      <c r="BU86" s="1074">
        <f>BU81/IS!BU28</f>
        <v>0.92922635044357238</v>
      </c>
      <c r="BV86" s="1075"/>
      <c r="BW86" s="1072">
        <f>BW81/IS!BW28</f>
        <v>0.71378424604100077</v>
      </c>
      <c r="BX86" s="1073">
        <f>BX81/IS!BX28</f>
        <v>0.91668974882127818</v>
      </c>
      <c r="BY86" s="1073">
        <f>BY81/IS!BY28</f>
        <v>1.0354302888869162</v>
      </c>
      <c r="BZ86" s="1073">
        <f>BZ81/IS!BZ28</f>
        <v>1.1774071782450852</v>
      </c>
      <c r="CA86" s="1074">
        <f>CA81/IS!CA28</f>
        <v>0.9722316955133069</v>
      </c>
      <c r="CB86" s="1075"/>
      <c r="CC86" s="1072">
        <f>CC81/IS!CC28</f>
        <v>0.77983492117235187</v>
      </c>
      <c r="CD86" s="1073">
        <f>CD81/IS!CD28</f>
        <v>0.91989938413199246</v>
      </c>
      <c r="CE86" s="1073">
        <f>CE81/IS!CE28</f>
        <v>1.0131008031908062</v>
      </c>
      <c r="CF86" s="1073">
        <f>CF81/IS!CF28</f>
        <v>1.1368512011231351</v>
      </c>
      <c r="CG86" s="1074">
        <f>CG81/IS!CG28</f>
        <v>0.97989979533217164</v>
      </c>
      <c r="CI86" s="1072">
        <f>CI81/IS!CI28</f>
        <v>0.86195238852426337</v>
      </c>
      <c r="CJ86" s="1073">
        <f>CJ81/IS!CJ28</f>
        <v>0.89450816197988536</v>
      </c>
      <c r="CK86" s="1073">
        <f>CK81/IS!CK28</f>
        <v>1.001230766318711</v>
      </c>
      <c r="CL86" s="1073">
        <f>CL81/IS!CL28</f>
        <v>1.1713059705981685</v>
      </c>
      <c r="CM86" s="1074">
        <f>CM81/IS!CM28</f>
        <v>0.98301530122410208</v>
      </c>
      <c r="CX86" s="954"/>
      <c r="CY86" s="954"/>
      <c r="CZ86" s="954"/>
      <c r="DA86" s="1898"/>
    </row>
    <row r="87" spans="1:105" ht="12.75" hidden="1" customHeight="1" outlineLevel="1">
      <c r="A87" s="1080" t="s">
        <v>446</v>
      </c>
      <c r="B87" s="982" t="s">
        <v>113</v>
      </c>
      <c r="C87" s="1732">
        <v>22.882761832482402</v>
      </c>
      <c r="D87" s="1733">
        <v>24.577513520355399</v>
      </c>
      <c r="E87" s="1733">
        <v>27.237635298467783</v>
      </c>
      <c r="F87" s="1733">
        <v>25.764558935674344</v>
      </c>
      <c r="G87" s="1734">
        <v>25.764558935674344</v>
      </c>
      <c r="H87" s="1081"/>
      <c r="I87" s="1732">
        <v>24.21281235278714</v>
      </c>
      <c r="J87" s="1733">
        <v>21.853036119848078</v>
      </c>
      <c r="K87" s="1733">
        <v>25.836061130624088</v>
      </c>
      <c r="L87" s="1733">
        <v>15.124071108138493</v>
      </c>
      <c r="M87" s="1734">
        <v>15.124071108138493</v>
      </c>
      <c r="N87" s="1081"/>
      <c r="O87" s="1732">
        <v>12.928751139230561</v>
      </c>
      <c r="P87" s="1733">
        <v>12.893005404902995</v>
      </c>
      <c r="Q87" s="1733">
        <v>16.182395982545575</v>
      </c>
      <c r="R87" s="1733">
        <v>18.10598029434755</v>
      </c>
      <c r="S87" s="1734">
        <v>18.10598029434755</v>
      </c>
      <c r="T87" s="1082"/>
      <c r="U87" s="1732">
        <v>20.043868477553747</v>
      </c>
      <c r="V87" s="1733">
        <v>26.622660359133516</v>
      </c>
      <c r="W87" s="1733">
        <v>20.12967525899402</v>
      </c>
      <c r="X87" s="1733">
        <v>24.970813134610111</v>
      </c>
      <c r="Y87" s="1734">
        <v>34.919998999999997</v>
      </c>
      <c r="Z87" s="1082"/>
      <c r="AA87" s="1732">
        <v>40.979996</v>
      </c>
      <c r="AB87" s="1733">
        <v>49.909989000000003</v>
      </c>
      <c r="AC87" s="1733">
        <v>42.159989000000003</v>
      </c>
      <c r="AD87" s="1733">
        <v>40.89</v>
      </c>
      <c r="AE87" s="1734">
        <v>40.89</v>
      </c>
      <c r="AF87" s="1081"/>
      <c r="AG87" s="1732">
        <v>43.159989000000003</v>
      </c>
      <c r="AH87" s="1733">
        <v>42.559998</v>
      </c>
      <c r="AI87" s="1733">
        <v>37.939988</v>
      </c>
      <c r="AJ87" s="1733">
        <v>35.939988</v>
      </c>
      <c r="AK87" s="1734">
        <v>35.939988</v>
      </c>
      <c r="AL87" s="1083"/>
      <c r="AM87" s="1732">
        <v>44.64</v>
      </c>
      <c r="AN87" s="1733">
        <v>41.299987999999999</v>
      </c>
      <c r="AO87" s="1733">
        <v>45.599991000000003</v>
      </c>
      <c r="AP87" s="1733">
        <v>51.869996</v>
      </c>
      <c r="AQ87" s="1734">
        <v>51.869996</v>
      </c>
      <c r="AR87" s="1084"/>
      <c r="AS87" s="1732">
        <v>57.649994</v>
      </c>
      <c r="AT87" s="1733">
        <v>40.130000000000003</v>
      </c>
      <c r="AU87" s="1902">
        <v>40.700361238151423</v>
      </c>
      <c r="AV87" s="1902">
        <v>40.867543875328863</v>
      </c>
      <c r="AW87" s="1085">
        <f>AVERAGE(AS87:AV87)</f>
        <v>44.83697477837007</v>
      </c>
      <c r="AX87" s="1084"/>
      <c r="AY87" s="1903">
        <v>40.534917540983592</v>
      </c>
      <c r="AZ87" s="1902">
        <v>41.585968000000001</v>
      </c>
      <c r="BA87" s="1902">
        <v>40.621562953125022</v>
      </c>
      <c r="BB87" s="1902">
        <v>36.510312312499991</v>
      </c>
      <c r="BC87" s="1085">
        <f>AVERAGE(AY87:BB87)</f>
        <v>39.813190201652148</v>
      </c>
      <c r="BD87" s="1084"/>
      <c r="BE87" s="1903">
        <v>39.433770573770488</v>
      </c>
      <c r="BF87" s="1902">
        <v>38.978571365079382</v>
      </c>
      <c r="BG87" s="1902">
        <v>44.917460349206358</v>
      </c>
      <c r="BH87" s="1902">
        <v>46.438000476923079</v>
      </c>
      <c r="BI87" s="1085">
        <f>AVERAGE(BE87:BH87)</f>
        <v>42.441950691244827</v>
      </c>
      <c r="BJ87" s="1084"/>
      <c r="BK87" s="2159">
        <v>46.156452338709684</v>
      </c>
      <c r="BL87" s="1902">
        <v>52.22459108196724</v>
      </c>
      <c r="BM87" s="2359">
        <v>59.090782390625009</v>
      </c>
      <c r="BN87" s="2359">
        <v>64.371846815384643</v>
      </c>
      <c r="BO87" s="1085">
        <f>AVERAGE(BK87:BN87)</f>
        <v>55.460918156671639</v>
      </c>
      <c r="BP87" s="1084"/>
      <c r="BQ87" s="2159">
        <v>69.197582096774212</v>
      </c>
      <c r="BR87" s="9">
        <v>70.541852171316307</v>
      </c>
      <c r="BS87" s="9">
        <v>71.912236771518877</v>
      </c>
      <c r="BT87" s="9">
        <v>73.309243212439654</v>
      </c>
      <c r="BU87" s="1085">
        <f>AVERAGE(BQ87:BT87)</f>
        <v>71.240228563012266</v>
      </c>
      <c r="BV87" s="1084"/>
      <c r="BW87" s="1086">
        <v>74.733388664516141</v>
      </c>
      <c r="BX87" s="9">
        <v>76.185200345021599</v>
      </c>
      <c r="BY87" s="9">
        <v>77.665215713240372</v>
      </c>
      <c r="BZ87" s="9">
        <v>79.173982669434821</v>
      </c>
      <c r="CA87" s="1085">
        <f>AVERAGE(BW87:BZ87)</f>
        <v>76.939446848053237</v>
      </c>
      <c r="CB87" s="350"/>
      <c r="CC87" s="1086">
        <v>80.712059757677423</v>
      </c>
      <c r="CD87" s="9">
        <v>82.280016372623322</v>
      </c>
      <c r="CE87" s="9">
        <v>83.878432970299599</v>
      </c>
      <c r="CF87" s="9">
        <v>85.507901282989593</v>
      </c>
      <c r="CG87" s="1085">
        <f>AVERAGE(CC87:CF87)</f>
        <v>83.094602595897484</v>
      </c>
      <c r="CH87" s="1137"/>
      <c r="CI87" s="1086">
        <v>87.169024538291609</v>
      </c>
      <c r="CJ87" s="9">
        <v>88.862417682433176</v>
      </c>
      <c r="CK87" s="9">
        <v>90.588707607923553</v>
      </c>
      <c r="CL87" s="9">
        <v>92.348533385628755</v>
      </c>
      <c r="CM87" s="1085">
        <f>AVERAGE(CI87:CL87)</f>
        <v>89.742170803569266</v>
      </c>
      <c r="CN87" s="1137"/>
      <c r="CO87" s="1137"/>
      <c r="CW87" s="1139"/>
      <c r="CX87" s="1139"/>
    </row>
    <row r="88" spans="1:105" ht="12.75" hidden="1" customHeight="1" outlineLevel="1">
      <c r="A88" s="1058"/>
      <c r="B88" s="982"/>
      <c r="C88" s="1058"/>
      <c r="D88" s="1058"/>
      <c r="E88" s="1058"/>
      <c r="F88" s="1058"/>
      <c r="G88" s="1088"/>
      <c r="H88" s="1060"/>
      <c r="I88" s="1058"/>
      <c r="J88" s="1058"/>
      <c r="K88" s="1058"/>
      <c r="L88" s="1058"/>
      <c r="M88" s="1088"/>
      <c r="N88" s="1060"/>
      <c r="O88" s="1058"/>
      <c r="P88" s="1058"/>
      <c r="Q88" s="1058"/>
      <c r="R88" s="1058"/>
      <c r="S88" s="1088"/>
      <c r="T88" s="1060"/>
      <c r="U88" s="1058"/>
      <c r="V88" s="1058"/>
      <c r="W88" s="1058"/>
      <c r="X88" s="1058"/>
      <c r="Y88" s="1088"/>
      <c r="Z88" s="1060"/>
      <c r="AA88" s="1058"/>
      <c r="AB88" s="1058"/>
      <c r="AC88" s="1058"/>
      <c r="AD88" s="1061"/>
      <c r="AE88" s="1088"/>
      <c r="AF88" s="1060"/>
      <c r="AG88" s="1058"/>
      <c r="AH88" s="1058"/>
      <c r="AI88" s="1058"/>
      <c r="AJ88" s="1058"/>
      <c r="AK88" s="1905"/>
      <c r="AL88" s="1060"/>
      <c r="AM88" s="1058"/>
      <c r="AN88" s="1058"/>
      <c r="AO88" s="1058"/>
      <c r="AP88" s="1058"/>
      <c r="AQ88" s="1905"/>
      <c r="AR88" s="1060"/>
      <c r="AS88" s="1058"/>
      <c r="AT88" s="1058"/>
      <c r="AU88" s="1058"/>
      <c r="AV88" s="1058"/>
      <c r="AW88" s="1905"/>
      <c r="AX88" s="1060"/>
      <c r="AY88" s="1058"/>
      <c r="AZ88" s="1058"/>
      <c r="BA88" s="1058"/>
      <c r="BB88" s="1058"/>
      <c r="BC88" s="1905"/>
      <c r="BD88" s="1060"/>
      <c r="BE88" s="2027"/>
      <c r="BF88" s="2027"/>
      <c r="BG88" s="2027"/>
      <c r="BH88" s="1058"/>
      <c r="BI88" s="1905"/>
      <c r="BJ88" s="1060"/>
      <c r="BK88" s="1058"/>
      <c r="BL88" s="1058"/>
      <c r="BM88" s="1058"/>
      <c r="BN88" s="1058"/>
      <c r="BO88" s="1905"/>
      <c r="BP88" s="1060"/>
      <c r="BQ88" s="1058"/>
      <c r="BR88" s="1058"/>
      <c r="BS88" s="1058"/>
      <c r="BT88" s="1058"/>
      <c r="BU88" s="1905"/>
      <c r="BV88" s="1060"/>
      <c r="BW88" s="1058"/>
      <c r="BX88" s="1058"/>
      <c r="BY88" s="1058"/>
      <c r="BZ88" s="1058"/>
      <c r="CA88" s="1905"/>
      <c r="CB88" s="2135"/>
      <c r="CC88" s="1058"/>
      <c r="CD88" s="1058"/>
      <c r="CE88" s="1058"/>
      <c r="CF88" s="1058"/>
      <c r="CG88" s="1905"/>
      <c r="CI88" s="1058"/>
      <c r="CJ88" s="1058"/>
      <c r="CK88" s="1058"/>
      <c r="CL88" s="1058"/>
      <c r="CM88" s="1905"/>
      <c r="CW88" s="1547"/>
      <c r="CX88" s="1139"/>
    </row>
    <row r="89" spans="1:105" ht="12.75" customHeight="1" collapsed="1">
      <c r="A89" s="1089"/>
      <c r="B89" s="982"/>
      <c r="C89" s="1089"/>
      <c r="D89" s="1089"/>
      <c r="E89" s="1089"/>
      <c r="F89" s="1089"/>
      <c r="G89" s="1090"/>
      <c r="H89" s="1060"/>
      <c r="I89" s="1089"/>
      <c r="J89" s="1089"/>
      <c r="K89" s="1089"/>
      <c r="L89" s="1089"/>
      <c r="M89" s="1090"/>
      <c r="N89" s="1060"/>
      <c r="O89" s="1089"/>
      <c r="P89" s="1089"/>
      <c r="Q89" s="1089"/>
      <c r="R89" s="1089"/>
      <c r="S89" s="1090"/>
      <c r="T89" s="1060"/>
      <c r="U89" s="1089"/>
      <c r="V89" s="1089"/>
      <c r="W89" s="1089"/>
      <c r="X89" s="1089"/>
      <c r="Y89" s="1090"/>
      <c r="Z89" s="1060"/>
      <c r="AA89" s="1089"/>
      <c r="AB89" s="1089"/>
      <c r="AC89" s="1089"/>
      <c r="AD89" s="1091"/>
      <c r="AE89" s="1090"/>
      <c r="AF89" s="1060"/>
      <c r="AG89" s="1089"/>
      <c r="AH89" s="1089"/>
      <c r="AI89" s="1089"/>
      <c r="AJ89" s="1089"/>
      <c r="AK89" s="2092"/>
      <c r="AL89" s="1060"/>
      <c r="AM89" s="1089"/>
      <c r="AN89" s="1089"/>
      <c r="AO89" s="1089"/>
      <c r="AP89" s="1089"/>
      <c r="AQ89" s="2092"/>
      <c r="AR89" s="1060"/>
      <c r="AS89" s="1089"/>
      <c r="AT89" s="1089"/>
      <c r="AU89" s="1089"/>
      <c r="AV89" s="1089"/>
      <c r="AW89" s="2092"/>
      <c r="AX89" s="1060"/>
      <c r="AY89" s="1089"/>
      <c r="AZ89" s="1089"/>
      <c r="BA89" s="1089"/>
      <c r="BB89" s="1089"/>
      <c r="BC89" s="2092"/>
      <c r="BD89" s="1060"/>
      <c r="BE89" s="1089"/>
      <c r="BF89" s="1089"/>
      <c r="BG89" s="1089"/>
      <c r="BH89" s="1089"/>
      <c r="BI89" s="2092"/>
      <c r="BJ89" s="1060"/>
      <c r="BK89" s="1089"/>
      <c r="BL89" s="1089"/>
      <c r="BM89" s="1089"/>
      <c r="BN89" s="1089"/>
      <c r="BO89" s="2092"/>
      <c r="BP89" s="1060"/>
      <c r="BQ89" s="1089"/>
      <c r="BR89" s="1089"/>
      <c r="BS89" s="1089"/>
      <c r="BT89" s="1089"/>
      <c r="BU89" s="2092"/>
      <c r="BV89" s="1060"/>
      <c r="BW89" s="1089"/>
      <c r="BX89" s="1089"/>
      <c r="BY89" s="1089"/>
      <c r="BZ89" s="1089"/>
      <c r="CA89" s="2092"/>
      <c r="CB89" s="2135"/>
      <c r="CC89" s="1089"/>
      <c r="CD89" s="1089"/>
      <c r="CE89" s="1089"/>
      <c r="CF89" s="1089"/>
      <c r="CG89" s="2092"/>
      <c r="CI89" s="1089"/>
      <c r="CJ89" s="1089"/>
      <c r="CK89" s="1089"/>
      <c r="CL89" s="1089"/>
      <c r="CM89" s="2092"/>
    </row>
    <row r="90" spans="1:105" ht="12.75" customHeight="1">
      <c r="A90" s="1092" t="s">
        <v>447</v>
      </c>
      <c r="B90" s="982" t="s">
        <v>113</v>
      </c>
      <c r="C90" s="1057"/>
      <c r="D90" s="1058"/>
      <c r="E90" s="1058"/>
      <c r="F90" s="1058"/>
      <c r="G90" s="1059"/>
      <c r="H90" s="1060"/>
      <c r="I90" s="1057"/>
      <c r="J90" s="1058"/>
      <c r="K90" s="1058"/>
      <c r="L90" s="1058"/>
      <c r="M90" s="1059"/>
      <c r="N90" s="1060"/>
      <c r="O90" s="1057"/>
      <c r="P90" s="1058"/>
      <c r="Q90" s="1058"/>
      <c r="R90" s="1058"/>
      <c r="S90" s="1059"/>
      <c r="T90" s="1060"/>
      <c r="U90" s="1057"/>
      <c r="V90" s="1058"/>
      <c r="W90" s="1058"/>
      <c r="X90" s="1058"/>
      <c r="Y90" s="1059"/>
      <c r="Z90" s="1060"/>
      <c r="AA90" s="1057"/>
      <c r="AB90" s="1058"/>
      <c r="AC90" s="1058"/>
      <c r="AD90" s="1061"/>
      <c r="AE90" s="1059"/>
      <c r="AF90" s="1060"/>
      <c r="AG90" s="1057"/>
      <c r="AH90" s="1058"/>
      <c r="AI90" s="1058"/>
      <c r="AJ90" s="1058"/>
      <c r="AK90" s="1059"/>
      <c r="AL90" s="1060"/>
      <c r="AM90" s="1057"/>
      <c r="AN90" s="1058"/>
      <c r="AO90" s="1058"/>
      <c r="AP90" s="1058"/>
      <c r="AQ90" s="1059"/>
      <c r="AR90" s="1060"/>
      <c r="AS90" s="1057"/>
      <c r="AT90" s="1058"/>
      <c r="AU90" s="1058"/>
      <c r="AV90" s="1058"/>
      <c r="AW90" s="1059"/>
      <c r="AX90" s="1060"/>
      <c r="AY90" s="1057"/>
      <c r="AZ90" s="1058"/>
      <c r="BA90" s="1058"/>
      <c r="BB90" s="1058"/>
      <c r="BC90" s="1059"/>
      <c r="BD90" s="1060"/>
      <c r="BE90" s="1057"/>
      <c r="BF90" s="1058"/>
      <c r="BG90" s="1058"/>
      <c r="BH90" s="1058"/>
      <c r="BI90" s="1059"/>
      <c r="BJ90" s="1060"/>
      <c r="BK90" s="1057"/>
      <c r="BL90" s="1058"/>
      <c r="BM90" s="1058"/>
      <c r="BN90" s="1058"/>
      <c r="BO90" s="1059"/>
      <c r="BP90" s="1060"/>
      <c r="BQ90" s="1057"/>
      <c r="BR90" s="1058"/>
      <c r="BS90" s="1058"/>
      <c r="BT90" s="1058"/>
      <c r="BU90" s="1059"/>
      <c r="BV90" s="1060"/>
      <c r="BW90" s="1057"/>
      <c r="BX90" s="1058"/>
      <c r="BY90" s="1058"/>
      <c r="BZ90" s="1058"/>
      <c r="CA90" s="1059"/>
      <c r="CB90" s="2134"/>
      <c r="CC90" s="1057"/>
      <c r="CD90" s="1058"/>
      <c r="CE90" s="1058"/>
      <c r="CF90" s="1058"/>
      <c r="CG90" s="1059"/>
      <c r="CI90" s="1057"/>
      <c r="CJ90" s="1058"/>
      <c r="CK90" s="1058"/>
      <c r="CL90" s="1058"/>
      <c r="CM90" s="1059"/>
    </row>
    <row r="91" spans="1:105" ht="12.75" hidden="1" customHeight="1" outlineLevel="1">
      <c r="A91" s="770" t="s">
        <v>448</v>
      </c>
      <c r="B91" s="982" t="s">
        <v>113</v>
      </c>
      <c r="C91" s="1093"/>
      <c r="D91" s="1094"/>
      <c r="E91" s="1094"/>
      <c r="F91" s="1094"/>
      <c r="G91" s="972"/>
      <c r="H91" s="1094"/>
      <c r="I91" s="1093"/>
      <c r="J91" s="1094"/>
      <c r="K91" s="1094"/>
      <c r="L91" s="1094"/>
      <c r="M91" s="972"/>
      <c r="N91" s="1094"/>
      <c r="O91" s="1093"/>
      <c r="P91" s="1094"/>
      <c r="Q91" s="1094"/>
      <c r="R91" s="1094"/>
      <c r="S91" s="1730">
        <v>37.761000000000003</v>
      </c>
      <c r="T91" s="1094"/>
      <c r="U91" s="1093"/>
      <c r="V91" s="1094"/>
      <c r="W91" s="1094"/>
      <c r="X91" s="1094"/>
      <c r="Y91" s="972">
        <f>S95</f>
        <v>33.882999999999996</v>
      </c>
      <c r="Z91" s="1094"/>
      <c r="AA91" s="1093"/>
      <c r="AB91" s="1094"/>
      <c r="AC91" s="1094"/>
      <c r="AD91" s="1095"/>
      <c r="AE91" s="894">
        <f>Y95</f>
        <v>22.638999999999996</v>
      </c>
      <c r="AF91" s="1094"/>
      <c r="AG91" s="1093"/>
      <c r="AH91" s="1094"/>
      <c r="AI91" s="1094"/>
      <c r="AJ91" s="1094"/>
      <c r="AK91" s="894">
        <f>AE95</f>
        <v>12.247949999999999</v>
      </c>
      <c r="AL91" s="1094"/>
      <c r="AM91" s="1093"/>
      <c r="AN91" s="1094"/>
      <c r="AO91" s="1094"/>
      <c r="AP91" s="1094"/>
      <c r="AQ91" s="894">
        <f>AK95</f>
        <v>9.9242699999999999</v>
      </c>
      <c r="AR91" s="1094"/>
      <c r="AS91" s="1093"/>
      <c r="AT91" s="1094"/>
      <c r="AU91" s="1094"/>
      <c r="AV91" s="1094"/>
      <c r="AW91" s="894">
        <f>AQ95</f>
        <v>10.166364</v>
      </c>
      <c r="AX91" s="1094"/>
      <c r="AY91" s="1093"/>
      <c r="AZ91" s="1094"/>
      <c r="BA91" s="1094"/>
      <c r="BB91" s="1094"/>
      <c r="BC91" s="2098">
        <v>6.5839999999999996</v>
      </c>
      <c r="BD91" s="1094"/>
      <c r="BE91" s="1093"/>
      <c r="BF91" s="1094"/>
      <c r="BG91" s="1094"/>
      <c r="BH91" s="1094"/>
      <c r="BI91" s="894">
        <f>BC95</f>
        <v>5.7119999999999997</v>
      </c>
      <c r="BJ91" s="1094"/>
      <c r="BK91" s="1093"/>
      <c r="BL91" s="1094"/>
      <c r="BM91" s="1094"/>
      <c r="BN91" s="1094"/>
      <c r="BO91" s="894">
        <f>BI95</f>
        <v>4.1059999999999999</v>
      </c>
      <c r="BP91" s="1094"/>
      <c r="BQ91" s="1093"/>
      <c r="BR91" s="1094"/>
      <c r="BS91" s="1094"/>
      <c r="BT91" s="1094"/>
      <c r="BU91" s="894">
        <f>BO95</f>
        <v>2.8741999999999996</v>
      </c>
      <c r="BV91" s="1094"/>
      <c r="BW91" s="1093">
        <f>BQ91</f>
        <v>0</v>
      </c>
      <c r="BX91" s="1094">
        <f>BR91</f>
        <v>0</v>
      </c>
      <c r="BY91" s="1094">
        <f>BS91</f>
        <v>0</v>
      </c>
      <c r="BZ91" s="1094">
        <f>BT91</f>
        <v>0</v>
      </c>
      <c r="CA91" s="894">
        <f>BU95</f>
        <v>2.0119399999999996</v>
      </c>
      <c r="CB91" s="984"/>
      <c r="CC91" s="1093">
        <f>BW91</f>
        <v>0</v>
      </c>
      <c r="CD91" s="1094">
        <f>BX91</f>
        <v>0</v>
      </c>
      <c r="CE91" s="1094">
        <f>BY91</f>
        <v>0</v>
      </c>
      <c r="CF91" s="1094">
        <f>BZ91</f>
        <v>0</v>
      </c>
      <c r="CG91" s="894">
        <f>CA95</f>
        <v>1.4083579999999998</v>
      </c>
      <c r="CH91" s="985"/>
      <c r="CI91" s="1093">
        <f>CC91</f>
        <v>0</v>
      </c>
      <c r="CJ91" s="1094">
        <f>CD91</f>
        <v>0</v>
      </c>
      <c r="CK91" s="1094">
        <f>CE91</f>
        <v>0</v>
      </c>
      <c r="CL91" s="1094">
        <f>CF91</f>
        <v>0</v>
      </c>
      <c r="CM91" s="894">
        <f>CG95</f>
        <v>0.98585059999999991</v>
      </c>
      <c r="CN91" s="985"/>
      <c r="CO91" s="985"/>
      <c r="CP91" s="985"/>
    </row>
    <row r="92" spans="1:105" ht="12.75" hidden="1" customHeight="1" outlineLevel="1">
      <c r="A92" s="803" t="s">
        <v>449</v>
      </c>
      <c r="B92" s="982" t="s">
        <v>113</v>
      </c>
      <c r="C92" s="1096"/>
      <c r="D92" s="1097"/>
      <c r="E92" s="1097"/>
      <c r="F92" s="1097"/>
      <c r="G92" s="1098"/>
      <c r="H92" s="1094"/>
      <c r="I92" s="1096"/>
      <c r="J92" s="1097"/>
      <c r="K92" s="1097"/>
      <c r="L92" s="1097"/>
      <c r="M92" s="1098"/>
      <c r="N92" s="1094"/>
      <c r="O92" s="1096"/>
      <c r="P92" s="1097"/>
      <c r="Q92" s="1097"/>
      <c r="R92" s="1097"/>
      <c r="S92" s="1730">
        <v>2.0830000000000002</v>
      </c>
      <c r="T92" s="1097"/>
      <c r="U92" s="1096"/>
      <c r="V92" s="1097"/>
      <c r="W92" s="1097"/>
      <c r="X92" s="1097"/>
      <c r="Y92" s="1730">
        <v>1.7170000000000001</v>
      </c>
      <c r="Z92" s="1094"/>
      <c r="AA92" s="1093"/>
      <c r="AB92" s="1094"/>
      <c r="AC92" s="1094"/>
      <c r="AD92" s="1095"/>
      <c r="AE92" s="894">
        <f>Y92*(1+AE101)</f>
        <v>2.0604</v>
      </c>
      <c r="AF92" s="1097"/>
      <c r="AG92" s="1093"/>
      <c r="AH92" s="1094"/>
      <c r="AI92" s="1094"/>
      <c r="AJ92" s="1097"/>
      <c r="AK92" s="894">
        <f>AE92*(1+AK101)</f>
        <v>2.5754999999999999</v>
      </c>
      <c r="AL92" s="1097"/>
      <c r="AM92" s="1096"/>
      <c r="AN92" s="1097"/>
      <c r="AO92" s="1097"/>
      <c r="AP92" s="1097"/>
      <c r="AQ92" s="894">
        <f>AK92*(1+AQ101)</f>
        <v>3.2193749999999999</v>
      </c>
      <c r="AR92" s="1097"/>
      <c r="AS92" s="1096"/>
      <c r="AT92" s="1097"/>
      <c r="AU92" s="1097"/>
      <c r="AV92" s="1097"/>
      <c r="AW92" s="894">
        <f>AQ92*(1+AW101)</f>
        <v>3.2193749999999999</v>
      </c>
      <c r="AX92" s="1097"/>
      <c r="AY92" s="1096"/>
      <c r="AZ92" s="1097"/>
      <c r="BA92" s="1097"/>
      <c r="BB92" s="1097"/>
      <c r="BC92" s="2096">
        <v>1.347</v>
      </c>
      <c r="BD92" s="1097"/>
      <c r="BE92" s="1096"/>
      <c r="BF92" s="1097"/>
      <c r="BG92" s="1097"/>
      <c r="BH92" s="1097"/>
      <c r="BI92" s="2096">
        <v>0</v>
      </c>
      <c r="BJ92" s="1097"/>
      <c r="BK92" s="1096"/>
      <c r="BL92" s="1097"/>
      <c r="BM92" s="1097"/>
      <c r="BN92" s="1097"/>
      <c r="BO92" s="894">
        <f>BI92*(1+BO101)</f>
        <v>0</v>
      </c>
      <c r="BP92" s="1097"/>
      <c r="BQ92" s="1096"/>
      <c r="BR92" s="1097"/>
      <c r="BS92" s="1097"/>
      <c r="BT92" s="1097"/>
      <c r="BU92" s="894">
        <f>BO92*(1+BU101)</f>
        <v>0</v>
      </c>
      <c r="BV92" s="1097"/>
      <c r="BW92" s="1096"/>
      <c r="BX92" s="1097"/>
      <c r="BY92" s="1097"/>
      <c r="BZ92" s="1097"/>
      <c r="CA92" s="894">
        <f>BU92*(1+CA101)</f>
        <v>0</v>
      </c>
      <c r="CB92" s="984"/>
      <c r="CC92" s="1096"/>
      <c r="CD92" s="1097"/>
      <c r="CE92" s="1097"/>
      <c r="CF92" s="1097"/>
      <c r="CG92" s="894">
        <f>CA92*(1+CG101)</f>
        <v>0</v>
      </c>
      <c r="CH92" s="985"/>
      <c r="CI92" s="1096"/>
      <c r="CJ92" s="1097"/>
      <c r="CK92" s="1097"/>
      <c r="CL92" s="1097"/>
      <c r="CM92" s="894">
        <f>CG92*(1+CM101)</f>
        <v>0</v>
      </c>
      <c r="CN92" s="985"/>
      <c r="CO92" s="985"/>
      <c r="CP92" s="985"/>
    </row>
    <row r="93" spans="1:105" ht="12.75" hidden="1" customHeight="1" outlineLevel="1">
      <c r="A93" s="803" t="s">
        <v>450</v>
      </c>
      <c r="B93" s="982" t="s">
        <v>113</v>
      </c>
      <c r="C93" s="1096"/>
      <c r="D93" s="1097"/>
      <c r="E93" s="1097"/>
      <c r="F93" s="1097"/>
      <c r="G93" s="1098"/>
      <c r="H93" s="1094"/>
      <c r="I93" s="1096"/>
      <c r="J93" s="1097"/>
      <c r="K93" s="1097"/>
      <c r="L93" s="1097"/>
      <c r="M93" s="1098"/>
      <c r="N93" s="1094"/>
      <c r="O93" s="1096"/>
      <c r="P93" s="1097"/>
      <c r="Q93" s="1097"/>
      <c r="R93" s="1097"/>
      <c r="S93" s="1730">
        <v>-1.45</v>
      </c>
      <c r="T93" s="1097"/>
      <c r="U93" s="1096"/>
      <c r="V93" s="1097"/>
      <c r="W93" s="1097"/>
      <c r="X93" s="1097"/>
      <c r="Y93" s="1730">
        <v>-10.346</v>
      </c>
      <c r="Z93" s="1094"/>
      <c r="AA93" s="1093"/>
      <c r="AB93" s="1094"/>
      <c r="AC93" s="1094"/>
      <c r="AD93" s="1095"/>
      <c r="AE93" s="894">
        <f>-AE$91*AE99</f>
        <v>-10.187549999999998</v>
      </c>
      <c r="AF93" s="1094"/>
      <c r="AG93" s="1093"/>
      <c r="AH93" s="1094"/>
      <c r="AI93" s="1094"/>
      <c r="AJ93" s="1094"/>
      <c r="AK93" s="894">
        <f>-AK$91*AK99</f>
        <v>-3.6743849999999996</v>
      </c>
      <c r="AL93" s="1094"/>
      <c r="AM93" s="1093"/>
      <c r="AN93" s="1094"/>
      <c r="AO93" s="1094"/>
      <c r="AP93" s="1094"/>
      <c r="AQ93" s="894">
        <f>-AQ$91*AQ99</f>
        <v>-1.9848540000000001</v>
      </c>
      <c r="AR93" s="1094"/>
      <c r="AS93" s="1093"/>
      <c r="AT93" s="1094"/>
      <c r="AU93" s="1094"/>
      <c r="AV93" s="1094"/>
      <c r="AW93" s="894">
        <f>-AW$91*AW99</f>
        <v>0</v>
      </c>
      <c r="AX93" s="1094"/>
      <c r="AY93" s="1099">
        <f>+$BC$93/4</f>
        <v>-0.48125000000000001</v>
      </c>
      <c r="AZ93" s="963">
        <f>+$BC$93/4</f>
        <v>-0.48125000000000001</v>
      </c>
      <c r="BA93" s="963">
        <f>+$BC$93/4</f>
        <v>-0.48125000000000001</v>
      </c>
      <c r="BB93" s="963">
        <f>+$BC$93/4</f>
        <v>-0.48125000000000001</v>
      </c>
      <c r="BC93" s="2096">
        <v>-1.925</v>
      </c>
      <c r="BD93" s="1094"/>
      <c r="BE93" s="1099">
        <f>+$BC$93/4</f>
        <v>-0.48125000000000001</v>
      </c>
      <c r="BF93" s="963">
        <f>+$BC$93/4</f>
        <v>-0.48125000000000001</v>
      </c>
      <c r="BG93" s="963">
        <f>+$BC$93/4</f>
        <v>-0.48125000000000001</v>
      </c>
      <c r="BH93" s="963">
        <f>+$BC$93/4</f>
        <v>-0.48125000000000001</v>
      </c>
      <c r="BI93" s="2096">
        <v>-1.5469999999999999</v>
      </c>
      <c r="BJ93" s="1094"/>
      <c r="BK93" s="1099">
        <f>+$BC$93/4</f>
        <v>-0.48125000000000001</v>
      </c>
      <c r="BL93" s="963">
        <f>+$BC$93/4</f>
        <v>-0.48125000000000001</v>
      </c>
      <c r="BM93" s="963">
        <f>+$BC$93/4</f>
        <v>-0.48125000000000001</v>
      </c>
      <c r="BN93" s="963">
        <f>+$BC$93/4</f>
        <v>-0.48125000000000001</v>
      </c>
      <c r="BO93" s="894">
        <f>-BO$91*BO99</f>
        <v>-0.82120000000000004</v>
      </c>
      <c r="BP93" s="1094"/>
      <c r="BQ93" s="2433">
        <f>+$BC$93/4</f>
        <v>-0.48125000000000001</v>
      </c>
      <c r="BR93" s="1095">
        <f>+$BC$93/4</f>
        <v>-0.48125000000000001</v>
      </c>
      <c r="BS93" s="1095">
        <f>+$BC$93/4</f>
        <v>-0.48125000000000001</v>
      </c>
      <c r="BT93" s="1095">
        <f>+$BC$93/4</f>
        <v>-0.48125000000000001</v>
      </c>
      <c r="BU93" s="894">
        <f>-BU$91*BU99</f>
        <v>-0.57483999999999991</v>
      </c>
      <c r="BV93" s="1094"/>
      <c r="BW93" s="1093">
        <f>+$BC$93/4</f>
        <v>-0.48125000000000001</v>
      </c>
      <c r="BX93" s="1094">
        <f>+$BC$93/4</f>
        <v>-0.48125000000000001</v>
      </c>
      <c r="BY93" s="1094">
        <f>+$BC$93/4</f>
        <v>-0.48125000000000001</v>
      </c>
      <c r="BZ93" s="1094">
        <f>+$BC$93/4</f>
        <v>-0.48125000000000001</v>
      </c>
      <c r="CA93" s="894">
        <f>-CA$91*CA99</f>
        <v>-0.40238799999999997</v>
      </c>
      <c r="CB93" s="984"/>
      <c r="CC93" s="1093">
        <f>+$BC$93/4</f>
        <v>-0.48125000000000001</v>
      </c>
      <c r="CD93" s="1094">
        <f>+$BC$93/4</f>
        <v>-0.48125000000000001</v>
      </c>
      <c r="CE93" s="1094">
        <f>+$BC$93/4</f>
        <v>-0.48125000000000001</v>
      </c>
      <c r="CF93" s="1094">
        <f>+$BC$93/4</f>
        <v>-0.48125000000000001</v>
      </c>
      <c r="CG93" s="894">
        <f>-CG$91*CG99</f>
        <v>-0.28167159999999997</v>
      </c>
      <c r="CH93" s="985"/>
      <c r="CI93" s="1093">
        <f>+$BC$93/4</f>
        <v>-0.48125000000000001</v>
      </c>
      <c r="CJ93" s="1094">
        <f>+$BC$93/4</f>
        <v>-0.48125000000000001</v>
      </c>
      <c r="CK93" s="1094">
        <f>+$BC$93/4</f>
        <v>-0.48125000000000001</v>
      </c>
      <c r="CL93" s="1094">
        <f>+$BC$93/4</f>
        <v>-0.48125000000000001</v>
      </c>
      <c r="CM93" s="894">
        <f>-CM$91*CM99</f>
        <v>-0.19717012</v>
      </c>
      <c r="CN93" s="985"/>
      <c r="CO93" s="985"/>
      <c r="CP93" s="985"/>
    </row>
    <row r="94" spans="1:105" ht="12.75" hidden="1" customHeight="1" outlineLevel="1">
      <c r="A94" s="803" t="s">
        <v>451</v>
      </c>
      <c r="B94" s="982" t="s">
        <v>113</v>
      </c>
      <c r="C94" s="1096"/>
      <c r="D94" s="1097"/>
      <c r="E94" s="1097"/>
      <c r="F94" s="1097"/>
      <c r="G94" s="1098"/>
      <c r="H94" s="1094"/>
      <c r="I94" s="1096"/>
      <c r="J94" s="1097"/>
      <c r="K94" s="1097"/>
      <c r="L94" s="1097"/>
      <c r="M94" s="1098"/>
      <c r="N94" s="1094"/>
      <c r="O94" s="1096"/>
      <c r="P94" s="1097"/>
      <c r="Q94" s="1097"/>
      <c r="R94" s="1097"/>
      <c r="S94" s="1730">
        <v>-4.5110000000000001</v>
      </c>
      <c r="T94" s="1097"/>
      <c r="U94" s="1096"/>
      <c r="V94" s="1097"/>
      <c r="W94" s="1097"/>
      <c r="X94" s="1097"/>
      <c r="Y94" s="1730">
        <v>-2.6150000000000002</v>
      </c>
      <c r="Z94" s="1094"/>
      <c r="AA94" s="1093"/>
      <c r="AB94" s="1094"/>
      <c r="AC94" s="1094"/>
      <c r="AD94" s="1095"/>
      <c r="AE94" s="894">
        <f>-AE$91*AE100</f>
        <v>-2.2638999999999996</v>
      </c>
      <c r="AF94" s="1094"/>
      <c r="AG94" s="1093"/>
      <c r="AH94" s="1094"/>
      <c r="AI94" s="1094"/>
      <c r="AJ94" s="1094"/>
      <c r="AK94" s="894">
        <f>-AK$91*AK100</f>
        <v>-1.2247950000000001</v>
      </c>
      <c r="AL94" s="1094"/>
      <c r="AM94" s="1093"/>
      <c r="AN94" s="1094"/>
      <c r="AO94" s="1094"/>
      <c r="AP94" s="1094"/>
      <c r="AQ94" s="894">
        <f>-AQ$91*AQ100</f>
        <v>-0.99242700000000006</v>
      </c>
      <c r="AR94" s="1094"/>
      <c r="AS94" s="1093"/>
      <c r="AT94" s="1094"/>
      <c r="AU94" s="1094"/>
      <c r="AV94" s="1094"/>
      <c r="AW94" s="894">
        <f>-AW$91*AW100</f>
        <v>0</v>
      </c>
      <c r="AX94" s="1094"/>
      <c r="AY94" s="1093"/>
      <c r="AZ94" s="1094"/>
      <c r="BA94" s="1094"/>
      <c r="BB94" s="1094"/>
      <c r="BC94" s="2096">
        <v>-0.29399999999999998</v>
      </c>
      <c r="BD94" s="1094"/>
      <c r="BE94" s="1093"/>
      <c r="BF94" s="1094"/>
      <c r="BG94" s="1094"/>
      <c r="BH94" s="1094"/>
      <c r="BI94" s="2096">
        <v>-5.8999999999999997E-2</v>
      </c>
      <c r="BJ94" s="1094"/>
      <c r="BK94" s="1093"/>
      <c r="BL94" s="1094"/>
      <c r="BM94" s="1094"/>
      <c r="BN94" s="1094"/>
      <c r="BO94" s="894">
        <f>-BO$91*BO100</f>
        <v>-0.41060000000000002</v>
      </c>
      <c r="BP94" s="1094"/>
      <c r="BQ94" s="1093"/>
      <c r="BR94" s="1094"/>
      <c r="BS94" s="1094"/>
      <c r="BT94" s="1094"/>
      <c r="BU94" s="894">
        <f>-BU$91*BU100</f>
        <v>-0.28741999999999995</v>
      </c>
      <c r="BV94" s="1094"/>
      <c r="BW94" s="1093"/>
      <c r="BX94" s="1094"/>
      <c r="BY94" s="1094"/>
      <c r="BZ94" s="1094"/>
      <c r="CA94" s="894">
        <f>-CA$91*CA100</f>
        <v>-0.20119399999999998</v>
      </c>
      <c r="CB94" s="984"/>
      <c r="CC94" s="1093"/>
      <c r="CD94" s="1094"/>
      <c r="CE94" s="1094"/>
      <c r="CF94" s="1094"/>
      <c r="CG94" s="894">
        <f>-CG$91*CG100</f>
        <v>-0.14083579999999998</v>
      </c>
      <c r="CH94" s="985"/>
      <c r="CI94" s="1093"/>
      <c r="CJ94" s="1094"/>
      <c r="CK94" s="1094"/>
      <c r="CL94" s="1094"/>
      <c r="CM94" s="894">
        <f>-CM$91*CM100</f>
        <v>-9.8585060000000002E-2</v>
      </c>
      <c r="CN94" s="985"/>
      <c r="CO94" s="985"/>
      <c r="CP94" s="985"/>
    </row>
    <row r="95" spans="1:105" ht="12.75" hidden="1" customHeight="1" outlineLevel="1">
      <c r="A95" s="770" t="s">
        <v>452</v>
      </c>
      <c r="B95" s="982" t="s">
        <v>113</v>
      </c>
      <c r="C95" s="1093"/>
      <c r="D95" s="1094"/>
      <c r="E95" s="1094"/>
      <c r="F95" s="1094"/>
      <c r="G95" s="1100"/>
      <c r="H95" s="1094"/>
      <c r="I95" s="1093"/>
      <c r="J95" s="1094"/>
      <c r="K95" s="1094"/>
      <c r="L95" s="1094"/>
      <c r="M95" s="1100"/>
      <c r="N95" s="1094"/>
      <c r="O95" s="1093"/>
      <c r="P95" s="1094"/>
      <c r="Q95" s="1094"/>
      <c r="R95" s="1094"/>
      <c r="S95" s="1100">
        <f>SUM(S91:S94)</f>
        <v>33.882999999999996</v>
      </c>
      <c r="T95" s="1094"/>
      <c r="U95" s="1093"/>
      <c r="V95" s="1094"/>
      <c r="W95" s="1094"/>
      <c r="X95" s="1094"/>
      <c r="Y95" s="1100">
        <f>SUM(Y91:Y94)</f>
        <v>22.638999999999996</v>
      </c>
      <c r="Z95" s="1094"/>
      <c r="AA95" s="1093"/>
      <c r="AB95" s="1094"/>
      <c r="AC95" s="1094"/>
      <c r="AD95" s="1095"/>
      <c r="AE95" s="932">
        <f>SUM(AE91:AE94)</f>
        <v>12.247949999999999</v>
      </c>
      <c r="AF95" s="1094"/>
      <c r="AG95" s="1093"/>
      <c r="AH95" s="1094"/>
      <c r="AI95" s="1094"/>
      <c r="AJ95" s="1094"/>
      <c r="AK95" s="932">
        <f>SUM(AK91:AK94)</f>
        <v>9.9242699999999999</v>
      </c>
      <c r="AL95" s="1094"/>
      <c r="AM95" s="1093"/>
      <c r="AN95" s="1094"/>
      <c r="AO95" s="1094"/>
      <c r="AP95" s="1094"/>
      <c r="AQ95" s="932">
        <f>SUM(AQ91:AQ94)</f>
        <v>10.166364</v>
      </c>
      <c r="AR95" s="1094"/>
      <c r="AS95" s="1093"/>
      <c r="AT95" s="1094"/>
      <c r="AU95" s="1094"/>
      <c r="AV95" s="1094"/>
      <c r="AW95" s="932">
        <f>SUM(AW91:AW94)</f>
        <v>13.385738999999999</v>
      </c>
      <c r="AX95" s="1094"/>
      <c r="AY95" s="1093"/>
      <c r="AZ95" s="1094"/>
      <c r="BA95" s="1094"/>
      <c r="BB95" s="1094"/>
      <c r="BC95" s="932">
        <f>SUM(BC91:BC94)</f>
        <v>5.7119999999999997</v>
      </c>
      <c r="BD95" s="1094"/>
      <c r="BE95" s="1093"/>
      <c r="BF95" s="1094"/>
      <c r="BG95" s="1094"/>
      <c r="BH95" s="1094"/>
      <c r="BI95" s="932">
        <f>SUM(BI91:BI94)</f>
        <v>4.1059999999999999</v>
      </c>
      <c r="BJ95" s="1094"/>
      <c r="BK95" s="1093"/>
      <c r="BL95" s="1094"/>
      <c r="BM95" s="1094"/>
      <c r="BN95" s="1094"/>
      <c r="BO95" s="932">
        <f>SUM(BO91:BO94)</f>
        <v>2.8741999999999996</v>
      </c>
      <c r="BP95" s="1094"/>
      <c r="BQ95" s="1093"/>
      <c r="BR95" s="1094"/>
      <c r="BS95" s="1094"/>
      <c r="BT95" s="1094"/>
      <c r="BU95" s="932">
        <f>SUM(BU91:BU94)</f>
        <v>2.0119399999999996</v>
      </c>
      <c r="BV95" s="1094"/>
      <c r="BW95" s="1093"/>
      <c r="BX95" s="1094"/>
      <c r="BY95" s="1094"/>
      <c r="BZ95" s="1094"/>
      <c r="CA95" s="932">
        <f>SUM(CA91:CA94)</f>
        <v>1.4083579999999998</v>
      </c>
      <c r="CB95" s="1250"/>
      <c r="CC95" s="1093"/>
      <c r="CD95" s="1094"/>
      <c r="CE95" s="1094"/>
      <c r="CF95" s="1094"/>
      <c r="CG95" s="932">
        <f>SUM(CG91:CG94)</f>
        <v>0.98585059999999991</v>
      </c>
      <c r="CH95" s="985"/>
      <c r="CI95" s="1093"/>
      <c r="CJ95" s="1094"/>
      <c r="CK95" s="1094"/>
      <c r="CL95" s="1094"/>
      <c r="CM95" s="932">
        <f>SUM(CM91:CM94)</f>
        <v>0.6900954199999999</v>
      </c>
      <c r="CN95" s="985"/>
      <c r="CO95" s="985"/>
      <c r="CP95" s="985"/>
    </row>
    <row r="96" spans="1:105" ht="12.75" hidden="1" customHeight="1" outlineLevel="1">
      <c r="A96" s="798" t="s">
        <v>453</v>
      </c>
      <c r="B96" s="982" t="s">
        <v>113</v>
      </c>
      <c r="C96" s="1101"/>
      <c r="D96" s="1084"/>
      <c r="E96" s="1084"/>
      <c r="F96" s="1084"/>
      <c r="G96" s="1102"/>
      <c r="H96" s="1060"/>
      <c r="I96" s="1101"/>
      <c r="J96" s="1084"/>
      <c r="K96" s="1084"/>
      <c r="L96" s="1084"/>
      <c r="M96" s="1102"/>
      <c r="N96" s="1060"/>
      <c r="O96" s="1101"/>
      <c r="P96" s="1084"/>
      <c r="Q96" s="1084"/>
      <c r="R96" s="1084"/>
      <c r="S96" s="1735">
        <v>28</v>
      </c>
      <c r="T96" s="1084"/>
      <c r="U96" s="1101"/>
      <c r="V96" s="1084"/>
      <c r="W96" s="1084"/>
      <c r="X96" s="1084"/>
      <c r="Y96" s="1735">
        <v>28</v>
      </c>
      <c r="Z96" s="1060"/>
      <c r="AA96" s="1103"/>
      <c r="AB96" s="1060"/>
      <c r="AC96" s="1060"/>
      <c r="AD96" s="1104"/>
      <c r="AE96" s="1105">
        <v>30.240000000000002</v>
      </c>
      <c r="AF96" s="1060"/>
      <c r="AG96" s="1103"/>
      <c r="AH96" s="1060"/>
      <c r="AI96" s="1060"/>
      <c r="AJ96" s="1060"/>
      <c r="AK96" s="1105">
        <v>32.659200000000006</v>
      </c>
      <c r="AL96" s="1060"/>
      <c r="AM96" s="1103"/>
      <c r="AN96" s="1060"/>
      <c r="AO96" s="1060"/>
      <c r="AP96" s="1060"/>
      <c r="AQ96" s="1105">
        <v>35.271936000000011</v>
      </c>
      <c r="AR96" s="1060"/>
      <c r="AS96" s="1103"/>
      <c r="AT96" s="1060"/>
      <c r="AU96" s="1060"/>
      <c r="AV96" s="1060"/>
      <c r="AW96" s="1105">
        <v>38.093690880000011</v>
      </c>
      <c r="AX96" s="1060"/>
      <c r="AY96" s="1103"/>
      <c r="AZ96" s="1060"/>
      <c r="BA96" s="1060"/>
      <c r="BB96" s="1060"/>
      <c r="BC96" s="2097">
        <v>24</v>
      </c>
      <c r="BD96" s="1060"/>
      <c r="BE96" s="1103"/>
      <c r="BF96" s="1060"/>
      <c r="BG96" s="1060"/>
      <c r="BH96" s="1060"/>
      <c r="BI96" s="2097">
        <v>25</v>
      </c>
      <c r="BJ96" s="1060"/>
      <c r="BK96" s="1103"/>
      <c r="BL96" s="1060"/>
      <c r="BM96" s="1060"/>
      <c r="BN96" s="1060"/>
      <c r="BO96" s="1105">
        <v>27</v>
      </c>
      <c r="BP96" s="1060"/>
      <c r="BQ96" s="1103"/>
      <c r="BR96" s="1060"/>
      <c r="BS96" s="1060"/>
      <c r="BT96" s="1060"/>
      <c r="BU96" s="2097">
        <v>50</v>
      </c>
      <c r="BV96" s="1060"/>
      <c r="BW96" s="1103"/>
      <c r="BX96" s="1060"/>
      <c r="BY96" s="1060"/>
      <c r="BZ96" s="1060"/>
      <c r="CA96" s="1105">
        <v>54</v>
      </c>
      <c r="CB96" s="2136"/>
      <c r="CC96" s="1103"/>
      <c r="CD96" s="1060"/>
      <c r="CE96" s="1060"/>
      <c r="CF96" s="1060"/>
      <c r="CG96" s="1105">
        <v>58.320000000000007</v>
      </c>
      <c r="CI96" s="1103"/>
      <c r="CJ96" s="1060"/>
      <c r="CK96" s="1060"/>
      <c r="CL96" s="1060"/>
      <c r="CM96" s="1105">
        <v>62.985600000000012</v>
      </c>
    </row>
    <row r="97" spans="1:94" ht="12.75" hidden="1" customHeight="1" outlineLevel="1">
      <c r="A97" s="1106" t="s">
        <v>454</v>
      </c>
      <c r="B97" s="982" t="s">
        <v>113</v>
      </c>
      <c r="C97" s="1103"/>
      <c r="D97" s="1060"/>
      <c r="E97" s="1060"/>
      <c r="F97" s="1060"/>
      <c r="G97" s="1107"/>
      <c r="H97" s="1060"/>
      <c r="I97" s="1103"/>
      <c r="J97" s="1060"/>
      <c r="K97" s="1060"/>
      <c r="L97" s="1060"/>
      <c r="M97" s="1107"/>
      <c r="N97" s="1060"/>
      <c r="O97" s="1103"/>
      <c r="P97" s="1060"/>
      <c r="Q97" s="1060"/>
      <c r="R97" s="1060"/>
      <c r="S97" s="1107"/>
      <c r="T97" s="1060"/>
      <c r="U97" s="1103"/>
      <c r="V97" s="1060"/>
      <c r="W97" s="1060"/>
      <c r="X97" s="1060"/>
      <c r="Y97" s="1107">
        <f>Y96/S96-1</f>
        <v>0</v>
      </c>
      <c r="Z97" s="1060"/>
      <c r="AA97" s="1103"/>
      <c r="AB97" s="1060"/>
      <c r="AC97" s="1060"/>
      <c r="AD97" s="1104"/>
      <c r="AE97" s="631">
        <f>AE96/Y96-1</f>
        <v>8.0000000000000071E-2</v>
      </c>
      <c r="AF97" s="1060"/>
      <c r="AG97" s="1103"/>
      <c r="AH97" s="1060"/>
      <c r="AI97" s="1060"/>
      <c r="AJ97" s="1060"/>
      <c r="AK97" s="631">
        <f>AK96/AE96-1</f>
        <v>8.0000000000000071E-2</v>
      </c>
      <c r="AL97" s="1060"/>
      <c r="AM97" s="1103"/>
      <c r="AN97" s="1060"/>
      <c r="AO97" s="1060"/>
      <c r="AP97" s="1060"/>
      <c r="AQ97" s="631">
        <f>AQ96/AK96-1</f>
        <v>8.0000000000000071E-2</v>
      </c>
      <c r="AR97" s="1060"/>
      <c r="AS97" s="1103"/>
      <c r="AT97" s="1060"/>
      <c r="AU97" s="1060"/>
      <c r="AV97" s="1060"/>
      <c r="AW97" s="631">
        <f>AW96/AQ96-1</f>
        <v>8.0000000000000071E-2</v>
      </c>
      <c r="AX97" s="1060"/>
      <c r="AY97" s="1103"/>
      <c r="AZ97" s="1060"/>
      <c r="BA97" s="1060"/>
      <c r="BB97" s="1060"/>
      <c r="BC97" s="631">
        <f>BC96/AW96-1</f>
        <v>-0.36997441188875435</v>
      </c>
      <c r="BD97" s="1060"/>
      <c r="BE97" s="1103"/>
      <c r="BF97" s="1060"/>
      <c r="BG97" s="1060"/>
      <c r="BH97" s="1060"/>
      <c r="BI97" s="631">
        <f>BI96/BC96-1</f>
        <v>4.1666666666666741E-2</v>
      </c>
      <c r="BJ97" s="1060"/>
      <c r="BK97" s="1103"/>
      <c r="BL97" s="1060"/>
      <c r="BM97" s="1060"/>
      <c r="BN97" s="1060"/>
      <c r="BO97" s="631">
        <f>BO96/BI96-1</f>
        <v>8.0000000000000071E-2</v>
      </c>
      <c r="BP97" s="1060"/>
      <c r="BQ97" s="1103"/>
      <c r="BR97" s="1060"/>
      <c r="BS97" s="1060"/>
      <c r="BT97" s="1060"/>
      <c r="BU97" s="631">
        <f>BU96/BO96-1</f>
        <v>0.85185185185185186</v>
      </c>
      <c r="BV97" s="1060"/>
      <c r="BW97" s="1103"/>
      <c r="BX97" s="1060"/>
      <c r="BY97" s="1060"/>
      <c r="BZ97" s="1060"/>
      <c r="CA97" s="631">
        <f>CA96/BU96-1</f>
        <v>8.0000000000000071E-2</v>
      </c>
      <c r="CB97" s="629"/>
      <c r="CC97" s="1103"/>
      <c r="CD97" s="1060"/>
      <c r="CE97" s="1060"/>
      <c r="CF97" s="1060"/>
      <c r="CG97" s="631">
        <f>CG96/CA96-1</f>
        <v>8.0000000000000071E-2</v>
      </c>
      <c r="CI97" s="1103"/>
      <c r="CJ97" s="1060"/>
      <c r="CK97" s="1060"/>
      <c r="CL97" s="1060"/>
      <c r="CM97" s="631">
        <f>CM96/CG96-1</f>
        <v>8.0000000000000071E-2</v>
      </c>
    </row>
    <row r="98" spans="1:94" ht="12.75" hidden="1" customHeight="1" outlineLevel="1">
      <c r="A98" s="798"/>
      <c r="B98" s="982" t="s">
        <v>113</v>
      </c>
      <c r="C98" s="1103"/>
      <c r="D98" s="1060"/>
      <c r="E98" s="1060"/>
      <c r="F98" s="1060"/>
      <c r="G98" s="1108"/>
      <c r="H98" s="1060"/>
      <c r="I98" s="1103"/>
      <c r="J98" s="1060"/>
      <c r="K98" s="1060"/>
      <c r="L98" s="1060"/>
      <c r="M98" s="1108"/>
      <c r="N98" s="1060"/>
      <c r="O98" s="1103"/>
      <c r="P98" s="1060"/>
      <c r="Q98" s="1060"/>
      <c r="R98" s="1060"/>
      <c r="S98" s="1108"/>
      <c r="T98" s="1060"/>
      <c r="U98" s="1103"/>
      <c r="V98" s="1060"/>
      <c r="W98" s="1060"/>
      <c r="X98" s="1060"/>
      <c r="Y98" s="1108"/>
      <c r="Z98" s="1060"/>
      <c r="AA98" s="1103"/>
      <c r="AB98" s="1060"/>
      <c r="AC98" s="1060"/>
      <c r="AD98" s="1104"/>
      <c r="AE98" s="1108"/>
      <c r="AF98" s="1060"/>
      <c r="AG98" s="1103"/>
      <c r="AH98" s="1060"/>
      <c r="AI98" s="1060"/>
      <c r="AJ98" s="1060"/>
      <c r="AK98" s="1109"/>
      <c r="AL98" s="1060"/>
      <c r="AM98" s="1103"/>
      <c r="AN98" s="1060"/>
      <c r="AO98" s="1060"/>
      <c r="AP98" s="1060"/>
      <c r="AQ98" s="1108"/>
      <c r="AR98" s="1060"/>
      <c r="AS98" s="1103"/>
      <c r="AT98" s="1060"/>
      <c r="AU98" s="1060"/>
      <c r="AV98" s="1060"/>
      <c r="AW98" s="1108"/>
      <c r="AX98" s="1060"/>
      <c r="AY98" s="1103"/>
      <c r="AZ98" s="1060"/>
      <c r="BA98" s="1060"/>
      <c r="BB98" s="1060"/>
      <c r="BC98" s="1108"/>
      <c r="BD98" s="1060"/>
      <c r="BE98" s="1103"/>
      <c r="BF98" s="1060"/>
      <c r="BG98" s="1060"/>
      <c r="BH98" s="1060"/>
      <c r="BI98" s="1108"/>
      <c r="BJ98" s="1060"/>
      <c r="BK98" s="1103"/>
      <c r="BL98" s="1060"/>
      <c r="BM98" s="1060"/>
      <c r="BN98" s="1060"/>
      <c r="BO98" s="1108"/>
      <c r="BP98" s="1060"/>
      <c r="BQ98" s="1103"/>
      <c r="BR98" s="1060"/>
      <c r="BS98" s="1060"/>
      <c r="BT98" s="1060"/>
      <c r="BU98" s="1108"/>
      <c r="BV98" s="1060"/>
      <c r="BW98" s="1103"/>
      <c r="BX98" s="1060"/>
      <c r="BY98" s="1060"/>
      <c r="BZ98" s="1060"/>
      <c r="CA98" s="1108"/>
      <c r="CB98" s="2134"/>
      <c r="CC98" s="1103"/>
      <c r="CD98" s="1060"/>
      <c r="CE98" s="1060"/>
      <c r="CF98" s="1060"/>
      <c r="CG98" s="1108"/>
      <c r="CI98" s="1103"/>
      <c r="CJ98" s="1060"/>
      <c r="CK98" s="1060"/>
      <c r="CL98" s="1060"/>
      <c r="CM98" s="1108"/>
    </row>
    <row r="99" spans="1:94" ht="12.75" hidden="1" customHeight="1" outlineLevel="1">
      <c r="A99" s="798" t="s">
        <v>455</v>
      </c>
      <c r="B99" s="982" t="s">
        <v>113</v>
      </c>
      <c r="C99" s="1110"/>
      <c r="D99" s="1081"/>
      <c r="E99" s="1081"/>
      <c r="F99" s="1081"/>
      <c r="G99" s="1111"/>
      <c r="H99" s="1060"/>
      <c r="I99" s="1110"/>
      <c r="J99" s="1081"/>
      <c r="K99" s="1081"/>
      <c r="L99" s="1081"/>
      <c r="M99" s="1111"/>
      <c r="N99" s="1060"/>
      <c r="O99" s="1110"/>
      <c r="P99" s="1081"/>
      <c r="Q99" s="1081"/>
      <c r="R99" s="1081"/>
      <c r="S99" s="1111">
        <f>-S93/S91</f>
        <v>3.8399406795370884E-2</v>
      </c>
      <c r="T99" s="1081"/>
      <c r="U99" s="1110"/>
      <c r="V99" s="1081"/>
      <c r="W99" s="1081"/>
      <c r="X99" s="1081"/>
      <c r="Y99" s="1111">
        <f>-Y93/Y91</f>
        <v>0.30534486320573745</v>
      </c>
      <c r="Z99" s="1060"/>
      <c r="AA99" s="1103"/>
      <c r="AB99" s="1060"/>
      <c r="AC99" s="1060"/>
      <c r="AD99" s="1104"/>
      <c r="AE99" s="1622">
        <v>0.45</v>
      </c>
      <c r="AF99" s="1112"/>
      <c r="AG99" s="1103"/>
      <c r="AH99" s="1060"/>
      <c r="AI99" s="1060"/>
      <c r="AJ99" s="1112"/>
      <c r="AK99" s="1622">
        <v>0.3</v>
      </c>
      <c r="AL99" s="1112"/>
      <c r="AM99" s="1113"/>
      <c r="AN99" s="1112"/>
      <c r="AO99" s="1112"/>
      <c r="AP99" s="1112"/>
      <c r="AQ99" s="1622">
        <v>0.2</v>
      </c>
      <c r="AR99" s="1112"/>
      <c r="AS99" s="1113"/>
      <c r="AT99" s="1112"/>
      <c r="AU99" s="1112"/>
      <c r="AV99" s="1112"/>
      <c r="AW99" s="1622">
        <v>0</v>
      </c>
      <c r="AX99" s="1112"/>
      <c r="AY99" s="1113"/>
      <c r="AZ99" s="1112"/>
      <c r="BA99" s="1112"/>
      <c r="BB99" s="1112"/>
      <c r="BC99" s="1111">
        <f>-BC93/BC91</f>
        <v>0.29237545565006079</v>
      </c>
      <c r="BD99" s="1112"/>
      <c r="BE99" s="1113"/>
      <c r="BF99" s="1112"/>
      <c r="BG99" s="1112"/>
      <c r="BH99" s="1112"/>
      <c r="BI99" s="1111">
        <f>-BI93/BI91</f>
        <v>0.27083333333333331</v>
      </c>
      <c r="BJ99" s="1112"/>
      <c r="BK99" s="1113"/>
      <c r="BL99" s="1112"/>
      <c r="BM99" s="1112"/>
      <c r="BN99" s="1112"/>
      <c r="BO99" s="1622">
        <v>0.2</v>
      </c>
      <c r="BP99" s="1112"/>
      <c r="BQ99" s="1113"/>
      <c r="BR99" s="1112"/>
      <c r="BS99" s="1112"/>
      <c r="BT99" s="1112"/>
      <c r="BU99" s="1622">
        <v>0.2</v>
      </c>
      <c r="BV99" s="1112"/>
      <c r="BW99" s="1113"/>
      <c r="BX99" s="1112"/>
      <c r="BY99" s="1112"/>
      <c r="BZ99" s="1112"/>
      <c r="CA99" s="1622">
        <v>0.2</v>
      </c>
      <c r="CB99" s="1621"/>
      <c r="CC99" s="1113"/>
      <c r="CD99" s="1112"/>
      <c r="CE99" s="1112"/>
      <c r="CF99" s="1112"/>
      <c r="CG99" s="1622">
        <v>0.2</v>
      </c>
      <c r="CI99" s="1113"/>
      <c r="CJ99" s="1112"/>
      <c r="CK99" s="1112"/>
      <c r="CL99" s="1112"/>
      <c r="CM99" s="1622">
        <v>0.2</v>
      </c>
    </row>
    <row r="100" spans="1:94" ht="12.75" hidden="1" customHeight="1" outlineLevel="1">
      <c r="A100" s="798" t="s">
        <v>456</v>
      </c>
      <c r="B100" s="982" t="s">
        <v>113</v>
      </c>
      <c r="C100" s="392"/>
      <c r="D100" s="302"/>
      <c r="E100" s="302"/>
      <c r="F100" s="302"/>
      <c r="G100" s="1111"/>
      <c r="H100" s="1060"/>
      <c r="I100" s="392"/>
      <c r="J100" s="302"/>
      <c r="K100" s="302"/>
      <c r="L100" s="302"/>
      <c r="M100" s="1111"/>
      <c r="N100" s="1060"/>
      <c r="O100" s="392"/>
      <c r="P100" s="302"/>
      <c r="Q100" s="302"/>
      <c r="R100" s="302"/>
      <c r="S100" s="1111">
        <f>-S94/S91</f>
        <v>0.11946187865787453</v>
      </c>
      <c r="T100" s="302"/>
      <c r="U100" s="392"/>
      <c r="V100" s="302"/>
      <c r="W100" s="302"/>
      <c r="X100" s="302"/>
      <c r="Y100" s="1111">
        <f>-Y94/Y91</f>
        <v>7.7177345571525557E-2</v>
      </c>
      <c r="Z100" s="1060"/>
      <c r="AA100" s="1103"/>
      <c r="AB100" s="1060"/>
      <c r="AC100" s="1060"/>
      <c r="AD100" s="1104"/>
      <c r="AE100" s="1622">
        <v>0.1</v>
      </c>
      <c r="AF100" s="1112"/>
      <c r="AG100" s="1103"/>
      <c r="AH100" s="1060"/>
      <c r="AI100" s="1060"/>
      <c r="AJ100" s="1112"/>
      <c r="AK100" s="1622">
        <v>0.1</v>
      </c>
      <c r="AL100" s="1112"/>
      <c r="AM100" s="1113"/>
      <c r="AN100" s="1112"/>
      <c r="AO100" s="1112"/>
      <c r="AP100" s="1112"/>
      <c r="AQ100" s="1622">
        <v>0.1</v>
      </c>
      <c r="AR100" s="1112"/>
      <c r="AS100" s="1113"/>
      <c r="AT100" s="1112"/>
      <c r="AU100" s="1112"/>
      <c r="AV100" s="1112"/>
      <c r="AW100" s="1622">
        <v>0</v>
      </c>
      <c r="AX100" s="1112"/>
      <c r="AY100" s="1113"/>
      <c r="AZ100" s="1112"/>
      <c r="BA100" s="1112"/>
      <c r="BB100" s="1112"/>
      <c r="BC100" s="1111">
        <f>-BC94/BC91</f>
        <v>4.4653705953827463E-2</v>
      </c>
      <c r="BD100" s="1112"/>
      <c r="BE100" s="1113"/>
      <c r="BF100" s="1112"/>
      <c r="BG100" s="1112"/>
      <c r="BH100" s="1112"/>
      <c r="BI100" s="1111">
        <f>-BI94/BI91</f>
        <v>1.0329131652661064E-2</v>
      </c>
      <c r="BJ100" s="1112"/>
      <c r="BK100" s="1113"/>
      <c r="BL100" s="1112"/>
      <c r="BM100" s="1112"/>
      <c r="BN100" s="1112"/>
      <c r="BO100" s="1622">
        <v>0.1</v>
      </c>
      <c r="BP100" s="1112"/>
      <c r="BQ100" s="1113"/>
      <c r="BR100" s="1112"/>
      <c r="BS100" s="1112"/>
      <c r="BT100" s="1112"/>
      <c r="BU100" s="1622">
        <v>0.1</v>
      </c>
      <c r="BV100" s="1112"/>
      <c r="BW100" s="1113"/>
      <c r="BX100" s="1112"/>
      <c r="BY100" s="1112"/>
      <c r="BZ100" s="1112"/>
      <c r="CA100" s="1622">
        <v>0.1</v>
      </c>
      <c r="CB100" s="1621"/>
      <c r="CC100" s="1113"/>
      <c r="CD100" s="1112"/>
      <c r="CE100" s="1112"/>
      <c r="CF100" s="1112"/>
      <c r="CG100" s="1622">
        <v>0.1</v>
      </c>
      <c r="CI100" s="1113"/>
      <c r="CJ100" s="1112"/>
      <c r="CK100" s="1112"/>
      <c r="CL100" s="1112"/>
      <c r="CM100" s="1622">
        <v>0.1</v>
      </c>
    </row>
    <row r="101" spans="1:94" ht="12.75" hidden="1" customHeight="1" outlineLevel="1">
      <c r="A101" s="798" t="s">
        <v>457</v>
      </c>
      <c r="B101" s="982" t="s">
        <v>113</v>
      </c>
      <c r="C101" s="392"/>
      <c r="D101" s="302"/>
      <c r="E101" s="302"/>
      <c r="F101" s="302"/>
      <c r="G101" s="1111"/>
      <c r="H101" s="1060"/>
      <c r="I101" s="392"/>
      <c r="J101" s="302"/>
      <c r="K101" s="302"/>
      <c r="L101" s="302"/>
      <c r="M101" s="1111"/>
      <c r="N101" s="1060"/>
      <c r="O101" s="392"/>
      <c r="P101" s="302"/>
      <c r="Q101" s="302"/>
      <c r="R101" s="302"/>
      <c r="S101" s="1111"/>
      <c r="T101" s="302"/>
      <c r="U101" s="392"/>
      <c r="V101" s="302"/>
      <c r="W101" s="302"/>
      <c r="X101" s="302"/>
      <c r="Y101" s="1111">
        <f>Y92/S92-1</f>
        <v>-0.17570811329812774</v>
      </c>
      <c r="Z101" s="1060"/>
      <c r="AA101" s="1103"/>
      <c r="AB101" s="1060"/>
      <c r="AC101" s="1060"/>
      <c r="AD101" s="1104"/>
      <c r="AE101" s="1622">
        <v>0.2</v>
      </c>
      <c r="AF101" s="1112"/>
      <c r="AG101" s="1103"/>
      <c r="AH101" s="1060"/>
      <c r="AI101" s="1060"/>
      <c r="AJ101" s="1112"/>
      <c r="AK101" s="1622">
        <v>0.25</v>
      </c>
      <c r="AL101" s="1112"/>
      <c r="AM101" s="1113"/>
      <c r="AN101" s="1112"/>
      <c r="AO101" s="1112"/>
      <c r="AP101" s="1112"/>
      <c r="AQ101" s="1622">
        <v>0.25</v>
      </c>
      <c r="AR101" s="1112"/>
      <c r="AS101" s="1113"/>
      <c r="AT101" s="1112"/>
      <c r="AU101" s="1112"/>
      <c r="AV101" s="1112"/>
      <c r="AW101" s="1622">
        <v>0</v>
      </c>
      <c r="AX101" s="1112"/>
      <c r="AY101" s="1113"/>
      <c r="AZ101" s="1112"/>
      <c r="BA101" s="1112"/>
      <c r="BB101" s="1112"/>
      <c r="BC101" s="1111">
        <f>BC92/AW92-1</f>
        <v>-0.58159580663948751</v>
      </c>
      <c r="BD101" s="1112"/>
      <c r="BE101" s="1113"/>
      <c r="BF101" s="1112"/>
      <c r="BG101" s="1112"/>
      <c r="BH101" s="1112"/>
      <c r="BI101" s="1111">
        <f>BI92/BC92-1</f>
        <v>-1</v>
      </c>
      <c r="BJ101" s="1112"/>
      <c r="BK101" s="1113"/>
      <c r="BL101" s="1112"/>
      <c r="BM101" s="1112"/>
      <c r="BN101" s="1112"/>
      <c r="BO101" s="1622">
        <v>0.25</v>
      </c>
      <c r="BP101" s="1112"/>
      <c r="BQ101" s="1113"/>
      <c r="BR101" s="1112"/>
      <c r="BS101" s="1112"/>
      <c r="BT101" s="1112"/>
      <c r="BU101" s="1622">
        <v>0.25</v>
      </c>
      <c r="BV101" s="1112"/>
      <c r="BW101" s="1113"/>
      <c r="BX101" s="1112"/>
      <c r="BY101" s="1112"/>
      <c r="BZ101" s="1112"/>
      <c r="CA101" s="1622">
        <v>0.25</v>
      </c>
      <c r="CB101" s="1621"/>
      <c r="CC101" s="1113"/>
      <c r="CD101" s="1112"/>
      <c r="CE101" s="1112"/>
      <c r="CF101" s="1112"/>
      <c r="CG101" s="1622">
        <v>0.25</v>
      </c>
      <c r="CI101" s="1113"/>
      <c r="CJ101" s="1112"/>
      <c r="CK101" s="1112"/>
      <c r="CL101" s="1112"/>
      <c r="CM101" s="1622">
        <v>0.25</v>
      </c>
    </row>
    <row r="102" spans="1:94" ht="12.75" hidden="1" customHeight="1" outlineLevel="1">
      <c r="A102" s="798"/>
      <c r="B102" s="982" t="s">
        <v>113</v>
      </c>
      <c r="C102" s="1103"/>
      <c r="D102" s="1060"/>
      <c r="E102" s="1060"/>
      <c r="F102" s="1060"/>
      <c r="G102" s="1108"/>
      <c r="H102" s="1060"/>
      <c r="I102" s="1103"/>
      <c r="J102" s="1060"/>
      <c r="K102" s="1060"/>
      <c r="L102" s="1060"/>
      <c r="M102" s="1108"/>
      <c r="N102" s="1060"/>
      <c r="O102" s="1103"/>
      <c r="P102" s="1060"/>
      <c r="Q102" s="1060"/>
      <c r="R102" s="1060"/>
      <c r="S102" s="1108"/>
      <c r="T102" s="1060"/>
      <c r="U102" s="1103"/>
      <c r="V102" s="1060"/>
      <c r="W102" s="1060"/>
      <c r="X102" s="1060"/>
      <c r="Y102" s="1108"/>
      <c r="Z102" s="1060"/>
      <c r="AA102" s="1103"/>
      <c r="AB102" s="1060"/>
      <c r="AC102" s="1060"/>
      <c r="AD102" s="1104"/>
      <c r="AE102" s="1108"/>
      <c r="AF102" s="1060"/>
      <c r="AG102" s="1103"/>
      <c r="AH102" s="1060"/>
      <c r="AI102" s="1060"/>
      <c r="AJ102" s="1060"/>
      <c r="AK102" s="1108"/>
      <c r="AL102" s="1060"/>
      <c r="AM102" s="1103"/>
      <c r="AN102" s="1060"/>
      <c r="AO102" s="1060"/>
      <c r="AP102" s="1060"/>
      <c r="AQ102" s="1108"/>
      <c r="AR102" s="1060"/>
      <c r="AS102" s="1103"/>
      <c r="AT102" s="1060"/>
      <c r="AU102" s="1060"/>
      <c r="AV102" s="1060"/>
      <c r="AW102" s="1108"/>
      <c r="AX102" s="1060"/>
      <c r="AY102" s="1103"/>
      <c r="AZ102" s="1060"/>
      <c r="BA102" s="1060"/>
      <c r="BB102" s="1060"/>
      <c r="BC102" s="1108"/>
      <c r="BD102" s="1060"/>
      <c r="BE102" s="1103"/>
      <c r="BF102" s="1060"/>
      <c r="BG102" s="1060"/>
      <c r="BH102" s="1060"/>
      <c r="BI102" s="1108"/>
      <c r="BJ102" s="1060"/>
      <c r="BK102" s="1103"/>
      <c r="BL102" s="1060"/>
      <c r="BM102" s="1060"/>
      <c r="BN102" s="1060"/>
      <c r="BO102" s="1108"/>
      <c r="BP102" s="1060"/>
      <c r="BQ102" s="1103"/>
      <c r="BR102" s="1060"/>
      <c r="BS102" s="1060"/>
      <c r="BT102" s="1060"/>
      <c r="BU102" s="1108"/>
      <c r="BV102" s="1060"/>
      <c r="BW102" s="1103"/>
      <c r="BX102" s="1060"/>
      <c r="BY102" s="1060"/>
      <c r="BZ102" s="1060"/>
      <c r="CA102" s="1108"/>
      <c r="CB102" s="2134"/>
      <c r="CC102" s="1103"/>
      <c r="CD102" s="1060"/>
      <c r="CE102" s="1060"/>
      <c r="CF102" s="1060"/>
      <c r="CG102" s="1108"/>
      <c r="CI102" s="1103"/>
      <c r="CJ102" s="1060"/>
      <c r="CK102" s="1060"/>
      <c r="CL102" s="1060"/>
      <c r="CM102" s="1108"/>
    </row>
    <row r="103" spans="1:94" ht="12.75" hidden="1" customHeight="1" outlineLevel="1">
      <c r="A103" s="814" t="s">
        <v>458</v>
      </c>
      <c r="B103" s="982" t="s">
        <v>113</v>
      </c>
      <c r="C103" s="1114"/>
      <c r="D103" s="1062"/>
      <c r="E103" s="1062"/>
      <c r="F103" s="1062"/>
      <c r="G103" s="1115"/>
      <c r="H103" s="1062"/>
      <c r="I103" s="1114"/>
      <c r="J103" s="1062"/>
      <c r="K103" s="1062"/>
      <c r="L103" s="1062"/>
      <c r="M103" s="1115"/>
      <c r="N103" s="1062"/>
      <c r="O103" s="1114"/>
      <c r="P103" s="1062"/>
      <c r="Q103" s="1062"/>
      <c r="R103" s="1062"/>
      <c r="S103" s="1115">
        <f>-S96*S93</f>
        <v>40.6</v>
      </c>
      <c r="T103" s="1062"/>
      <c r="U103" s="1114"/>
      <c r="V103" s="1062"/>
      <c r="W103" s="1062"/>
      <c r="X103" s="1062"/>
      <c r="Y103" s="1115">
        <f>-Y96*Y93</f>
        <v>289.68799999999999</v>
      </c>
      <c r="Z103" s="1062"/>
      <c r="AA103" s="1114"/>
      <c r="AB103" s="1062"/>
      <c r="AC103" s="1062"/>
      <c r="AD103" s="1116"/>
      <c r="AE103" s="1117">
        <f>-AE96*AE93</f>
        <v>308.07151199999998</v>
      </c>
      <c r="AF103" s="1062"/>
      <c r="AG103" s="1114"/>
      <c r="AH103" s="1062"/>
      <c r="AI103" s="1062"/>
      <c r="AJ103" s="1062"/>
      <c r="AK103" s="1117">
        <f>-AK96*AK93</f>
        <v>120.00247459200001</v>
      </c>
      <c r="AL103" s="1062"/>
      <c r="AM103" s="1114"/>
      <c r="AN103" s="1062"/>
      <c r="AO103" s="1062"/>
      <c r="AP103" s="1062"/>
      <c r="AQ103" s="1117">
        <f>-AQ96*AQ93</f>
        <v>70.009643257344024</v>
      </c>
      <c r="AR103" s="1062"/>
      <c r="AS103" s="1114"/>
      <c r="AT103" s="1062"/>
      <c r="AU103" s="1062"/>
      <c r="AV103" s="1062"/>
      <c r="AW103" s="1117">
        <f>-AW96*AW93</f>
        <v>0</v>
      </c>
      <c r="AX103" s="1062"/>
      <c r="AY103" s="1114"/>
      <c r="AZ103" s="1062"/>
      <c r="BA103" s="1062"/>
      <c r="BB103" s="1062"/>
      <c r="BC103" s="1117">
        <f>-BC96*BC93</f>
        <v>46.2</v>
      </c>
      <c r="BD103" s="1062"/>
      <c r="BE103" s="1114"/>
      <c r="BF103" s="1062"/>
      <c r="BG103" s="1062"/>
      <c r="BH103" s="1062"/>
      <c r="BI103" s="1117">
        <f>-BI96*BI93</f>
        <v>38.674999999999997</v>
      </c>
      <c r="BJ103" s="1062"/>
      <c r="BK103" s="1114"/>
      <c r="BL103" s="1062"/>
      <c r="BM103" s="1062"/>
      <c r="BN103" s="1062"/>
      <c r="BO103" s="1117">
        <f>-BO96*BO93</f>
        <v>22.1724</v>
      </c>
      <c r="BP103" s="1062"/>
      <c r="BQ103" s="1114"/>
      <c r="BR103" s="1062"/>
      <c r="BS103" s="1062"/>
      <c r="BT103" s="1062"/>
      <c r="BU103" s="1117">
        <f>-BU96*BU93</f>
        <v>28.741999999999994</v>
      </c>
      <c r="BV103" s="1062"/>
      <c r="BW103" s="1114"/>
      <c r="BX103" s="1062"/>
      <c r="BY103" s="1062"/>
      <c r="BZ103" s="1062"/>
      <c r="CA103" s="1117">
        <f>-CA96*CA93</f>
        <v>21.728952</v>
      </c>
      <c r="CB103" s="2137"/>
      <c r="CC103" s="1114"/>
      <c r="CD103" s="1062"/>
      <c r="CE103" s="1062"/>
      <c r="CF103" s="1062"/>
      <c r="CG103" s="1117">
        <f>-CG96*CG93</f>
        <v>16.427087711999999</v>
      </c>
      <c r="CH103" s="954"/>
      <c r="CI103" s="1114"/>
      <c r="CJ103" s="1062"/>
      <c r="CK103" s="1062"/>
      <c r="CL103" s="1062"/>
      <c r="CM103" s="1117">
        <f>-CM96*CM93</f>
        <v>12.418878310272003</v>
      </c>
      <c r="CN103" s="954"/>
      <c r="CO103" s="954"/>
      <c r="CP103" s="954"/>
    </row>
    <row r="104" spans="1:94" ht="12.75" hidden="1" customHeight="1" outlineLevel="1">
      <c r="A104" s="798"/>
      <c r="B104" s="982" t="s">
        <v>113</v>
      </c>
      <c r="C104" s="1103"/>
      <c r="D104" s="1060"/>
      <c r="E104" s="1060"/>
      <c r="F104" s="1060"/>
      <c r="G104" s="1108"/>
      <c r="H104" s="1060"/>
      <c r="I104" s="1103"/>
      <c r="J104" s="1060"/>
      <c r="K104" s="1060"/>
      <c r="L104" s="1060"/>
      <c r="M104" s="1108"/>
      <c r="N104" s="1060"/>
      <c r="O104" s="1103"/>
      <c r="P104" s="1060"/>
      <c r="Q104" s="1060"/>
      <c r="R104" s="1060"/>
      <c r="S104" s="1108"/>
      <c r="T104" s="1060"/>
      <c r="U104" s="1103"/>
      <c r="V104" s="1060"/>
      <c r="W104" s="1060"/>
      <c r="X104" s="1060"/>
      <c r="Y104" s="1108"/>
      <c r="Z104" s="1060"/>
      <c r="AA104" s="1103"/>
      <c r="AB104" s="1060"/>
      <c r="AC104" s="1060"/>
      <c r="AD104" s="1104"/>
      <c r="AE104" s="1108"/>
      <c r="AF104" s="1060"/>
      <c r="AG104" s="1103"/>
      <c r="AH104" s="1060"/>
      <c r="AI104" s="1060"/>
      <c r="AJ104" s="1060"/>
      <c r="AK104" s="1108"/>
      <c r="AL104" s="1060"/>
      <c r="AM104" s="1103"/>
      <c r="AN104" s="1060"/>
      <c r="AO104" s="1060"/>
      <c r="AP104" s="1060"/>
      <c r="AQ104" s="1108"/>
      <c r="AR104" s="1060"/>
      <c r="AS104" s="1103"/>
      <c r="AT104" s="1060"/>
      <c r="AU104" s="1060"/>
      <c r="AV104" s="1060"/>
      <c r="AW104" s="1108"/>
      <c r="AX104" s="1060"/>
      <c r="AY104" s="1103"/>
      <c r="AZ104" s="1060"/>
      <c r="BA104" s="1060"/>
      <c r="BB104" s="1060"/>
      <c r="BC104" s="1108"/>
      <c r="BD104" s="1060"/>
      <c r="BE104" s="1103"/>
      <c r="BF104" s="1060"/>
      <c r="BG104" s="1060"/>
      <c r="BH104" s="1060"/>
      <c r="BI104" s="1108"/>
      <c r="BJ104" s="1060"/>
      <c r="BK104" s="1103"/>
      <c r="BL104" s="1060"/>
      <c r="BM104" s="1060"/>
      <c r="BN104" s="1060"/>
      <c r="BO104" s="1108"/>
      <c r="BP104" s="1060"/>
      <c r="BQ104" s="1103"/>
      <c r="BR104" s="1060"/>
      <c r="BS104" s="1060"/>
      <c r="BT104" s="1060"/>
      <c r="BU104" s="1108"/>
      <c r="BV104" s="1060"/>
      <c r="BW104" s="1103"/>
      <c r="BX104" s="1060"/>
      <c r="BY104" s="1060"/>
      <c r="BZ104" s="1060"/>
      <c r="CA104" s="1108"/>
      <c r="CB104" s="2134"/>
      <c r="CC104" s="1103"/>
      <c r="CD104" s="1060"/>
      <c r="CE104" s="1060"/>
      <c r="CF104" s="1060"/>
      <c r="CG104" s="1108"/>
      <c r="CI104" s="1103"/>
      <c r="CJ104" s="1060"/>
      <c r="CK104" s="1060"/>
      <c r="CL104" s="1060"/>
      <c r="CM104" s="1108"/>
    </row>
    <row r="105" spans="1:94" ht="12.75" customHeight="1" collapsed="1">
      <c r="A105" s="830" t="s">
        <v>459</v>
      </c>
      <c r="B105" s="982" t="s">
        <v>113</v>
      </c>
      <c r="C105" s="1103"/>
      <c r="D105" s="1060"/>
      <c r="E105" s="1060"/>
      <c r="F105" s="1060"/>
      <c r="G105" s="1108"/>
      <c r="H105" s="1060"/>
      <c r="I105" s="1103"/>
      <c r="J105" s="1060"/>
      <c r="K105" s="1060"/>
      <c r="L105" s="1060"/>
      <c r="M105" s="1108"/>
      <c r="N105" s="1060"/>
      <c r="O105" s="1103"/>
      <c r="P105" s="1060"/>
      <c r="Q105" s="1060"/>
      <c r="R105" s="1060"/>
      <c r="S105" s="1108"/>
      <c r="T105" s="1060"/>
      <c r="U105" s="1103"/>
      <c r="V105" s="1060"/>
      <c r="W105" s="1060"/>
      <c r="X105" s="1060"/>
      <c r="Y105" s="1108"/>
      <c r="Z105" s="1060"/>
      <c r="AA105" s="1103"/>
      <c r="AB105" s="1060"/>
      <c r="AC105" s="1060"/>
      <c r="AD105" s="1104"/>
      <c r="AE105" s="1108"/>
      <c r="AF105" s="1060"/>
      <c r="AG105" s="1103"/>
      <c r="AH105" s="1060"/>
      <c r="AI105" s="1060"/>
      <c r="AJ105" s="1060"/>
      <c r="AK105" s="1108"/>
      <c r="AL105" s="1060"/>
      <c r="AM105" s="1103"/>
      <c r="AN105" s="1060"/>
      <c r="AO105" s="1060"/>
      <c r="AP105" s="1060"/>
      <c r="AQ105" s="1108"/>
      <c r="AR105" s="1060"/>
      <c r="AS105" s="1103"/>
      <c r="AT105" s="1060"/>
      <c r="AU105" s="1060"/>
      <c r="AV105" s="1060"/>
      <c r="AW105" s="1108"/>
      <c r="AX105" s="1060"/>
      <c r="AY105" s="1103"/>
      <c r="AZ105" s="1060"/>
      <c r="BA105" s="1060"/>
      <c r="BB105" s="1060"/>
      <c r="BC105" s="1897"/>
      <c r="BD105" s="1060"/>
      <c r="BE105" s="1103"/>
      <c r="BF105" s="1060"/>
      <c r="BG105" s="1060"/>
      <c r="BH105" s="1060"/>
      <c r="BI105" s="1897"/>
      <c r="BJ105" s="1060"/>
      <c r="BK105" s="1103"/>
      <c r="BL105" s="1060"/>
      <c r="BM105" s="1060"/>
      <c r="BN105" s="1060"/>
      <c r="BO105" s="1897"/>
      <c r="BP105" s="1060"/>
      <c r="BQ105" s="1103"/>
      <c r="BR105" s="1060"/>
      <c r="BS105" s="1060"/>
      <c r="BT105" s="1060"/>
      <c r="BU105" s="1897"/>
      <c r="BV105" s="1060"/>
      <c r="BW105" s="1103"/>
      <c r="BX105" s="1060"/>
      <c r="BY105" s="1060"/>
      <c r="BZ105" s="1060"/>
      <c r="CA105" s="1897"/>
      <c r="CB105" s="2138"/>
      <c r="CC105" s="1103"/>
      <c r="CD105" s="1060"/>
      <c r="CE105" s="1060"/>
      <c r="CF105" s="1060"/>
      <c r="CG105" s="1897"/>
      <c r="CI105" s="1103"/>
      <c r="CJ105" s="1060"/>
      <c r="CK105" s="1060"/>
      <c r="CL105" s="1060"/>
      <c r="CM105" s="1897"/>
    </row>
    <row r="106" spans="1:94" ht="12.75" customHeight="1">
      <c r="A106" s="798" t="s">
        <v>460</v>
      </c>
      <c r="B106" s="982" t="s">
        <v>113</v>
      </c>
      <c r="C106" s="1118"/>
      <c r="D106" s="1119"/>
      <c r="E106" s="1119"/>
      <c r="F106" s="1119"/>
      <c r="G106" s="1120"/>
      <c r="H106" s="1060"/>
      <c r="I106" s="1118"/>
      <c r="J106" s="1119"/>
      <c r="K106" s="1119"/>
      <c r="L106" s="1119"/>
      <c r="M106" s="1120"/>
      <c r="N106" s="1060"/>
      <c r="O106" s="1118">
        <f>O107/O87</f>
        <v>-9.6683738942661108</v>
      </c>
      <c r="P106" s="1119">
        <f>P107/P87</f>
        <v>-2.4819659183444482</v>
      </c>
      <c r="Q106" s="1119">
        <f>Q107/Q87</f>
        <v>0</v>
      </c>
      <c r="R106" s="1119">
        <f>R107/R87</f>
        <v>0</v>
      </c>
      <c r="S106" s="1120">
        <f>S107/S87</f>
        <v>-8.6711681691718923</v>
      </c>
      <c r="T106" s="1060"/>
      <c r="U106" s="1118">
        <f>U107/U87</f>
        <v>-4.9890568835045803</v>
      </c>
      <c r="V106" s="1119">
        <f>V107/V87</f>
        <v>-6.1977277166965381</v>
      </c>
      <c r="W106" s="1119">
        <f>W107/W87</f>
        <v>-4.6697226254556901</v>
      </c>
      <c r="X106" s="1119">
        <f>X107/X87</f>
        <v>-2.0824311855478514</v>
      </c>
      <c r="Y106" s="1120">
        <f>Y107/Y87</f>
        <v>-11.769759787221071</v>
      </c>
      <c r="Z106" s="1060"/>
      <c r="AA106" s="1118">
        <f>AA107/AA87</f>
        <v>-6.5885804381240058</v>
      </c>
      <c r="AB106" s="1119">
        <f>AB107/AB87</f>
        <v>0</v>
      </c>
      <c r="AC106" s="1119">
        <f>AC107/AC87</f>
        <v>-4.5540808846036462</v>
      </c>
      <c r="AD106" s="1119">
        <f>AD107/AD87</f>
        <v>-0.85595500122279289</v>
      </c>
      <c r="AE106" s="1121">
        <f>SUM(AA106:AD106)</f>
        <v>-11.998616323950444</v>
      </c>
      <c r="AF106" s="1060"/>
      <c r="AG106" s="1118">
        <f>AG107/AG87</f>
        <v>-0.76459704380369509</v>
      </c>
      <c r="AH106" s="1119">
        <f>AH107/AH87</f>
        <v>-1.0338346350486201</v>
      </c>
      <c r="AI106" s="1119">
        <f>AI107/AI87</f>
        <v>0</v>
      </c>
      <c r="AJ106" s="1119">
        <f>AJ107/AJ87</f>
        <v>-2.6432952620907941</v>
      </c>
      <c r="AK106" s="1121">
        <f>SUM(AG106:AJ106)</f>
        <v>-4.4417269409431093</v>
      </c>
      <c r="AL106" s="1060"/>
      <c r="AM106" s="1099">
        <f>AM107/AM87</f>
        <v>-1.7697132616487454</v>
      </c>
      <c r="AN106" s="963">
        <f>AN107/AN87</f>
        <v>-3.3898314934135092</v>
      </c>
      <c r="AO106" s="963">
        <f>AO107/AO87</f>
        <v>-14.934213473857922</v>
      </c>
      <c r="AP106" s="963">
        <f>AP107/AP87</f>
        <v>0</v>
      </c>
      <c r="AQ106" s="1121">
        <f>SUM(AM106:AP106)</f>
        <v>-20.093758228920176</v>
      </c>
      <c r="AR106" s="1060"/>
      <c r="AS106" s="1099">
        <f>AS107/AS87</f>
        <v>-1.7346055578080373</v>
      </c>
      <c r="AT106" s="963">
        <f>AT107/AT87</f>
        <v>-1.2459506603538499</v>
      </c>
      <c r="AU106" s="963">
        <f>AU107/AU87</f>
        <v>0</v>
      </c>
      <c r="AV106" s="963">
        <f>AV107/AV87</f>
        <v>0</v>
      </c>
      <c r="AW106" s="1121">
        <f>SUM(AS106:AV106)</f>
        <v>-2.9805562181618872</v>
      </c>
      <c r="AX106" s="1060"/>
      <c r="AY106" s="1099">
        <f>AY107/AY87</f>
        <v>-0.14802053054464923</v>
      </c>
      <c r="AZ106" s="963">
        <f>AZ107/AZ87</f>
        <v>-3.8955447664462204</v>
      </c>
      <c r="BA106" s="963">
        <f>BA107/BA87</f>
        <v>-2.4371292683701111</v>
      </c>
      <c r="BB106" s="963">
        <f>BB107/BB87</f>
        <v>0</v>
      </c>
      <c r="BC106" s="1121">
        <f>SUM(AY106:BB106)</f>
        <v>-6.4806945653609809</v>
      </c>
      <c r="BD106" s="1060"/>
      <c r="BE106" s="1099">
        <f>BE107/BE87</f>
        <v>-5.0717949891667402</v>
      </c>
      <c r="BF106" s="963">
        <f>BF107/BF87</f>
        <v>-2.4115814589401272</v>
      </c>
      <c r="BG106" s="963">
        <f>BG107/BG87</f>
        <v>-2.0927273997507045</v>
      </c>
      <c r="BH106" s="963">
        <f>BH107/BH87</f>
        <v>-0.99056805908039169</v>
      </c>
      <c r="BI106" s="1121">
        <f>SUM(BE106:BH106)</f>
        <v>-10.566671906937962</v>
      </c>
      <c r="BJ106" s="1060"/>
      <c r="BK106" s="1099">
        <f>BK107/BK87</f>
        <v>-2.4048642037184575</v>
      </c>
      <c r="BL106" s="963">
        <f>BL107/BL87</f>
        <v>-1.5892896101327116</v>
      </c>
      <c r="BM106" s="963">
        <f>BM107/BM87</f>
        <v>0</v>
      </c>
      <c r="BN106" s="963">
        <f>BN107/BN87</f>
        <v>0</v>
      </c>
      <c r="BO106" s="1121">
        <f>SUM(BK106:BN106)</f>
        <v>-3.9941538138511694</v>
      </c>
      <c r="BP106" s="1060"/>
      <c r="BQ106" s="1099">
        <f>BQ107/BQ87</f>
        <v>-0.67921448374120286</v>
      </c>
      <c r="BR106" s="963">
        <f>BR107/BR87</f>
        <v>-1.5735339601011322</v>
      </c>
      <c r="BS106" s="963">
        <f>BS107/BS87</f>
        <v>-1.5435481495683636</v>
      </c>
      <c r="BT106" s="963">
        <f>BT107/BT87</f>
        <v>-1.5141337590723443</v>
      </c>
      <c r="BU106" s="1121">
        <f>SUM(BQ106:BT106)</f>
        <v>-5.3104303524830421</v>
      </c>
      <c r="BV106" s="1060"/>
      <c r="BW106" s="1099">
        <f>BW107/BW87</f>
        <v>-1.4384467494519173</v>
      </c>
      <c r="BX106" s="963">
        <f>BX107/BX87</f>
        <v>-1.4110352077983963</v>
      </c>
      <c r="BY106" s="963">
        <f>BY107/BY87</f>
        <v>-1.3841460300183444</v>
      </c>
      <c r="BZ106" s="963">
        <f>BZ107/BZ87</f>
        <v>-1.3577692617640726</v>
      </c>
      <c r="CA106" s="1121">
        <f>SUM(BW106:BZ106)</f>
        <v>-5.5913972490327311</v>
      </c>
      <c r="CB106" s="963"/>
      <c r="CC106" s="1099">
        <f>CC107/CC87</f>
        <v>-1.3318951383814051</v>
      </c>
      <c r="CD106" s="963">
        <f>CD107/CD87</f>
        <v>-1.3065140812948115</v>
      </c>
      <c r="CE106" s="963">
        <f>CE107/CE87</f>
        <v>-1.28161669446143</v>
      </c>
      <c r="CF106" s="963">
        <f>CF107/CF87</f>
        <v>-1.25719376089266</v>
      </c>
      <c r="CG106" s="1121">
        <f>SUM(CC106:CF106)</f>
        <v>-5.1772196750303063</v>
      </c>
      <c r="CI106" s="1099">
        <f>CI107/CI87</f>
        <v>-1.2332362392420417</v>
      </c>
      <c r="CJ106" s="963">
        <f>CJ107/CJ87</f>
        <v>-1.2097352604581588</v>
      </c>
      <c r="CK106" s="963">
        <f>CK107/CK87</f>
        <v>-1.1866821245013244</v>
      </c>
      <c r="CL106" s="963">
        <f>CL107/CL87</f>
        <v>-1.1640682971228336</v>
      </c>
      <c r="CM106" s="1121">
        <f>SUM(CI106:CL106)</f>
        <v>-4.7937219213243578</v>
      </c>
    </row>
    <row r="107" spans="1:94" ht="12.75" customHeight="1">
      <c r="A107" s="798" t="s">
        <v>461</v>
      </c>
      <c r="B107" s="982" t="s">
        <v>113</v>
      </c>
      <c r="C107" s="1118"/>
      <c r="D107" s="1119"/>
      <c r="E107" s="1119"/>
      <c r="F107" s="1119"/>
      <c r="G107" s="1120"/>
      <c r="H107" s="1060"/>
      <c r="I107" s="1118"/>
      <c r="J107" s="1119"/>
      <c r="K107" s="1119"/>
      <c r="L107" s="1119"/>
      <c r="M107" s="1120"/>
      <c r="N107" s="1060"/>
      <c r="O107" s="1118">
        <f>O53</f>
        <v>-125</v>
      </c>
      <c r="P107" s="1119">
        <f>P53</f>
        <v>-32</v>
      </c>
      <c r="Q107" s="1119">
        <f>Q53</f>
        <v>0</v>
      </c>
      <c r="R107" s="1119">
        <f>R53</f>
        <v>0</v>
      </c>
      <c r="S107" s="1120">
        <f>S53</f>
        <v>-157</v>
      </c>
      <c r="T107" s="1060"/>
      <c r="U107" s="1118">
        <f>U53</f>
        <v>-100</v>
      </c>
      <c r="V107" s="1119">
        <f>V53</f>
        <v>-165</v>
      </c>
      <c r="W107" s="1119">
        <f>W53</f>
        <v>-94</v>
      </c>
      <c r="X107" s="1119">
        <f>X53</f>
        <v>-52</v>
      </c>
      <c r="Y107" s="1120">
        <f>Y53</f>
        <v>-411</v>
      </c>
      <c r="Z107" s="1060"/>
      <c r="AA107" s="1118">
        <f>AA53</f>
        <v>-270</v>
      </c>
      <c r="AB107" s="1119">
        <f>AB53</f>
        <v>0</v>
      </c>
      <c r="AC107" s="1119">
        <f>AC53</f>
        <v>-192</v>
      </c>
      <c r="AD107" s="1119">
        <f>AD53</f>
        <v>-35</v>
      </c>
      <c r="AE107" s="1121">
        <f>SUM(AA107:AD107)</f>
        <v>-497</v>
      </c>
      <c r="AF107" s="1060"/>
      <c r="AG107" s="1118">
        <f>AG53</f>
        <v>-33</v>
      </c>
      <c r="AH107" s="1119">
        <f>AH53</f>
        <v>-44</v>
      </c>
      <c r="AI107" s="1119">
        <f>AI53</f>
        <v>0</v>
      </c>
      <c r="AJ107" s="1119">
        <f>AJ53</f>
        <v>-95</v>
      </c>
      <c r="AK107" s="1121">
        <f>AK53</f>
        <v>-172</v>
      </c>
      <c r="AL107" s="1060"/>
      <c r="AM107" s="1122">
        <f>AM53</f>
        <v>-79</v>
      </c>
      <c r="AN107" s="1123">
        <f>AN53</f>
        <v>-140</v>
      </c>
      <c r="AO107" s="1123">
        <f>AO53</f>
        <v>-681</v>
      </c>
      <c r="AP107" s="1123">
        <f>AP53</f>
        <v>0</v>
      </c>
      <c r="AQ107" s="1121">
        <f>SUM(AM107:AP107)</f>
        <v>-900</v>
      </c>
      <c r="AR107" s="1060"/>
      <c r="AS107" s="1122">
        <f>AS53</f>
        <v>-100</v>
      </c>
      <c r="AT107" s="1123">
        <f>AT53</f>
        <v>-50</v>
      </c>
      <c r="AU107" s="1736">
        <v>0</v>
      </c>
      <c r="AV107" s="1736">
        <v>0</v>
      </c>
      <c r="AW107" s="1121">
        <f>SUM(AS107:AV107)</f>
        <v>-150</v>
      </c>
      <c r="AX107" s="1060"/>
      <c r="AY107" s="1122">
        <f>AY53</f>
        <v>-6</v>
      </c>
      <c r="AZ107" s="1123">
        <f>AZ53</f>
        <v>-162</v>
      </c>
      <c r="BA107" s="1123">
        <f>BA53</f>
        <v>-99</v>
      </c>
      <c r="BB107" s="1123">
        <f>BB53</f>
        <v>0</v>
      </c>
      <c r="BC107" s="1121">
        <f>SUM(AY107:BB107)</f>
        <v>-267</v>
      </c>
      <c r="BD107" s="1060"/>
      <c r="BE107" s="1122">
        <f>BE53</f>
        <v>-200</v>
      </c>
      <c r="BF107" s="1123">
        <f>BF53</f>
        <v>-94</v>
      </c>
      <c r="BG107" s="1123">
        <f>BG53</f>
        <v>-94</v>
      </c>
      <c r="BH107" s="1123">
        <f>BH53</f>
        <v>-46</v>
      </c>
      <c r="BI107" s="1121">
        <f>SUM(BE107:BH107)</f>
        <v>-434</v>
      </c>
      <c r="BJ107" s="1060"/>
      <c r="BK107" s="1122">
        <f>BK53</f>
        <v>-111</v>
      </c>
      <c r="BL107" s="1123">
        <f>BL53</f>
        <v>-83</v>
      </c>
      <c r="BM107" s="1123">
        <f>BM53</f>
        <v>0</v>
      </c>
      <c r="BN107" s="1123">
        <f>BN53</f>
        <v>0</v>
      </c>
      <c r="BO107" s="1121">
        <f>SUM(BK107:BN107)</f>
        <v>-194</v>
      </c>
      <c r="BP107" s="1060"/>
      <c r="BQ107" s="1122">
        <f>BQ53</f>
        <v>-47</v>
      </c>
      <c r="BR107" s="1736">
        <v>-111</v>
      </c>
      <c r="BS107" s="1736">
        <f>+BR107</f>
        <v>-111</v>
      </c>
      <c r="BT107" s="1736">
        <f>+BS107</f>
        <v>-111</v>
      </c>
      <c r="BU107" s="1121">
        <f>SUM(BQ107:BT107)</f>
        <v>-380</v>
      </c>
      <c r="BV107" s="1060"/>
      <c r="BW107" s="1737">
        <v>-107.5</v>
      </c>
      <c r="BX107" s="1736">
        <f>+BW107</f>
        <v>-107.5</v>
      </c>
      <c r="BY107" s="1736">
        <f>+BX107</f>
        <v>-107.5</v>
      </c>
      <c r="BZ107" s="1736">
        <f>+BY107</f>
        <v>-107.5</v>
      </c>
      <c r="CA107" s="1121">
        <f>SUM(BW107:BZ107)</f>
        <v>-430</v>
      </c>
      <c r="CB107" s="963"/>
      <c r="CC107" s="1737">
        <v>-107.5</v>
      </c>
      <c r="CD107" s="1736">
        <f>+CC107</f>
        <v>-107.5</v>
      </c>
      <c r="CE107" s="1736">
        <f>+CD107</f>
        <v>-107.5</v>
      </c>
      <c r="CF107" s="1736">
        <f>+CE107</f>
        <v>-107.5</v>
      </c>
      <c r="CG107" s="1121">
        <f>SUM(CC107:CF107)</f>
        <v>-430</v>
      </c>
      <c r="CI107" s="1737">
        <v>-107.5</v>
      </c>
      <c r="CJ107" s="1736">
        <f>+CI107</f>
        <v>-107.5</v>
      </c>
      <c r="CK107" s="1736">
        <f>+CJ107</f>
        <v>-107.5</v>
      </c>
      <c r="CL107" s="1736">
        <f>+CK107</f>
        <v>-107.5</v>
      </c>
      <c r="CM107" s="1121">
        <f>SUM(CI107:CL107)</f>
        <v>-430</v>
      </c>
      <c r="CP107" s="1980"/>
    </row>
    <row r="108" spans="1:94" ht="12.75" customHeight="1">
      <c r="A108" s="798" t="s">
        <v>462</v>
      </c>
      <c r="B108" s="982" t="s">
        <v>113</v>
      </c>
      <c r="C108" s="1066"/>
      <c r="D108" s="1067"/>
      <c r="E108" s="1067"/>
      <c r="F108" s="1067"/>
      <c r="G108" s="1068"/>
      <c r="H108" s="1060"/>
      <c r="I108" s="1066"/>
      <c r="J108" s="1067"/>
      <c r="K108" s="1067"/>
      <c r="L108" s="1067"/>
      <c r="M108" s="1068"/>
      <c r="N108" s="1060"/>
      <c r="O108" s="1066">
        <f>O87</f>
        <v>12.928751139230561</v>
      </c>
      <c r="P108" s="1067">
        <f>P87</f>
        <v>12.893005404902995</v>
      </c>
      <c r="Q108" s="1067">
        <f>Q87</f>
        <v>16.182395982545575</v>
      </c>
      <c r="R108" s="1067">
        <f>R87</f>
        <v>18.10598029434755</v>
      </c>
      <c r="S108" s="1068">
        <f>S87</f>
        <v>18.10598029434755</v>
      </c>
      <c r="T108" s="1060"/>
      <c r="U108" s="1066">
        <f>U87</f>
        <v>20.043868477553747</v>
      </c>
      <c r="V108" s="1067">
        <f>V87</f>
        <v>26.622660359133516</v>
      </c>
      <c r="W108" s="1067">
        <f>W87</f>
        <v>20.12967525899402</v>
      </c>
      <c r="X108" s="1067">
        <f>X87</f>
        <v>24.970813134610111</v>
      </c>
      <c r="Y108" s="1068">
        <f>Y87</f>
        <v>34.919998999999997</v>
      </c>
      <c r="Z108" s="1060"/>
      <c r="AA108" s="1066">
        <f>AA87</f>
        <v>40.979996</v>
      </c>
      <c r="AB108" s="1067">
        <f>AB87</f>
        <v>49.909989000000003</v>
      </c>
      <c r="AC108" s="1067">
        <f>AC87</f>
        <v>42.159989000000003</v>
      </c>
      <c r="AD108" s="350">
        <f>AD87</f>
        <v>40.89</v>
      </c>
      <c r="AE108" s="1070">
        <f>AE87</f>
        <v>40.89</v>
      </c>
      <c r="AF108" s="1060"/>
      <c r="AG108" s="1066">
        <f>AG87</f>
        <v>43.159989000000003</v>
      </c>
      <c r="AH108" s="1067">
        <f>AH87</f>
        <v>42.559998</v>
      </c>
      <c r="AI108" s="1067">
        <f>AI87</f>
        <v>37.939988</v>
      </c>
      <c r="AJ108" s="1067">
        <f>AJ87</f>
        <v>35.939988</v>
      </c>
      <c r="AK108" s="1070">
        <f>AK87</f>
        <v>35.939988</v>
      </c>
      <c r="AL108" s="1060"/>
      <c r="AM108" s="1071">
        <f>AM87</f>
        <v>44.64</v>
      </c>
      <c r="AN108" s="350">
        <f>AN87</f>
        <v>41.299987999999999</v>
      </c>
      <c r="AO108" s="350">
        <f>AO87</f>
        <v>45.599991000000003</v>
      </c>
      <c r="AP108" s="350">
        <f>AP87</f>
        <v>51.869996</v>
      </c>
      <c r="AQ108" s="1070">
        <f>AQ87</f>
        <v>51.869996</v>
      </c>
      <c r="AR108" s="1060"/>
      <c r="AS108" s="1071">
        <f>AS87</f>
        <v>57.649994</v>
      </c>
      <c r="AT108" s="1069">
        <f>AT87</f>
        <v>40.130000000000003</v>
      </c>
      <c r="AU108" s="350">
        <f>AU87</f>
        <v>40.700361238151423</v>
      </c>
      <c r="AV108" s="350">
        <f>AV87</f>
        <v>40.867543875328863</v>
      </c>
      <c r="AW108" s="1070">
        <f>AW87</f>
        <v>44.83697477837007</v>
      </c>
      <c r="AX108" s="1060"/>
      <c r="AY108" s="1071">
        <f>AY87</f>
        <v>40.534917540983592</v>
      </c>
      <c r="AZ108" s="350">
        <f>AZ87</f>
        <v>41.585968000000001</v>
      </c>
      <c r="BA108" s="350">
        <f>BA87</f>
        <v>40.621562953125022</v>
      </c>
      <c r="BB108" s="350">
        <f>BB87</f>
        <v>36.510312312499991</v>
      </c>
      <c r="BC108" s="1070">
        <f>BC87</f>
        <v>39.813190201652148</v>
      </c>
      <c r="BD108" s="1060"/>
      <c r="BE108" s="1071">
        <f>BE87</f>
        <v>39.433770573770488</v>
      </c>
      <c r="BF108" s="350">
        <f>BF87</f>
        <v>38.978571365079382</v>
      </c>
      <c r="BG108" s="350">
        <f>BG87</f>
        <v>44.917460349206358</v>
      </c>
      <c r="BH108" s="350">
        <f>BH87</f>
        <v>46.438000476923079</v>
      </c>
      <c r="BI108" s="1070">
        <f>BI87</f>
        <v>42.441950691244827</v>
      </c>
      <c r="BJ108" s="1060"/>
      <c r="BK108" s="1071">
        <f>BK87</f>
        <v>46.156452338709684</v>
      </c>
      <c r="BL108" s="350">
        <f>BL87</f>
        <v>52.22459108196724</v>
      </c>
      <c r="BM108" s="350">
        <f>BM87</f>
        <v>59.090782390625009</v>
      </c>
      <c r="BN108" s="350">
        <f>BN87</f>
        <v>64.371846815384643</v>
      </c>
      <c r="BO108" s="1070">
        <f>BO87</f>
        <v>55.460918156671639</v>
      </c>
      <c r="BP108" s="1060"/>
      <c r="BQ108" s="1071">
        <f>BQ87</f>
        <v>69.197582096774212</v>
      </c>
      <c r="BR108" s="350">
        <f>BR87</f>
        <v>70.541852171316307</v>
      </c>
      <c r="BS108" s="350">
        <f>BS87</f>
        <v>71.912236771518877</v>
      </c>
      <c r="BT108" s="350">
        <f>BT87</f>
        <v>73.309243212439654</v>
      </c>
      <c r="BU108" s="1070">
        <f>BU87</f>
        <v>71.240228563012266</v>
      </c>
      <c r="BV108" s="1060"/>
      <c r="BW108" s="1071">
        <f>BW87</f>
        <v>74.733388664516141</v>
      </c>
      <c r="BX108" s="350">
        <f>BX87</f>
        <v>76.185200345021599</v>
      </c>
      <c r="BY108" s="350">
        <f>BY87</f>
        <v>77.665215713240372</v>
      </c>
      <c r="BZ108" s="350">
        <f>BZ87</f>
        <v>79.173982669434821</v>
      </c>
      <c r="CA108" s="1070">
        <f>CA87</f>
        <v>76.939446848053237</v>
      </c>
      <c r="CB108" s="350"/>
      <c r="CC108" s="1071">
        <f>CC87</f>
        <v>80.712059757677423</v>
      </c>
      <c r="CD108" s="350">
        <f>CD87</f>
        <v>82.280016372623322</v>
      </c>
      <c r="CE108" s="350">
        <f>CE87</f>
        <v>83.878432970299599</v>
      </c>
      <c r="CF108" s="350">
        <f>CF87</f>
        <v>85.507901282989593</v>
      </c>
      <c r="CG108" s="1070">
        <f>CG87</f>
        <v>83.094602595897484</v>
      </c>
      <c r="CI108" s="1071">
        <f>CI87</f>
        <v>87.169024538291609</v>
      </c>
      <c r="CJ108" s="350">
        <f>CJ87</f>
        <v>88.862417682433176</v>
      </c>
      <c r="CK108" s="350">
        <f>CK87</f>
        <v>90.588707607923553</v>
      </c>
      <c r="CL108" s="350">
        <f>CL87</f>
        <v>92.348533385628755</v>
      </c>
      <c r="CM108" s="1070">
        <f>CM87</f>
        <v>89.742170803569266</v>
      </c>
    </row>
    <row r="109" spans="1:94" ht="12.75" customHeight="1">
      <c r="A109" s="1124" t="s">
        <v>463</v>
      </c>
      <c r="B109" s="982" t="s">
        <v>113</v>
      </c>
      <c r="C109" s="1125"/>
      <c r="D109" s="1089"/>
      <c r="E109" s="1089"/>
      <c r="F109" s="1089"/>
      <c r="G109" s="1126"/>
      <c r="H109" s="1060"/>
      <c r="I109" s="1125"/>
      <c r="J109" s="1089"/>
      <c r="K109" s="1089"/>
      <c r="L109" s="1089"/>
      <c r="M109" s="1126"/>
      <c r="N109" s="1060"/>
      <c r="O109" s="1125"/>
      <c r="P109" s="1089"/>
      <c r="Q109" s="1089"/>
      <c r="R109" s="1089"/>
      <c r="S109" s="1126"/>
      <c r="T109" s="1060"/>
      <c r="U109" s="1125"/>
      <c r="V109" s="1089"/>
      <c r="W109" s="1089"/>
      <c r="X109" s="1089"/>
      <c r="Y109" s="1126"/>
      <c r="Z109" s="1060"/>
      <c r="AA109" s="1125"/>
      <c r="AB109" s="1089"/>
      <c r="AC109" s="1089"/>
      <c r="AD109" s="1091"/>
      <c r="AE109" s="1126"/>
      <c r="AF109" s="1060"/>
      <c r="AG109" s="1125"/>
      <c r="AH109" s="1089"/>
      <c r="AI109" s="1089"/>
      <c r="AJ109" s="1089"/>
      <c r="AK109" s="1126"/>
      <c r="AL109" s="1060"/>
      <c r="AM109" s="1125"/>
      <c r="AN109" s="1089"/>
      <c r="AO109" s="1089"/>
      <c r="AP109" s="1089"/>
      <c r="AQ109" s="1126"/>
      <c r="AR109" s="1060"/>
      <c r="AS109" s="1125"/>
      <c r="AT109" s="1089"/>
      <c r="AU109" s="1089"/>
      <c r="AV109" s="1089"/>
      <c r="AW109" s="1126"/>
      <c r="AX109" s="1060"/>
      <c r="AY109" s="1125"/>
      <c r="AZ109" s="1089"/>
      <c r="BA109" s="1089"/>
      <c r="BB109" s="1089"/>
      <c r="BC109" s="1126"/>
      <c r="BD109" s="1060"/>
      <c r="BE109" s="1125"/>
      <c r="BF109" s="1089"/>
      <c r="BG109" s="1089"/>
      <c r="BH109" s="1089"/>
      <c r="BI109" s="1126"/>
      <c r="BJ109" s="1060"/>
      <c r="BK109" s="1125"/>
      <c r="BL109" s="1089"/>
      <c r="BM109" s="1089"/>
      <c r="BN109" s="1089"/>
      <c r="BO109" s="1126"/>
      <c r="BP109" s="1060"/>
      <c r="BQ109" s="1125"/>
      <c r="BR109" s="1089"/>
      <c r="BS109" s="1089"/>
      <c r="BT109" s="1089"/>
      <c r="BU109" s="1126"/>
      <c r="BV109" s="1060"/>
      <c r="BW109" s="1125"/>
      <c r="BX109" s="1089"/>
      <c r="BY109" s="1089"/>
      <c r="BZ109" s="1089"/>
      <c r="CA109" s="1126"/>
      <c r="CB109" s="2134"/>
      <c r="CC109" s="1125"/>
      <c r="CD109" s="1089"/>
      <c r="CE109" s="1089"/>
      <c r="CF109" s="1089"/>
      <c r="CG109" s="1126"/>
      <c r="CI109" s="1125"/>
      <c r="CJ109" s="1089"/>
      <c r="CK109" s="1089"/>
      <c r="CL109" s="1089"/>
      <c r="CM109" s="1126"/>
    </row>
    <row r="110" spans="1:94">
      <c r="B110" s="1127"/>
      <c r="H110" s="1127"/>
      <c r="N110" s="1127"/>
      <c r="T110" s="1127"/>
      <c r="Z110" s="1127"/>
      <c r="AD110" s="1128"/>
      <c r="AF110" s="1127"/>
      <c r="AL110" s="1127"/>
      <c r="AR110" s="1127"/>
      <c r="AX110" s="1127"/>
      <c r="BD110" s="1127"/>
      <c r="BJ110" s="1127"/>
      <c r="BP110" s="1127"/>
      <c r="BV110" s="1127"/>
    </row>
    <row r="111" spans="1:94">
      <c r="A111" s="949"/>
      <c r="B111" s="1127"/>
      <c r="H111" s="1127"/>
      <c r="N111" s="1127"/>
      <c r="T111" s="1127"/>
      <c r="Z111" s="1127"/>
      <c r="AD111" s="1128"/>
      <c r="AF111" s="1127"/>
      <c r="AL111" s="1127"/>
      <c r="AR111" s="1127"/>
      <c r="AW111" s="1129"/>
      <c r="AX111" s="1127"/>
      <c r="BC111" s="1743"/>
      <c r="BD111" s="1742"/>
      <c r="BF111" s="1743"/>
      <c r="BG111" s="1743"/>
      <c r="BH111" s="1743"/>
      <c r="BI111" s="1743"/>
      <c r="BJ111" s="302"/>
      <c r="BO111" s="1743"/>
      <c r="BP111" s="302"/>
      <c r="BU111" s="1743"/>
      <c r="BV111" s="302"/>
      <c r="CA111" s="1743"/>
      <c r="CB111" s="1743"/>
      <c r="CG111" s="1743"/>
      <c r="CM111" s="1743"/>
    </row>
    <row r="112" spans="1:94">
      <c r="A112" s="949"/>
      <c r="B112" s="1127"/>
      <c r="H112" s="1127"/>
      <c r="N112" s="1127"/>
      <c r="T112" s="1127"/>
      <c r="Z112" s="1127"/>
      <c r="AD112" s="1128"/>
      <c r="AF112" s="1127"/>
      <c r="AL112" s="1127"/>
      <c r="AQ112" s="1254"/>
      <c r="AR112" s="1127"/>
      <c r="AW112" s="1254"/>
      <c r="AX112" s="1127"/>
      <c r="BC112" s="1254"/>
      <c r="BD112" s="2091"/>
      <c r="BI112" s="1254"/>
      <c r="BJ112" s="1127"/>
      <c r="BO112" s="1547"/>
      <c r="BP112" s="1127"/>
      <c r="BU112" s="1547"/>
      <c r="BV112" s="2091"/>
      <c r="CA112" s="1547"/>
      <c r="CB112" s="1547"/>
      <c r="CG112" s="1547"/>
      <c r="CH112" s="1547"/>
      <c r="CM112" s="1547"/>
      <c r="CN112" s="1547"/>
      <c r="CO112" s="1547"/>
    </row>
    <row r="113" spans="55:91" customFormat="1" hidden="1" outlineLevel="1"/>
    <row r="114" spans="55:91" collapsed="1">
      <c r="BO114" s="1254"/>
      <c r="BU114" s="1254"/>
      <c r="CA114" s="1254"/>
      <c r="CB114" s="1254"/>
      <c r="CG114" s="1254"/>
      <c r="CM114" s="1254"/>
    </row>
    <row r="116" spans="55:91">
      <c r="BC116" s="1877"/>
      <c r="BD116" s="1898"/>
      <c r="BF116" s="1877"/>
      <c r="BG116" s="1877"/>
      <c r="BH116" s="1877"/>
      <c r="BI116" s="1877"/>
      <c r="BJ116" s="1898"/>
      <c r="BK116" s="1877"/>
      <c r="BL116" s="1877"/>
      <c r="BM116" s="1877"/>
      <c r="BN116" s="1877"/>
      <c r="BO116" s="1877"/>
      <c r="BP116" s="1898"/>
      <c r="BQ116" s="1877"/>
      <c r="BR116" s="1877"/>
      <c r="BS116" s="1877"/>
      <c r="BT116" s="1877"/>
      <c r="BU116" s="1877"/>
      <c r="BV116" s="1898"/>
      <c r="BW116" s="1877"/>
      <c r="BX116" s="1877"/>
      <c r="BY116" s="1877"/>
      <c r="BZ116" s="1877"/>
      <c r="CA116" s="1877"/>
      <c r="CB116" s="1877"/>
      <c r="CC116" s="1877"/>
      <c r="CD116" s="1877"/>
      <c r="CE116" s="1877"/>
      <c r="CF116" s="1877"/>
      <c r="CG116" s="1877"/>
      <c r="CI116" s="1877"/>
      <c r="CJ116" s="1877"/>
      <c r="CK116" s="1877"/>
      <c r="CL116" s="1877"/>
      <c r="CM116" s="1877"/>
    </row>
  </sheetData>
  <pageMargins left="0" right="0" top="0" bottom="0" header="0" footer="0"/>
  <pageSetup scale="57" orientation="portrait" r:id="rId1"/>
  <ignoredErrors>
    <ignoredError sqref="BL41:BM44 BM52 BM54:BM57 AK64:CM64 CM74:CM76 AK71:CM73 AK69:BM69 BO69:BP69 AK66:CM68 AK65:BP65 BR65:CM65 BR69:CM69 AK70:BP70 BR70:CM70" formula="1"/>
    <ignoredError sqref="A74:AJ76" unlockedFormula="1"/>
    <ignoredError sqref="AK75:CL76 AK74:BM74 BO74:CL74" formula="1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CO48"/>
  <sheetViews>
    <sheetView zoomScaleNormal="100" workbookViewId="0">
      <pane xSplit="4" ySplit="8" topLeftCell="AG9" activePane="bottomRight" state="frozen"/>
      <selection pane="topRight" activeCell="E1" sqref="E1"/>
      <selection pane="bottomLeft" activeCell="A9" sqref="A9"/>
      <selection pane="bottomRight" activeCell="A2" sqref="A2"/>
    </sheetView>
  </sheetViews>
  <sheetFormatPr defaultColWidth="9.42578125" defaultRowHeight="12.75" outlineLevelRow="1" outlineLevelCol="1"/>
  <cols>
    <col min="1" max="1" width="33.7109375" style="950" customWidth="1"/>
    <col min="2" max="3" width="10.7109375" style="950" customWidth="1"/>
    <col min="4" max="4" width="0.85546875" style="950" hidden="1" customWidth="1" outlineLevel="1"/>
    <col min="5" max="9" width="8.7109375" style="950" hidden="1" customWidth="1" outlineLevel="1"/>
    <col min="10" max="10" width="0.85546875" style="950" hidden="1" customWidth="1" outlineLevel="1"/>
    <col min="11" max="15" width="8.7109375" style="950" hidden="1" customWidth="1" outlineLevel="1"/>
    <col min="16" max="16" width="0.85546875" style="950" hidden="1" customWidth="1" outlineLevel="1"/>
    <col min="17" max="21" width="8.7109375" style="950" hidden="1" customWidth="1" outlineLevel="1"/>
    <col min="22" max="22" width="0.85546875" style="950" hidden="1" customWidth="1" outlineLevel="1"/>
    <col min="23" max="26" width="8.7109375" style="950" hidden="1" customWidth="1" outlineLevel="1"/>
    <col min="27" max="27" width="8.7109375" style="950" hidden="1" customWidth="1" outlineLevel="1" collapsed="1"/>
    <col min="28" max="28" width="0.85546875" style="950" hidden="1" customWidth="1" outlineLevel="1"/>
    <col min="29" max="32" width="8.7109375" style="950" hidden="1" customWidth="1" outlineLevel="1"/>
    <col min="33" max="33" width="8.7109375" style="950" customWidth="1" collapsed="1"/>
    <col min="34" max="34" width="0.85546875" style="950" customWidth="1"/>
    <col min="35" max="38" width="8.7109375" style="950" hidden="1" customWidth="1" outlineLevel="1"/>
    <col min="39" max="39" width="8.7109375" style="950" customWidth="1" collapsed="1"/>
    <col min="40" max="40" width="0.85546875" style="950" customWidth="1"/>
    <col min="41" max="44" width="8.7109375" style="950" hidden="1" customWidth="1" outlineLevel="1"/>
    <col min="45" max="45" width="8.7109375" style="950" customWidth="1" collapsed="1"/>
    <col min="46" max="46" width="0.85546875" style="950" customWidth="1"/>
    <col min="47" max="50" width="8.7109375" style="950" hidden="1" customWidth="1" outlineLevel="1"/>
    <col min="51" max="51" width="8.7109375" style="950" customWidth="1" collapsed="1"/>
    <col min="52" max="52" width="0.85546875" style="950" customWidth="1"/>
    <col min="53" max="56" width="8.7109375" style="950" hidden="1" customWidth="1" outlineLevel="1"/>
    <col min="57" max="57" width="8.7109375" style="950" customWidth="1" collapsed="1"/>
    <col min="58" max="58" width="0.85546875" style="950" customWidth="1"/>
    <col min="59" max="62" width="8.7109375" style="950" hidden="1" customWidth="1" outlineLevel="1"/>
    <col min="63" max="63" width="8.7109375" style="950" customWidth="1" collapsed="1"/>
    <col min="64" max="64" width="0.85546875" style="950" customWidth="1"/>
    <col min="65" max="68" width="8.7109375" style="950" hidden="1" customWidth="1" outlineLevel="1"/>
    <col min="69" max="69" width="8.7109375" style="950" customWidth="1" collapsed="1"/>
    <col min="70" max="70" width="0.85546875" style="950" customWidth="1"/>
    <col min="71" max="74" width="8.7109375" style="950" customWidth="1" outlineLevel="1"/>
    <col min="75" max="75" width="8.7109375" style="950" customWidth="1"/>
    <col min="76" max="76" width="0.85546875" style="950" customWidth="1"/>
    <col min="77" max="80" width="8.7109375" style="950" customWidth="1" outlineLevel="1"/>
    <col min="81" max="81" width="8.7109375" style="950" customWidth="1"/>
    <col min="82" max="82" width="0.85546875" style="2104" customWidth="1"/>
    <col min="83" max="86" width="8.7109375" style="2104" hidden="1" customWidth="1" outlineLevel="1"/>
    <col min="87" max="87" width="8.7109375" style="2104" customWidth="1" collapsed="1"/>
    <col min="88" max="88" width="0.85546875" style="950" customWidth="1"/>
    <col min="89" max="92" width="8.7109375" style="2356" hidden="1" customWidth="1" outlineLevel="1"/>
    <col min="93" max="93" width="8.7109375" style="2356" customWidth="1" collapsed="1"/>
    <col min="94" max="16384" width="9.42578125" style="950"/>
  </cols>
  <sheetData>
    <row r="1" spans="1:93" ht="6" customHeight="1">
      <c r="A1" s="958"/>
      <c r="B1" s="958"/>
      <c r="C1" s="958"/>
      <c r="D1" s="958"/>
      <c r="E1" s="958"/>
      <c r="F1" s="958"/>
      <c r="G1" s="958"/>
      <c r="H1" s="958"/>
      <c r="I1" s="958"/>
      <c r="J1" s="958"/>
      <c r="K1" s="958"/>
      <c r="L1" s="958"/>
      <c r="M1" s="958"/>
      <c r="N1" s="958"/>
      <c r="O1" s="958"/>
      <c r="P1" s="958"/>
      <c r="Q1" s="958"/>
      <c r="R1" s="958"/>
      <c r="S1" s="958"/>
      <c r="T1" s="958"/>
      <c r="U1" s="958"/>
      <c r="V1" s="958"/>
      <c r="W1" s="958"/>
      <c r="X1" s="958"/>
      <c r="Y1" s="958"/>
      <c r="Z1" s="958"/>
      <c r="AA1" s="958"/>
      <c r="AB1" s="958"/>
      <c r="AC1" s="958"/>
      <c r="AD1" s="958"/>
      <c r="AE1" s="958"/>
      <c r="AF1" s="958"/>
      <c r="AG1" s="958"/>
      <c r="AH1" s="958"/>
      <c r="AI1" s="958"/>
      <c r="AJ1" s="958"/>
      <c r="AK1" s="958"/>
      <c r="AL1" s="958"/>
      <c r="AM1" s="958"/>
      <c r="AN1" s="958"/>
      <c r="AO1" s="958"/>
      <c r="AP1" s="958"/>
      <c r="AQ1" s="958"/>
      <c r="AR1" s="958"/>
      <c r="AS1" s="958"/>
      <c r="AT1" s="958"/>
      <c r="AU1" s="958"/>
      <c r="AV1" s="958"/>
      <c r="AW1" s="958"/>
      <c r="AX1" s="958"/>
      <c r="AY1" s="958"/>
      <c r="AZ1" s="958"/>
      <c r="BA1" s="958"/>
      <c r="BB1" s="958"/>
      <c r="BC1" s="958"/>
      <c r="BD1" s="958"/>
      <c r="BE1" s="958"/>
      <c r="BF1" s="958"/>
      <c r="BG1" s="958"/>
      <c r="BH1" s="958"/>
      <c r="BI1" s="958"/>
      <c r="BJ1" s="958"/>
      <c r="BK1" s="958"/>
      <c r="BL1" s="958"/>
      <c r="BM1" s="958"/>
      <c r="BN1" s="958"/>
      <c r="BO1" s="958"/>
      <c r="BP1" s="958"/>
      <c r="BQ1" s="958"/>
      <c r="BR1" s="958"/>
      <c r="BS1" s="958"/>
      <c r="BT1" s="958"/>
      <c r="BU1" s="958"/>
      <c r="BV1" s="958"/>
      <c r="BW1" s="958"/>
      <c r="BX1" s="958"/>
      <c r="BY1" s="958"/>
      <c r="BZ1" s="958"/>
      <c r="CA1" s="958"/>
      <c r="CB1" s="958"/>
      <c r="CC1" s="958"/>
      <c r="CD1" s="958"/>
      <c r="CE1" s="958"/>
      <c r="CF1" s="958"/>
      <c r="CG1" s="958"/>
      <c r="CH1" s="958"/>
      <c r="CI1" s="958"/>
      <c r="CK1" s="958"/>
      <c r="CL1" s="958"/>
      <c r="CM1" s="958"/>
      <c r="CN1" s="958"/>
      <c r="CO1" s="958"/>
    </row>
    <row r="2" spans="1:93" ht="12.75" customHeight="1">
      <c r="A2" s="3" t="s">
        <v>0</v>
      </c>
      <c r="B2" s="1136"/>
      <c r="C2" s="1136"/>
      <c r="D2" s="1137"/>
      <c r="E2" s="1137"/>
      <c r="F2" s="1137"/>
      <c r="G2" s="1137"/>
      <c r="H2" s="1137"/>
      <c r="I2" s="1138"/>
      <c r="J2" s="1137"/>
      <c r="K2" s="1137"/>
      <c r="L2" s="1137"/>
      <c r="M2" s="1137"/>
      <c r="N2" s="1137"/>
      <c r="O2" s="1138"/>
      <c r="P2" s="1137"/>
      <c r="Q2" s="1137"/>
      <c r="R2" s="1137"/>
      <c r="S2" s="1137"/>
      <c r="T2" s="1137"/>
      <c r="U2" s="1138"/>
      <c r="V2" s="1137"/>
      <c r="W2" s="1137"/>
      <c r="X2" s="1137"/>
      <c r="Y2" s="1137"/>
      <c r="Z2" s="1137"/>
      <c r="AA2" s="1138"/>
      <c r="AB2" s="1137"/>
      <c r="AC2" s="1137"/>
      <c r="AD2" s="1137"/>
      <c r="AE2" s="1137"/>
      <c r="AF2" s="1137"/>
      <c r="AG2" s="1138"/>
      <c r="AH2" s="1137"/>
      <c r="AI2" s="1139"/>
      <c r="AJ2" s="1137"/>
      <c r="AK2" s="1137"/>
      <c r="AL2" s="1137"/>
      <c r="AM2" s="1137"/>
      <c r="AN2" s="1137"/>
      <c r="AO2" s="1137"/>
      <c r="AP2" s="1137"/>
      <c r="AQ2" s="1137"/>
      <c r="AR2" s="1137"/>
      <c r="AS2" s="1137"/>
      <c r="AT2" s="1137"/>
      <c r="AU2" s="1137"/>
      <c r="AV2" s="1137"/>
      <c r="AW2" s="1137"/>
      <c r="AX2" s="1137"/>
      <c r="AY2" s="1137"/>
      <c r="AZ2" s="1137"/>
      <c r="BA2" s="1137"/>
      <c r="BB2" s="1137"/>
      <c r="BC2" s="1137"/>
      <c r="BD2" s="1137"/>
      <c r="BE2" s="1137"/>
      <c r="BF2" s="1137"/>
      <c r="BG2" s="1137"/>
      <c r="BH2" s="1137"/>
      <c r="BI2" s="1137"/>
      <c r="BJ2" s="1137"/>
      <c r="BK2" s="1137"/>
      <c r="BL2" s="1137"/>
      <c r="BM2" s="1137"/>
      <c r="BN2" s="1137"/>
      <c r="BO2" s="1137"/>
      <c r="BP2" s="1137"/>
      <c r="BQ2" s="1137"/>
      <c r="BR2" s="1137"/>
      <c r="BS2" s="1137"/>
      <c r="BT2" s="1137"/>
      <c r="BU2" s="1137"/>
      <c r="BV2" s="1137"/>
      <c r="BW2" s="1137"/>
      <c r="BX2" s="1137"/>
      <c r="BY2" s="1137"/>
      <c r="BZ2" s="1137"/>
      <c r="CA2" s="1137"/>
      <c r="CB2" s="1137"/>
      <c r="CC2" s="1137"/>
      <c r="CD2" s="1137"/>
      <c r="CE2" s="1137"/>
      <c r="CF2" s="1137"/>
      <c r="CG2" s="1137"/>
      <c r="CH2" s="1137"/>
      <c r="CI2" s="1137"/>
      <c r="CK2" s="1137"/>
      <c r="CL2" s="1137"/>
      <c r="CM2" s="1137"/>
      <c r="CN2" s="1137"/>
      <c r="CO2" s="1137"/>
    </row>
    <row r="3" spans="1:93" ht="12.75" customHeight="1">
      <c r="A3" s="1140" t="s">
        <v>470</v>
      </c>
      <c r="B3" s="1140"/>
      <c r="C3" s="1140"/>
      <c r="D3" s="1135"/>
      <c r="E3" s="1135"/>
      <c r="F3" s="1135"/>
      <c r="G3" s="1135"/>
      <c r="H3" s="1135"/>
      <c r="I3" s="1135"/>
      <c r="J3" s="1135"/>
      <c r="K3" s="1135"/>
      <c r="L3" s="1135"/>
      <c r="M3" s="1135"/>
      <c r="N3" s="1135"/>
      <c r="O3" s="1135"/>
      <c r="P3" s="1135"/>
      <c r="Q3" s="1135"/>
      <c r="R3" s="1135"/>
      <c r="S3" s="1135"/>
      <c r="T3" s="1135"/>
      <c r="U3" s="1135"/>
      <c r="V3" s="1135"/>
      <c r="W3" s="1135"/>
      <c r="X3" s="1135"/>
      <c r="Y3" s="1135"/>
      <c r="Z3" s="1135"/>
      <c r="AA3" s="1135"/>
      <c r="AB3" s="1135"/>
      <c r="AC3" s="1135"/>
      <c r="AD3" s="1135"/>
      <c r="AE3" s="1135"/>
      <c r="AF3" s="1135"/>
      <c r="AG3" s="1135"/>
      <c r="AH3" s="1135"/>
      <c r="AI3" s="1135"/>
      <c r="AJ3" s="1135"/>
      <c r="AK3" s="1135"/>
      <c r="AL3" s="1135"/>
      <c r="AM3" s="1135"/>
      <c r="AN3" s="1135"/>
      <c r="AO3" s="1135"/>
      <c r="AP3" s="1135"/>
      <c r="AQ3" s="1135"/>
      <c r="AR3" s="1135"/>
      <c r="AS3" s="1135"/>
      <c r="AT3" s="1135"/>
      <c r="AU3" s="1135"/>
      <c r="AV3" s="1135"/>
      <c r="AW3" s="1135"/>
      <c r="AX3" s="1135"/>
      <c r="AY3" s="1141"/>
      <c r="AZ3" s="1135"/>
      <c r="BA3" s="1135"/>
      <c r="BB3" s="1135"/>
      <c r="BC3" s="1135"/>
      <c r="BD3" s="1135"/>
      <c r="BE3" s="1142"/>
      <c r="BF3" s="1135"/>
      <c r="BG3" s="1135"/>
      <c r="BH3" s="1135"/>
      <c r="BI3" s="1135"/>
      <c r="BJ3" s="1135"/>
      <c r="BK3" s="1142"/>
      <c r="BL3" s="1135"/>
      <c r="BM3" s="1135"/>
      <c r="BN3" s="1135"/>
      <c r="BO3" s="1135"/>
      <c r="BP3" s="1135"/>
      <c r="BQ3" s="1142"/>
      <c r="BR3" s="1135"/>
      <c r="BS3" s="1135"/>
      <c r="BT3" s="1135"/>
      <c r="BU3" s="1135"/>
      <c r="BV3" s="1135"/>
      <c r="BW3" s="1142"/>
      <c r="BX3" s="1135"/>
      <c r="BY3" s="1135"/>
      <c r="BZ3" s="1135"/>
      <c r="CA3" s="1135"/>
      <c r="CB3" s="1135"/>
      <c r="CC3" s="1142"/>
      <c r="CD3" s="2139"/>
      <c r="CE3" s="1135"/>
      <c r="CF3" s="1135"/>
      <c r="CG3" s="1135"/>
      <c r="CH3" s="1135"/>
      <c r="CI3" s="1142"/>
      <c r="CK3" s="1135"/>
      <c r="CL3" s="1135"/>
      <c r="CM3" s="1135"/>
      <c r="CN3" s="1135"/>
      <c r="CO3" s="1142"/>
    </row>
    <row r="4" spans="1:93" ht="12.75" customHeight="1">
      <c r="A4" s="1143" t="s">
        <v>471</v>
      </c>
      <c r="B4" s="1143"/>
      <c r="C4" s="1143"/>
      <c r="D4" s="1144"/>
      <c r="E4" s="1144"/>
      <c r="F4" s="1144"/>
      <c r="G4" s="1144"/>
      <c r="H4" s="1144"/>
      <c r="I4" s="1144"/>
      <c r="J4" s="1144"/>
      <c r="K4" s="1144"/>
      <c r="L4" s="1144"/>
      <c r="M4" s="1144"/>
      <c r="N4" s="1144"/>
      <c r="O4" s="1144"/>
      <c r="P4" s="1144"/>
      <c r="Q4" s="1144"/>
      <c r="R4" s="1144"/>
      <c r="S4" s="1144"/>
      <c r="T4" s="1144"/>
      <c r="U4" s="1144"/>
      <c r="V4" s="1144"/>
      <c r="W4" s="1144"/>
      <c r="X4" s="1144"/>
      <c r="Y4" s="1144"/>
      <c r="Z4" s="1144"/>
      <c r="AA4" s="1145"/>
      <c r="AB4" s="1144"/>
      <c r="AC4" s="1144"/>
      <c r="AD4" s="1144"/>
      <c r="AE4" s="1146"/>
      <c r="AF4" s="1146"/>
      <c r="AG4" s="1145"/>
      <c r="AH4" s="1144"/>
      <c r="AI4" s="1146"/>
      <c r="AJ4" s="1146"/>
      <c r="AK4" s="1147"/>
      <c r="AL4" s="1146"/>
      <c r="AM4" s="1146"/>
      <c r="AN4" s="1144"/>
      <c r="AO4" s="1146"/>
      <c r="AP4" s="1146"/>
      <c r="AQ4" s="1146"/>
      <c r="AR4" s="1146"/>
      <c r="AS4" s="1146"/>
      <c r="AT4" s="1144"/>
      <c r="AU4" s="1146"/>
      <c r="AV4" s="1146"/>
      <c r="AW4" s="1146"/>
      <c r="AX4" s="1146"/>
      <c r="AY4" s="1146"/>
      <c r="AZ4" s="1144"/>
      <c r="BA4" s="1146"/>
      <c r="BB4" s="1146"/>
      <c r="BC4" s="1146"/>
      <c r="BD4" s="1146"/>
      <c r="BE4" s="1146"/>
      <c r="BF4" s="1144"/>
      <c r="BG4" s="1146"/>
      <c r="BH4" s="1146"/>
      <c r="BI4" s="1146"/>
      <c r="BJ4" s="1146"/>
      <c r="BK4" s="1146"/>
      <c r="BL4" s="1144"/>
      <c r="BM4" s="1146"/>
      <c r="BN4" s="1146"/>
      <c r="BO4" s="1146"/>
      <c r="BP4" s="1146"/>
      <c r="BQ4" s="1146"/>
      <c r="BR4" s="1144"/>
      <c r="BS4" s="1146"/>
      <c r="BT4" s="1146"/>
      <c r="BU4" s="1146"/>
      <c r="BV4" s="1146"/>
      <c r="BW4" s="1146"/>
      <c r="BX4" s="1144"/>
      <c r="BY4" s="1146"/>
      <c r="BZ4" s="1146"/>
      <c r="CA4" s="1146"/>
      <c r="CB4" s="1146"/>
      <c r="CC4" s="1146"/>
      <c r="CD4" s="1234"/>
      <c r="CE4" s="1146"/>
      <c r="CF4" s="1146"/>
      <c r="CG4" s="1146"/>
      <c r="CH4" s="1146"/>
      <c r="CI4" s="1146"/>
      <c r="CK4" s="1146"/>
      <c r="CL4" s="1146"/>
      <c r="CM4" s="1146"/>
      <c r="CN4" s="1146"/>
      <c r="CO4" s="1146"/>
    </row>
    <row r="5" spans="1:93" ht="12.75" customHeight="1">
      <c r="A5" s="1148" t="s">
        <v>253</v>
      </c>
      <c r="B5" s="1148" t="s">
        <v>472</v>
      </c>
      <c r="C5" s="1754">
        <v>1.5449999999999999E-3</v>
      </c>
      <c r="D5" s="958"/>
      <c r="E5" s="958"/>
      <c r="F5" s="958"/>
      <c r="G5" s="958"/>
      <c r="H5" s="958"/>
      <c r="I5" s="958"/>
      <c r="J5" s="958"/>
      <c r="K5" s="958"/>
      <c r="L5" s="958"/>
      <c r="M5" s="958"/>
      <c r="N5" s="958"/>
      <c r="O5" s="958"/>
      <c r="P5" s="958"/>
      <c r="Q5" s="958"/>
      <c r="R5" s="958"/>
      <c r="S5" s="958"/>
      <c r="T5" s="958"/>
      <c r="U5" s="958"/>
      <c r="V5" s="958"/>
      <c r="W5" s="958"/>
      <c r="X5" s="958"/>
      <c r="Y5" s="958"/>
      <c r="Z5" s="958"/>
      <c r="AA5" s="1149"/>
      <c r="AB5" s="958"/>
      <c r="AC5" s="958"/>
      <c r="AD5" s="958"/>
      <c r="AE5" s="958"/>
      <c r="AF5" s="958"/>
      <c r="AG5" s="958"/>
      <c r="AH5" s="958"/>
      <c r="AI5" s="958"/>
      <c r="AJ5" s="958"/>
      <c r="AK5" s="958"/>
      <c r="AL5" s="958"/>
      <c r="AM5" s="958"/>
      <c r="AN5" s="958"/>
      <c r="AO5" s="958"/>
      <c r="AP5" s="958"/>
      <c r="AQ5" s="958"/>
      <c r="AR5" s="958"/>
      <c r="AS5" s="958"/>
      <c r="AT5" s="958"/>
      <c r="AU5" s="958"/>
      <c r="AV5" s="958"/>
      <c r="AW5" s="958"/>
      <c r="AX5" s="958"/>
      <c r="AY5" s="958"/>
      <c r="AZ5" s="958"/>
      <c r="BA5" s="958"/>
      <c r="BB5" s="958"/>
      <c r="BC5" s="958"/>
      <c r="BD5" s="958"/>
      <c r="BE5" s="958"/>
      <c r="BF5" s="958"/>
      <c r="BG5" s="958"/>
      <c r="BH5" s="958"/>
      <c r="BI5" s="958"/>
      <c r="BJ5" s="958"/>
      <c r="BK5" s="958"/>
      <c r="BL5" s="958"/>
      <c r="BM5" s="958"/>
      <c r="BN5" s="958"/>
      <c r="BO5" s="958"/>
      <c r="BP5" s="958"/>
      <c r="BQ5" s="958"/>
      <c r="BR5" s="958"/>
      <c r="BS5" s="958"/>
      <c r="BT5" s="958"/>
      <c r="BU5" s="958"/>
      <c r="BV5" s="958"/>
      <c r="BW5" s="958"/>
      <c r="BX5" s="958"/>
      <c r="BY5" s="958"/>
      <c r="BZ5" s="958"/>
      <c r="CA5" s="958"/>
      <c r="CB5" s="958"/>
      <c r="CC5" s="958"/>
      <c r="CD5" s="958"/>
      <c r="CE5" s="958"/>
      <c r="CF5" s="958"/>
      <c r="CG5" s="958"/>
      <c r="CH5" s="958"/>
      <c r="CI5" s="958"/>
      <c r="CK5" s="958"/>
      <c r="CL5" s="958"/>
      <c r="CM5" s="958"/>
      <c r="CN5" s="958"/>
      <c r="CO5" s="958"/>
    </row>
    <row r="6" spans="1:93" ht="12.75" hidden="1" customHeight="1" outlineLevel="1">
      <c r="A6" s="1130"/>
      <c r="B6" s="1130"/>
      <c r="C6" s="1130"/>
      <c r="D6" s="1150"/>
      <c r="E6" s="1543" t="s">
        <v>4</v>
      </c>
      <c r="F6" s="1543" t="s">
        <v>5</v>
      </c>
      <c r="G6" s="1543" t="s">
        <v>6</v>
      </c>
      <c r="H6" s="1543" t="s">
        <v>7</v>
      </c>
      <c r="I6" s="1544" t="s">
        <v>8</v>
      </c>
      <c r="J6" s="1545"/>
      <c r="K6" s="1543" t="s">
        <v>9</v>
      </c>
      <c r="L6" s="1543" t="s">
        <v>10</v>
      </c>
      <c r="M6" s="1543" t="s">
        <v>11</v>
      </c>
      <c r="N6" s="1543" t="s">
        <v>12</v>
      </c>
      <c r="O6" s="1544" t="s">
        <v>13</v>
      </c>
      <c r="P6" s="1545"/>
      <c r="Q6" s="1543" t="s">
        <v>14</v>
      </c>
      <c r="R6" s="1543" t="s">
        <v>15</v>
      </c>
      <c r="S6" s="1543" t="s">
        <v>16</v>
      </c>
      <c r="T6" s="1543" t="s">
        <v>17</v>
      </c>
      <c r="U6" s="1544" t="s">
        <v>18</v>
      </c>
      <c r="V6" s="1546"/>
      <c r="W6" s="1543" t="s">
        <v>19</v>
      </c>
      <c r="X6" s="1543" t="s">
        <v>20</v>
      </c>
      <c r="Y6" s="1543" t="s">
        <v>21</v>
      </c>
      <c r="Z6" s="1543" t="s">
        <v>22</v>
      </c>
      <c r="AA6" s="1544" t="s">
        <v>23</v>
      </c>
      <c r="AB6" s="1546"/>
      <c r="AC6" s="1543" t="s">
        <v>24</v>
      </c>
      <c r="AD6" s="1543" t="s">
        <v>25</v>
      </c>
      <c r="AE6" s="1543" t="s">
        <v>26</v>
      </c>
      <c r="AF6" s="1543" t="s">
        <v>27</v>
      </c>
      <c r="AG6" s="1544" t="s">
        <v>28</v>
      </c>
      <c r="AH6" s="1546"/>
      <c r="AI6" s="1543" t="s">
        <v>29</v>
      </c>
      <c r="AJ6" s="1543" t="s">
        <v>30</v>
      </c>
      <c r="AK6" s="1543" t="s">
        <v>31</v>
      </c>
      <c r="AL6" s="1543" t="s">
        <v>32</v>
      </c>
      <c r="AM6" s="1544" t="s">
        <v>33</v>
      </c>
      <c r="AN6" s="1546"/>
      <c r="AO6" s="1544" t="s">
        <v>34</v>
      </c>
      <c r="AP6" s="1544" t="s">
        <v>35</v>
      </c>
      <c r="AQ6" s="1544" t="s">
        <v>36</v>
      </c>
      <c r="AR6" s="1544" t="s">
        <v>37</v>
      </c>
      <c r="AS6" s="1544" t="s">
        <v>38</v>
      </c>
      <c r="AT6" s="1546"/>
      <c r="AU6" s="1544" t="s">
        <v>39</v>
      </c>
      <c r="AV6" s="1544" t="s">
        <v>40</v>
      </c>
      <c r="AW6" s="1544" t="s">
        <v>41</v>
      </c>
      <c r="AX6" s="1544" t="s">
        <v>42</v>
      </c>
      <c r="AY6" s="1544" t="s">
        <v>43</v>
      </c>
      <c r="AZ6" s="1546"/>
      <c r="BA6" s="1544" t="s">
        <v>44</v>
      </c>
      <c r="BB6" s="1544" t="s">
        <v>45</v>
      </c>
      <c r="BC6" s="1544" t="s">
        <v>46</v>
      </c>
      <c r="BD6" s="1544" t="s">
        <v>47</v>
      </c>
      <c r="BE6" s="1544" t="s">
        <v>48</v>
      </c>
      <c r="BF6" s="1546"/>
      <c r="BG6" s="1544" t="s">
        <v>49</v>
      </c>
      <c r="BH6" s="1544" t="s">
        <v>50</v>
      </c>
      <c r="BI6" s="1544" t="s">
        <v>51</v>
      </c>
      <c r="BJ6" s="1544" t="s">
        <v>52</v>
      </c>
      <c r="BK6" s="1544" t="s">
        <v>53</v>
      </c>
      <c r="BL6" s="1546"/>
      <c r="BM6" s="1544" t="s">
        <v>54</v>
      </c>
      <c r="BN6" s="1544" t="s">
        <v>55</v>
      </c>
      <c r="BO6" s="1544" t="s">
        <v>56</v>
      </c>
      <c r="BP6" s="1544" t="s">
        <v>57</v>
      </c>
      <c r="BQ6" s="1544" t="s">
        <v>58</v>
      </c>
      <c r="BR6" s="1546"/>
      <c r="BS6" s="1544" t="s">
        <v>509</v>
      </c>
      <c r="BT6" s="1544" t="s">
        <v>510</v>
      </c>
      <c r="BU6" s="1544" t="s">
        <v>511</v>
      </c>
      <c r="BV6" s="1544" t="s">
        <v>512</v>
      </c>
      <c r="BW6" s="1544" t="s">
        <v>513</v>
      </c>
      <c r="BX6" s="1546"/>
      <c r="BY6" s="1544" t="s">
        <v>550</v>
      </c>
      <c r="BZ6" s="1544" t="s">
        <v>551</v>
      </c>
      <c r="CA6" s="1544" t="s">
        <v>552</v>
      </c>
      <c r="CB6" s="1544" t="s">
        <v>553</v>
      </c>
      <c r="CC6" s="1544" t="s">
        <v>554</v>
      </c>
      <c r="CD6" s="1544"/>
      <c r="CE6" s="2154" t="s">
        <v>568</v>
      </c>
      <c r="CF6" s="2154" t="s">
        <v>569</v>
      </c>
      <c r="CG6" s="2154" t="s">
        <v>570</v>
      </c>
      <c r="CH6" s="2154" t="s">
        <v>571</v>
      </c>
      <c r="CI6" s="2154" t="s">
        <v>572</v>
      </c>
      <c r="CK6" s="2154" t="s">
        <v>577</v>
      </c>
      <c r="CL6" s="2154" t="s">
        <v>578</v>
      </c>
      <c r="CM6" s="2154" t="s">
        <v>579</v>
      </c>
      <c r="CN6" s="2154" t="s">
        <v>580</v>
      </c>
      <c r="CO6" s="2154" t="s">
        <v>581</v>
      </c>
    </row>
    <row r="7" spans="1:93" ht="12.75" customHeight="1" collapsed="1">
      <c r="A7" s="1151"/>
      <c r="B7" s="1151"/>
      <c r="C7" s="1151"/>
      <c r="D7" s="1130"/>
      <c r="E7" s="1152" t="s">
        <v>59</v>
      </c>
      <c r="F7" s="1153"/>
      <c r="G7" s="1153"/>
      <c r="H7" s="1154"/>
      <c r="I7" s="1155" t="str">
        <f>E7</f>
        <v>2007A</v>
      </c>
      <c r="J7" s="1130"/>
      <c r="K7" s="1152" t="s">
        <v>60</v>
      </c>
      <c r="L7" s="1153"/>
      <c r="M7" s="1153"/>
      <c r="N7" s="1154"/>
      <c r="O7" s="1155" t="str">
        <f>K7</f>
        <v>2008A</v>
      </c>
      <c r="P7" s="1130"/>
      <c r="Q7" s="1152" t="s">
        <v>61</v>
      </c>
      <c r="R7" s="1153"/>
      <c r="S7" s="1153"/>
      <c r="T7" s="1154"/>
      <c r="U7" s="1155" t="str">
        <f>Q7</f>
        <v>2009A</v>
      </c>
      <c r="V7" s="1130"/>
      <c r="W7" s="1152" t="s">
        <v>62</v>
      </c>
      <c r="X7" s="1153"/>
      <c r="Y7" s="1153"/>
      <c r="Z7" s="1154"/>
      <c r="AA7" s="1155" t="str">
        <f>W7</f>
        <v>2010A</v>
      </c>
      <c r="AB7" s="1130"/>
      <c r="AC7" s="1152" t="s">
        <v>63</v>
      </c>
      <c r="AD7" s="1153"/>
      <c r="AE7" s="1153"/>
      <c r="AF7" s="1154"/>
      <c r="AG7" s="1155" t="str">
        <f>AC7</f>
        <v>2011A</v>
      </c>
      <c r="AH7" s="1130"/>
      <c r="AI7" s="1152" t="s">
        <v>64</v>
      </c>
      <c r="AJ7" s="1153"/>
      <c r="AK7" s="1153"/>
      <c r="AL7" s="1154"/>
      <c r="AM7" s="1155" t="str">
        <f>AI7</f>
        <v>2012A</v>
      </c>
      <c r="AN7" s="1130"/>
      <c r="AO7" s="1156" t="s">
        <v>65</v>
      </c>
      <c r="AP7" s="1153"/>
      <c r="AQ7" s="1153"/>
      <c r="AR7" s="1154"/>
      <c r="AS7" s="1155" t="str">
        <f>AO7</f>
        <v>2013A</v>
      </c>
      <c r="AT7" s="1130"/>
      <c r="AU7" s="1156" t="s">
        <v>66</v>
      </c>
      <c r="AV7" s="1153"/>
      <c r="AW7" s="1153"/>
      <c r="AX7" s="1154"/>
      <c r="AY7" s="1155" t="str">
        <f>AU7</f>
        <v>2014A</v>
      </c>
      <c r="AZ7" s="1130"/>
      <c r="BA7" s="1156" t="s">
        <v>536</v>
      </c>
      <c r="BB7" s="1153"/>
      <c r="BC7" s="1153"/>
      <c r="BD7" s="1154"/>
      <c r="BE7" s="1155" t="str">
        <f>BA7</f>
        <v>2015A</v>
      </c>
      <c r="BF7" s="1130"/>
      <c r="BG7" s="1156" t="s">
        <v>562</v>
      </c>
      <c r="BH7" s="1153"/>
      <c r="BI7" s="1153"/>
      <c r="BJ7" s="1154"/>
      <c r="BK7" s="1155" t="str">
        <f>BG7</f>
        <v>2016A</v>
      </c>
      <c r="BL7" s="1130"/>
      <c r="BM7" s="1156" t="s">
        <v>544</v>
      </c>
      <c r="BN7" s="1153"/>
      <c r="BO7" s="1153"/>
      <c r="BP7" s="1154"/>
      <c r="BQ7" s="1155" t="str">
        <f>BM7</f>
        <v>2017A</v>
      </c>
      <c r="BR7" s="1130"/>
      <c r="BS7" s="1156" t="str">
        <f>+CF!BQ6</f>
        <v>2018E</v>
      </c>
      <c r="BT7" s="1153"/>
      <c r="BU7" s="1153"/>
      <c r="BV7" s="1154"/>
      <c r="BW7" s="1155" t="str">
        <f>BS7</f>
        <v>2018E</v>
      </c>
      <c r="BX7" s="1130"/>
      <c r="BY7" s="1156" t="str">
        <f>+CF!BW6</f>
        <v>2019E</v>
      </c>
      <c r="BZ7" s="1153"/>
      <c r="CA7" s="1153"/>
      <c r="CB7" s="1154"/>
      <c r="CC7" s="1155" t="str">
        <f>BY7</f>
        <v>2019E</v>
      </c>
      <c r="CD7" s="2140"/>
      <c r="CE7" s="1156" t="str">
        <f>+CF!CC6</f>
        <v>2020E</v>
      </c>
      <c r="CF7" s="1153"/>
      <c r="CG7" s="1153"/>
      <c r="CH7" s="1154"/>
      <c r="CI7" s="1155" t="str">
        <f>CE7</f>
        <v>2020E</v>
      </c>
      <c r="CK7" s="1156" t="str">
        <f>+CF!CI6</f>
        <v>2021E</v>
      </c>
      <c r="CL7" s="1153"/>
      <c r="CM7" s="1153"/>
      <c r="CN7" s="1154"/>
      <c r="CO7" s="1155" t="str">
        <f>CK7</f>
        <v>2021E</v>
      </c>
    </row>
    <row r="8" spans="1:93" ht="12.75" customHeight="1" thickBot="1">
      <c r="A8" s="1157"/>
      <c r="B8" s="1157"/>
      <c r="C8" s="1157"/>
      <c r="D8" s="1158"/>
      <c r="E8" s="1159">
        <f>IS!C8</f>
        <v>39113</v>
      </c>
      <c r="F8" s="1160">
        <f>IS!D8</f>
        <v>39202</v>
      </c>
      <c r="G8" s="1160">
        <f>IS!E8</f>
        <v>39293</v>
      </c>
      <c r="H8" s="1160">
        <f>IS!F8</f>
        <v>39384</v>
      </c>
      <c r="I8" s="1161"/>
      <c r="J8" s="1158"/>
      <c r="K8" s="1159">
        <f>IS!I8</f>
        <v>39478</v>
      </c>
      <c r="L8" s="1160">
        <f>IS!J8</f>
        <v>39567</v>
      </c>
      <c r="M8" s="1160">
        <f>IS!K8</f>
        <v>39658</v>
      </c>
      <c r="N8" s="1160">
        <f>IS!L8</f>
        <v>39749</v>
      </c>
      <c r="O8" s="1161"/>
      <c r="P8" s="1158"/>
      <c r="Q8" s="1159">
        <f>IS!O8</f>
        <v>39843</v>
      </c>
      <c r="R8" s="1160">
        <f>IS!P8</f>
        <v>39932</v>
      </c>
      <c r="S8" s="1160">
        <f>IS!Q8</f>
        <v>40023</v>
      </c>
      <c r="T8" s="1160">
        <f>IS!R8</f>
        <v>40114</v>
      </c>
      <c r="U8" s="1161"/>
      <c r="V8" s="1162"/>
      <c r="W8" s="1159">
        <f>IS!U8</f>
        <v>40208</v>
      </c>
      <c r="X8" s="1160">
        <f>IS!V8</f>
        <v>40297</v>
      </c>
      <c r="Y8" s="1160">
        <f>IS!W8</f>
        <v>40388</v>
      </c>
      <c r="Z8" s="1160">
        <f>IS!X8</f>
        <v>40479</v>
      </c>
      <c r="AA8" s="1161"/>
      <c r="AB8" s="1162"/>
      <c r="AC8" s="1159">
        <f>IS!AA8</f>
        <v>40573</v>
      </c>
      <c r="AD8" s="1160">
        <f>IS!AB8</f>
        <v>40662</v>
      </c>
      <c r="AE8" s="1160">
        <f>IS!AC8</f>
        <v>40753</v>
      </c>
      <c r="AF8" s="1160">
        <f>IS!AD8</f>
        <v>40844</v>
      </c>
      <c r="AG8" s="1161"/>
      <c r="AH8" s="1162"/>
      <c r="AI8" s="1159">
        <f>IS!AG8</f>
        <v>40938</v>
      </c>
      <c r="AJ8" s="1160">
        <f>IS!AH8</f>
        <v>41027</v>
      </c>
      <c r="AK8" s="1160">
        <f>IS!AI8</f>
        <v>41118</v>
      </c>
      <c r="AL8" s="1160">
        <f>IS!AJ8</f>
        <v>41209</v>
      </c>
      <c r="AM8" s="1161"/>
      <c r="AN8" s="1162"/>
      <c r="AO8" s="1159">
        <f>IS!AM8</f>
        <v>41303</v>
      </c>
      <c r="AP8" s="1160">
        <f>IS!AN8</f>
        <v>41392</v>
      </c>
      <c r="AQ8" s="1160">
        <f>IS!AO8</f>
        <v>41483</v>
      </c>
      <c r="AR8" s="1160">
        <f>IS!AP8</f>
        <v>41574</v>
      </c>
      <c r="AS8" s="1161"/>
      <c r="AT8" s="1162"/>
      <c r="AU8" s="1163">
        <f>IS!AS8</f>
        <v>41668</v>
      </c>
      <c r="AV8" s="1160">
        <f>IS!AT8</f>
        <v>41757</v>
      </c>
      <c r="AW8" s="1160">
        <f>IS!AU8</f>
        <v>41846</v>
      </c>
      <c r="AX8" s="1160">
        <f>IS!AV8</f>
        <v>41937</v>
      </c>
      <c r="AY8" s="1161"/>
      <c r="AZ8" s="1162"/>
      <c r="BA8" s="1163">
        <f>IS!AY8</f>
        <v>42033</v>
      </c>
      <c r="BB8" s="1160">
        <f>IS!AZ8</f>
        <v>42122</v>
      </c>
      <c r="BC8" s="1160">
        <f>IS!BA8</f>
        <v>42213</v>
      </c>
      <c r="BD8" s="1160">
        <f>IS!BB8</f>
        <v>42304</v>
      </c>
      <c r="BE8" s="1161"/>
      <c r="BF8" s="1162"/>
      <c r="BG8" s="1163">
        <f>IS!BE8</f>
        <v>42398</v>
      </c>
      <c r="BH8" s="1160">
        <f>IS!BF8</f>
        <v>42487</v>
      </c>
      <c r="BI8" s="1160">
        <f>IS!BG8</f>
        <v>42578</v>
      </c>
      <c r="BJ8" s="1160">
        <f>IS!BH8</f>
        <v>42669</v>
      </c>
      <c r="BK8" s="1161"/>
      <c r="BL8" s="1162"/>
      <c r="BM8" s="1163">
        <f>IS!BK8</f>
        <v>42763</v>
      </c>
      <c r="BN8" s="1160">
        <f>IS!BL8</f>
        <v>42852</v>
      </c>
      <c r="BO8" s="1160">
        <f>IS!BM8</f>
        <v>42943</v>
      </c>
      <c r="BP8" s="1160">
        <f>IS!BN8</f>
        <v>43034</v>
      </c>
      <c r="BQ8" s="1161"/>
      <c r="BR8" s="1162"/>
      <c r="BS8" s="1163">
        <f>IS!BQ8</f>
        <v>43128</v>
      </c>
      <c r="BT8" s="1165">
        <f>IS!BR8</f>
        <v>43217</v>
      </c>
      <c r="BU8" s="1165">
        <f>IS!BS8</f>
        <v>43308</v>
      </c>
      <c r="BV8" s="1165">
        <f>IS!BT8</f>
        <v>43399</v>
      </c>
      <c r="BW8" s="1161"/>
      <c r="BX8" s="1162"/>
      <c r="BY8" s="1164">
        <f>IS!BW8</f>
        <v>43493</v>
      </c>
      <c r="BZ8" s="1165">
        <f>IS!BX8</f>
        <v>43582</v>
      </c>
      <c r="CA8" s="1165">
        <f>IS!BY8</f>
        <v>43673</v>
      </c>
      <c r="CB8" s="1165">
        <f>IS!BZ8</f>
        <v>43764</v>
      </c>
      <c r="CC8" s="1161"/>
      <c r="CD8" s="1167"/>
      <c r="CE8" s="1164">
        <f>IS!CC8</f>
        <v>43858</v>
      </c>
      <c r="CF8" s="1165">
        <f>IS!CD8</f>
        <v>43947</v>
      </c>
      <c r="CG8" s="1165">
        <f>IS!CE8</f>
        <v>44038</v>
      </c>
      <c r="CH8" s="1165">
        <f>IS!CF8</f>
        <v>44129</v>
      </c>
      <c r="CI8" s="1161"/>
      <c r="CK8" s="1164">
        <f>IS!CI8</f>
        <v>44223</v>
      </c>
      <c r="CL8" s="1165">
        <f>IS!CJ8</f>
        <v>44312</v>
      </c>
      <c r="CM8" s="1165">
        <f>IS!CK8</f>
        <v>44403</v>
      </c>
      <c r="CN8" s="1165">
        <f>IS!CL8</f>
        <v>44494</v>
      </c>
      <c r="CO8" s="1161"/>
    </row>
    <row r="9" spans="1:93" ht="12.75" customHeight="1">
      <c r="A9" s="1166" t="s">
        <v>473</v>
      </c>
      <c r="B9" s="1167" t="s">
        <v>474</v>
      </c>
      <c r="C9" s="1167" t="s">
        <v>475</v>
      </c>
      <c r="D9" s="1168"/>
      <c r="E9" s="1169"/>
      <c r="F9" s="1170"/>
      <c r="G9" s="1170"/>
      <c r="H9" s="1170"/>
      <c r="I9" s="1171"/>
      <c r="J9" s="1168"/>
      <c r="K9" s="1169"/>
      <c r="L9" s="1170"/>
      <c r="M9" s="1170"/>
      <c r="N9" s="1170"/>
      <c r="O9" s="1769"/>
      <c r="P9" s="1168"/>
      <c r="Q9" s="1169"/>
      <c r="R9" s="1170"/>
      <c r="S9" s="1170"/>
      <c r="T9" s="1772"/>
      <c r="U9" s="1769"/>
      <c r="V9" s="1769"/>
      <c r="W9" s="1170"/>
      <c r="X9" s="1170"/>
      <c r="Y9" s="1170"/>
      <c r="Z9" s="1772"/>
      <c r="AA9" s="1769"/>
      <c r="AB9" s="1168"/>
      <c r="AC9" s="1169"/>
      <c r="AD9" s="1170"/>
      <c r="AE9" s="1170"/>
      <c r="AF9" s="1170"/>
      <c r="AG9" s="1171"/>
      <c r="AH9" s="1168"/>
      <c r="AI9" s="1169"/>
      <c r="AJ9" s="1170"/>
      <c r="AK9" s="1172"/>
      <c r="AL9" s="1172"/>
      <c r="AM9" s="1171"/>
      <c r="AN9" s="1168"/>
      <c r="AO9" s="1169"/>
      <c r="AP9" s="1170"/>
      <c r="AQ9" s="1170"/>
      <c r="AR9" s="1170"/>
      <c r="AS9" s="1171"/>
      <c r="AT9" s="1168"/>
      <c r="AU9" s="1169"/>
      <c r="AV9" s="1170"/>
      <c r="AW9" s="1170"/>
      <c r="AX9" s="1170"/>
      <c r="AY9" s="1171"/>
      <c r="AZ9" s="1168"/>
      <c r="BA9" s="1169"/>
      <c r="BB9" s="1170"/>
      <c r="BC9" s="1170"/>
      <c r="BD9" s="1170"/>
      <c r="BE9" s="1171"/>
      <c r="BF9" s="1168"/>
      <c r="BG9" s="1169"/>
      <c r="BH9" s="1170"/>
      <c r="BI9" s="1170"/>
      <c r="BJ9" s="1170"/>
      <c r="BK9" s="1171"/>
      <c r="BL9" s="1168"/>
      <c r="BM9" s="1169"/>
      <c r="BN9" s="1170"/>
      <c r="BO9" s="1170"/>
      <c r="BP9" s="1170"/>
      <c r="BQ9" s="1171"/>
      <c r="BR9" s="1168"/>
      <c r="BS9" s="1169"/>
      <c r="BT9" s="1170"/>
      <c r="BU9" s="1170"/>
      <c r="BV9" s="1170"/>
      <c r="BW9" s="1171"/>
      <c r="BX9" s="1168"/>
      <c r="BY9" s="1169"/>
      <c r="BZ9" s="1170"/>
      <c r="CA9" s="1170"/>
      <c r="CB9" s="1170"/>
      <c r="CC9" s="1171"/>
      <c r="CD9" s="1168"/>
      <c r="CE9" s="1169"/>
      <c r="CF9" s="1170"/>
      <c r="CG9" s="1170"/>
      <c r="CH9" s="1170"/>
      <c r="CI9" s="1171"/>
      <c r="CK9" s="1169"/>
      <c r="CL9" s="1170"/>
      <c r="CM9" s="1170"/>
      <c r="CN9" s="1170"/>
      <c r="CO9" s="1171"/>
    </row>
    <row r="10" spans="1:93" ht="12.75" customHeight="1">
      <c r="A10" s="1173" t="s">
        <v>476</v>
      </c>
      <c r="B10" s="1757">
        <f>C5+1.75%</f>
        <v>1.9045000000000003E-2</v>
      </c>
      <c r="C10" s="1174"/>
      <c r="D10" s="1134"/>
      <c r="E10" s="970"/>
      <c r="F10" s="971"/>
      <c r="G10" s="971"/>
      <c r="H10" s="971"/>
      <c r="I10" s="1760">
        <v>1500</v>
      </c>
      <c r="J10" s="1134"/>
      <c r="K10" s="970"/>
      <c r="L10" s="971"/>
      <c r="M10" s="971"/>
      <c r="N10" s="971"/>
      <c r="O10" s="1242"/>
      <c r="P10" s="1134"/>
      <c r="Q10" s="1723">
        <v>1500</v>
      </c>
      <c r="R10" s="1724">
        <v>1500</v>
      </c>
      <c r="S10" s="1724">
        <v>1500</v>
      </c>
      <c r="T10" s="1773">
        <v>1500</v>
      </c>
      <c r="U10" s="1242">
        <f t="shared" ref="U10:U19" si="0">T10</f>
        <v>1500</v>
      </c>
      <c r="V10" s="1242"/>
      <c r="W10" s="1724">
        <v>0</v>
      </c>
      <c r="X10" s="1724">
        <v>0</v>
      </c>
      <c r="Y10" s="1724">
        <v>0</v>
      </c>
      <c r="Z10" s="1773">
        <v>0</v>
      </c>
      <c r="AA10" s="1242">
        <f t="shared" ref="AA10:AA19" si="1">Z10</f>
        <v>0</v>
      </c>
      <c r="AB10" s="1134"/>
      <c r="AC10" s="1723">
        <v>0</v>
      </c>
      <c r="AD10" s="1724">
        <v>0</v>
      </c>
      <c r="AE10" s="1724">
        <v>0</v>
      </c>
      <c r="AF10" s="1724">
        <v>0</v>
      </c>
      <c r="AG10" s="1175">
        <f t="shared" ref="AG10:AG19" si="2">AF10</f>
        <v>0</v>
      </c>
      <c r="AH10" s="1134"/>
      <c r="AI10" s="1723">
        <v>0</v>
      </c>
      <c r="AJ10" s="1724">
        <v>0</v>
      </c>
      <c r="AK10" s="1724">
        <v>0</v>
      </c>
      <c r="AL10" s="1724">
        <v>0</v>
      </c>
      <c r="AM10" s="1175">
        <f t="shared" ref="AM10:AM19" si="3">AL10</f>
        <v>0</v>
      </c>
      <c r="AN10" s="1134"/>
      <c r="AO10" s="1723">
        <v>0</v>
      </c>
      <c r="AP10" s="1724">
        <v>0</v>
      </c>
      <c r="AQ10" s="1724">
        <v>0</v>
      </c>
      <c r="AR10" s="1724">
        <v>0</v>
      </c>
      <c r="AS10" s="1175">
        <f t="shared" ref="AS10:AS19" si="4">AR10</f>
        <v>0</v>
      </c>
      <c r="AT10" s="1134"/>
      <c r="AU10" s="1756">
        <v>0</v>
      </c>
      <c r="AV10" s="1724">
        <v>0</v>
      </c>
      <c r="AW10" s="1724">
        <v>0</v>
      </c>
      <c r="AX10" s="1724">
        <v>0</v>
      </c>
      <c r="AY10" s="1175">
        <f t="shared" ref="AY10:AY19" si="5">AX10</f>
        <v>0</v>
      </c>
      <c r="AZ10" s="1134"/>
      <c r="BA10" s="1756">
        <v>0</v>
      </c>
      <c r="BB10" s="1724">
        <v>0</v>
      </c>
      <c r="BC10" s="1724">
        <v>0</v>
      </c>
      <c r="BD10" s="1724">
        <v>0</v>
      </c>
      <c r="BE10" s="1175">
        <f t="shared" ref="BE10:BE19" si="6">BD10</f>
        <v>0</v>
      </c>
      <c r="BF10" s="1134"/>
      <c r="BG10" s="1756">
        <v>0</v>
      </c>
      <c r="BH10" s="1724">
        <v>0</v>
      </c>
      <c r="BI10" s="1724">
        <v>0</v>
      </c>
      <c r="BJ10" s="1724">
        <v>0</v>
      </c>
      <c r="BK10" s="1175">
        <f t="shared" ref="BK10:BK19" si="7">BJ10</f>
        <v>0</v>
      </c>
      <c r="BL10" s="1134"/>
      <c r="BM10" s="1756">
        <v>0</v>
      </c>
      <c r="BN10" s="1724">
        <v>0</v>
      </c>
      <c r="BO10" s="1724">
        <v>0</v>
      </c>
      <c r="BP10" s="1724">
        <v>0</v>
      </c>
      <c r="BQ10" s="1175">
        <f t="shared" ref="BQ10:BQ19" si="8">BP10</f>
        <v>0</v>
      </c>
      <c r="BR10" s="1134"/>
      <c r="BS10" s="1756">
        <v>0</v>
      </c>
      <c r="BT10" s="1134">
        <f t="shared" ref="BT10:BV18" si="9">BS10+BT26</f>
        <v>0</v>
      </c>
      <c r="BU10" s="1134">
        <f t="shared" si="9"/>
        <v>0</v>
      </c>
      <c r="BV10" s="1134">
        <f t="shared" si="9"/>
        <v>0</v>
      </c>
      <c r="BW10" s="1175">
        <f t="shared" ref="BW10:BW19" si="10">BV10</f>
        <v>0</v>
      </c>
      <c r="BX10" s="1134"/>
      <c r="BY10" s="1176">
        <f t="shared" ref="BY10:BY18" si="11">BW10+BY26</f>
        <v>0</v>
      </c>
      <c r="BZ10" s="1134">
        <f t="shared" ref="BZ10:CB18" si="12">BY10+BZ26</f>
        <v>0</v>
      </c>
      <c r="CA10" s="1134">
        <f t="shared" si="12"/>
        <v>0</v>
      </c>
      <c r="CB10" s="1134">
        <f t="shared" si="12"/>
        <v>0</v>
      </c>
      <c r="CC10" s="1175">
        <f t="shared" ref="CC10:CC19" si="13">CB10</f>
        <v>0</v>
      </c>
      <c r="CD10" s="1027"/>
      <c r="CE10" s="1176">
        <f t="shared" ref="CE10:CE19" si="14">CC10+CE26</f>
        <v>0</v>
      </c>
      <c r="CF10" s="1134">
        <f t="shared" ref="CF10:CF19" si="15">CE10+CF26</f>
        <v>0</v>
      </c>
      <c r="CG10" s="1134">
        <f t="shared" ref="CG10:CG19" si="16">CF10+CG26</f>
        <v>0</v>
      </c>
      <c r="CH10" s="1134">
        <f t="shared" ref="CH10:CH19" si="17">CG10+CH26</f>
        <v>0</v>
      </c>
      <c r="CI10" s="1175">
        <f t="shared" ref="CI10:CI19" si="18">CH10</f>
        <v>0</v>
      </c>
      <c r="CK10" s="1176">
        <f t="shared" ref="CK10:CK19" si="19">CI10+CK26</f>
        <v>0</v>
      </c>
      <c r="CL10" s="1134">
        <f t="shared" ref="CL10:CL19" si="20">CK10+CL26</f>
        <v>0</v>
      </c>
      <c r="CM10" s="1134">
        <f t="shared" ref="CM10:CM19" si="21">CL10+CM26</f>
        <v>0</v>
      </c>
      <c r="CN10" s="1134">
        <f t="shared" ref="CN10:CN19" si="22">CM10+CN26</f>
        <v>0</v>
      </c>
      <c r="CO10" s="1175">
        <f t="shared" ref="CO10:CO19" si="23">CN10</f>
        <v>0</v>
      </c>
    </row>
    <row r="11" spans="1:93" ht="12.75" customHeight="1">
      <c r="A11" s="1173" t="s">
        <v>477</v>
      </c>
      <c r="B11" s="1757">
        <v>6.5000000000000002E-2</v>
      </c>
      <c r="C11" s="1758">
        <v>42746</v>
      </c>
      <c r="D11" s="1134"/>
      <c r="E11" s="970"/>
      <c r="F11" s="971"/>
      <c r="G11" s="971"/>
      <c r="H11" s="971"/>
      <c r="I11" s="1760">
        <v>587</v>
      </c>
      <c r="J11" s="1134"/>
      <c r="K11" s="970"/>
      <c r="L11" s="971"/>
      <c r="M11" s="971"/>
      <c r="N11" s="971"/>
      <c r="O11" s="1242"/>
      <c r="P11" s="1134"/>
      <c r="Q11" s="1723">
        <v>640</v>
      </c>
      <c r="R11" s="1724">
        <v>639</v>
      </c>
      <c r="S11" s="1724">
        <v>638</v>
      </c>
      <c r="T11" s="1773">
        <v>637</v>
      </c>
      <c r="U11" s="1242">
        <f t="shared" si="0"/>
        <v>637</v>
      </c>
      <c r="V11" s="1242"/>
      <c r="W11" s="1724">
        <v>636</v>
      </c>
      <c r="X11" s="1724">
        <v>635</v>
      </c>
      <c r="Y11" s="1724">
        <v>634</v>
      </c>
      <c r="Z11" s="1773">
        <v>633</v>
      </c>
      <c r="AA11" s="1242">
        <f t="shared" si="1"/>
        <v>633</v>
      </c>
      <c r="AB11" s="1134"/>
      <c r="AC11" s="1723">
        <v>632</v>
      </c>
      <c r="AD11" s="1724">
        <v>631</v>
      </c>
      <c r="AE11" s="1724">
        <v>630</v>
      </c>
      <c r="AF11" s="1724">
        <v>629</v>
      </c>
      <c r="AG11" s="1175">
        <f t="shared" si="2"/>
        <v>629</v>
      </c>
      <c r="AH11" s="1134"/>
      <c r="AI11" s="1723">
        <v>628</v>
      </c>
      <c r="AJ11" s="1724">
        <v>627</v>
      </c>
      <c r="AK11" s="1724">
        <v>626</v>
      </c>
      <c r="AL11" s="1724">
        <v>625</v>
      </c>
      <c r="AM11" s="1175">
        <f t="shared" si="3"/>
        <v>625</v>
      </c>
      <c r="AN11" s="1134"/>
      <c r="AO11" s="1723">
        <v>624</v>
      </c>
      <c r="AP11" s="1724">
        <v>623</v>
      </c>
      <c r="AQ11" s="1724">
        <v>622</v>
      </c>
      <c r="AR11" s="1724">
        <v>621</v>
      </c>
      <c r="AS11" s="1175">
        <f t="shared" si="4"/>
        <v>621</v>
      </c>
      <c r="AT11" s="1134"/>
      <c r="AU11" s="1756">
        <v>619</v>
      </c>
      <c r="AV11" s="1724">
        <v>618</v>
      </c>
      <c r="AW11" s="1724">
        <v>617</v>
      </c>
      <c r="AX11" s="1724">
        <v>103</v>
      </c>
      <c r="AY11" s="1175">
        <f t="shared" si="5"/>
        <v>103</v>
      </c>
      <c r="AZ11" s="1134"/>
      <c r="BA11" s="1756">
        <v>102</v>
      </c>
      <c r="BB11" s="1724">
        <v>102</v>
      </c>
      <c r="BC11" s="1724">
        <v>102</v>
      </c>
      <c r="BD11" s="1724">
        <v>102</v>
      </c>
      <c r="BE11" s="1175">
        <f t="shared" si="6"/>
        <v>102</v>
      </c>
      <c r="BF11" s="1134"/>
      <c r="BG11" s="1756">
        <v>102</v>
      </c>
      <c r="BH11" s="1724">
        <v>101</v>
      </c>
      <c r="BI11" s="1724">
        <v>101</v>
      </c>
      <c r="BJ11" s="1724">
        <v>101</v>
      </c>
      <c r="BK11" s="1175">
        <f t="shared" si="7"/>
        <v>101</v>
      </c>
      <c r="BL11" s="1134"/>
      <c r="BM11" s="1756">
        <v>0</v>
      </c>
      <c r="BN11" s="1724">
        <v>0</v>
      </c>
      <c r="BO11" s="1724">
        <v>0</v>
      </c>
      <c r="BP11" s="1724">
        <v>0</v>
      </c>
      <c r="BQ11" s="1175">
        <f t="shared" si="8"/>
        <v>0</v>
      </c>
      <c r="BR11" s="1134"/>
      <c r="BS11" s="1756">
        <v>0</v>
      </c>
      <c r="BT11" s="1134">
        <f t="shared" si="9"/>
        <v>0</v>
      </c>
      <c r="BU11" s="1134">
        <f t="shared" si="9"/>
        <v>0</v>
      </c>
      <c r="BV11" s="1134">
        <f t="shared" si="9"/>
        <v>0</v>
      </c>
      <c r="BW11" s="1175">
        <f t="shared" si="10"/>
        <v>0</v>
      </c>
      <c r="BX11" s="1134"/>
      <c r="BY11" s="1176">
        <f t="shared" si="11"/>
        <v>0</v>
      </c>
      <c r="BZ11" s="1134">
        <f t="shared" si="12"/>
        <v>0</v>
      </c>
      <c r="CA11" s="1134">
        <f t="shared" si="12"/>
        <v>0</v>
      </c>
      <c r="CB11" s="1134">
        <f t="shared" si="12"/>
        <v>0</v>
      </c>
      <c r="CC11" s="1175">
        <f t="shared" si="13"/>
        <v>0</v>
      </c>
      <c r="CD11" s="1027"/>
      <c r="CE11" s="1176">
        <f t="shared" si="14"/>
        <v>0</v>
      </c>
      <c r="CF11" s="1134">
        <f t="shared" si="15"/>
        <v>0</v>
      </c>
      <c r="CG11" s="1134">
        <f t="shared" si="16"/>
        <v>0</v>
      </c>
      <c r="CH11" s="1134">
        <f t="shared" si="17"/>
        <v>0</v>
      </c>
      <c r="CI11" s="1175">
        <f t="shared" si="18"/>
        <v>0</v>
      </c>
      <c r="CK11" s="1176">
        <f t="shared" si="19"/>
        <v>0</v>
      </c>
      <c r="CL11" s="1134">
        <f t="shared" si="20"/>
        <v>0</v>
      </c>
      <c r="CM11" s="1134">
        <f t="shared" si="21"/>
        <v>0</v>
      </c>
      <c r="CN11" s="1134">
        <f t="shared" si="22"/>
        <v>0</v>
      </c>
      <c r="CO11" s="1175">
        <f t="shared" si="23"/>
        <v>0</v>
      </c>
    </row>
    <row r="12" spans="1:93" ht="12.75" customHeight="1">
      <c r="A12" s="1173" t="s">
        <v>478</v>
      </c>
      <c r="B12" s="1757">
        <v>5.5E-2</v>
      </c>
      <c r="C12" s="1758">
        <v>42261</v>
      </c>
      <c r="D12" s="1134"/>
      <c r="E12" s="970"/>
      <c r="F12" s="971"/>
      <c r="G12" s="971"/>
      <c r="H12" s="971"/>
      <c r="I12" s="1760">
        <v>0</v>
      </c>
      <c r="J12" s="1134"/>
      <c r="K12" s="970"/>
      <c r="L12" s="971"/>
      <c r="M12" s="971"/>
      <c r="N12" s="971"/>
      <c r="O12" s="1242"/>
      <c r="P12" s="1134"/>
      <c r="Q12" s="1723">
        <v>0</v>
      </c>
      <c r="R12" s="1724">
        <v>0</v>
      </c>
      <c r="S12" s="1724">
        <v>0</v>
      </c>
      <c r="T12" s="1773">
        <v>500</v>
      </c>
      <c r="U12" s="1242">
        <f t="shared" si="0"/>
        <v>500</v>
      </c>
      <c r="V12" s="1242"/>
      <c r="W12" s="1724">
        <v>505</v>
      </c>
      <c r="X12" s="1724">
        <v>505</v>
      </c>
      <c r="Y12" s="1724">
        <v>531</v>
      </c>
      <c r="Z12" s="1773">
        <v>536</v>
      </c>
      <c r="AA12" s="1242">
        <f t="shared" si="1"/>
        <v>536</v>
      </c>
      <c r="AB12" s="1134"/>
      <c r="AC12" s="1723">
        <v>519</v>
      </c>
      <c r="AD12" s="1724">
        <v>521</v>
      </c>
      <c r="AE12" s="1724">
        <v>525</v>
      </c>
      <c r="AF12" s="1724">
        <v>523</v>
      </c>
      <c r="AG12" s="1175">
        <f t="shared" si="2"/>
        <v>523</v>
      </c>
      <c r="AH12" s="1134"/>
      <c r="AI12" s="1723">
        <v>522</v>
      </c>
      <c r="AJ12" s="1724">
        <v>521</v>
      </c>
      <c r="AK12" s="1724">
        <v>519</v>
      </c>
      <c r="AL12" s="1724">
        <v>517</v>
      </c>
      <c r="AM12" s="1175">
        <f t="shared" si="3"/>
        <v>517</v>
      </c>
      <c r="AN12" s="1134"/>
      <c r="AO12" s="1723">
        <v>516</v>
      </c>
      <c r="AP12" s="1724">
        <v>515</v>
      </c>
      <c r="AQ12" s="1724">
        <v>513</v>
      </c>
      <c r="AR12" s="1724">
        <v>512</v>
      </c>
      <c r="AS12" s="1175">
        <f t="shared" si="4"/>
        <v>512</v>
      </c>
      <c r="AT12" s="1134"/>
      <c r="AU12" s="1756">
        <v>511</v>
      </c>
      <c r="AV12" s="1724">
        <v>509</v>
      </c>
      <c r="AW12" s="1724">
        <v>0</v>
      </c>
      <c r="AX12" s="1724">
        <v>0</v>
      </c>
      <c r="AY12" s="1175">
        <f t="shared" si="5"/>
        <v>0</v>
      </c>
      <c r="AZ12" s="1134"/>
      <c r="BA12" s="1756">
        <v>0</v>
      </c>
      <c r="BB12" s="1724">
        <v>0</v>
      </c>
      <c r="BC12" s="1724">
        <v>0</v>
      </c>
      <c r="BD12" s="1724">
        <v>0</v>
      </c>
      <c r="BE12" s="1175">
        <f t="shared" si="6"/>
        <v>0</v>
      </c>
      <c r="BF12" s="1134"/>
      <c r="BG12" s="1756">
        <v>0</v>
      </c>
      <c r="BH12" s="1724">
        <v>0</v>
      </c>
      <c r="BI12" s="1724">
        <v>0</v>
      </c>
      <c r="BJ12" s="1724">
        <v>0</v>
      </c>
      <c r="BK12" s="1175">
        <f t="shared" si="7"/>
        <v>0</v>
      </c>
      <c r="BL12" s="1134"/>
      <c r="BM12" s="1756">
        <v>0</v>
      </c>
      <c r="BN12" s="1724">
        <v>0</v>
      </c>
      <c r="BO12" s="1724">
        <v>0</v>
      </c>
      <c r="BP12" s="1724">
        <v>0</v>
      </c>
      <c r="BQ12" s="1175">
        <f t="shared" si="8"/>
        <v>0</v>
      </c>
      <c r="BR12" s="1134"/>
      <c r="BS12" s="1756">
        <v>0</v>
      </c>
      <c r="BT12" s="1134">
        <f t="shared" si="9"/>
        <v>0</v>
      </c>
      <c r="BU12" s="1134">
        <f t="shared" si="9"/>
        <v>0</v>
      </c>
      <c r="BV12" s="1134">
        <f t="shared" si="9"/>
        <v>0</v>
      </c>
      <c r="BW12" s="1175">
        <f t="shared" si="10"/>
        <v>0</v>
      </c>
      <c r="BX12" s="1134"/>
      <c r="BY12" s="1176">
        <f t="shared" si="11"/>
        <v>0</v>
      </c>
      <c r="BZ12" s="1134">
        <f t="shared" si="12"/>
        <v>0</v>
      </c>
      <c r="CA12" s="1134">
        <f t="shared" si="12"/>
        <v>0</v>
      </c>
      <c r="CB12" s="1134">
        <f t="shared" si="12"/>
        <v>0</v>
      </c>
      <c r="CC12" s="1175">
        <f t="shared" si="13"/>
        <v>0</v>
      </c>
      <c r="CD12" s="1027"/>
      <c r="CE12" s="1176">
        <f t="shared" si="14"/>
        <v>0</v>
      </c>
      <c r="CF12" s="1134">
        <f t="shared" si="15"/>
        <v>0</v>
      </c>
      <c r="CG12" s="1134">
        <f t="shared" si="16"/>
        <v>0</v>
      </c>
      <c r="CH12" s="1134">
        <f t="shared" si="17"/>
        <v>0</v>
      </c>
      <c r="CI12" s="1175">
        <f t="shared" si="18"/>
        <v>0</v>
      </c>
      <c r="CK12" s="1176">
        <f t="shared" si="19"/>
        <v>0</v>
      </c>
      <c r="CL12" s="1134">
        <f t="shared" si="20"/>
        <v>0</v>
      </c>
      <c r="CM12" s="1134">
        <f t="shared" si="21"/>
        <v>0</v>
      </c>
      <c r="CN12" s="1134">
        <f t="shared" si="22"/>
        <v>0</v>
      </c>
      <c r="CO12" s="1175">
        <f t="shared" si="23"/>
        <v>0</v>
      </c>
    </row>
    <row r="13" spans="1:93" ht="12.75" customHeight="1">
      <c r="A13" s="1173" t="s">
        <v>479</v>
      </c>
      <c r="B13" s="1757">
        <v>4.4499999999999998E-2</v>
      </c>
      <c r="C13" s="1758">
        <v>41166</v>
      </c>
      <c r="D13" s="1134"/>
      <c r="E13" s="970"/>
      <c r="F13" s="971"/>
      <c r="G13" s="971"/>
      <c r="H13" s="971"/>
      <c r="I13" s="1760">
        <v>0</v>
      </c>
      <c r="J13" s="1134"/>
      <c r="K13" s="970"/>
      <c r="L13" s="971"/>
      <c r="M13" s="971"/>
      <c r="N13" s="971"/>
      <c r="O13" s="1242"/>
      <c r="P13" s="1134"/>
      <c r="Q13" s="1723">
        <v>0</v>
      </c>
      <c r="R13" s="1724">
        <v>0</v>
      </c>
      <c r="S13" s="1724">
        <v>0</v>
      </c>
      <c r="T13" s="1773">
        <v>251</v>
      </c>
      <c r="U13" s="1242">
        <f t="shared" si="0"/>
        <v>251</v>
      </c>
      <c r="V13" s="1242"/>
      <c r="W13" s="1724">
        <v>254</v>
      </c>
      <c r="X13" s="1724">
        <v>253</v>
      </c>
      <c r="Y13" s="1724">
        <v>257</v>
      </c>
      <c r="Z13" s="1773">
        <v>256</v>
      </c>
      <c r="AA13" s="1242">
        <f t="shared" si="1"/>
        <v>256</v>
      </c>
      <c r="AB13" s="1134"/>
      <c r="AC13" s="1723">
        <v>255</v>
      </c>
      <c r="AD13" s="1724">
        <v>254</v>
      </c>
      <c r="AE13" s="1724">
        <v>254</v>
      </c>
      <c r="AF13" s="1724">
        <v>0</v>
      </c>
      <c r="AG13" s="1175">
        <f t="shared" si="2"/>
        <v>0</v>
      </c>
      <c r="AH13" s="1134"/>
      <c r="AI13" s="1723">
        <v>0</v>
      </c>
      <c r="AJ13" s="1724">
        <v>0</v>
      </c>
      <c r="AK13" s="1724">
        <v>0</v>
      </c>
      <c r="AL13" s="1724">
        <v>0</v>
      </c>
      <c r="AM13" s="1175">
        <f t="shared" si="3"/>
        <v>0</v>
      </c>
      <c r="AN13" s="1134"/>
      <c r="AO13" s="1723">
        <v>0</v>
      </c>
      <c r="AP13" s="1724">
        <v>0</v>
      </c>
      <c r="AQ13" s="1724">
        <v>0</v>
      </c>
      <c r="AR13" s="1724">
        <v>0</v>
      </c>
      <c r="AS13" s="1175">
        <f t="shared" si="4"/>
        <v>0</v>
      </c>
      <c r="AT13" s="1134"/>
      <c r="AU13" s="1756">
        <v>0</v>
      </c>
      <c r="AV13" s="1724">
        <v>0</v>
      </c>
      <c r="AW13" s="1724">
        <v>0</v>
      </c>
      <c r="AX13" s="1724">
        <v>0</v>
      </c>
      <c r="AY13" s="1175">
        <f t="shared" si="5"/>
        <v>0</v>
      </c>
      <c r="AZ13" s="1134"/>
      <c r="BA13" s="1756">
        <v>0</v>
      </c>
      <c r="BB13" s="1724">
        <v>0</v>
      </c>
      <c r="BC13" s="1724">
        <v>0</v>
      </c>
      <c r="BD13" s="1724">
        <v>0</v>
      </c>
      <c r="BE13" s="1175">
        <f t="shared" si="6"/>
        <v>0</v>
      </c>
      <c r="BF13" s="1134"/>
      <c r="BG13" s="1756">
        <v>0</v>
      </c>
      <c r="BH13" s="1724">
        <v>0</v>
      </c>
      <c r="BI13" s="1724">
        <v>0</v>
      </c>
      <c r="BJ13" s="1724">
        <v>0</v>
      </c>
      <c r="BK13" s="1175">
        <f t="shared" si="7"/>
        <v>0</v>
      </c>
      <c r="BL13" s="1134"/>
      <c r="BM13" s="1756">
        <v>0</v>
      </c>
      <c r="BN13" s="1724">
        <v>0</v>
      </c>
      <c r="BO13" s="1724">
        <v>0</v>
      </c>
      <c r="BP13" s="1724">
        <v>0</v>
      </c>
      <c r="BQ13" s="1175">
        <f t="shared" si="8"/>
        <v>0</v>
      </c>
      <c r="BR13" s="1134"/>
      <c r="BS13" s="1756">
        <v>0</v>
      </c>
      <c r="BT13" s="1134">
        <f t="shared" si="9"/>
        <v>0</v>
      </c>
      <c r="BU13" s="1134">
        <f t="shared" si="9"/>
        <v>0</v>
      </c>
      <c r="BV13" s="1134">
        <f t="shared" si="9"/>
        <v>0</v>
      </c>
      <c r="BW13" s="1175">
        <f t="shared" si="10"/>
        <v>0</v>
      </c>
      <c r="BX13" s="1134"/>
      <c r="BY13" s="1176">
        <f t="shared" si="11"/>
        <v>0</v>
      </c>
      <c r="BZ13" s="1134">
        <f t="shared" si="12"/>
        <v>0</v>
      </c>
      <c r="CA13" s="1134">
        <f t="shared" si="12"/>
        <v>0</v>
      </c>
      <c r="CB13" s="1134">
        <f t="shared" si="12"/>
        <v>0</v>
      </c>
      <c r="CC13" s="1175">
        <f t="shared" si="13"/>
        <v>0</v>
      </c>
      <c r="CD13" s="1027"/>
      <c r="CE13" s="1176">
        <f t="shared" si="14"/>
        <v>0</v>
      </c>
      <c r="CF13" s="1134">
        <f t="shared" si="15"/>
        <v>0</v>
      </c>
      <c r="CG13" s="1134">
        <f t="shared" si="16"/>
        <v>0</v>
      </c>
      <c r="CH13" s="1134">
        <f t="shared" si="17"/>
        <v>0</v>
      </c>
      <c r="CI13" s="1175">
        <f t="shared" si="18"/>
        <v>0</v>
      </c>
      <c r="CK13" s="1176">
        <f t="shared" si="19"/>
        <v>0</v>
      </c>
      <c r="CL13" s="1134">
        <f t="shared" si="20"/>
        <v>0</v>
      </c>
      <c r="CM13" s="1134">
        <f t="shared" si="21"/>
        <v>0</v>
      </c>
      <c r="CN13" s="1134">
        <f t="shared" si="22"/>
        <v>0</v>
      </c>
      <c r="CO13" s="1175">
        <f t="shared" si="23"/>
        <v>0</v>
      </c>
    </row>
    <row r="14" spans="1:93" ht="12.75" customHeight="1">
      <c r="A14" s="1173" t="s">
        <v>480</v>
      </c>
      <c r="B14" s="1757">
        <v>2.5000000000000001E-2</v>
      </c>
      <c r="C14" s="1758">
        <v>41470</v>
      </c>
      <c r="D14" s="1134"/>
      <c r="E14" s="970"/>
      <c r="F14" s="971"/>
      <c r="G14" s="971"/>
      <c r="H14" s="971"/>
      <c r="I14" s="1760">
        <v>0</v>
      </c>
      <c r="J14" s="1134"/>
      <c r="K14" s="970"/>
      <c r="L14" s="971"/>
      <c r="M14" s="971"/>
      <c r="N14" s="971"/>
      <c r="O14" s="1242"/>
      <c r="P14" s="1134"/>
      <c r="Q14" s="1723">
        <v>0</v>
      </c>
      <c r="R14" s="1724">
        <v>0</v>
      </c>
      <c r="S14" s="1724">
        <v>0</v>
      </c>
      <c r="T14" s="1773">
        <v>0</v>
      </c>
      <c r="U14" s="1242">
        <f t="shared" si="0"/>
        <v>0</v>
      </c>
      <c r="V14" s="1242"/>
      <c r="W14" s="1724">
        <v>0</v>
      </c>
      <c r="X14" s="1724">
        <v>0</v>
      </c>
      <c r="Y14" s="1724">
        <v>250</v>
      </c>
      <c r="Z14" s="1773">
        <v>249</v>
      </c>
      <c r="AA14" s="1242">
        <f t="shared" si="1"/>
        <v>249</v>
      </c>
      <c r="AB14" s="1134"/>
      <c r="AC14" s="1723">
        <v>250</v>
      </c>
      <c r="AD14" s="1724">
        <v>249</v>
      </c>
      <c r="AE14" s="1724">
        <v>250</v>
      </c>
      <c r="AF14" s="1724">
        <v>250</v>
      </c>
      <c r="AG14" s="1175">
        <f t="shared" si="2"/>
        <v>250</v>
      </c>
      <c r="AH14" s="1134"/>
      <c r="AI14" s="1723">
        <v>250</v>
      </c>
      <c r="AJ14" s="1724">
        <v>250</v>
      </c>
      <c r="AK14" s="1724">
        <v>0</v>
      </c>
      <c r="AL14" s="1724">
        <v>0</v>
      </c>
      <c r="AM14" s="1175">
        <f>AL14</f>
        <v>0</v>
      </c>
      <c r="AN14" s="1134"/>
      <c r="AO14" s="1723">
        <v>0</v>
      </c>
      <c r="AP14" s="1724">
        <v>0</v>
      </c>
      <c r="AQ14" s="1724">
        <v>0</v>
      </c>
      <c r="AR14" s="1724">
        <v>0</v>
      </c>
      <c r="AS14" s="1175">
        <f t="shared" si="4"/>
        <v>0</v>
      </c>
      <c r="AT14" s="1134"/>
      <c r="AU14" s="1756">
        <v>0</v>
      </c>
      <c r="AV14" s="1724">
        <v>0</v>
      </c>
      <c r="AW14" s="1724">
        <v>0</v>
      </c>
      <c r="AX14" s="1724">
        <v>0</v>
      </c>
      <c r="AY14" s="1175">
        <f t="shared" si="5"/>
        <v>0</v>
      </c>
      <c r="AZ14" s="1134"/>
      <c r="BA14" s="1756">
        <v>0</v>
      </c>
      <c r="BB14" s="1724">
        <v>0</v>
      </c>
      <c r="BC14" s="1724">
        <v>0</v>
      </c>
      <c r="BD14" s="1724">
        <v>0</v>
      </c>
      <c r="BE14" s="1175">
        <f t="shared" si="6"/>
        <v>0</v>
      </c>
      <c r="BF14" s="1134"/>
      <c r="BG14" s="1756">
        <v>0</v>
      </c>
      <c r="BH14" s="1724">
        <v>0</v>
      </c>
      <c r="BI14" s="1724">
        <v>0</v>
      </c>
      <c r="BJ14" s="1724">
        <v>0</v>
      </c>
      <c r="BK14" s="1175">
        <f t="shared" si="7"/>
        <v>0</v>
      </c>
      <c r="BL14" s="1134"/>
      <c r="BM14" s="1756">
        <v>0</v>
      </c>
      <c r="BN14" s="1724">
        <v>0</v>
      </c>
      <c r="BO14" s="1724">
        <v>0</v>
      </c>
      <c r="BP14" s="1724">
        <v>0</v>
      </c>
      <c r="BQ14" s="1175">
        <f t="shared" si="8"/>
        <v>0</v>
      </c>
      <c r="BR14" s="1134"/>
      <c r="BS14" s="1756">
        <v>0</v>
      </c>
      <c r="BT14" s="1134">
        <f t="shared" si="9"/>
        <v>0</v>
      </c>
      <c r="BU14" s="1134">
        <f t="shared" si="9"/>
        <v>0</v>
      </c>
      <c r="BV14" s="1134">
        <f t="shared" si="9"/>
        <v>0</v>
      </c>
      <c r="BW14" s="1175">
        <f t="shared" si="10"/>
        <v>0</v>
      </c>
      <c r="BX14" s="1134"/>
      <c r="BY14" s="1176">
        <f t="shared" si="11"/>
        <v>0</v>
      </c>
      <c r="BZ14" s="1134">
        <f t="shared" si="12"/>
        <v>0</v>
      </c>
      <c r="CA14" s="1134">
        <f t="shared" si="12"/>
        <v>0</v>
      </c>
      <c r="CB14" s="1134">
        <f t="shared" si="12"/>
        <v>0</v>
      </c>
      <c r="CC14" s="1175">
        <f t="shared" si="13"/>
        <v>0</v>
      </c>
      <c r="CD14" s="1027"/>
      <c r="CE14" s="1176">
        <f t="shared" si="14"/>
        <v>0</v>
      </c>
      <c r="CF14" s="1134">
        <f t="shared" si="15"/>
        <v>0</v>
      </c>
      <c r="CG14" s="1134">
        <f t="shared" si="16"/>
        <v>0</v>
      </c>
      <c r="CH14" s="1134">
        <f t="shared" si="17"/>
        <v>0</v>
      </c>
      <c r="CI14" s="1175">
        <f t="shared" si="18"/>
        <v>0</v>
      </c>
      <c r="CK14" s="1176">
        <f t="shared" si="19"/>
        <v>0</v>
      </c>
      <c r="CL14" s="1134">
        <f t="shared" si="20"/>
        <v>0</v>
      </c>
      <c r="CM14" s="1134">
        <f t="shared" si="21"/>
        <v>0</v>
      </c>
      <c r="CN14" s="1134">
        <f t="shared" si="22"/>
        <v>0</v>
      </c>
      <c r="CO14" s="1175">
        <f t="shared" si="23"/>
        <v>0</v>
      </c>
    </row>
    <row r="15" spans="1:93" ht="12.75" customHeight="1">
      <c r="A15" s="1173" t="s">
        <v>481</v>
      </c>
      <c r="B15" s="1757">
        <v>0.05</v>
      </c>
      <c r="C15" s="1758">
        <v>44027</v>
      </c>
      <c r="D15" s="1134"/>
      <c r="E15" s="970"/>
      <c r="F15" s="971"/>
      <c r="G15" s="971"/>
      <c r="H15" s="971"/>
      <c r="I15" s="1760">
        <v>0</v>
      </c>
      <c r="J15" s="1134"/>
      <c r="K15" s="970"/>
      <c r="L15" s="971"/>
      <c r="M15" s="971"/>
      <c r="N15" s="971"/>
      <c r="O15" s="1242"/>
      <c r="P15" s="1134"/>
      <c r="Q15" s="1723">
        <v>0</v>
      </c>
      <c r="R15" s="1724">
        <v>0</v>
      </c>
      <c r="S15" s="1724">
        <v>0</v>
      </c>
      <c r="T15" s="1773">
        <v>0</v>
      </c>
      <c r="U15" s="1242">
        <f t="shared" si="0"/>
        <v>0</v>
      </c>
      <c r="V15" s="1242"/>
      <c r="W15" s="1724">
        <v>0</v>
      </c>
      <c r="X15" s="1724">
        <v>0</v>
      </c>
      <c r="Y15" s="1724">
        <v>505</v>
      </c>
      <c r="Z15" s="1773">
        <v>516</v>
      </c>
      <c r="AA15" s="1242">
        <f t="shared" si="1"/>
        <v>516</v>
      </c>
      <c r="AB15" s="1134"/>
      <c r="AC15" s="1723">
        <v>482</v>
      </c>
      <c r="AD15" s="1724">
        <v>489</v>
      </c>
      <c r="AE15" s="1724">
        <v>509</v>
      </c>
      <c r="AF15" s="1724">
        <v>530</v>
      </c>
      <c r="AG15" s="1175">
        <f t="shared" si="2"/>
        <v>530</v>
      </c>
      <c r="AH15" s="1134"/>
      <c r="AI15" s="1723">
        <v>529</v>
      </c>
      <c r="AJ15" s="1724">
        <v>528</v>
      </c>
      <c r="AK15" s="1724">
        <v>527</v>
      </c>
      <c r="AL15" s="1724">
        <v>527</v>
      </c>
      <c r="AM15" s="1175">
        <f>AL15</f>
        <v>527</v>
      </c>
      <c r="AN15" s="1134"/>
      <c r="AO15" s="1723">
        <v>526</v>
      </c>
      <c r="AP15" s="1724">
        <v>525</v>
      </c>
      <c r="AQ15" s="1724">
        <v>525</v>
      </c>
      <c r="AR15" s="1724">
        <v>524</v>
      </c>
      <c r="AS15" s="1175">
        <f t="shared" si="4"/>
        <v>524</v>
      </c>
      <c r="AT15" s="1134"/>
      <c r="AU15" s="1756">
        <v>523</v>
      </c>
      <c r="AV15" s="1724">
        <v>523</v>
      </c>
      <c r="AW15" s="1724">
        <v>522</v>
      </c>
      <c r="AX15" s="1724">
        <v>521</v>
      </c>
      <c r="AY15" s="1175">
        <f t="shared" si="5"/>
        <v>521</v>
      </c>
      <c r="AZ15" s="1134"/>
      <c r="BA15" s="1756">
        <v>520</v>
      </c>
      <c r="BB15" s="1724">
        <v>519</v>
      </c>
      <c r="BC15" s="1724">
        <v>519</v>
      </c>
      <c r="BD15" s="1724">
        <v>518</v>
      </c>
      <c r="BE15" s="1175">
        <f t="shared" si="6"/>
        <v>518</v>
      </c>
      <c r="BF15" s="1134"/>
      <c r="BG15" s="1756">
        <v>517</v>
      </c>
      <c r="BH15" s="1724">
        <v>516</v>
      </c>
      <c r="BI15" s="1724">
        <v>515</v>
      </c>
      <c r="BJ15" s="1724">
        <v>514</v>
      </c>
      <c r="BK15" s="1175">
        <f t="shared" si="7"/>
        <v>514</v>
      </c>
      <c r="BL15" s="1134"/>
      <c r="BM15" s="1756">
        <v>512</v>
      </c>
      <c r="BN15" s="1724">
        <v>511</v>
      </c>
      <c r="BO15" s="1724">
        <v>510</v>
      </c>
      <c r="BP15" s="1724">
        <v>510</v>
      </c>
      <c r="BQ15" s="1175">
        <f t="shared" si="8"/>
        <v>510</v>
      </c>
      <c r="BR15" s="1134"/>
      <c r="BS15" s="1756">
        <v>509</v>
      </c>
      <c r="BT15" s="1134">
        <f t="shared" si="9"/>
        <v>509</v>
      </c>
      <c r="BU15" s="1134">
        <f t="shared" si="9"/>
        <v>509</v>
      </c>
      <c r="BV15" s="1134">
        <f t="shared" si="9"/>
        <v>509</v>
      </c>
      <c r="BW15" s="1175">
        <f t="shared" si="10"/>
        <v>509</v>
      </c>
      <c r="BX15" s="1134"/>
      <c r="BY15" s="1176">
        <f t="shared" si="11"/>
        <v>509</v>
      </c>
      <c r="BZ15" s="1134">
        <f t="shared" si="12"/>
        <v>509</v>
      </c>
      <c r="CA15" s="1134">
        <f t="shared" si="12"/>
        <v>509</v>
      </c>
      <c r="CB15" s="1134">
        <f t="shared" si="12"/>
        <v>509</v>
      </c>
      <c r="CC15" s="1175">
        <f t="shared" si="13"/>
        <v>509</v>
      </c>
      <c r="CD15" s="1027"/>
      <c r="CE15" s="1176">
        <f t="shared" si="14"/>
        <v>0</v>
      </c>
      <c r="CF15" s="1134">
        <f t="shared" si="15"/>
        <v>0</v>
      </c>
      <c r="CG15" s="1134">
        <f t="shared" si="16"/>
        <v>0</v>
      </c>
      <c r="CH15" s="1134">
        <f t="shared" si="17"/>
        <v>0</v>
      </c>
      <c r="CI15" s="1175">
        <f t="shared" si="18"/>
        <v>0</v>
      </c>
      <c r="CK15" s="1176">
        <f t="shared" si="19"/>
        <v>0</v>
      </c>
      <c r="CL15" s="1134">
        <f t="shared" si="20"/>
        <v>0</v>
      </c>
      <c r="CM15" s="1134">
        <f t="shared" si="21"/>
        <v>0</v>
      </c>
      <c r="CN15" s="1134">
        <f t="shared" si="22"/>
        <v>0</v>
      </c>
      <c r="CO15" s="1175">
        <f t="shared" si="23"/>
        <v>0</v>
      </c>
    </row>
    <row r="16" spans="1:93" ht="12.75" customHeight="1">
      <c r="A16" s="1173" t="s">
        <v>482</v>
      </c>
      <c r="B16" s="1757">
        <v>3.2000000000000001E-2</v>
      </c>
      <c r="C16" s="1758">
        <v>44571</v>
      </c>
      <c r="D16" s="1134"/>
      <c r="E16" s="970"/>
      <c r="F16" s="971"/>
      <c r="G16" s="971"/>
      <c r="H16" s="971"/>
      <c r="I16" s="1760">
        <v>0</v>
      </c>
      <c r="J16" s="1134"/>
      <c r="K16" s="970"/>
      <c r="L16" s="971"/>
      <c r="M16" s="971"/>
      <c r="N16" s="971"/>
      <c r="O16" s="1242"/>
      <c r="P16" s="1134"/>
      <c r="Q16" s="1723">
        <v>0</v>
      </c>
      <c r="R16" s="1724">
        <v>0</v>
      </c>
      <c r="S16" s="1724">
        <v>0</v>
      </c>
      <c r="T16" s="1773">
        <v>0</v>
      </c>
      <c r="U16" s="1242">
        <f t="shared" si="0"/>
        <v>0</v>
      </c>
      <c r="V16" s="1242"/>
      <c r="W16" s="1724">
        <v>0</v>
      </c>
      <c r="X16" s="1724">
        <v>0</v>
      </c>
      <c r="Y16" s="1724">
        <v>0</v>
      </c>
      <c r="Z16" s="1773">
        <v>0</v>
      </c>
      <c r="AA16" s="1242">
        <f t="shared" si="1"/>
        <v>0</v>
      </c>
      <c r="AB16" s="1134"/>
      <c r="AC16" s="1723">
        <v>0</v>
      </c>
      <c r="AD16" s="1724">
        <v>0</v>
      </c>
      <c r="AE16" s="1724">
        <v>0</v>
      </c>
      <c r="AF16" s="1724">
        <v>0</v>
      </c>
      <c r="AG16" s="1175">
        <f t="shared" si="2"/>
        <v>0</v>
      </c>
      <c r="AH16" s="1134"/>
      <c r="AI16" s="1723">
        <v>0</v>
      </c>
      <c r="AJ16" s="1724">
        <v>0</v>
      </c>
      <c r="AK16" s="1724">
        <v>0</v>
      </c>
      <c r="AL16" s="1724">
        <v>399</v>
      </c>
      <c r="AM16" s="1175">
        <f>AL16</f>
        <v>399</v>
      </c>
      <c r="AN16" s="1134"/>
      <c r="AO16" s="1723">
        <v>399</v>
      </c>
      <c r="AP16" s="1724">
        <v>399</v>
      </c>
      <c r="AQ16" s="1724">
        <v>399</v>
      </c>
      <c r="AR16" s="1724">
        <v>399</v>
      </c>
      <c r="AS16" s="1175">
        <f t="shared" si="4"/>
        <v>399</v>
      </c>
      <c r="AT16" s="1134"/>
      <c r="AU16" s="1756">
        <v>399</v>
      </c>
      <c r="AV16" s="1724">
        <v>399</v>
      </c>
      <c r="AW16" s="1724">
        <v>399</v>
      </c>
      <c r="AX16" s="1724">
        <v>399</v>
      </c>
      <c r="AY16" s="1175">
        <f t="shared" si="5"/>
        <v>399</v>
      </c>
      <c r="AZ16" s="1134"/>
      <c r="BA16" s="1756">
        <v>399</v>
      </c>
      <c r="BB16" s="1724">
        <v>399</v>
      </c>
      <c r="BC16" s="1724">
        <v>399</v>
      </c>
      <c r="BD16" s="1724">
        <v>399</v>
      </c>
      <c r="BE16" s="1175">
        <f t="shared" si="6"/>
        <v>399</v>
      </c>
      <c r="BF16" s="1134"/>
      <c r="BG16" s="1756">
        <v>399</v>
      </c>
      <c r="BH16" s="1724">
        <v>399</v>
      </c>
      <c r="BI16" s="1724">
        <v>400</v>
      </c>
      <c r="BJ16" s="1724">
        <v>400</v>
      </c>
      <c r="BK16" s="1175">
        <f t="shared" si="7"/>
        <v>400</v>
      </c>
      <c r="BL16" s="1134"/>
      <c r="BM16" s="1756">
        <v>398</v>
      </c>
      <c r="BN16" s="1724">
        <v>398</v>
      </c>
      <c r="BO16" s="1724">
        <v>398</v>
      </c>
      <c r="BP16" s="1724">
        <v>398</v>
      </c>
      <c r="BQ16" s="1175">
        <f t="shared" si="8"/>
        <v>398</v>
      </c>
      <c r="BR16" s="1134"/>
      <c r="BS16" s="1756">
        <v>398</v>
      </c>
      <c r="BT16" s="1134">
        <f t="shared" si="9"/>
        <v>398</v>
      </c>
      <c r="BU16" s="1134">
        <f t="shared" si="9"/>
        <v>398</v>
      </c>
      <c r="BV16" s="1134">
        <f t="shared" si="9"/>
        <v>398</v>
      </c>
      <c r="BW16" s="1175">
        <f t="shared" si="10"/>
        <v>398</v>
      </c>
      <c r="BX16" s="1134"/>
      <c r="BY16" s="1176">
        <f t="shared" si="11"/>
        <v>398</v>
      </c>
      <c r="BZ16" s="1134">
        <f t="shared" si="12"/>
        <v>398</v>
      </c>
      <c r="CA16" s="1134">
        <f t="shared" si="12"/>
        <v>398</v>
      </c>
      <c r="CB16" s="1134">
        <f t="shared" si="12"/>
        <v>398</v>
      </c>
      <c r="CC16" s="1175">
        <f t="shared" si="13"/>
        <v>398</v>
      </c>
      <c r="CD16" s="1027"/>
      <c r="CE16" s="1176">
        <f t="shared" si="14"/>
        <v>398</v>
      </c>
      <c r="CF16" s="1134">
        <f t="shared" si="15"/>
        <v>398</v>
      </c>
      <c r="CG16" s="1134">
        <f t="shared" si="16"/>
        <v>398</v>
      </c>
      <c r="CH16" s="1134">
        <f t="shared" si="17"/>
        <v>398</v>
      </c>
      <c r="CI16" s="1175">
        <f t="shared" si="18"/>
        <v>398</v>
      </c>
      <c r="CK16" s="1176">
        <f t="shared" si="19"/>
        <v>0</v>
      </c>
      <c r="CL16" s="1134">
        <f t="shared" si="20"/>
        <v>0</v>
      </c>
      <c r="CM16" s="1134">
        <f t="shared" si="21"/>
        <v>0</v>
      </c>
      <c r="CN16" s="1134">
        <f t="shared" si="22"/>
        <v>0</v>
      </c>
      <c r="CO16" s="1175">
        <f t="shared" si="23"/>
        <v>0</v>
      </c>
    </row>
    <row r="17" spans="1:93" ht="12.75" customHeight="1">
      <c r="A17" s="1173" t="s">
        <v>483</v>
      </c>
      <c r="B17" s="1757">
        <v>3.875E-2</v>
      </c>
      <c r="C17" s="1758">
        <v>45122</v>
      </c>
      <c r="D17" s="1134"/>
      <c r="E17" s="970"/>
      <c r="F17" s="971"/>
      <c r="G17" s="971"/>
      <c r="H17" s="971"/>
      <c r="I17" s="1760">
        <v>0</v>
      </c>
      <c r="J17" s="1134"/>
      <c r="K17" s="970"/>
      <c r="L17" s="971"/>
      <c r="M17" s="971"/>
      <c r="N17" s="971"/>
      <c r="O17" s="1242"/>
      <c r="P17" s="1134"/>
      <c r="Q17" s="1723">
        <v>0</v>
      </c>
      <c r="R17" s="1724">
        <v>0</v>
      </c>
      <c r="S17" s="1724">
        <v>0</v>
      </c>
      <c r="T17" s="1773">
        <v>0</v>
      </c>
      <c r="U17" s="1242">
        <f t="shared" si="0"/>
        <v>0</v>
      </c>
      <c r="V17" s="1242"/>
      <c r="W17" s="1724">
        <v>0</v>
      </c>
      <c r="X17" s="1724">
        <v>0</v>
      </c>
      <c r="Y17" s="1724">
        <v>0</v>
      </c>
      <c r="Z17" s="1773">
        <v>0</v>
      </c>
      <c r="AA17" s="1242">
        <f t="shared" si="1"/>
        <v>0</v>
      </c>
      <c r="AB17" s="1134"/>
      <c r="AC17" s="1723">
        <v>0</v>
      </c>
      <c r="AD17" s="1724">
        <v>0</v>
      </c>
      <c r="AE17" s="1724">
        <v>0</v>
      </c>
      <c r="AF17" s="1724">
        <v>0</v>
      </c>
      <c r="AG17" s="1175">
        <f t="shared" si="2"/>
        <v>0</v>
      </c>
      <c r="AH17" s="1134"/>
      <c r="AI17" s="1723">
        <v>0</v>
      </c>
      <c r="AJ17" s="1724">
        <v>0</v>
      </c>
      <c r="AK17" s="1724">
        <v>0</v>
      </c>
      <c r="AL17" s="1724">
        <v>0</v>
      </c>
      <c r="AM17" s="1175">
        <f>AL17</f>
        <v>0</v>
      </c>
      <c r="AN17" s="1134"/>
      <c r="AO17" s="1723">
        <v>0</v>
      </c>
      <c r="AP17" s="1724">
        <v>0</v>
      </c>
      <c r="AQ17" s="1724">
        <v>597</v>
      </c>
      <c r="AR17" s="1724">
        <v>597</v>
      </c>
      <c r="AS17" s="1175">
        <f t="shared" si="4"/>
        <v>597</v>
      </c>
      <c r="AT17" s="1134"/>
      <c r="AU17" s="1756">
        <v>597</v>
      </c>
      <c r="AV17" s="1724">
        <v>597</v>
      </c>
      <c r="AW17" s="1724">
        <v>598</v>
      </c>
      <c r="AX17" s="1724">
        <v>598</v>
      </c>
      <c r="AY17" s="1175">
        <f t="shared" si="5"/>
        <v>598</v>
      </c>
      <c r="AZ17" s="1134"/>
      <c r="BA17" s="1756">
        <v>598</v>
      </c>
      <c r="BB17" s="1724">
        <v>598</v>
      </c>
      <c r="BC17" s="1724">
        <v>598</v>
      </c>
      <c r="BD17" s="1724">
        <v>598</v>
      </c>
      <c r="BE17" s="1175">
        <f t="shared" si="6"/>
        <v>598</v>
      </c>
      <c r="BF17" s="1134"/>
      <c r="BG17" s="1756">
        <v>598</v>
      </c>
      <c r="BH17" s="1724">
        <v>598</v>
      </c>
      <c r="BI17" s="1724">
        <v>598</v>
      </c>
      <c r="BJ17" s="1724">
        <v>598</v>
      </c>
      <c r="BK17" s="1175">
        <f t="shared" si="7"/>
        <v>598</v>
      </c>
      <c r="BL17" s="1134"/>
      <c r="BM17" s="1756">
        <v>595</v>
      </c>
      <c r="BN17" s="1724">
        <v>596</v>
      </c>
      <c r="BO17" s="1724">
        <v>596</v>
      </c>
      <c r="BP17" s="1724">
        <v>596</v>
      </c>
      <c r="BQ17" s="1175">
        <f t="shared" si="8"/>
        <v>596</v>
      </c>
      <c r="BR17" s="1134"/>
      <c r="BS17" s="1756">
        <v>596</v>
      </c>
      <c r="BT17" s="1134">
        <f t="shared" si="9"/>
        <v>596</v>
      </c>
      <c r="BU17" s="1134">
        <f t="shared" si="9"/>
        <v>596</v>
      </c>
      <c r="BV17" s="1134">
        <f t="shared" si="9"/>
        <v>596</v>
      </c>
      <c r="BW17" s="1175">
        <f t="shared" si="10"/>
        <v>596</v>
      </c>
      <c r="BX17" s="1134"/>
      <c r="BY17" s="1176">
        <f t="shared" si="11"/>
        <v>596</v>
      </c>
      <c r="BZ17" s="1134">
        <f t="shared" si="12"/>
        <v>596</v>
      </c>
      <c r="CA17" s="1134">
        <f t="shared" si="12"/>
        <v>596</v>
      </c>
      <c r="CB17" s="1134">
        <f t="shared" si="12"/>
        <v>596</v>
      </c>
      <c r="CC17" s="1175">
        <f t="shared" si="13"/>
        <v>596</v>
      </c>
      <c r="CD17" s="1027"/>
      <c r="CE17" s="1176">
        <f t="shared" si="14"/>
        <v>596</v>
      </c>
      <c r="CF17" s="1134">
        <f t="shared" si="15"/>
        <v>596</v>
      </c>
      <c r="CG17" s="1134">
        <f t="shared" si="16"/>
        <v>596</v>
      </c>
      <c r="CH17" s="1134">
        <f t="shared" si="17"/>
        <v>596</v>
      </c>
      <c r="CI17" s="1175">
        <f t="shared" si="18"/>
        <v>596</v>
      </c>
      <c r="CK17" s="1176">
        <f t="shared" si="19"/>
        <v>596</v>
      </c>
      <c r="CL17" s="1134">
        <f t="shared" si="20"/>
        <v>596</v>
      </c>
      <c r="CM17" s="1134">
        <f t="shared" si="21"/>
        <v>596</v>
      </c>
      <c r="CN17" s="1134">
        <f t="shared" si="22"/>
        <v>596</v>
      </c>
      <c r="CO17" s="1175">
        <f t="shared" si="23"/>
        <v>596</v>
      </c>
    </row>
    <row r="18" spans="1:93" s="2094" customFormat="1" ht="12.75" customHeight="1">
      <c r="A18" s="1173" t="s">
        <v>565</v>
      </c>
      <c r="B18" s="1757">
        <v>3.875E-2</v>
      </c>
      <c r="C18" s="1758">
        <v>45122</v>
      </c>
      <c r="D18" s="1134"/>
      <c r="E18" s="970"/>
      <c r="F18" s="971"/>
      <c r="G18" s="971"/>
      <c r="H18" s="971"/>
      <c r="I18" s="1760">
        <v>0</v>
      </c>
      <c r="J18" s="1134"/>
      <c r="K18" s="970"/>
      <c r="L18" s="971"/>
      <c r="M18" s="971"/>
      <c r="N18" s="971"/>
      <c r="O18" s="1242"/>
      <c r="P18" s="1134"/>
      <c r="Q18" s="1723">
        <v>0</v>
      </c>
      <c r="R18" s="1724">
        <v>0</v>
      </c>
      <c r="S18" s="1724">
        <v>0</v>
      </c>
      <c r="T18" s="1773">
        <v>0</v>
      </c>
      <c r="U18" s="1242">
        <f>T18</f>
        <v>0</v>
      </c>
      <c r="V18" s="1242"/>
      <c r="W18" s="1724">
        <v>0</v>
      </c>
      <c r="X18" s="1724">
        <v>0</v>
      </c>
      <c r="Y18" s="1724">
        <v>0</v>
      </c>
      <c r="Z18" s="1773">
        <v>0</v>
      </c>
      <c r="AA18" s="1242">
        <f>Z18</f>
        <v>0</v>
      </c>
      <c r="AB18" s="1134"/>
      <c r="AC18" s="1723">
        <v>0</v>
      </c>
      <c r="AD18" s="1724">
        <v>0</v>
      </c>
      <c r="AE18" s="1724">
        <v>0</v>
      </c>
      <c r="AF18" s="1724">
        <v>0</v>
      </c>
      <c r="AG18" s="1175">
        <f>AF18</f>
        <v>0</v>
      </c>
      <c r="AH18" s="1134"/>
      <c r="AI18" s="1723">
        <v>0</v>
      </c>
      <c r="AJ18" s="1724">
        <v>0</v>
      </c>
      <c r="AK18" s="1724">
        <v>0</v>
      </c>
      <c r="AL18" s="1724">
        <v>0</v>
      </c>
      <c r="AM18" s="1175">
        <f>AL18</f>
        <v>0</v>
      </c>
      <c r="AN18" s="1134"/>
      <c r="AO18" s="1723">
        <v>0</v>
      </c>
      <c r="AP18" s="1724">
        <v>0</v>
      </c>
      <c r="AQ18" s="1724">
        <v>0</v>
      </c>
      <c r="AR18" s="1724">
        <v>0</v>
      </c>
      <c r="AS18" s="1175">
        <f>AR18</f>
        <v>0</v>
      </c>
      <c r="AT18" s="1134"/>
      <c r="AU18" s="1756">
        <v>0</v>
      </c>
      <c r="AV18" s="1724">
        <v>0</v>
      </c>
      <c r="AW18" s="1724">
        <v>0</v>
      </c>
      <c r="AX18" s="1724">
        <v>0</v>
      </c>
      <c r="AY18" s="1175">
        <f>AX18</f>
        <v>0</v>
      </c>
      <c r="AZ18" s="1134"/>
      <c r="BA18" s="1756">
        <v>0</v>
      </c>
      <c r="BB18" s="1724">
        <v>0</v>
      </c>
      <c r="BC18" s="1724">
        <v>0</v>
      </c>
      <c r="BD18" s="1724">
        <v>0</v>
      </c>
      <c r="BE18" s="1175">
        <f>BD18</f>
        <v>0</v>
      </c>
      <c r="BF18" s="1134"/>
      <c r="BG18" s="1756">
        <v>0</v>
      </c>
      <c r="BH18" s="1724">
        <v>0</v>
      </c>
      <c r="BI18" s="1724">
        <v>0</v>
      </c>
      <c r="BJ18" s="1724">
        <v>299</v>
      </c>
      <c r="BK18" s="1175">
        <f>BJ18</f>
        <v>299</v>
      </c>
      <c r="BL18" s="1134"/>
      <c r="BM18" s="1756">
        <v>297</v>
      </c>
      <c r="BN18" s="1724">
        <v>297</v>
      </c>
      <c r="BO18" s="1724">
        <v>297</v>
      </c>
      <c r="BP18" s="1724">
        <v>297</v>
      </c>
      <c r="BQ18" s="1175">
        <f>BP18</f>
        <v>297</v>
      </c>
      <c r="BR18" s="1134"/>
      <c r="BS18" s="1756">
        <v>297</v>
      </c>
      <c r="BT18" s="1134">
        <f t="shared" si="9"/>
        <v>297</v>
      </c>
      <c r="BU18" s="1134">
        <f t="shared" si="9"/>
        <v>297</v>
      </c>
      <c r="BV18" s="1134">
        <f t="shared" si="9"/>
        <v>297</v>
      </c>
      <c r="BW18" s="1175">
        <f>BV18</f>
        <v>297</v>
      </c>
      <c r="BX18" s="1134"/>
      <c r="BY18" s="1176">
        <f t="shared" si="11"/>
        <v>297</v>
      </c>
      <c r="BZ18" s="1134">
        <f t="shared" si="12"/>
        <v>297</v>
      </c>
      <c r="CA18" s="1134">
        <f t="shared" si="12"/>
        <v>297</v>
      </c>
      <c r="CB18" s="1134">
        <f t="shared" si="12"/>
        <v>297</v>
      </c>
      <c r="CC18" s="1175">
        <f>CB18</f>
        <v>297</v>
      </c>
      <c r="CD18" s="1027"/>
      <c r="CE18" s="1176">
        <f t="shared" si="14"/>
        <v>297</v>
      </c>
      <c r="CF18" s="1134">
        <f t="shared" si="15"/>
        <v>297</v>
      </c>
      <c r="CG18" s="1134">
        <f t="shared" si="16"/>
        <v>297</v>
      </c>
      <c r="CH18" s="1134">
        <f t="shared" si="17"/>
        <v>297</v>
      </c>
      <c r="CI18" s="1175">
        <f t="shared" si="18"/>
        <v>297</v>
      </c>
      <c r="CK18" s="1176">
        <f t="shared" si="19"/>
        <v>297</v>
      </c>
      <c r="CL18" s="1134">
        <f t="shared" si="20"/>
        <v>297</v>
      </c>
      <c r="CM18" s="1134">
        <f t="shared" si="21"/>
        <v>297</v>
      </c>
      <c r="CN18" s="1134">
        <f t="shared" si="22"/>
        <v>297</v>
      </c>
      <c r="CO18" s="1175">
        <f t="shared" si="23"/>
        <v>297</v>
      </c>
    </row>
    <row r="19" spans="1:93" ht="12.75" hidden="1" customHeight="1" outlineLevel="1">
      <c r="A19" s="982" t="s">
        <v>484</v>
      </c>
      <c r="B19" s="1757">
        <v>3.0499999999999999E-2</v>
      </c>
      <c r="C19" s="1759">
        <v>41495</v>
      </c>
      <c r="D19" s="1134"/>
      <c r="E19" s="970"/>
      <c r="F19" s="971"/>
      <c r="G19" s="971"/>
      <c r="H19" s="971"/>
      <c r="I19" s="1760">
        <v>0</v>
      </c>
      <c r="J19" s="1134"/>
      <c r="K19" s="970"/>
      <c r="L19" s="971"/>
      <c r="M19" s="971"/>
      <c r="N19" s="971"/>
      <c r="O19" s="1242"/>
      <c r="P19" s="1134"/>
      <c r="Q19" s="1723">
        <v>14</v>
      </c>
      <c r="R19" s="1724">
        <v>15</v>
      </c>
      <c r="S19" s="1724">
        <v>15</v>
      </c>
      <c r="T19" s="1773">
        <v>16</v>
      </c>
      <c r="U19" s="1242">
        <f t="shared" si="0"/>
        <v>16</v>
      </c>
      <c r="V19" s="1242"/>
      <c r="W19" s="1724">
        <v>15</v>
      </c>
      <c r="X19" s="1724">
        <v>0</v>
      </c>
      <c r="Y19" s="1724">
        <v>0</v>
      </c>
      <c r="Z19" s="1773">
        <v>0</v>
      </c>
      <c r="AA19" s="1242">
        <f t="shared" si="1"/>
        <v>0</v>
      </c>
      <c r="AB19" s="1134"/>
      <c r="AC19" s="1723">
        <v>0</v>
      </c>
      <c r="AD19" s="1724">
        <v>0</v>
      </c>
      <c r="AE19" s="1724">
        <v>0</v>
      </c>
      <c r="AF19" s="1724">
        <v>0</v>
      </c>
      <c r="AG19" s="1175">
        <f t="shared" si="2"/>
        <v>0</v>
      </c>
      <c r="AH19" s="1134"/>
      <c r="AI19" s="1755">
        <v>0</v>
      </c>
      <c r="AJ19" s="1724">
        <v>0</v>
      </c>
      <c r="AK19" s="1724">
        <v>42</v>
      </c>
      <c r="AL19" s="1724">
        <v>44</v>
      </c>
      <c r="AM19" s="1175">
        <f t="shared" si="3"/>
        <v>44</v>
      </c>
      <c r="AN19" s="1134"/>
      <c r="AO19" s="1755">
        <v>46</v>
      </c>
      <c r="AP19" s="1724">
        <v>44</v>
      </c>
      <c r="AQ19" s="1724">
        <v>45</v>
      </c>
      <c r="AR19" s="1724">
        <v>46</v>
      </c>
      <c r="AS19" s="1175">
        <f t="shared" si="4"/>
        <v>46</v>
      </c>
      <c r="AT19" s="1134"/>
      <c r="AU19" s="1756">
        <v>46</v>
      </c>
      <c r="AV19" s="1724">
        <v>47</v>
      </c>
      <c r="AW19" s="1724">
        <v>45</v>
      </c>
      <c r="AX19" s="1724">
        <v>42</v>
      </c>
      <c r="AY19" s="1175">
        <f t="shared" si="5"/>
        <v>42</v>
      </c>
      <c r="AZ19" s="1134"/>
      <c r="BA19" s="1756">
        <v>39</v>
      </c>
      <c r="BB19" s="1724">
        <v>38</v>
      </c>
      <c r="BC19" s="1724">
        <v>37</v>
      </c>
      <c r="BD19" s="1724">
        <v>38</v>
      </c>
      <c r="BE19" s="1175">
        <f t="shared" si="6"/>
        <v>38</v>
      </c>
      <c r="BF19" s="1134"/>
      <c r="BG19" s="1756">
        <v>37</v>
      </c>
      <c r="BH19" s="1724">
        <v>40</v>
      </c>
      <c r="BI19" s="1724">
        <v>38</v>
      </c>
      <c r="BJ19" s="1724">
        <v>0</v>
      </c>
      <c r="BK19" s="1175">
        <f t="shared" si="7"/>
        <v>0</v>
      </c>
      <c r="BL19" s="1134"/>
      <c r="BM19" s="1756">
        <v>0</v>
      </c>
      <c r="BN19" s="1724">
        <v>0</v>
      </c>
      <c r="BO19" s="1724">
        <v>0</v>
      </c>
      <c r="BP19" s="1724">
        <v>0</v>
      </c>
      <c r="BQ19" s="1175">
        <f t="shared" si="8"/>
        <v>0</v>
      </c>
      <c r="BR19" s="1134"/>
      <c r="BS19" s="1756">
        <v>0</v>
      </c>
      <c r="BT19" s="1134">
        <f>BS19+BT35</f>
        <v>0</v>
      </c>
      <c r="BU19" s="1134">
        <f>BT19+BU35</f>
        <v>0</v>
      </c>
      <c r="BV19" s="1134">
        <f>BU19+BV35</f>
        <v>0</v>
      </c>
      <c r="BW19" s="1175">
        <f t="shared" si="10"/>
        <v>0</v>
      </c>
      <c r="BX19" s="1134"/>
      <c r="BY19" s="1176">
        <f>BW19+BY35</f>
        <v>0</v>
      </c>
      <c r="BZ19" s="1134">
        <f>BY19+BZ35</f>
        <v>0</v>
      </c>
      <c r="CA19" s="1134">
        <f>BZ19+CA35</f>
        <v>0</v>
      </c>
      <c r="CB19" s="1134">
        <f>CA19+CB35</f>
        <v>0</v>
      </c>
      <c r="CC19" s="1175">
        <f t="shared" si="13"/>
        <v>0</v>
      </c>
      <c r="CD19" s="1027"/>
      <c r="CE19" s="1176">
        <f t="shared" si="14"/>
        <v>0</v>
      </c>
      <c r="CF19" s="1134">
        <f t="shared" si="15"/>
        <v>0</v>
      </c>
      <c r="CG19" s="1134">
        <f t="shared" si="16"/>
        <v>0</v>
      </c>
      <c r="CH19" s="1134">
        <f t="shared" si="17"/>
        <v>0</v>
      </c>
      <c r="CI19" s="1175">
        <f t="shared" si="18"/>
        <v>0</v>
      </c>
      <c r="CK19" s="1176">
        <f t="shared" si="19"/>
        <v>0</v>
      </c>
      <c r="CL19" s="1134">
        <f t="shared" si="20"/>
        <v>0</v>
      </c>
      <c r="CM19" s="1134">
        <f t="shared" si="21"/>
        <v>0</v>
      </c>
      <c r="CN19" s="1134">
        <f t="shared" si="22"/>
        <v>0</v>
      </c>
      <c r="CO19" s="1175">
        <f t="shared" si="23"/>
        <v>0</v>
      </c>
    </row>
    <row r="20" spans="1:93" ht="12.75" customHeight="1" collapsed="1">
      <c r="A20" s="1177" t="s">
        <v>292</v>
      </c>
      <c r="B20" s="1178"/>
      <c r="C20" s="1178"/>
      <c r="D20" s="1179"/>
      <c r="E20" s="1180"/>
      <c r="F20" s="1181"/>
      <c r="G20" s="1181"/>
      <c r="H20" s="1181"/>
      <c r="I20" s="1765">
        <f>SUM(I10:I19)+I21</f>
        <v>2087</v>
      </c>
      <c r="J20" s="1179"/>
      <c r="K20" s="1180"/>
      <c r="L20" s="1181"/>
      <c r="M20" s="1181"/>
      <c r="N20" s="1181"/>
      <c r="O20" s="1765"/>
      <c r="P20" s="1179"/>
      <c r="Q20" s="1180">
        <f>SUM(Q10:Q19)+Q21</f>
        <v>2204</v>
      </c>
      <c r="R20" s="1181">
        <f>SUM(R10:R19)+R21</f>
        <v>2154</v>
      </c>
      <c r="S20" s="1181">
        <f>SUM(S10:S19)+S21</f>
        <v>2153</v>
      </c>
      <c r="T20" s="1774">
        <f>SUM(T10:T19)+T21</f>
        <v>2905</v>
      </c>
      <c r="U20" s="1765">
        <f>SUM(U10:U19)+U21</f>
        <v>2905</v>
      </c>
      <c r="V20" s="1781"/>
      <c r="W20" s="1181">
        <f>SUM(W10:W19)+W21</f>
        <v>2911</v>
      </c>
      <c r="X20" s="1181">
        <f>SUM(X10:X19)+X21</f>
        <v>2894</v>
      </c>
      <c r="Y20" s="1181">
        <f>SUM(Y10:Y19)+Y21</f>
        <v>3678</v>
      </c>
      <c r="Z20" s="1774">
        <f>SUM(Z10:Z19)+Z21</f>
        <v>3691</v>
      </c>
      <c r="AA20" s="1765">
        <f>SUM(AA10:AA19)+AA21</f>
        <v>3691</v>
      </c>
      <c r="AB20" s="1179"/>
      <c r="AC20" s="1180">
        <f>SUM(AC10:AC19)+AC21</f>
        <v>2139</v>
      </c>
      <c r="AD20" s="1181">
        <f>SUM(AD10:AD19)+AD21</f>
        <v>2144</v>
      </c>
      <c r="AE20" s="1181">
        <f>SUM(AE10:AE19)+AE21</f>
        <v>2168</v>
      </c>
      <c r="AF20" s="1181">
        <f>SUM(AF10:AF19)+AF21</f>
        <v>2185</v>
      </c>
      <c r="AG20" s="1182">
        <f>SUM(AG10:AG19)+AG21</f>
        <v>2185</v>
      </c>
      <c r="AH20" s="1179"/>
      <c r="AI20" s="1180">
        <f>SUM(AI10:AI19)+AI21</f>
        <v>2181</v>
      </c>
      <c r="AJ20" s="1181">
        <f>SUM(AJ10:AJ19)+AJ21</f>
        <v>2177</v>
      </c>
      <c r="AK20" s="1181">
        <f>SUM(AK10:AK19)+AK21</f>
        <v>2214</v>
      </c>
      <c r="AL20" s="1181">
        <f>SUM(AL10:AL19)+AL21</f>
        <v>2362</v>
      </c>
      <c r="AM20" s="1182">
        <f>SUM(AM10:AM19)+AM21</f>
        <v>2362</v>
      </c>
      <c r="AN20" s="1179"/>
      <c r="AO20" s="1180">
        <f>SUM(AO10:AO19)+AO21</f>
        <v>2361</v>
      </c>
      <c r="AP20" s="1181">
        <f>SUM(AP10:AP19)+AP21</f>
        <v>2356</v>
      </c>
      <c r="AQ20" s="1181">
        <f>SUM(AQ10:AQ19)+AQ21</f>
        <v>2701</v>
      </c>
      <c r="AR20" s="1181">
        <f>SUM(AR10:AR19)+AR21</f>
        <v>2699</v>
      </c>
      <c r="AS20" s="1182">
        <f>SUM(AS10:AS19)+AS21</f>
        <v>2699</v>
      </c>
      <c r="AT20" s="1179"/>
      <c r="AU20" s="1180">
        <f>SUM(AU10:AU19)+AU21</f>
        <v>2695</v>
      </c>
      <c r="AV20" s="1181">
        <f>SUM(AV10:AV19)+AV21</f>
        <v>2693</v>
      </c>
      <c r="AW20" s="1181">
        <f>SUM(AW10:AW19)+AW21</f>
        <v>2216</v>
      </c>
      <c r="AX20" s="1181">
        <f>SUM(AX10:AX19)+AX21</f>
        <v>2286</v>
      </c>
      <c r="AY20" s="1182">
        <f>SUM(AY10:AY19)+AY21</f>
        <v>2286</v>
      </c>
      <c r="AZ20" s="1179"/>
      <c r="BA20" s="1183">
        <f>SUM(BA10:BA19)+BA21</f>
        <v>1658</v>
      </c>
      <c r="BB20" s="1181">
        <f>SUM(BB10:BB19)+BB21</f>
        <v>1656</v>
      </c>
      <c r="BC20" s="1181">
        <f>SUM(BC10:BC19)+BC21</f>
        <v>1655</v>
      </c>
      <c r="BD20" s="1181">
        <f>SUM(BD10:BD19)+BD21</f>
        <v>1655</v>
      </c>
      <c r="BE20" s="1182">
        <f>SUM(BE10:BE19)+BE21</f>
        <v>1655</v>
      </c>
      <c r="BF20" s="1179"/>
      <c r="BG20" s="1183">
        <f>SUM(BG10:BG19)+BG21</f>
        <v>1733</v>
      </c>
      <c r="BH20" s="1181">
        <f>SUM(BH10:BH19)+BH21</f>
        <v>1889</v>
      </c>
      <c r="BI20" s="1181">
        <f>SUM(BI10:BI19)+BI21</f>
        <v>1887</v>
      </c>
      <c r="BJ20" s="1181">
        <f>SUM(BJ10:BJ19)+BJ21</f>
        <v>1912</v>
      </c>
      <c r="BK20" s="1182">
        <f>SUM(BK10:BK19)+BK21</f>
        <v>1912</v>
      </c>
      <c r="BL20" s="1179"/>
      <c r="BM20" s="1183">
        <f>SUM(BM10:BM19)+BM21</f>
        <v>1802</v>
      </c>
      <c r="BN20" s="1181">
        <f>SUM(BN10:BN19)+BN21</f>
        <v>2043</v>
      </c>
      <c r="BO20" s="1181">
        <f>SUM(BO10:BO19)+BO21</f>
        <v>2081</v>
      </c>
      <c r="BP20" s="1181">
        <f>SUM(BP10:BP19)+BP21</f>
        <v>2011</v>
      </c>
      <c r="BQ20" s="1182">
        <f>SUM(BQ10:BQ19)+BQ21</f>
        <v>2011</v>
      </c>
      <c r="BR20" s="1179"/>
      <c r="BS20" s="1183">
        <f>SUM(BS10:BS19)+BS21</f>
        <v>2145</v>
      </c>
      <c r="BT20" s="1181">
        <f>SUM(BT10:BT19)+BT21</f>
        <v>2145</v>
      </c>
      <c r="BU20" s="1181">
        <f>SUM(BU10:BU19)+BU21</f>
        <v>2145</v>
      </c>
      <c r="BV20" s="1181">
        <f>SUM(BV10:BV19)+BV21</f>
        <v>2145</v>
      </c>
      <c r="BW20" s="1182">
        <f>SUM(BW10:BW19)+BW21</f>
        <v>2145</v>
      </c>
      <c r="BX20" s="1179"/>
      <c r="BY20" s="1183">
        <f>SUM(BY10:BY19)+BY21</f>
        <v>2145</v>
      </c>
      <c r="BZ20" s="1181">
        <f>SUM(BZ10:BZ19)+BZ21</f>
        <v>2145</v>
      </c>
      <c r="CA20" s="1181">
        <f>SUM(CA10:CA19)+CA21</f>
        <v>2145</v>
      </c>
      <c r="CB20" s="1181">
        <f>SUM(CB10:CB19)+CB21</f>
        <v>2145</v>
      </c>
      <c r="CC20" s="1182">
        <f>SUM(CC10:CC19)+CC21</f>
        <v>2145</v>
      </c>
      <c r="CD20" s="1243"/>
      <c r="CE20" s="1183">
        <f>SUM(CE10:CE19)+CE21</f>
        <v>1636</v>
      </c>
      <c r="CF20" s="1181">
        <f>SUM(CF10:CF19)+CF21</f>
        <v>1636</v>
      </c>
      <c r="CG20" s="1181">
        <f>SUM(CG10:CG19)+CG21</f>
        <v>1636</v>
      </c>
      <c r="CH20" s="1181">
        <f>SUM(CH10:CH19)+CH21</f>
        <v>1636</v>
      </c>
      <c r="CI20" s="1182">
        <f>SUM(CI10:CI19)+CI21</f>
        <v>1636</v>
      </c>
      <c r="CK20" s="1183">
        <f>SUM(CK10:CK19)+CK21</f>
        <v>1238</v>
      </c>
      <c r="CL20" s="1181">
        <f>SUM(CL10:CL19)+CL21</f>
        <v>1238</v>
      </c>
      <c r="CM20" s="1181">
        <f>SUM(CM10:CM19)+CM21</f>
        <v>1238</v>
      </c>
      <c r="CN20" s="1181">
        <f>SUM(CN10:CN19)+CN21</f>
        <v>1238</v>
      </c>
      <c r="CO20" s="1182">
        <f>SUM(CO10:CO19)+CO21</f>
        <v>1238</v>
      </c>
    </row>
    <row r="21" spans="1:93" ht="12.75" customHeight="1">
      <c r="A21" s="1184" t="s">
        <v>485</v>
      </c>
      <c r="B21" s="1184"/>
      <c r="C21" s="1184"/>
      <c r="D21" s="1134"/>
      <c r="E21" s="974"/>
      <c r="F21" s="975"/>
      <c r="G21" s="975"/>
      <c r="H21" s="975"/>
      <c r="I21" s="1764">
        <f>BS!G29</f>
        <v>0</v>
      </c>
      <c r="J21" s="1134"/>
      <c r="K21" s="974"/>
      <c r="L21" s="975"/>
      <c r="M21" s="975"/>
      <c r="N21" s="975"/>
      <c r="O21" s="1242"/>
      <c r="P21" s="1134"/>
      <c r="Q21" s="974">
        <f>BS!O29</f>
        <v>50</v>
      </c>
      <c r="R21" s="975">
        <f>BS!P29</f>
        <v>0</v>
      </c>
      <c r="S21" s="975">
        <f>BS!Q29</f>
        <v>0</v>
      </c>
      <c r="T21" s="1775">
        <f>BS!R29</f>
        <v>1</v>
      </c>
      <c r="U21" s="1242">
        <f>T21</f>
        <v>1</v>
      </c>
      <c r="V21" s="1242"/>
      <c r="W21" s="975">
        <f>BS!U29</f>
        <v>1501</v>
      </c>
      <c r="X21" s="975">
        <f>BS!V29</f>
        <v>1501</v>
      </c>
      <c r="Y21" s="975">
        <f>BS!W29</f>
        <v>1501</v>
      </c>
      <c r="Z21" s="1775">
        <f>BS!X29</f>
        <v>1501</v>
      </c>
      <c r="AA21" s="1242">
        <f>Z21</f>
        <v>1501</v>
      </c>
      <c r="AB21" s="1134"/>
      <c r="AC21" s="974">
        <f>BS!AA29</f>
        <v>1</v>
      </c>
      <c r="AD21" s="975">
        <f>BS!AB29</f>
        <v>0</v>
      </c>
      <c r="AE21" s="975">
        <f>BS!AC29</f>
        <v>0</v>
      </c>
      <c r="AF21" s="975">
        <f>BS!AD29</f>
        <v>253</v>
      </c>
      <c r="AG21" s="1175">
        <f>AF21</f>
        <v>253</v>
      </c>
      <c r="AH21" s="1134"/>
      <c r="AI21" s="974">
        <f>BS!AG29</f>
        <v>252</v>
      </c>
      <c r="AJ21" s="975">
        <f>BS!AH29</f>
        <v>251</v>
      </c>
      <c r="AK21" s="975">
        <f>BS!AI29</f>
        <v>500</v>
      </c>
      <c r="AL21" s="975">
        <f>BS!AJ29</f>
        <v>250</v>
      </c>
      <c r="AM21" s="1175">
        <f>AL21</f>
        <v>250</v>
      </c>
      <c r="AN21" s="1134"/>
      <c r="AO21" s="974">
        <f>BS!AM29</f>
        <v>250</v>
      </c>
      <c r="AP21" s="975">
        <f>BS!AN29</f>
        <v>250</v>
      </c>
      <c r="AQ21" s="975">
        <f>BS!AO29</f>
        <v>0</v>
      </c>
      <c r="AR21" s="975">
        <f>BS!AP29</f>
        <v>0</v>
      </c>
      <c r="AS21" s="1175">
        <f>AR21</f>
        <v>0</v>
      </c>
      <c r="AT21" s="1134"/>
      <c r="AU21" s="974">
        <f>BS!AS29</f>
        <v>0</v>
      </c>
      <c r="AV21" s="975">
        <f>BS!AT29</f>
        <v>0</v>
      </c>
      <c r="AW21" s="975">
        <f>BS!AU29</f>
        <v>35</v>
      </c>
      <c r="AX21" s="975">
        <f>BS!AV29</f>
        <v>623</v>
      </c>
      <c r="AY21" s="1175">
        <f>AX21</f>
        <v>623</v>
      </c>
      <c r="AZ21" s="1134"/>
      <c r="BA21" s="1904">
        <f>BS!AY29</f>
        <v>0</v>
      </c>
      <c r="BB21" s="975">
        <f>BS!AZ29</f>
        <v>0</v>
      </c>
      <c r="BC21" s="975">
        <f>BS!BA29</f>
        <v>0</v>
      </c>
      <c r="BD21" s="975">
        <f>BS!BB29</f>
        <v>0</v>
      </c>
      <c r="BE21" s="1175">
        <f>BD21</f>
        <v>0</v>
      </c>
      <c r="BF21" s="1134"/>
      <c r="BG21" s="1904">
        <f>BS!BE29</f>
        <v>80</v>
      </c>
      <c r="BH21" s="975">
        <f>BS!BF29</f>
        <v>235</v>
      </c>
      <c r="BI21" s="975">
        <f>BS!BG29</f>
        <v>235</v>
      </c>
      <c r="BJ21" s="975">
        <f>BS!BH29</f>
        <v>0</v>
      </c>
      <c r="BK21" s="1175">
        <f>BJ21</f>
        <v>0</v>
      </c>
      <c r="BL21" s="1134"/>
      <c r="BM21" s="1904">
        <f>BK21</f>
        <v>0</v>
      </c>
      <c r="BN21" s="975">
        <f>BS!BL29</f>
        <v>241</v>
      </c>
      <c r="BO21" s="975">
        <f>BS!BM29</f>
        <v>280</v>
      </c>
      <c r="BP21" s="975">
        <f>BS!BN29</f>
        <v>210</v>
      </c>
      <c r="BQ21" s="1175">
        <f>BP21</f>
        <v>210</v>
      </c>
      <c r="BR21" s="1134"/>
      <c r="BS21" s="1904">
        <f>BS!BQ29</f>
        <v>345</v>
      </c>
      <c r="BT21" s="1027">
        <f>BS21</f>
        <v>345</v>
      </c>
      <c r="BU21" s="1027">
        <f>BT21</f>
        <v>345</v>
      </c>
      <c r="BV21" s="1027">
        <f>BU21</f>
        <v>345</v>
      </c>
      <c r="BW21" s="1175">
        <f>BV21</f>
        <v>345</v>
      </c>
      <c r="BX21" s="1134"/>
      <c r="BY21" s="1176">
        <f>BW21</f>
        <v>345</v>
      </c>
      <c r="BZ21" s="1027">
        <f>BY21</f>
        <v>345</v>
      </c>
      <c r="CA21" s="1027">
        <f>BZ21</f>
        <v>345</v>
      </c>
      <c r="CB21" s="1027">
        <f>CA21</f>
        <v>345</v>
      </c>
      <c r="CC21" s="1175">
        <f>CB21</f>
        <v>345</v>
      </c>
      <c r="CD21" s="1027"/>
      <c r="CE21" s="1176">
        <f>CC21</f>
        <v>345</v>
      </c>
      <c r="CF21" s="1027">
        <f>CE21</f>
        <v>345</v>
      </c>
      <c r="CG21" s="1027">
        <f>CF21</f>
        <v>345</v>
      </c>
      <c r="CH21" s="1027">
        <f>CG21</f>
        <v>345</v>
      </c>
      <c r="CI21" s="1175">
        <f>CH21</f>
        <v>345</v>
      </c>
      <c r="CK21" s="1176">
        <f>CI21</f>
        <v>345</v>
      </c>
      <c r="CL21" s="1027">
        <f>CK21</f>
        <v>345</v>
      </c>
      <c r="CM21" s="1027">
        <f>CL21</f>
        <v>345</v>
      </c>
      <c r="CN21" s="1027">
        <f>CM21</f>
        <v>345</v>
      </c>
      <c r="CO21" s="1175">
        <f>CN21</f>
        <v>345</v>
      </c>
    </row>
    <row r="22" spans="1:93" ht="12.75" customHeight="1">
      <c r="A22" s="1185" t="s">
        <v>486</v>
      </c>
      <c r="B22" s="1186"/>
      <c r="C22" s="1186"/>
      <c r="D22" s="1179"/>
      <c r="E22" s="1180"/>
      <c r="F22" s="1181"/>
      <c r="G22" s="1181"/>
      <c r="H22" s="1181"/>
      <c r="I22" s="1182">
        <f>I20-I21</f>
        <v>2087</v>
      </c>
      <c r="J22" s="1179"/>
      <c r="K22" s="1180"/>
      <c r="L22" s="1181"/>
      <c r="M22" s="1181"/>
      <c r="N22" s="1181"/>
      <c r="O22" s="1765"/>
      <c r="P22" s="1179"/>
      <c r="Q22" s="1180">
        <f>Q20-Q21</f>
        <v>2154</v>
      </c>
      <c r="R22" s="1181">
        <f>R20-R21</f>
        <v>2154</v>
      </c>
      <c r="S22" s="1181">
        <f>S20-S21</f>
        <v>2153</v>
      </c>
      <c r="T22" s="1774">
        <f>T20-T21</f>
        <v>2904</v>
      </c>
      <c r="U22" s="1765">
        <f>U20-U21</f>
        <v>2904</v>
      </c>
      <c r="V22" s="1781"/>
      <c r="W22" s="1181">
        <f>W20-W21</f>
        <v>1410</v>
      </c>
      <c r="X22" s="1181">
        <f>X20-X21</f>
        <v>1393</v>
      </c>
      <c r="Y22" s="1181">
        <f>Y20-Y21</f>
        <v>2177</v>
      </c>
      <c r="Z22" s="1774">
        <f>Z20-Z21</f>
        <v>2190</v>
      </c>
      <c r="AA22" s="1765">
        <f>AA20-AA21</f>
        <v>2190</v>
      </c>
      <c r="AB22" s="1179"/>
      <c r="AC22" s="1180">
        <f>AC20-AC21</f>
        <v>2138</v>
      </c>
      <c r="AD22" s="1181">
        <f>AD20-AD21</f>
        <v>2144</v>
      </c>
      <c r="AE22" s="1181">
        <f>AE20-AE21</f>
        <v>2168</v>
      </c>
      <c r="AF22" s="1181">
        <f>AF20-AF21</f>
        <v>1932</v>
      </c>
      <c r="AG22" s="1182">
        <f>AG20-AG21</f>
        <v>1932</v>
      </c>
      <c r="AH22" s="1179"/>
      <c r="AI22" s="1180">
        <f>AI20-AI21</f>
        <v>1929</v>
      </c>
      <c r="AJ22" s="1181">
        <f>AJ20-AJ21</f>
        <v>1926</v>
      </c>
      <c r="AK22" s="1181">
        <f>AK20-AK21</f>
        <v>1714</v>
      </c>
      <c r="AL22" s="1181">
        <f>AL20-AL21</f>
        <v>2112</v>
      </c>
      <c r="AM22" s="1182">
        <f>AM20-AM21</f>
        <v>2112</v>
      </c>
      <c r="AN22" s="1179"/>
      <c r="AO22" s="1180">
        <f>AO20-AO21</f>
        <v>2111</v>
      </c>
      <c r="AP22" s="1181">
        <f>AP20-AP21</f>
        <v>2106</v>
      </c>
      <c r="AQ22" s="1181">
        <f>AQ20-AQ21</f>
        <v>2701</v>
      </c>
      <c r="AR22" s="1181">
        <f>AR20-AR21</f>
        <v>2699</v>
      </c>
      <c r="AS22" s="1182">
        <f>AS20-AS21</f>
        <v>2699</v>
      </c>
      <c r="AT22" s="1179"/>
      <c r="AU22" s="1180">
        <f>AU20-AU21</f>
        <v>2695</v>
      </c>
      <c r="AV22" s="1181">
        <f>AV20-AV21</f>
        <v>2693</v>
      </c>
      <c r="AW22" s="1181">
        <f>AW20-AW21</f>
        <v>2181</v>
      </c>
      <c r="AX22" s="1181">
        <f>AX20-AX21</f>
        <v>1663</v>
      </c>
      <c r="AY22" s="1182">
        <f>AY20-AY21</f>
        <v>1663</v>
      </c>
      <c r="AZ22" s="1179"/>
      <c r="BA22" s="1183">
        <f>BA20-BA21</f>
        <v>1658</v>
      </c>
      <c r="BB22" s="1181">
        <f>BB20-BB21</f>
        <v>1656</v>
      </c>
      <c r="BC22" s="1181">
        <f>BC20-BC21</f>
        <v>1655</v>
      </c>
      <c r="BD22" s="1181">
        <f>BD20-BD21</f>
        <v>1655</v>
      </c>
      <c r="BE22" s="1182">
        <f>BE20-BE21</f>
        <v>1655</v>
      </c>
      <c r="BF22" s="1179"/>
      <c r="BG22" s="1183">
        <f>BG20-BG21</f>
        <v>1653</v>
      </c>
      <c r="BH22" s="1181">
        <f>BH20-BH21</f>
        <v>1654</v>
      </c>
      <c r="BI22" s="1181">
        <f>BI20-BI21</f>
        <v>1652</v>
      </c>
      <c r="BJ22" s="1181">
        <f>BJ20-BJ21</f>
        <v>1912</v>
      </c>
      <c r="BK22" s="1182">
        <f>BK20-BK21</f>
        <v>1912</v>
      </c>
      <c r="BL22" s="1179"/>
      <c r="BM22" s="1183">
        <f>BM20-BM21</f>
        <v>1802</v>
      </c>
      <c r="BN22" s="1181">
        <f>BN20-BN21</f>
        <v>1802</v>
      </c>
      <c r="BO22" s="1181">
        <f>BO20-BO21</f>
        <v>1801</v>
      </c>
      <c r="BP22" s="1181">
        <f>BP20-BP21</f>
        <v>1801</v>
      </c>
      <c r="BQ22" s="1182">
        <f>BQ20-BQ21</f>
        <v>1801</v>
      </c>
      <c r="BR22" s="1179"/>
      <c r="BS22" s="1183">
        <f>BS20-BS21</f>
        <v>1800</v>
      </c>
      <c r="BT22" s="1181">
        <f>BT20-BT21</f>
        <v>1800</v>
      </c>
      <c r="BU22" s="1181">
        <f>BU20-BU21</f>
        <v>1800</v>
      </c>
      <c r="BV22" s="1181">
        <f>BV20-BV21</f>
        <v>1800</v>
      </c>
      <c r="BW22" s="1182">
        <f>BW20-BW21</f>
        <v>1800</v>
      </c>
      <c r="BX22" s="1179"/>
      <c r="BY22" s="1183">
        <f>BY20-BY21</f>
        <v>1800</v>
      </c>
      <c r="BZ22" s="1181">
        <f>BZ20-BZ21</f>
        <v>1800</v>
      </c>
      <c r="CA22" s="1181">
        <f>CA20-CA21</f>
        <v>1800</v>
      </c>
      <c r="CB22" s="1181">
        <f>CB20-CB21</f>
        <v>1800</v>
      </c>
      <c r="CC22" s="1182">
        <f>CC20-CC21</f>
        <v>1800</v>
      </c>
      <c r="CD22" s="1243"/>
      <c r="CE22" s="1183">
        <f>CE20-CE21</f>
        <v>1291</v>
      </c>
      <c r="CF22" s="1181">
        <f>CF20-CF21</f>
        <v>1291</v>
      </c>
      <c r="CG22" s="1181">
        <f>CG20-CG21</f>
        <v>1291</v>
      </c>
      <c r="CH22" s="1181">
        <f>CH20-CH21</f>
        <v>1291</v>
      </c>
      <c r="CI22" s="1182">
        <f>CI20-CI21</f>
        <v>1291</v>
      </c>
      <c r="CK22" s="1183">
        <f>CK20-CK21</f>
        <v>893</v>
      </c>
      <c r="CL22" s="1181">
        <f>CL20-CL21</f>
        <v>893</v>
      </c>
      <c r="CM22" s="1181">
        <f>CM20-CM21</f>
        <v>893</v>
      </c>
      <c r="CN22" s="1181">
        <f>CN20-CN21</f>
        <v>893</v>
      </c>
      <c r="CO22" s="1182">
        <f>CO20-CO21</f>
        <v>893</v>
      </c>
    </row>
    <row r="23" spans="1:93" ht="12.75" hidden="1" customHeight="1" outlineLevel="1">
      <c r="A23" s="1187" t="s">
        <v>487</v>
      </c>
      <c r="B23" s="1188"/>
      <c r="C23" s="1188"/>
      <c r="D23" s="1027"/>
      <c r="E23" s="1189"/>
      <c r="F23" s="1190"/>
      <c r="G23" s="1190"/>
      <c r="H23" s="1190"/>
      <c r="I23" s="1191">
        <f>I22-(BS!G32+BS!G33)</f>
        <v>0</v>
      </c>
      <c r="J23" s="1027"/>
      <c r="K23" s="1189"/>
      <c r="L23" s="1190"/>
      <c r="M23" s="1190"/>
      <c r="N23" s="1190"/>
      <c r="O23" s="1770"/>
      <c r="P23" s="1027"/>
      <c r="Q23" s="1189">
        <f>Q22-(BS!O32+BS!O33)</f>
        <v>0</v>
      </c>
      <c r="R23" s="1190">
        <f>R22-(BS!P32+BS!P33)</f>
        <v>0</v>
      </c>
      <c r="S23" s="1190">
        <f>S22-(BS!Q32+BS!Q33)</f>
        <v>0</v>
      </c>
      <c r="T23" s="1776">
        <f>T22-(BS!R32+BS!R33)</f>
        <v>0</v>
      </c>
      <c r="U23" s="1770">
        <f>U22-(BS!S32+BS!S33)</f>
        <v>0</v>
      </c>
      <c r="V23" s="1242"/>
      <c r="W23" s="1190">
        <f>W22-(BS!U32+BS!U33)</f>
        <v>0</v>
      </c>
      <c r="X23" s="1190">
        <f>X22-(BS!V32+BS!V33)</f>
        <v>0</v>
      </c>
      <c r="Y23" s="1190">
        <f>Y22-(BS!W32+BS!W33)</f>
        <v>0</v>
      </c>
      <c r="Z23" s="1776">
        <f>Z22-(BS!X32+BS!X33)</f>
        <v>0</v>
      </c>
      <c r="AA23" s="1770">
        <f>AA22-(BS!Y32+BS!Y33)</f>
        <v>0</v>
      </c>
      <c r="AB23" s="1027"/>
      <c r="AC23" s="1189">
        <f>AC22-(BS!AA32+BS!AA33)</f>
        <v>0</v>
      </c>
      <c r="AD23" s="1190">
        <f>AD22-(BS!AB32+BS!AB33)</f>
        <v>0</v>
      </c>
      <c r="AE23" s="1190">
        <f>AE22-(BS!AC32+BS!AC33)</f>
        <v>0</v>
      </c>
      <c r="AF23" s="1190">
        <f>AF22-(BS!AD32+BS!AD33)</f>
        <v>0</v>
      </c>
      <c r="AG23" s="1191">
        <f>AG22-(BS!AE32+BS!AE33)</f>
        <v>0</v>
      </c>
      <c r="AH23" s="1027"/>
      <c r="AI23" s="1189">
        <f>AI22-(BS!AG32+BS!AG33)</f>
        <v>0</v>
      </c>
      <c r="AJ23" s="1190">
        <f>AJ22-(BS!AH32+BS!AH33)</f>
        <v>0</v>
      </c>
      <c r="AK23" s="1190">
        <f>AK22-(BS!AI32+BS!AI33)</f>
        <v>0</v>
      </c>
      <c r="AL23" s="1190">
        <f>AL22-(BS!AJ32+BS!AJ33)</f>
        <v>0</v>
      </c>
      <c r="AM23" s="1191">
        <f>AM22-(BS!AK32+BS!AK33)</f>
        <v>0</v>
      </c>
      <c r="AN23" s="1027"/>
      <c r="AO23" s="1189">
        <f>AO22-(BS!AM32+BS!AM33)</f>
        <v>0</v>
      </c>
      <c r="AP23" s="1190">
        <f>AP22-(BS!AN32+BS!AN33)</f>
        <v>0</v>
      </c>
      <c r="AQ23" s="1190">
        <f>AQ22-(BS!AO32+BS!AO33)</f>
        <v>0</v>
      </c>
      <c r="AR23" s="1190">
        <f>AR22-(BS!AP32+BS!AP33)</f>
        <v>0</v>
      </c>
      <c r="AS23" s="1191">
        <f>AS22-(BS!AQ32+BS!AQ33)</f>
        <v>0</v>
      </c>
      <c r="AT23" s="1027"/>
      <c r="AU23" s="1189">
        <f>AU22-(BS!AS32+BS!AS33)</f>
        <v>0</v>
      </c>
      <c r="AV23" s="1190">
        <f>AV22-(BS!AT32+BS!AT33)</f>
        <v>0</v>
      </c>
      <c r="AW23" s="1190">
        <f>AW22-(BS!AU32+BS!AU33)</f>
        <v>0</v>
      </c>
      <c r="AX23" s="1190">
        <f>AX22-(BS!AV32+BS!AV33)</f>
        <v>0</v>
      </c>
      <c r="AY23" s="1191">
        <f>AY22-(BS!AW32+BS!AW33)</f>
        <v>0</v>
      </c>
      <c r="AZ23" s="1027"/>
      <c r="BA23" s="1189">
        <f>BA22-(BS!AY32+BS!AY33)</f>
        <v>0</v>
      </c>
      <c r="BB23" s="1190">
        <f>BB22-(BS!AZ32+BS!AZ33)</f>
        <v>0</v>
      </c>
      <c r="BC23" s="1190">
        <f>BC22-(BS!BA32+BS!BA33)</f>
        <v>0</v>
      </c>
      <c r="BD23" s="1190">
        <f>BD22-(BS!BB32+BS!BB33)</f>
        <v>0</v>
      </c>
      <c r="BE23" s="1191">
        <f>BE22-(BS!BC32+BS!BC33)</f>
        <v>0</v>
      </c>
      <c r="BF23" s="1027"/>
      <c r="BG23" s="1189">
        <f>BG22-(BS!BE32+BS!BE33)</f>
        <v>0</v>
      </c>
      <c r="BH23" s="1190">
        <f>BH22-(BS!BF32+BS!BF33)</f>
        <v>0</v>
      </c>
      <c r="BI23" s="1190">
        <f>BI22-(BS!BG32+BS!BG33)</f>
        <v>0</v>
      </c>
      <c r="BJ23" s="1190">
        <f>BJ22-(BS!BH32+BS!BH33)</f>
        <v>0</v>
      </c>
      <c r="BK23" s="1191">
        <f>BK22-(BS!BI32+BS!BI33)</f>
        <v>0</v>
      </c>
      <c r="BL23" s="1027"/>
      <c r="BM23" s="1189">
        <f>BM22-(BS!BK32+BS!BK33)</f>
        <v>0</v>
      </c>
      <c r="BN23" s="1190">
        <f>BN22-(BS!BL32+BS!BL33)</f>
        <v>0</v>
      </c>
      <c r="BO23" s="1190">
        <f>BO22-(BS!BM32+BS!BM33)</f>
        <v>0</v>
      </c>
      <c r="BP23" s="1190">
        <f>BP22-(BS!BN32+BS!BN33)</f>
        <v>0</v>
      </c>
      <c r="BQ23" s="1191">
        <f>BQ22-(BS!BO32+BS!BO33)</f>
        <v>0</v>
      </c>
      <c r="BR23" s="1027"/>
      <c r="BS23" s="1189">
        <f>BS22-(BS!BQ32+BS!BQ33)</f>
        <v>0</v>
      </c>
      <c r="BT23" s="1190">
        <f>BT22-(BS!BR32+BS!BR33)</f>
        <v>0</v>
      </c>
      <c r="BU23" s="1190">
        <f>BU22-(BS!BS32+BS!BS33)</f>
        <v>0</v>
      </c>
      <c r="BV23" s="1190">
        <f>BV22-(BS!BT32+BS!BT33)</f>
        <v>0</v>
      </c>
      <c r="BW23" s="1191">
        <f>BW22-(BS!BU32+BS!BU33)</f>
        <v>0</v>
      </c>
      <c r="BX23" s="1027"/>
      <c r="BY23" s="1189">
        <f>BY22-(BS!BW32+BS!BW33)</f>
        <v>0</v>
      </c>
      <c r="BZ23" s="1190">
        <f>BZ22-(BS!BX32+BS!BX33)</f>
        <v>0</v>
      </c>
      <c r="CA23" s="1190">
        <f>CA22-(BS!BY32+BS!BY33)</f>
        <v>0</v>
      </c>
      <c r="CB23" s="1190">
        <f>CB22-(BS!BZ32+BS!BZ33)</f>
        <v>0</v>
      </c>
      <c r="CC23" s="1191">
        <f>CC22-(BS!CA32+BS!CA33)</f>
        <v>0</v>
      </c>
      <c r="CD23" s="1190"/>
      <c r="CE23" s="1189">
        <f>CE22-(BS!CC32+BS!CC33)</f>
        <v>0</v>
      </c>
      <c r="CF23" s="1190">
        <f>CF22-(BS!CD32+BS!CD33)</f>
        <v>0</v>
      </c>
      <c r="CG23" s="1190">
        <f>CG22-(BS!CE32+BS!CE33)</f>
        <v>0</v>
      </c>
      <c r="CH23" s="1190">
        <f>CH22-(BS!CF32+BS!CF33)</f>
        <v>0</v>
      </c>
      <c r="CI23" s="1191">
        <f>CI22-(BS!CG32+BS!CG33)</f>
        <v>0</v>
      </c>
      <c r="CK23" s="1189">
        <f>CK22-(BS!CI32+BS!CI33)</f>
        <v>0</v>
      </c>
      <c r="CL23" s="1190">
        <f>CL22-(BS!CJ32+BS!CJ33)</f>
        <v>0</v>
      </c>
      <c r="CM23" s="1190">
        <f>CM22-(BS!CK32+BS!CK33)</f>
        <v>0</v>
      </c>
      <c r="CN23" s="1190">
        <f>CN22-(BS!CL32+BS!CL33)</f>
        <v>0</v>
      </c>
      <c r="CO23" s="1191">
        <f>CO22-(BS!CM32+BS!CM33)</f>
        <v>0</v>
      </c>
    </row>
    <row r="24" spans="1:93" ht="12.75" customHeight="1" collapsed="1">
      <c r="A24" s="1184"/>
      <c r="B24" s="1184"/>
      <c r="C24" s="1184"/>
      <c r="D24" s="1134"/>
      <c r="E24" s="970"/>
      <c r="F24" s="971"/>
      <c r="G24" s="971"/>
      <c r="H24" s="971"/>
      <c r="I24" s="1192"/>
      <c r="J24" s="1134"/>
      <c r="K24" s="970"/>
      <c r="L24" s="971"/>
      <c r="M24" s="971"/>
      <c r="N24" s="971"/>
      <c r="O24" s="1242"/>
      <c r="P24" s="1134"/>
      <c r="Q24" s="970"/>
      <c r="R24" s="971"/>
      <c r="S24" s="971"/>
      <c r="T24" s="1777"/>
      <c r="U24" s="1242"/>
      <c r="V24" s="1242"/>
      <c r="W24" s="971"/>
      <c r="X24" s="971"/>
      <c r="Y24" s="971"/>
      <c r="Z24" s="1777"/>
      <c r="AA24" s="1242"/>
      <c r="AB24" s="1134"/>
      <c r="AC24" s="970"/>
      <c r="AD24" s="971"/>
      <c r="AE24" s="971"/>
      <c r="AF24" s="971"/>
      <c r="AG24" s="1175"/>
      <c r="AH24" s="1134"/>
      <c r="AI24" s="970"/>
      <c r="AJ24" s="971"/>
      <c r="AK24" s="1134"/>
      <c r="AL24" s="1134"/>
      <c r="AM24" s="1175"/>
      <c r="AN24" s="1134"/>
      <c r="AO24" s="1176"/>
      <c r="AP24" s="1134"/>
      <c r="AQ24" s="1134"/>
      <c r="AR24" s="1134"/>
      <c r="AS24" s="1175"/>
      <c r="AT24" s="1134"/>
      <c r="AU24" s="1176"/>
      <c r="AV24" s="1134"/>
      <c r="AW24" s="1134"/>
      <c r="AX24" s="1134"/>
      <c r="AY24" s="1175"/>
      <c r="AZ24" s="1134"/>
      <c r="BA24" s="1176"/>
      <c r="BB24" s="1134"/>
      <c r="BC24" s="1134"/>
      <c r="BD24" s="1134"/>
      <c r="BE24" s="1175"/>
      <c r="BF24" s="1134"/>
      <c r="BG24" s="1176"/>
      <c r="BH24" s="1134"/>
      <c r="BI24" s="1134"/>
      <c r="BJ24" s="1134"/>
      <c r="BK24" s="1175"/>
      <c r="BL24" s="1134"/>
      <c r="BM24" s="1176"/>
      <c r="BN24" s="1134"/>
      <c r="BO24" s="1134"/>
      <c r="BP24" s="1134"/>
      <c r="BQ24" s="1175"/>
      <c r="BR24" s="1134"/>
      <c r="BS24" s="1176"/>
      <c r="BT24" s="1134"/>
      <c r="BU24" s="1134"/>
      <c r="BV24" s="1134"/>
      <c r="BW24" s="1175"/>
      <c r="BX24" s="1134"/>
      <c r="BY24" s="1176"/>
      <c r="BZ24" s="1134"/>
      <c r="CA24" s="1134"/>
      <c r="CB24" s="1134"/>
      <c r="CC24" s="1175"/>
      <c r="CD24" s="1027"/>
      <c r="CE24" s="1176"/>
      <c r="CF24" s="1134"/>
      <c r="CG24" s="1134"/>
      <c r="CH24" s="1134"/>
      <c r="CI24" s="1175"/>
      <c r="CK24" s="1176"/>
      <c r="CL24" s="1134"/>
      <c r="CM24" s="1134"/>
      <c r="CN24" s="1134"/>
      <c r="CO24" s="1175"/>
    </row>
    <row r="25" spans="1:93" ht="12.75" customHeight="1">
      <c r="A25" s="1193" t="s">
        <v>488</v>
      </c>
      <c r="B25" s="1193"/>
      <c r="C25" s="1193"/>
      <c r="D25" s="1134"/>
      <c r="E25" s="1194"/>
      <c r="F25" s="1134"/>
      <c r="G25" s="1134"/>
      <c r="H25" s="1134"/>
      <c r="I25" s="1175"/>
      <c r="J25" s="1134"/>
      <c r="K25" s="1194"/>
      <c r="L25" s="1134"/>
      <c r="M25" s="1134"/>
      <c r="N25" s="1134"/>
      <c r="O25" s="1242"/>
      <c r="P25" s="1134"/>
      <c r="Q25" s="1194"/>
      <c r="R25" s="1134"/>
      <c r="S25" s="1134"/>
      <c r="T25" s="1241"/>
      <c r="U25" s="1242"/>
      <c r="V25" s="1242"/>
      <c r="W25" s="1027"/>
      <c r="X25" s="1134"/>
      <c r="Y25" s="1134"/>
      <c r="Z25" s="1241"/>
      <c r="AA25" s="1242"/>
      <c r="AB25" s="1134"/>
      <c r="AC25" s="1194"/>
      <c r="AD25" s="1134"/>
      <c r="AE25" s="1134"/>
      <c r="AF25" s="1134"/>
      <c r="AG25" s="1175"/>
      <c r="AH25" s="1134"/>
      <c r="AI25" s="1194"/>
      <c r="AJ25" s="1134"/>
      <c r="AK25" s="1134"/>
      <c r="AL25" s="1134"/>
      <c r="AM25" s="1175"/>
      <c r="AN25" s="1134"/>
      <c r="AO25" s="1176"/>
      <c r="AP25" s="1134"/>
      <c r="AQ25" s="1134"/>
      <c r="AR25" s="1134"/>
      <c r="AS25" s="1175"/>
      <c r="AT25" s="1134"/>
      <c r="AU25" s="1176"/>
      <c r="AV25" s="1134"/>
      <c r="AW25" s="1134"/>
      <c r="AX25" s="1134"/>
      <c r="AY25" s="1175"/>
      <c r="AZ25" s="1134"/>
      <c r="BA25" s="1176"/>
      <c r="BB25" s="1134"/>
      <c r="BC25" s="1134"/>
      <c r="BD25" s="1134"/>
      <c r="BE25" s="1175"/>
      <c r="BF25" s="1134"/>
      <c r="BG25" s="1176"/>
      <c r="BH25" s="1134"/>
      <c r="BI25" s="1134"/>
      <c r="BJ25" s="1134"/>
      <c r="BK25" s="1175"/>
      <c r="BL25" s="1134"/>
      <c r="BM25" s="1176"/>
      <c r="BN25" s="1134"/>
      <c r="BO25" s="1134"/>
      <c r="BP25" s="1134"/>
      <c r="BQ25" s="1175"/>
      <c r="BR25" s="1134"/>
      <c r="BS25" s="1176"/>
      <c r="BT25" s="1134"/>
      <c r="BU25" s="1134"/>
      <c r="BV25" s="1134"/>
      <c r="BW25" s="1175"/>
      <c r="BX25" s="1134"/>
      <c r="BY25" s="1176"/>
      <c r="BZ25" s="1134"/>
      <c r="CA25" s="1134"/>
      <c r="CB25" s="1134"/>
      <c r="CC25" s="1175"/>
      <c r="CD25" s="1027"/>
      <c r="CE25" s="1176"/>
      <c r="CF25" s="1134"/>
      <c r="CG25" s="1134"/>
      <c r="CH25" s="1134"/>
      <c r="CI25" s="1175"/>
      <c r="CK25" s="1176"/>
      <c r="CL25" s="1134"/>
      <c r="CM25" s="1134"/>
      <c r="CN25" s="1134"/>
      <c r="CO25" s="1175"/>
    </row>
    <row r="26" spans="1:93" ht="12.75" customHeight="1">
      <c r="A26" s="1173" t="str">
        <f t="shared" ref="A26:A34" si="24">A10</f>
        <v>World Trade Debt</v>
      </c>
      <c r="B26" s="1173"/>
      <c r="C26" s="1173"/>
      <c r="D26" s="1134"/>
      <c r="E26" s="1194"/>
      <c r="F26" s="1134"/>
      <c r="G26" s="1134"/>
      <c r="H26" s="1134"/>
      <c r="I26" s="1175"/>
      <c r="J26" s="1134"/>
      <c r="K26" s="1194"/>
      <c r="L26" s="1134"/>
      <c r="M26" s="1134"/>
      <c r="N26" s="1134"/>
      <c r="O26" s="1242"/>
      <c r="P26" s="1134"/>
      <c r="Q26" s="1723">
        <v>0</v>
      </c>
      <c r="R26" s="1134">
        <f t="shared" ref="R26:T34" si="25">R10-Q10</f>
        <v>0</v>
      </c>
      <c r="S26" s="1134">
        <f t="shared" si="25"/>
        <v>0</v>
      </c>
      <c r="T26" s="1241">
        <f t="shared" si="25"/>
        <v>0</v>
      </c>
      <c r="U26" s="1242">
        <f>SUM(Q26:T26)</f>
        <v>0</v>
      </c>
      <c r="V26" s="1242"/>
      <c r="W26" s="1027">
        <f t="shared" ref="W26:W34" si="26">W10-U10</f>
        <v>-1500</v>
      </c>
      <c r="X26" s="1134">
        <f t="shared" ref="X26:Z34" si="27">X10-W10</f>
        <v>0</v>
      </c>
      <c r="Y26" s="1134">
        <f t="shared" si="27"/>
        <v>0</v>
      </c>
      <c r="Z26" s="1241">
        <f t="shared" si="27"/>
        <v>0</v>
      </c>
      <c r="AA26" s="1242">
        <f t="shared" ref="AA26:AA34" si="28">AA10-U10</f>
        <v>-1500</v>
      </c>
      <c r="AB26" s="1134"/>
      <c r="AC26" s="1194">
        <f t="shared" ref="AC26:AC34" si="29">AC10-AA10</f>
        <v>0</v>
      </c>
      <c r="AD26" s="1134">
        <f t="shared" ref="AD26:AF34" si="30">AD10-AC10</f>
        <v>0</v>
      </c>
      <c r="AE26" s="1134">
        <f t="shared" si="30"/>
        <v>0</v>
      </c>
      <c r="AF26" s="1134">
        <f t="shared" si="30"/>
        <v>0</v>
      </c>
      <c r="AG26" s="1175">
        <f t="shared" ref="AG26:AG34" si="31">AG10-AA10</f>
        <v>0</v>
      </c>
      <c r="AH26" s="1134"/>
      <c r="AI26" s="1194">
        <f t="shared" ref="AI26:AI34" si="32">AI10-AG10</f>
        <v>0</v>
      </c>
      <c r="AJ26" s="1134">
        <f t="shared" ref="AJ26:AL34" si="33">AJ10-AI10</f>
        <v>0</v>
      </c>
      <c r="AK26" s="1134">
        <f t="shared" si="33"/>
        <v>0</v>
      </c>
      <c r="AL26" s="1134">
        <f t="shared" si="33"/>
        <v>0</v>
      </c>
      <c r="AM26" s="1175">
        <f t="shared" ref="AM26:AM34" si="34">AM10-AG10</f>
        <v>0</v>
      </c>
      <c r="AN26" s="1134"/>
      <c r="AO26" s="1176">
        <f t="shared" ref="AO26:AO34" si="35">AO10-AL10</f>
        <v>0</v>
      </c>
      <c r="AP26" s="1134">
        <f t="shared" ref="AP26:AR34" si="36">AP10-AO10</f>
        <v>0</v>
      </c>
      <c r="AQ26" s="1134">
        <f t="shared" si="36"/>
        <v>0</v>
      </c>
      <c r="AR26" s="1134">
        <f t="shared" si="36"/>
        <v>0</v>
      </c>
      <c r="AS26" s="1175">
        <f t="shared" ref="AS26:AS34" si="37">AS10-AM10</f>
        <v>0</v>
      </c>
      <c r="AT26" s="1134"/>
      <c r="AU26" s="1176">
        <f t="shared" ref="AU26:AU34" si="38">AU10-AR10</f>
        <v>0</v>
      </c>
      <c r="AV26" s="1134">
        <f t="shared" ref="AV26:AX34" si="39">AV10-AU10</f>
        <v>0</v>
      </c>
      <c r="AW26" s="1134">
        <f t="shared" si="39"/>
        <v>0</v>
      </c>
      <c r="AX26" s="1134">
        <f t="shared" si="39"/>
        <v>0</v>
      </c>
      <c r="AY26" s="1175">
        <f t="shared" ref="AY26:AY34" si="40">AY10-AS10</f>
        <v>0</v>
      </c>
      <c r="AZ26" s="1134"/>
      <c r="BA26" s="1176">
        <f t="shared" ref="BA26:BA34" si="41">BA10-AX10</f>
        <v>0</v>
      </c>
      <c r="BB26" s="1134">
        <f t="shared" ref="BB26:BD34" si="42">BB10-BA10</f>
        <v>0</v>
      </c>
      <c r="BC26" s="1134">
        <f t="shared" si="42"/>
        <v>0</v>
      </c>
      <c r="BD26" s="1134">
        <f t="shared" si="42"/>
        <v>0</v>
      </c>
      <c r="BE26" s="1175">
        <f t="shared" ref="BE26:BE34" si="43">BE10-AY10</f>
        <v>0</v>
      </c>
      <c r="BF26" s="1134"/>
      <c r="BG26" s="1176">
        <f t="shared" ref="BG26:BG34" si="44">BG10-BD10</f>
        <v>0</v>
      </c>
      <c r="BH26" s="1134">
        <f t="shared" ref="BH26:BJ34" si="45">BH10-BG10</f>
        <v>0</v>
      </c>
      <c r="BI26" s="1134">
        <f t="shared" si="45"/>
        <v>0</v>
      </c>
      <c r="BJ26" s="1134">
        <f t="shared" si="45"/>
        <v>0</v>
      </c>
      <c r="BK26" s="1175">
        <f t="shared" ref="BK26:BK34" si="46">BK10-BE10</f>
        <v>0</v>
      </c>
      <c r="BL26" s="1134"/>
      <c r="BM26" s="1176">
        <f t="shared" ref="BM26:BM35" si="47">BM10-BJ10</f>
        <v>0</v>
      </c>
      <c r="BN26" s="1134">
        <f t="shared" ref="BN26:BP34" si="48">BN10-BM10</f>
        <v>0</v>
      </c>
      <c r="BO26" s="1134">
        <f t="shared" si="48"/>
        <v>0</v>
      </c>
      <c r="BP26" s="1134">
        <f t="shared" si="48"/>
        <v>0</v>
      </c>
      <c r="BQ26" s="1175">
        <f t="shared" ref="BQ26:BQ34" si="49">BQ10-BK10</f>
        <v>0</v>
      </c>
      <c r="BR26" s="1134"/>
      <c r="BS26" s="1176">
        <f t="shared" ref="BS26:BS35" si="50">BS10-BP10</f>
        <v>0</v>
      </c>
      <c r="BT26" s="1761">
        <v>0</v>
      </c>
      <c r="BU26" s="1761">
        <v>0</v>
      </c>
      <c r="BV26" s="1761">
        <v>0</v>
      </c>
      <c r="BW26" s="1175">
        <f t="shared" ref="BW26:BW34" si="51">BW10-BQ10</f>
        <v>0</v>
      </c>
      <c r="BX26" s="1134"/>
      <c r="BY26" s="1756">
        <v>0</v>
      </c>
      <c r="BZ26" s="1761">
        <v>0</v>
      </c>
      <c r="CA26" s="1761">
        <v>0</v>
      </c>
      <c r="CB26" s="1761">
        <v>0</v>
      </c>
      <c r="CC26" s="1175">
        <f t="shared" ref="CC26:CC34" si="52">CC10-BW10</f>
        <v>0</v>
      </c>
      <c r="CD26" s="1027"/>
      <c r="CE26" s="1756">
        <v>0</v>
      </c>
      <c r="CF26" s="1761">
        <v>0</v>
      </c>
      <c r="CG26" s="1761">
        <v>0</v>
      </c>
      <c r="CH26" s="1761">
        <v>0</v>
      </c>
      <c r="CI26" s="1175">
        <f t="shared" ref="CI26:CI35" si="53">CI10-CC10</f>
        <v>0</v>
      </c>
      <c r="CK26" s="1756">
        <v>0</v>
      </c>
      <c r="CL26" s="1761">
        <v>0</v>
      </c>
      <c r="CM26" s="1761">
        <v>0</v>
      </c>
      <c r="CN26" s="1761">
        <v>0</v>
      </c>
      <c r="CO26" s="1175">
        <f t="shared" ref="CO26:CO35" si="54">CO10-CI10</f>
        <v>0</v>
      </c>
    </row>
    <row r="27" spans="1:93" ht="12.75" customHeight="1">
      <c r="A27" s="1173" t="str">
        <f t="shared" si="24"/>
        <v>2017 Senior Notes</v>
      </c>
      <c r="B27" s="1195"/>
      <c r="C27" s="1195"/>
      <c r="D27" s="1134"/>
      <c r="E27" s="1194"/>
      <c r="F27" s="1134"/>
      <c r="G27" s="1134"/>
      <c r="H27" s="1134"/>
      <c r="I27" s="1175"/>
      <c r="J27" s="1134"/>
      <c r="K27" s="1194"/>
      <c r="L27" s="1134"/>
      <c r="M27" s="1134"/>
      <c r="N27" s="1134"/>
      <c r="O27" s="1242"/>
      <c r="P27" s="1134"/>
      <c r="Q27" s="1723">
        <v>29</v>
      </c>
      <c r="R27" s="1134">
        <f t="shared" si="25"/>
        <v>-1</v>
      </c>
      <c r="S27" s="1134">
        <f t="shared" si="25"/>
        <v>-1</v>
      </c>
      <c r="T27" s="1241">
        <f t="shared" si="25"/>
        <v>-1</v>
      </c>
      <c r="U27" s="1242">
        <f t="shared" ref="U27:U38" si="55">SUM(Q27:T27)</f>
        <v>26</v>
      </c>
      <c r="V27" s="1242"/>
      <c r="W27" s="1027">
        <f t="shared" si="26"/>
        <v>-1</v>
      </c>
      <c r="X27" s="1134">
        <f t="shared" si="27"/>
        <v>-1</v>
      </c>
      <c r="Y27" s="1134">
        <f t="shared" si="27"/>
        <v>-1</v>
      </c>
      <c r="Z27" s="1241">
        <f t="shared" si="27"/>
        <v>-1</v>
      </c>
      <c r="AA27" s="1242">
        <f t="shared" si="28"/>
        <v>-4</v>
      </c>
      <c r="AB27" s="1134"/>
      <c r="AC27" s="1194">
        <f t="shared" si="29"/>
        <v>-1</v>
      </c>
      <c r="AD27" s="1134">
        <f t="shared" si="30"/>
        <v>-1</v>
      </c>
      <c r="AE27" s="1134">
        <f t="shared" si="30"/>
        <v>-1</v>
      </c>
      <c r="AF27" s="1134">
        <f t="shared" si="30"/>
        <v>-1</v>
      </c>
      <c r="AG27" s="1175">
        <f t="shared" si="31"/>
        <v>-4</v>
      </c>
      <c r="AH27" s="1134"/>
      <c r="AI27" s="1194">
        <f t="shared" si="32"/>
        <v>-1</v>
      </c>
      <c r="AJ27" s="1134">
        <f t="shared" si="33"/>
        <v>-1</v>
      </c>
      <c r="AK27" s="1134">
        <f t="shared" si="33"/>
        <v>-1</v>
      </c>
      <c r="AL27" s="1134">
        <f t="shared" si="33"/>
        <v>-1</v>
      </c>
      <c r="AM27" s="1175">
        <f t="shared" si="34"/>
        <v>-4</v>
      </c>
      <c r="AN27" s="1134"/>
      <c r="AO27" s="1176">
        <f t="shared" si="35"/>
        <v>-1</v>
      </c>
      <c r="AP27" s="1134">
        <f t="shared" si="36"/>
        <v>-1</v>
      </c>
      <c r="AQ27" s="1134">
        <f t="shared" si="36"/>
        <v>-1</v>
      </c>
      <c r="AR27" s="1134">
        <f t="shared" si="36"/>
        <v>-1</v>
      </c>
      <c r="AS27" s="1175">
        <f t="shared" si="37"/>
        <v>-4</v>
      </c>
      <c r="AT27" s="1134"/>
      <c r="AU27" s="1176">
        <f t="shared" si="38"/>
        <v>-2</v>
      </c>
      <c r="AV27" s="1134">
        <f t="shared" si="39"/>
        <v>-1</v>
      </c>
      <c r="AW27" s="1134">
        <f t="shared" si="39"/>
        <v>-1</v>
      </c>
      <c r="AX27" s="1134">
        <f t="shared" si="39"/>
        <v>-514</v>
      </c>
      <c r="AY27" s="1175">
        <f t="shared" si="40"/>
        <v>-518</v>
      </c>
      <c r="AZ27" s="1134"/>
      <c r="BA27" s="1176">
        <f t="shared" si="41"/>
        <v>-1</v>
      </c>
      <c r="BB27" s="1134">
        <f t="shared" si="42"/>
        <v>0</v>
      </c>
      <c r="BC27" s="1134">
        <f t="shared" si="42"/>
        <v>0</v>
      </c>
      <c r="BD27" s="1134">
        <f t="shared" si="42"/>
        <v>0</v>
      </c>
      <c r="BE27" s="1175">
        <f t="shared" si="43"/>
        <v>-1</v>
      </c>
      <c r="BF27" s="1134"/>
      <c r="BG27" s="1176">
        <f t="shared" si="44"/>
        <v>0</v>
      </c>
      <c r="BH27" s="1134">
        <f t="shared" si="45"/>
        <v>-1</v>
      </c>
      <c r="BI27" s="1134">
        <f t="shared" si="45"/>
        <v>0</v>
      </c>
      <c r="BJ27" s="1134">
        <f t="shared" si="45"/>
        <v>0</v>
      </c>
      <c r="BK27" s="1175">
        <f t="shared" si="46"/>
        <v>-1</v>
      </c>
      <c r="BL27" s="1134"/>
      <c r="BM27" s="1176">
        <f t="shared" si="47"/>
        <v>-101</v>
      </c>
      <c r="BN27" s="1134">
        <f t="shared" si="48"/>
        <v>0</v>
      </c>
      <c r="BO27" s="1134">
        <f t="shared" si="48"/>
        <v>0</v>
      </c>
      <c r="BP27" s="1134">
        <f t="shared" si="48"/>
        <v>0</v>
      </c>
      <c r="BQ27" s="1175">
        <f t="shared" si="49"/>
        <v>-101</v>
      </c>
      <c r="BR27" s="1134"/>
      <c r="BS27" s="1176">
        <f t="shared" si="50"/>
        <v>0</v>
      </c>
      <c r="BT27" s="1761">
        <v>0</v>
      </c>
      <c r="BU27" s="1761">
        <v>0</v>
      </c>
      <c r="BV27" s="1761">
        <v>0</v>
      </c>
      <c r="BW27" s="1175">
        <f t="shared" si="51"/>
        <v>0</v>
      </c>
      <c r="BX27" s="1134"/>
      <c r="BY27" s="1756">
        <v>0</v>
      </c>
      <c r="BZ27" s="1761">
        <v>0</v>
      </c>
      <c r="CA27" s="1761">
        <v>0</v>
      </c>
      <c r="CB27" s="1761">
        <v>0</v>
      </c>
      <c r="CC27" s="1175">
        <f t="shared" si="52"/>
        <v>0</v>
      </c>
      <c r="CD27" s="1027"/>
      <c r="CE27" s="1756">
        <v>0</v>
      </c>
      <c r="CF27" s="1761">
        <v>0</v>
      </c>
      <c r="CG27" s="1761">
        <v>0</v>
      </c>
      <c r="CH27" s="1761">
        <v>0</v>
      </c>
      <c r="CI27" s="1175">
        <f t="shared" si="53"/>
        <v>0</v>
      </c>
      <c r="CK27" s="1756">
        <v>0</v>
      </c>
      <c r="CL27" s="1761">
        <v>0</v>
      </c>
      <c r="CM27" s="1761">
        <v>0</v>
      </c>
      <c r="CN27" s="1761">
        <v>0</v>
      </c>
      <c r="CO27" s="1175">
        <f t="shared" si="54"/>
        <v>0</v>
      </c>
    </row>
    <row r="28" spans="1:93" ht="12.75" customHeight="1">
      <c r="A28" s="1196" t="str">
        <f t="shared" si="24"/>
        <v>2015 Senior Notes</v>
      </c>
      <c r="B28" s="1196"/>
      <c r="C28" s="1196"/>
      <c r="D28" s="1134"/>
      <c r="E28" s="1194"/>
      <c r="F28" s="1134"/>
      <c r="G28" s="1134"/>
      <c r="H28" s="1134"/>
      <c r="I28" s="1175"/>
      <c r="J28" s="1134"/>
      <c r="K28" s="1194"/>
      <c r="L28" s="1134"/>
      <c r="M28" s="1134"/>
      <c r="N28" s="1134"/>
      <c r="O28" s="1242"/>
      <c r="P28" s="1134"/>
      <c r="Q28" s="1723">
        <v>0</v>
      </c>
      <c r="R28" s="1134">
        <f t="shared" si="25"/>
        <v>0</v>
      </c>
      <c r="S28" s="1134">
        <f t="shared" si="25"/>
        <v>0</v>
      </c>
      <c r="T28" s="1241">
        <f t="shared" si="25"/>
        <v>500</v>
      </c>
      <c r="U28" s="1242">
        <f t="shared" si="55"/>
        <v>500</v>
      </c>
      <c r="V28" s="1242"/>
      <c r="W28" s="1027">
        <f t="shared" si="26"/>
        <v>5</v>
      </c>
      <c r="X28" s="1134">
        <f t="shared" si="27"/>
        <v>0</v>
      </c>
      <c r="Y28" s="1134">
        <f t="shared" si="27"/>
        <v>26</v>
      </c>
      <c r="Z28" s="1241">
        <f t="shared" si="27"/>
        <v>5</v>
      </c>
      <c r="AA28" s="1242">
        <f t="shared" si="28"/>
        <v>36</v>
      </c>
      <c r="AB28" s="1134"/>
      <c r="AC28" s="1194">
        <f t="shared" si="29"/>
        <v>-17</v>
      </c>
      <c r="AD28" s="1134">
        <f t="shared" si="30"/>
        <v>2</v>
      </c>
      <c r="AE28" s="1134">
        <f t="shared" si="30"/>
        <v>4</v>
      </c>
      <c r="AF28" s="1134">
        <f t="shared" si="30"/>
        <v>-2</v>
      </c>
      <c r="AG28" s="1175">
        <f t="shared" si="31"/>
        <v>-13</v>
      </c>
      <c r="AH28" s="1134"/>
      <c r="AI28" s="1194">
        <f t="shared" si="32"/>
        <v>-1</v>
      </c>
      <c r="AJ28" s="1134">
        <f t="shared" si="33"/>
        <v>-1</v>
      </c>
      <c r="AK28" s="1134">
        <f t="shared" si="33"/>
        <v>-2</v>
      </c>
      <c r="AL28" s="1134">
        <f t="shared" si="33"/>
        <v>-2</v>
      </c>
      <c r="AM28" s="1175">
        <f t="shared" si="34"/>
        <v>-6</v>
      </c>
      <c r="AN28" s="1134"/>
      <c r="AO28" s="1176">
        <f t="shared" si="35"/>
        <v>-1</v>
      </c>
      <c r="AP28" s="1134">
        <f t="shared" si="36"/>
        <v>-1</v>
      </c>
      <c r="AQ28" s="1134">
        <f t="shared" si="36"/>
        <v>-2</v>
      </c>
      <c r="AR28" s="1134">
        <f t="shared" si="36"/>
        <v>-1</v>
      </c>
      <c r="AS28" s="1175">
        <f t="shared" si="37"/>
        <v>-5</v>
      </c>
      <c r="AT28" s="1134"/>
      <c r="AU28" s="1176">
        <f t="shared" si="38"/>
        <v>-1</v>
      </c>
      <c r="AV28" s="1134">
        <f t="shared" si="39"/>
        <v>-2</v>
      </c>
      <c r="AW28" s="1134">
        <f t="shared" si="39"/>
        <v>-509</v>
      </c>
      <c r="AX28" s="1134">
        <f t="shared" si="39"/>
        <v>0</v>
      </c>
      <c r="AY28" s="1175">
        <f t="shared" si="40"/>
        <v>-512</v>
      </c>
      <c r="AZ28" s="1134"/>
      <c r="BA28" s="1176">
        <f t="shared" si="41"/>
        <v>0</v>
      </c>
      <c r="BB28" s="1134">
        <f t="shared" si="42"/>
        <v>0</v>
      </c>
      <c r="BC28" s="1134">
        <f t="shared" si="42"/>
        <v>0</v>
      </c>
      <c r="BD28" s="1134">
        <f t="shared" si="42"/>
        <v>0</v>
      </c>
      <c r="BE28" s="1175">
        <f t="shared" si="43"/>
        <v>0</v>
      </c>
      <c r="BF28" s="1134"/>
      <c r="BG28" s="1176">
        <f t="shared" si="44"/>
        <v>0</v>
      </c>
      <c r="BH28" s="1134">
        <f t="shared" si="45"/>
        <v>0</v>
      </c>
      <c r="BI28" s="1134">
        <f t="shared" si="45"/>
        <v>0</v>
      </c>
      <c r="BJ28" s="1134">
        <f t="shared" si="45"/>
        <v>0</v>
      </c>
      <c r="BK28" s="1175">
        <f t="shared" si="46"/>
        <v>0</v>
      </c>
      <c r="BL28" s="1134"/>
      <c r="BM28" s="1176">
        <f t="shared" si="47"/>
        <v>0</v>
      </c>
      <c r="BN28" s="1134">
        <f t="shared" si="48"/>
        <v>0</v>
      </c>
      <c r="BO28" s="1134">
        <f t="shared" si="48"/>
        <v>0</v>
      </c>
      <c r="BP28" s="1134">
        <f t="shared" si="48"/>
        <v>0</v>
      </c>
      <c r="BQ28" s="1175">
        <f t="shared" si="49"/>
        <v>0</v>
      </c>
      <c r="BR28" s="1134"/>
      <c r="BS28" s="1176">
        <f t="shared" si="50"/>
        <v>0</v>
      </c>
      <c r="BT28" s="1761">
        <v>0</v>
      </c>
      <c r="BU28" s="1761">
        <v>0</v>
      </c>
      <c r="BV28" s="1761">
        <v>0</v>
      </c>
      <c r="BW28" s="1175">
        <f t="shared" si="51"/>
        <v>0</v>
      </c>
      <c r="BX28" s="1134"/>
      <c r="BY28" s="1756">
        <v>0</v>
      </c>
      <c r="BZ28" s="1761">
        <v>0</v>
      </c>
      <c r="CA28" s="1761">
        <v>0</v>
      </c>
      <c r="CB28" s="1761">
        <v>0</v>
      </c>
      <c r="CC28" s="1175">
        <f t="shared" si="52"/>
        <v>0</v>
      </c>
      <c r="CD28" s="1027"/>
      <c r="CE28" s="1756">
        <v>0</v>
      </c>
      <c r="CF28" s="1761">
        <v>0</v>
      </c>
      <c r="CG28" s="1761">
        <v>0</v>
      </c>
      <c r="CH28" s="1761">
        <v>0</v>
      </c>
      <c r="CI28" s="1175">
        <f t="shared" si="53"/>
        <v>0</v>
      </c>
      <c r="CK28" s="1756">
        <v>0</v>
      </c>
      <c r="CL28" s="1761">
        <v>0</v>
      </c>
      <c r="CM28" s="1761">
        <v>0</v>
      </c>
      <c r="CN28" s="1761">
        <v>0</v>
      </c>
      <c r="CO28" s="1175">
        <f t="shared" si="54"/>
        <v>0</v>
      </c>
    </row>
    <row r="29" spans="1:93" ht="12.75" customHeight="1">
      <c r="A29" s="1196" t="str">
        <f t="shared" si="24"/>
        <v>2012 Senior Notes</v>
      </c>
      <c r="B29" s="1196"/>
      <c r="C29" s="1196"/>
      <c r="D29" s="1134"/>
      <c r="E29" s="1194"/>
      <c r="F29" s="1134"/>
      <c r="G29" s="1134"/>
      <c r="H29" s="1134"/>
      <c r="I29" s="1175"/>
      <c r="J29" s="1134"/>
      <c r="K29" s="1194"/>
      <c r="L29" s="1134"/>
      <c r="M29" s="1134"/>
      <c r="N29" s="1134"/>
      <c r="O29" s="1242"/>
      <c r="P29" s="1134"/>
      <c r="Q29" s="1723">
        <v>0</v>
      </c>
      <c r="R29" s="1134">
        <f t="shared" si="25"/>
        <v>0</v>
      </c>
      <c r="S29" s="1134">
        <f t="shared" si="25"/>
        <v>0</v>
      </c>
      <c r="T29" s="1241">
        <f t="shared" si="25"/>
        <v>251</v>
      </c>
      <c r="U29" s="1242">
        <f t="shared" si="55"/>
        <v>251</v>
      </c>
      <c r="V29" s="1242"/>
      <c r="W29" s="1027">
        <f t="shared" si="26"/>
        <v>3</v>
      </c>
      <c r="X29" s="1134">
        <f t="shared" si="27"/>
        <v>-1</v>
      </c>
      <c r="Y29" s="1134">
        <f t="shared" si="27"/>
        <v>4</v>
      </c>
      <c r="Z29" s="1241">
        <f t="shared" si="27"/>
        <v>-1</v>
      </c>
      <c r="AA29" s="1242">
        <f t="shared" si="28"/>
        <v>5</v>
      </c>
      <c r="AB29" s="1134"/>
      <c r="AC29" s="1194">
        <f t="shared" si="29"/>
        <v>-1</v>
      </c>
      <c r="AD29" s="1134">
        <f t="shared" si="30"/>
        <v>-1</v>
      </c>
      <c r="AE29" s="1134">
        <f t="shared" si="30"/>
        <v>0</v>
      </c>
      <c r="AF29" s="1134">
        <f t="shared" si="30"/>
        <v>-254</v>
      </c>
      <c r="AG29" s="1175">
        <f t="shared" si="31"/>
        <v>-256</v>
      </c>
      <c r="AH29" s="1134"/>
      <c r="AI29" s="1194">
        <f t="shared" si="32"/>
        <v>0</v>
      </c>
      <c r="AJ29" s="1134">
        <f t="shared" si="33"/>
        <v>0</v>
      </c>
      <c r="AK29" s="1134">
        <f t="shared" si="33"/>
        <v>0</v>
      </c>
      <c r="AL29" s="1134">
        <f t="shared" si="33"/>
        <v>0</v>
      </c>
      <c r="AM29" s="1175">
        <f t="shared" si="34"/>
        <v>0</v>
      </c>
      <c r="AN29" s="1134"/>
      <c r="AO29" s="1176">
        <f t="shared" si="35"/>
        <v>0</v>
      </c>
      <c r="AP29" s="1134">
        <f t="shared" si="36"/>
        <v>0</v>
      </c>
      <c r="AQ29" s="1134">
        <f t="shared" si="36"/>
        <v>0</v>
      </c>
      <c r="AR29" s="1134">
        <f t="shared" si="36"/>
        <v>0</v>
      </c>
      <c r="AS29" s="1175">
        <f t="shared" si="37"/>
        <v>0</v>
      </c>
      <c r="AT29" s="1134"/>
      <c r="AU29" s="1176">
        <f t="shared" si="38"/>
        <v>0</v>
      </c>
      <c r="AV29" s="1134">
        <f t="shared" si="39"/>
        <v>0</v>
      </c>
      <c r="AW29" s="1134">
        <f t="shared" si="39"/>
        <v>0</v>
      </c>
      <c r="AX29" s="1134">
        <f t="shared" si="39"/>
        <v>0</v>
      </c>
      <c r="AY29" s="1175">
        <f t="shared" si="40"/>
        <v>0</v>
      </c>
      <c r="AZ29" s="1134"/>
      <c r="BA29" s="1176">
        <f t="shared" si="41"/>
        <v>0</v>
      </c>
      <c r="BB29" s="1134">
        <f t="shared" si="42"/>
        <v>0</v>
      </c>
      <c r="BC29" s="1134">
        <f t="shared" si="42"/>
        <v>0</v>
      </c>
      <c r="BD29" s="1134">
        <f t="shared" si="42"/>
        <v>0</v>
      </c>
      <c r="BE29" s="1175">
        <f t="shared" si="43"/>
        <v>0</v>
      </c>
      <c r="BF29" s="1134"/>
      <c r="BG29" s="1176">
        <f t="shared" si="44"/>
        <v>0</v>
      </c>
      <c r="BH29" s="1134">
        <f t="shared" si="45"/>
        <v>0</v>
      </c>
      <c r="BI29" s="1134">
        <f t="shared" si="45"/>
        <v>0</v>
      </c>
      <c r="BJ29" s="1134">
        <f t="shared" si="45"/>
        <v>0</v>
      </c>
      <c r="BK29" s="1175">
        <f t="shared" si="46"/>
        <v>0</v>
      </c>
      <c r="BL29" s="1134"/>
      <c r="BM29" s="1176">
        <f t="shared" si="47"/>
        <v>0</v>
      </c>
      <c r="BN29" s="1134">
        <f t="shared" si="48"/>
        <v>0</v>
      </c>
      <c r="BO29" s="1134">
        <f t="shared" si="48"/>
        <v>0</v>
      </c>
      <c r="BP29" s="1134">
        <f t="shared" si="48"/>
        <v>0</v>
      </c>
      <c r="BQ29" s="1175">
        <f t="shared" si="49"/>
        <v>0</v>
      </c>
      <c r="BR29" s="1134"/>
      <c r="BS29" s="1176">
        <f t="shared" si="50"/>
        <v>0</v>
      </c>
      <c r="BT29" s="1761">
        <v>0</v>
      </c>
      <c r="BU29" s="1761">
        <v>0</v>
      </c>
      <c r="BV29" s="1761">
        <v>0</v>
      </c>
      <c r="BW29" s="1175">
        <f t="shared" si="51"/>
        <v>0</v>
      </c>
      <c r="BX29" s="1134"/>
      <c r="BY29" s="1756">
        <v>0</v>
      </c>
      <c r="BZ29" s="1761">
        <v>0</v>
      </c>
      <c r="CA29" s="1761">
        <v>0</v>
      </c>
      <c r="CB29" s="1761">
        <v>0</v>
      </c>
      <c r="CC29" s="1175">
        <f t="shared" si="52"/>
        <v>0</v>
      </c>
      <c r="CD29" s="1027"/>
      <c r="CE29" s="1756">
        <v>0</v>
      </c>
      <c r="CF29" s="1761">
        <v>0</v>
      </c>
      <c r="CG29" s="1761">
        <v>0</v>
      </c>
      <c r="CH29" s="1761">
        <v>0</v>
      </c>
      <c r="CI29" s="1175">
        <f t="shared" si="53"/>
        <v>0</v>
      </c>
      <c r="CK29" s="1756">
        <v>0</v>
      </c>
      <c r="CL29" s="1761">
        <v>0</v>
      </c>
      <c r="CM29" s="1761">
        <v>0</v>
      </c>
      <c r="CN29" s="1761">
        <v>0</v>
      </c>
      <c r="CO29" s="1175">
        <f t="shared" si="54"/>
        <v>0</v>
      </c>
    </row>
    <row r="30" spans="1:93" ht="12.75" customHeight="1">
      <c r="A30" s="1196" t="str">
        <f t="shared" si="24"/>
        <v>2013 Senior Notes</v>
      </c>
      <c r="B30" s="1196"/>
      <c r="C30" s="1196"/>
      <c r="D30" s="1134"/>
      <c r="E30" s="1194"/>
      <c r="F30" s="1134"/>
      <c r="G30" s="1134"/>
      <c r="H30" s="1134"/>
      <c r="I30" s="1175"/>
      <c r="J30" s="1134"/>
      <c r="K30" s="1194"/>
      <c r="L30" s="1134"/>
      <c r="M30" s="1134"/>
      <c r="N30" s="1134"/>
      <c r="O30" s="1242"/>
      <c r="P30" s="1134"/>
      <c r="Q30" s="1723">
        <v>0</v>
      </c>
      <c r="R30" s="1134">
        <f t="shared" si="25"/>
        <v>0</v>
      </c>
      <c r="S30" s="1134">
        <f t="shared" si="25"/>
        <v>0</v>
      </c>
      <c r="T30" s="1241">
        <f t="shared" si="25"/>
        <v>0</v>
      </c>
      <c r="U30" s="1242">
        <f t="shared" si="55"/>
        <v>0</v>
      </c>
      <c r="V30" s="1242"/>
      <c r="W30" s="1027">
        <f t="shared" si="26"/>
        <v>0</v>
      </c>
      <c r="X30" s="1134">
        <f t="shared" si="27"/>
        <v>0</v>
      </c>
      <c r="Y30" s="1134">
        <f t="shared" si="27"/>
        <v>250</v>
      </c>
      <c r="Z30" s="1241">
        <f t="shared" si="27"/>
        <v>-1</v>
      </c>
      <c r="AA30" s="1242">
        <f t="shared" si="28"/>
        <v>249</v>
      </c>
      <c r="AB30" s="1242"/>
      <c r="AC30" s="1027">
        <f t="shared" si="29"/>
        <v>1</v>
      </c>
      <c r="AD30" s="1134">
        <f t="shared" si="30"/>
        <v>-1</v>
      </c>
      <c r="AE30" s="1134">
        <f t="shared" si="30"/>
        <v>1</v>
      </c>
      <c r="AF30" s="1134">
        <f t="shared" si="30"/>
        <v>0</v>
      </c>
      <c r="AG30" s="1175">
        <f t="shared" si="31"/>
        <v>1</v>
      </c>
      <c r="AH30" s="1134"/>
      <c r="AI30" s="1194">
        <f t="shared" si="32"/>
        <v>0</v>
      </c>
      <c r="AJ30" s="1134">
        <f t="shared" si="33"/>
        <v>0</v>
      </c>
      <c r="AK30" s="1134">
        <f t="shared" si="33"/>
        <v>-250</v>
      </c>
      <c r="AL30" s="1134">
        <f t="shared" si="33"/>
        <v>0</v>
      </c>
      <c r="AM30" s="1175">
        <f t="shared" si="34"/>
        <v>-250</v>
      </c>
      <c r="AN30" s="1134"/>
      <c r="AO30" s="1176">
        <f t="shared" si="35"/>
        <v>0</v>
      </c>
      <c r="AP30" s="1134">
        <f t="shared" si="36"/>
        <v>0</v>
      </c>
      <c r="AQ30" s="1134">
        <f t="shared" si="36"/>
        <v>0</v>
      </c>
      <c r="AR30" s="1134">
        <f t="shared" si="36"/>
        <v>0</v>
      </c>
      <c r="AS30" s="1175">
        <f t="shared" si="37"/>
        <v>0</v>
      </c>
      <c r="AT30" s="1134"/>
      <c r="AU30" s="1176">
        <f t="shared" si="38"/>
        <v>0</v>
      </c>
      <c r="AV30" s="1134">
        <f t="shared" si="39"/>
        <v>0</v>
      </c>
      <c r="AW30" s="1134">
        <f t="shared" si="39"/>
        <v>0</v>
      </c>
      <c r="AX30" s="1134">
        <f t="shared" si="39"/>
        <v>0</v>
      </c>
      <c r="AY30" s="1175">
        <f t="shared" si="40"/>
        <v>0</v>
      </c>
      <c r="AZ30" s="1134"/>
      <c r="BA30" s="1176">
        <f t="shared" si="41"/>
        <v>0</v>
      </c>
      <c r="BB30" s="1134">
        <f t="shared" si="42"/>
        <v>0</v>
      </c>
      <c r="BC30" s="1134">
        <f t="shared" si="42"/>
        <v>0</v>
      </c>
      <c r="BD30" s="1134">
        <f t="shared" si="42"/>
        <v>0</v>
      </c>
      <c r="BE30" s="1175">
        <f t="shared" si="43"/>
        <v>0</v>
      </c>
      <c r="BF30" s="1134"/>
      <c r="BG30" s="1176">
        <f t="shared" si="44"/>
        <v>0</v>
      </c>
      <c r="BH30" s="1134">
        <f t="shared" si="45"/>
        <v>0</v>
      </c>
      <c r="BI30" s="1134">
        <f t="shared" si="45"/>
        <v>0</v>
      </c>
      <c r="BJ30" s="1134">
        <f t="shared" si="45"/>
        <v>0</v>
      </c>
      <c r="BK30" s="1175">
        <f t="shared" si="46"/>
        <v>0</v>
      </c>
      <c r="BL30" s="1134"/>
      <c r="BM30" s="1176">
        <f t="shared" si="47"/>
        <v>0</v>
      </c>
      <c r="BN30" s="1134">
        <f t="shared" si="48"/>
        <v>0</v>
      </c>
      <c r="BO30" s="1134">
        <f t="shared" si="48"/>
        <v>0</v>
      </c>
      <c r="BP30" s="1134">
        <f t="shared" si="48"/>
        <v>0</v>
      </c>
      <c r="BQ30" s="1175">
        <f t="shared" si="49"/>
        <v>0</v>
      </c>
      <c r="BR30" s="1134"/>
      <c r="BS30" s="1176">
        <f t="shared" si="50"/>
        <v>0</v>
      </c>
      <c r="BT30" s="1761">
        <v>0</v>
      </c>
      <c r="BU30" s="1761">
        <v>0</v>
      </c>
      <c r="BV30" s="1761">
        <v>0</v>
      </c>
      <c r="BW30" s="1175">
        <f t="shared" si="51"/>
        <v>0</v>
      </c>
      <c r="BX30" s="1134"/>
      <c r="BY30" s="1756">
        <f>-BV14</f>
        <v>0</v>
      </c>
      <c r="BZ30" s="1761">
        <v>0</v>
      </c>
      <c r="CA30" s="1761">
        <v>0</v>
      </c>
      <c r="CB30" s="1761">
        <v>0</v>
      </c>
      <c r="CC30" s="1175">
        <f t="shared" si="52"/>
        <v>0</v>
      </c>
      <c r="CD30" s="1027"/>
      <c r="CE30" s="1756">
        <f>-CB14</f>
        <v>0</v>
      </c>
      <c r="CF30" s="1761">
        <v>0</v>
      </c>
      <c r="CG30" s="1761">
        <v>0</v>
      </c>
      <c r="CH30" s="1761">
        <v>0</v>
      </c>
      <c r="CI30" s="1175">
        <f t="shared" si="53"/>
        <v>0</v>
      </c>
      <c r="CK30" s="1756">
        <f>-CH14</f>
        <v>0</v>
      </c>
      <c r="CL30" s="1761">
        <v>0</v>
      </c>
      <c r="CM30" s="1761">
        <v>0</v>
      </c>
      <c r="CN30" s="1761">
        <v>0</v>
      </c>
      <c r="CO30" s="1175">
        <f t="shared" si="54"/>
        <v>0</v>
      </c>
    </row>
    <row r="31" spans="1:93" ht="12.75" customHeight="1">
      <c r="A31" s="1196" t="str">
        <f t="shared" si="24"/>
        <v>2020 Senior Notes</v>
      </c>
      <c r="B31" s="1196"/>
      <c r="C31" s="1196"/>
      <c r="D31" s="1134"/>
      <c r="E31" s="1194"/>
      <c r="F31" s="1134"/>
      <c r="G31" s="1134"/>
      <c r="H31" s="1134"/>
      <c r="I31" s="1175"/>
      <c r="J31" s="1134"/>
      <c r="K31" s="1194"/>
      <c r="L31" s="1134"/>
      <c r="M31" s="1134"/>
      <c r="N31" s="1134"/>
      <c r="O31" s="1242"/>
      <c r="P31" s="1134"/>
      <c r="Q31" s="1723">
        <v>0</v>
      </c>
      <c r="R31" s="1134">
        <f t="shared" si="25"/>
        <v>0</v>
      </c>
      <c r="S31" s="1134">
        <f t="shared" si="25"/>
        <v>0</v>
      </c>
      <c r="T31" s="1241">
        <f t="shared" si="25"/>
        <v>0</v>
      </c>
      <c r="U31" s="1242">
        <f t="shared" si="55"/>
        <v>0</v>
      </c>
      <c r="V31" s="1242"/>
      <c r="W31" s="1027">
        <f t="shared" si="26"/>
        <v>0</v>
      </c>
      <c r="X31" s="1134">
        <f t="shared" si="27"/>
        <v>0</v>
      </c>
      <c r="Y31" s="1134">
        <f t="shared" si="27"/>
        <v>505</v>
      </c>
      <c r="Z31" s="1241">
        <f t="shared" si="27"/>
        <v>11</v>
      </c>
      <c r="AA31" s="1242">
        <f t="shared" si="28"/>
        <v>516</v>
      </c>
      <c r="AB31" s="1242"/>
      <c r="AC31" s="1027">
        <f t="shared" si="29"/>
        <v>-34</v>
      </c>
      <c r="AD31" s="1134">
        <f t="shared" si="30"/>
        <v>7</v>
      </c>
      <c r="AE31" s="1134">
        <f t="shared" si="30"/>
        <v>20</v>
      </c>
      <c r="AF31" s="1134">
        <f t="shared" si="30"/>
        <v>21</v>
      </c>
      <c r="AG31" s="1175">
        <f t="shared" si="31"/>
        <v>14</v>
      </c>
      <c r="AH31" s="1134"/>
      <c r="AI31" s="1194">
        <f t="shared" si="32"/>
        <v>-1</v>
      </c>
      <c r="AJ31" s="1134">
        <f t="shared" si="33"/>
        <v>-1</v>
      </c>
      <c r="AK31" s="1134">
        <f t="shared" si="33"/>
        <v>-1</v>
      </c>
      <c r="AL31" s="1134">
        <f t="shared" si="33"/>
        <v>0</v>
      </c>
      <c r="AM31" s="1175">
        <f t="shared" si="34"/>
        <v>-3</v>
      </c>
      <c r="AN31" s="1134"/>
      <c r="AO31" s="1176">
        <f t="shared" si="35"/>
        <v>-1</v>
      </c>
      <c r="AP31" s="1134">
        <f t="shared" si="36"/>
        <v>-1</v>
      </c>
      <c r="AQ31" s="1134">
        <f t="shared" si="36"/>
        <v>0</v>
      </c>
      <c r="AR31" s="1134">
        <f t="shared" si="36"/>
        <v>-1</v>
      </c>
      <c r="AS31" s="1175">
        <f t="shared" si="37"/>
        <v>-3</v>
      </c>
      <c r="AT31" s="1134"/>
      <c r="AU31" s="1176">
        <f t="shared" si="38"/>
        <v>-1</v>
      </c>
      <c r="AV31" s="1134">
        <f t="shared" si="39"/>
        <v>0</v>
      </c>
      <c r="AW31" s="1134">
        <f t="shared" si="39"/>
        <v>-1</v>
      </c>
      <c r="AX31" s="1134">
        <f t="shared" si="39"/>
        <v>-1</v>
      </c>
      <c r="AY31" s="1175">
        <f t="shared" si="40"/>
        <v>-3</v>
      </c>
      <c r="AZ31" s="1134"/>
      <c r="BA31" s="1176">
        <f t="shared" si="41"/>
        <v>-1</v>
      </c>
      <c r="BB31" s="1134">
        <f t="shared" si="42"/>
        <v>-1</v>
      </c>
      <c r="BC31" s="1134">
        <f t="shared" si="42"/>
        <v>0</v>
      </c>
      <c r="BD31" s="1134">
        <f t="shared" si="42"/>
        <v>-1</v>
      </c>
      <c r="BE31" s="1175">
        <f t="shared" si="43"/>
        <v>-3</v>
      </c>
      <c r="BF31" s="1134"/>
      <c r="BG31" s="1176">
        <f t="shared" si="44"/>
        <v>-1</v>
      </c>
      <c r="BH31" s="1134">
        <f t="shared" si="45"/>
        <v>-1</v>
      </c>
      <c r="BI31" s="1134">
        <f t="shared" si="45"/>
        <v>-1</v>
      </c>
      <c r="BJ31" s="1134">
        <f t="shared" si="45"/>
        <v>-1</v>
      </c>
      <c r="BK31" s="1175">
        <f t="shared" si="46"/>
        <v>-4</v>
      </c>
      <c r="BL31" s="1134"/>
      <c r="BM31" s="1176">
        <f t="shared" si="47"/>
        <v>-2</v>
      </c>
      <c r="BN31" s="1134">
        <f t="shared" si="48"/>
        <v>-1</v>
      </c>
      <c r="BO31" s="1134">
        <f t="shared" si="48"/>
        <v>-1</v>
      </c>
      <c r="BP31" s="1134">
        <f t="shared" si="48"/>
        <v>0</v>
      </c>
      <c r="BQ31" s="1175">
        <f t="shared" si="49"/>
        <v>-4</v>
      </c>
      <c r="BR31" s="1134"/>
      <c r="BS31" s="1176">
        <f t="shared" si="50"/>
        <v>-1</v>
      </c>
      <c r="BT31" s="1761">
        <v>0</v>
      </c>
      <c r="BU31" s="1761">
        <v>0</v>
      </c>
      <c r="BV31" s="1761">
        <v>0</v>
      </c>
      <c r="BW31" s="1175">
        <f t="shared" si="51"/>
        <v>-1</v>
      </c>
      <c r="BX31" s="1134"/>
      <c r="BY31" s="1756">
        <v>0</v>
      </c>
      <c r="BZ31" s="1761">
        <v>0</v>
      </c>
      <c r="CA31" s="1761">
        <v>0</v>
      </c>
      <c r="CB31" s="1761">
        <v>0</v>
      </c>
      <c r="CC31" s="1175">
        <f t="shared" si="52"/>
        <v>0</v>
      </c>
      <c r="CD31" s="1027"/>
      <c r="CE31" s="1756">
        <v>-509</v>
      </c>
      <c r="CF31" s="1761">
        <v>0</v>
      </c>
      <c r="CG31" s="1761">
        <v>0</v>
      </c>
      <c r="CH31" s="1761">
        <v>0</v>
      </c>
      <c r="CI31" s="1175">
        <f t="shared" si="53"/>
        <v>-509</v>
      </c>
      <c r="CK31" s="1756">
        <v>0</v>
      </c>
      <c r="CL31" s="1761">
        <v>0</v>
      </c>
      <c r="CM31" s="1761">
        <v>0</v>
      </c>
      <c r="CN31" s="1761">
        <v>0</v>
      </c>
      <c r="CO31" s="1175">
        <f t="shared" si="54"/>
        <v>0</v>
      </c>
    </row>
    <row r="32" spans="1:93" ht="12.75" customHeight="1">
      <c r="A32" s="1196" t="str">
        <f t="shared" si="24"/>
        <v>2022 Senior Notes</v>
      </c>
      <c r="B32" s="1196"/>
      <c r="C32" s="1196"/>
      <c r="D32" s="1134"/>
      <c r="E32" s="1194"/>
      <c r="F32" s="1134"/>
      <c r="G32" s="1134"/>
      <c r="H32" s="1134"/>
      <c r="I32" s="1242"/>
      <c r="J32" s="1134"/>
      <c r="K32" s="1194"/>
      <c r="L32" s="1134"/>
      <c r="M32" s="1134"/>
      <c r="N32" s="1134"/>
      <c r="O32" s="1242"/>
      <c r="P32" s="1134"/>
      <c r="Q32" s="1723">
        <v>0</v>
      </c>
      <c r="R32" s="1134">
        <f t="shared" si="25"/>
        <v>0</v>
      </c>
      <c r="S32" s="1134">
        <f t="shared" si="25"/>
        <v>0</v>
      </c>
      <c r="T32" s="1241">
        <f t="shared" si="25"/>
        <v>0</v>
      </c>
      <c r="U32" s="1242">
        <f t="shared" si="55"/>
        <v>0</v>
      </c>
      <c r="V32" s="1242"/>
      <c r="W32" s="1027">
        <f t="shared" si="26"/>
        <v>0</v>
      </c>
      <c r="X32" s="1134">
        <f t="shared" si="27"/>
        <v>0</v>
      </c>
      <c r="Y32" s="1134">
        <f t="shared" si="27"/>
        <v>0</v>
      </c>
      <c r="Z32" s="1241">
        <f t="shared" si="27"/>
        <v>0</v>
      </c>
      <c r="AA32" s="1242">
        <f t="shared" si="28"/>
        <v>0</v>
      </c>
      <c r="AB32" s="1242"/>
      <c r="AC32" s="1027">
        <f t="shared" si="29"/>
        <v>0</v>
      </c>
      <c r="AD32" s="1134">
        <f t="shared" si="30"/>
        <v>0</v>
      </c>
      <c r="AE32" s="1134">
        <f t="shared" si="30"/>
        <v>0</v>
      </c>
      <c r="AF32" s="1134">
        <f t="shared" si="30"/>
        <v>0</v>
      </c>
      <c r="AG32" s="1175">
        <f t="shared" si="31"/>
        <v>0</v>
      </c>
      <c r="AH32" s="1134"/>
      <c r="AI32" s="1194">
        <f t="shared" si="32"/>
        <v>0</v>
      </c>
      <c r="AJ32" s="1134">
        <f t="shared" si="33"/>
        <v>0</v>
      </c>
      <c r="AK32" s="1134">
        <f t="shared" si="33"/>
        <v>0</v>
      </c>
      <c r="AL32" s="1134">
        <f t="shared" si="33"/>
        <v>399</v>
      </c>
      <c r="AM32" s="1175">
        <f t="shared" si="34"/>
        <v>399</v>
      </c>
      <c r="AN32" s="1134"/>
      <c r="AO32" s="1176">
        <f t="shared" si="35"/>
        <v>0</v>
      </c>
      <c r="AP32" s="1134">
        <f t="shared" si="36"/>
        <v>0</v>
      </c>
      <c r="AQ32" s="1134">
        <f t="shared" si="36"/>
        <v>0</v>
      </c>
      <c r="AR32" s="1134">
        <f t="shared" si="36"/>
        <v>0</v>
      </c>
      <c r="AS32" s="1175">
        <f t="shared" si="37"/>
        <v>0</v>
      </c>
      <c r="AT32" s="1134"/>
      <c r="AU32" s="1176">
        <f t="shared" si="38"/>
        <v>0</v>
      </c>
      <c r="AV32" s="1134">
        <f t="shared" si="39"/>
        <v>0</v>
      </c>
      <c r="AW32" s="1134">
        <f t="shared" si="39"/>
        <v>0</v>
      </c>
      <c r="AX32" s="1134">
        <f t="shared" si="39"/>
        <v>0</v>
      </c>
      <c r="AY32" s="1175">
        <f t="shared" si="40"/>
        <v>0</v>
      </c>
      <c r="AZ32" s="1134"/>
      <c r="BA32" s="1176">
        <f t="shared" si="41"/>
        <v>0</v>
      </c>
      <c r="BB32" s="1134">
        <f t="shared" si="42"/>
        <v>0</v>
      </c>
      <c r="BC32" s="1134">
        <f t="shared" si="42"/>
        <v>0</v>
      </c>
      <c r="BD32" s="1134">
        <f t="shared" si="42"/>
        <v>0</v>
      </c>
      <c r="BE32" s="1175">
        <f t="shared" si="43"/>
        <v>0</v>
      </c>
      <c r="BF32" s="1134"/>
      <c r="BG32" s="1176">
        <f t="shared" si="44"/>
        <v>0</v>
      </c>
      <c r="BH32" s="1134">
        <f t="shared" si="45"/>
        <v>0</v>
      </c>
      <c r="BI32" s="1134">
        <f t="shared" si="45"/>
        <v>1</v>
      </c>
      <c r="BJ32" s="1134">
        <f t="shared" si="45"/>
        <v>0</v>
      </c>
      <c r="BK32" s="1175">
        <f t="shared" si="46"/>
        <v>1</v>
      </c>
      <c r="BL32" s="1134"/>
      <c r="BM32" s="1176">
        <f t="shared" si="47"/>
        <v>-2</v>
      </c>
      <c r="BN32" s="1134">
        <f t="shared" si="48"/>
        <v>0</v>
      </c>
      <c r="BO32" s="1134">
        <f t="shared" si="48"/>
        <v>0</v>
      </c>
      <c r="BP32" s="1134">
        <f t="shared" si="48"/>
        <v>0</v>
      </c>
      <c r="BQ32" s="1175">
        <f t="shared" si="49"/>
        <v>-2</v>
      </c>
      <c r="BR32" s="1134"/>
      <c r="BS32" s="1176">
        <f t="shared" si="50"/>
        <v>0</v>
      </c>
      <c r="BT32" s="1761">
        <v>0</v>
      </c>
      <c r="BU32" s="1761">
        <v>0</v>
      </c>
      <c r="BV32" s="1761">
        <v>0</v>
      </c>
      <c r="BW32" s="1175">
        <f t="shared" si="51"/>
        <v>0</v>
      </c>
      <c r="BX32" s="1134"/>
      <c r="BY32" s="1756">
        <v>0</v>
      </c>
      <c r="BZ32" s="1761">
        <v>0</v>
      </c>
      <c r="CA32" s="1761">
        <v>0</v>
      </c>
      <c r="CB32" s="1761">
        <v>0</v>
      </c>
      <c r="CC32" s="1175">
        <f t="shared" si="52"/>
        <v>0</v>
      </c>
      <c r="CD32" s="1027"/>
      <c r="CE32" s="1756">
        <v>0</v>
      </c>
      <c r="CF32" s="1761">
        <v>0</v>
      </c>
      <c r="CG32" s="1761">
        <v>0</v>
      </c>
      <c r="CH32" s="1761">
        <v>0</v>
      </c>
      <c r="CI32" s="1175">
        <f t="shared" si="53"/>
        <v>0</v>
      </c>
      <c r="CK32" s="1756">
        <v>-398</v>
      </c>
      <c r="CL32" s="1761">
        <v>0</v>
      </c>
      <c r="CM32" s="1761">
        <v>0</v>
      </c>
      <c r="CN32" s="1761">
        <v>0</v>
      </c>
      <c r="CO32" s="1175">
        <f t="shared" si="54"/>
        <v>-398</v>
      </c>
    </row>
    <row r="33" spans="1:93" ht="12.75" customHeight="1">
      <c r="A33" s="1196" t="str">
        <f t="shared" si="24"/>
        <v>2023 Senior Notes</v>
      </c>
      <c r="B33" s="1196"/>
      <c r="C33" s="1196"/>
      <c r="D33" s="1134"/>
      <c r="E33" s="1194"/>
      <c r="F33" s="1134"/>
      <c r="G33" s="1134"/>
      <c r="H33" s="1134"/>
      <c r="I33" s="1242"/>
      <c r="J33" s="1134"/>
      <c r="K33" s="1194"/>
      <c r="L33" s="1134"/>
      <c r="M33" s="1134"/>
      <c r="N33" s="1134"/>
      <c r="O33" s="1242"/>
      <c r="P33" s="1134"/>
      <c r="Q33" s="1723">
        <v>0</v>
      </c>
      <c r="R33" s="1134">
        <f t="shared" si="25"/>
        <v>0</v>
      </c>
      <c r="S33" s="1134">
        <f t="shared" si="25"/>
        <v>0</v>
      </c>
      <c r="T33" s="1241">
        <f t="shared" si="25"/>
        <v>0</v>
      </c>
      <c r="U33" s="1242">
        <f t="shared" si="55"/>
        <v>0</v>
      </c>
      <c r="V33" s="1242"/>
      <c r="W33" s="1027">
        <f t="shared" si="26"/>
        <v>0</v>
      </c>
      <c r="X33" s="1134">
        <f t="shared" si="27"/>
        <v>0</v>
      </c>
      <c r="Y33" s="1134">
        <f t="shared" si="27"/>
        <v>0</v>
      </c>
      <c r="Z33" s="1241">
        <f t="shared" si="27"/>
        <v>0</v>
      </c>
      <c r="AA33" s="1242">
        <f t="shared" si="28"/>
        <v>0</v>
      </c>
      <c r="AB33" s="1242"/>
      <c r="AC33" s="1027">
        <f t="shared" si="29"/>
        <v>0</v>
      </c>
      <c r="AD33" s="1134">
        <f t="shared" si="30"/>
        <v>0</v>
      </c>
      <c r="AE33" s="1134">
        <f t="shared" si="30"/>
        <v>0</v>
      </c>
      <c r="AF33" s="1134">
        <f t="shared" si="30"/>
        <v>0</v>
      </c>
      <c r="AG33" s="1175">
        <f t="shared" si="31"/>
        <v>0</v>
      </c>
      <c r="AH33" s="1134"/>
      <c r="AI33" s="1194">
        <f t="shared" si="32"/>
        <v>0</v>
      </c>
      <c r="AJ33" s="1134">
        <f t="shared" si="33"/>
        <v>0</v>
      </c>
      <c r="AK33" s="1134">
        <f t="shared" si="33"/>
        <v>0</v>
      </c>
      <c r="AL33" s="1134">
        <f t="shared" si="33"/>
        <v>0</v>
      </c>
      <c r="AM33" s="1175">
        <f t="shared" si="34"/>
        <v>0</v>
      </c>
      <c r="AN33" s="1134"/>
      <c r="AO33" s="1176">
        <f t="shared" si="35"/>
        <v>0</v>
      </c>
      <c r="AP33" s="1134">
        <f t="shared" si="36"/>
        <v>0</v>
      </c>
      <c r="AQ33" s="1134">
        <f t="shared" si="36"/>
        <v>597</v>
      </c>
      <c r="AR33" s="1134">
        <f t="shared" si="36"/>
        <v>0</v>
      </c>
      <c r="AS33" s="1175">
        <f t="shared" si="37"/>
        <v>597</v>
      </c>
      <c r="AT33" s="1134"/>
      <c r="AU33" s="1176">
        <f t="shared" si="38"/>
        <v>0</v>
      </c>
      <c r="AV33" s="1134">
        <f t="shared" si="39"/>
        <v>0</v>
      </c>
      <c r="AW33" s="1134">
        <f t="shared" si="39"/>
        <v>1</v>
      </c>
      <c r="AX33" s="1134">
        <f t="shared" si="39"/>
        <v>0</v>
      </c>
      <c r="AY33" s="1175">
        <f t="shared" si="40"/>
        <v>1</v>
      </c>
      <c r="AZ33" s="1134"/>
      <c r="BA33" s="1176">
        <f t="shared" si="41"/>
        <v>0</v>
      </c>
      <c r="BB33" s="1134">
        <f t="shared" si="42"/>
        <v>0</v>
      </c>
      <c r="BC33" s="1134">
        <f t="shared" si="42"/>
        <v>0</v>
      </c>
      <c r="BD33" s="1134">
        <f t="shared" si="42"/>
        <v>0</v>
      </c>
      <c r="BE33" s="1175">
        <f t="shared" si="43"/>
        <v>0</v>
      </c>
      <c r="BF33" s="1134"/>
      <c r="BG33" s="1176">
        <f t="shared" si="44"/>
        <v>0</v>
      </c>
      <c r="BH33" s="1134">
        <f t="shared" si="45"/>
        <v>0</v>
      </c>
      <c r="BI33" s="1134">
        <f t="shared" si="45"/>
        <v>0</v>
      </c>
      <c r="BJ33" s="1134">
        <f t="shared" si="45"/>
        <v>0</v>
      </c>
      <c r="BK33" s="1175">
        <f t="shared" si="46"/>
        <v>0</v>
      </c>
      <c r="BL33" s="1134"/>
      <c r="BM33" s="1176">
        <f t="shared" si="47"/>
        <v>-3</v>
      </c>
      <c r="BN33" s="1134">
        <f t="shared" si="48"/>
        <v>1</v>
      </c>
      <c r="BO33" s="1134">
        <f t="shared" si="48"/>
        <v>0</v>
      </c>
      <c r="BP33" s="1134">
        <f t="shared" si="48"/>
        <v>0</v>
      </c>
      <c r="BQ33" s="1175">
        <f t="shared" si="49"/>
        <v>-2</v>
      </c>
      <c r="BR33" s="1134"/>
      <c r="BS33" s="1176">
        <f t="shared" si="50"/>
        <v>0</v>
      </c>
      <c r="BT33" s="1761">
        <v>0</v>
      </c>
      <c r="BU33" s="1761">
        <v>0</v>
      </c>
      <c r="BV33" s="1761">
        <v>0</v>
      </c>
      <c r="BW33" s="1175">
        <f t="shared" si="51"/>
        <v>0</v>
      </c>
      <c r="BX33" s="1134"/>
      <c r="BY33" s="1756">
        <v>0</v>
      </c>
      <c r="BZ33" s="1761">
        <v>0</v>
      </c>
      <c r="CA33" s="1761">
        <v>0</v>
      </c>
      <c r="CB33" s="1761">
        <v>0</v>
      </c>
      <c r="CC33" s="1175">
        <f t="shared" si="52"/>
        <v>0</v>
      </c>
      <c r="CD33" s="1027"/>
      <c r="CE33" s="1756">
        <v>0</v>
      </c>
      <c r="CF33" s="1761">
        <v>0</v>
      </c>
      <c r="CG33" s="1761">
        <v>0</v>
      </c>
      <c r="CH33" s="1761">
        <v>0</v>
      </c>
      <c r="CI33" s="1175">
        <f t="shared" si="53"/>
        <v>0</v>
      </c>
      <c r="CK33" s="1756">
        <v>0</v>
      </c>
      <c r="CL33" s="1761">
        <v>0</v>
      </c>
      <c r="CM33" s="1761">
        <v>0</v>
      </c>
      <c r="CN33" s="1761">
        <v>0</v>
      </c>
      <c r="CO33" s="1175">
        <f t="shared" si="54"/>
        <v>0</v>
      </c>
    </row>
    <row r="34" spans="1:93" s="2094" customFormat="1" ht="12.75" customHeight="1">
      <c r="A34" s="1196" t="str">
        <f t="shared" si="24"/>
        <v>2026 Senior Notes</v>
      </c>
      <c r="B34" s="1196"/>
      <c r="C34" s="1196"/>
      <c r="D34" s="1134"/>
      <c r="E34" s="1194"/>
      <c r="F34" s="1134"/>
      <c r="G34" s="1134"/>
      <c r="H34" s="1134"/>
      <c r="I34" s="1242"/>
      <c r="J34" s="1134"/>
      <c r="K34" s="1194"/>
      <c r="L34" s="1134"/>
      <c r="M34" s="1134"/>
      <c r="N34" s="1134"/>
      <c r="O34" s="1242"/>
      <c r="P34" s="1134"/>
      <c r="Q34" s="1723">
        <v>0</v>
      </c>
      <c r="R34" s="1134">
        <f t="shared" si="25"/>
        <v>0</v>
      </c>
      <c r="S34" s="1134">
        <f t="shared" si="25"/>
        <v>0</v>
      </c>
      <c r="T34" s="1241">
        <f t="shared" si="25"/>
        <v>0</v>
      </c>
      <c r="U34" s="1242">
        <f>SUM(Q34:T34)</f>
        <v>0</v>
      </c>
      <c r="V34" s="1242"/>
      <c r="W34" s="1027">
        <f t="shared" si="26"/>
        <v>0</v>
      </c>
      <c r="X34" s="1134">
        <f t="shared" si="27"/>
        <v>0</v>
      </c>
      <c r="Y34" s="1134">
        <f t="shared" si="27"/>
        <v>0</v>
      </c>
      <c r="Z34" s="1241">
        <f t="shared" si="27"/>
        <v>0</v>
      </c>
      <c r="AA34" s="1242">
        <f t="shared" si="28"/>
        <v>0</v>
      </c>
      <c r="AB34" s="1242"/>
      <c r="AC34" s="1027">
        <f t="shared" si="29"/>
        <v>0</v>
      </c>
      <c r="AD34" s="1134">
        <f t="shared" si="30"/>
        <v>0</v>
      </c>
      <c r="AE34" s="1134">
        <f t="shared" si="30"/>
        <v>0</v>
      </c>
      <c r="AF34" s="1134">
        <f t="shared" si="30"/>
        <v>0</v>
      </c>
      <c r="AG34" s="1175">
        <f t="shared" si="31"/>
        <v>0</v>
      </c>
      <c r="AH34" s="1134"/>
      <c r="AI34" s="1194">
        <f t="shared" si="32"/>
        <v>0</v>
      </c>
      <c r="AJ34" s="1134">
        <f t="shared" si="33"/>
        <v>0</v>
      </c>
      <c r="AK34" s="1134">
        <f t="shared" si="33"/>
        <v>0</v>
      </c>
      <c r="AL34" s="1134">
        <f t="shared" si="33"/>
        <v>0</v>
      </c>
      <c r="AM34" s="1175">
        <f t="shared" si="34"/>
        <v>0</v>
      </c>
      <c r="AN34" s="1134"/>
      <c r="AO34" s="1176">
        <f t="shared" si="35"/>
        <v>0</v>
      </c>
      <c r="AP34" s="1134">
        <f t="shared" si="36"/>
        <v>0</v>
      </c>
      <c r="AQ34" s="1134">
        <f t="shared" si="36"/>
        <v>0</v>
      </c>
      <c r="AR34" s="1134">
        <f t="shared" si="36"/>
        <v>0</v>
      </c>
      <c r="AS34" s="1175">
        <f t="shared" si="37"/>
        <v>0</v>
      </c>
      <c r="AT34" s="1134"/>
      <c r="AU34" s="1176">
        <f t="shared" si="38"/>
        <v>0</v>
      </c>
      <c r="AV34" s="1134">
        <f t="shared" si="39"/>
        <v>0</v>
      </c>
      <c r="AW34" s="1134">
        <f t="shared" si="39"/>
        <v>0</v>
      </c>
      <c r="AX34" s="1134">
        <f t="shared" si="39"/>
        <v>0</v>
      </c>
      <c r="AY34" s="1175">
        <f t="shared" si="40"/>
        <v>0</v>
      </c>
      <c r="AZ34" s="1134"/>
      <c r="BA34" s="1176">
        <f t="shared" si="41"/>
        <v>0</v>
      </c>
      <c r="BB34" s="1134">
        <f t="shared" si="42"/>
        <v>0</v>
      </c>
      <c r="BC34" s="1134">
        <f t="shared" si="42"/>
        <v>0</v>
      </c>
      <c r="BD34" s="1134">
        <f t="shared" si="42"/>
        <v>0</v>
      </c>
      <c r="BE34" s="1175">
        <f t="shared" si="43"/>
        <v>0</v>
      </c>
      <c r="BF34" s="1134"/>
      <c r="BG34" s="1176">
        <f t="shared" si="44"/>
        <v>0</v>
      </c>
      <c r="BH34" s="1134">
        <f t="shared" si="45"/>
        <v>0</v>
      </c>
      <c r="BI34" s="1134">
        <f t="shared" si="45"/>
        <v>0</v>
      </c>
      <c r="BJ34" s="1134">
        <f t="shared" si="45"/>
        <v>299</v>
      </c>
      <c r="BK34" s="1175">
        <f t="shared" si="46"/>
        <v>299</v>
      </c>
      <c r="BL34" s="1134"/>
      <c r="BM34" s="1176">
        <f t="shared" si="47"/>
        <v>-2</v>
      </c>
      <c r="BN34" s="1134">
        <f t="shared" si="48"/>
        <v>0</v>
      </c>
      <c r="BO34" s="1134">
        <f t="shared" si="48"/>
        <v>0</v>
      </c>
      <c r="BP34" s="1134">
        <f t="shared" si="48"/>
        <v>0</v>
      </c>
      <c r="BQ34" s="1175">
        <f t="shared" si="49"/>
        <v>-2</v>
      </c>
      <c r="BR34" s="1134"/>
      <c r="BS34" s="1176">
        <f t="shared" si="50"/>
        <v>0</v>
      </c>
      <c r="BT34" s="1761">
        <v>0</v>
      </c>
      <c r="BU34" s="1761">
        <v>0</v>
      </c>
      <c r="BV34" s="1761">
        <v>0</v>
      </c>
      <c r="BW34" s="1175">
        <f t="shared" si="51"/>
        <v>0</v>
      </c>
      <c r="BX34" s="1134"/>
      <c r="BY34" s="1756">
        <v>0</v>
      </c>
      <c r="BZ34" s="1761">
        <v>0</v>
      </c>
      <c r="CA34" s="1761">
        <v>0</v>
      </c>
      <c r="CB34" s="1761">
        <v>0</v>
      </c>
      <c r="CC34" s="1175">
        <f t="shared" si="52"/>
        <v>0</v>
      </c>
      <c r="CD34" s="1027"/>
      <c r="CE34" s="1756">
        <v>0</v>
      </c>
      <c r="CF34" s="1761">
        <v>0</v>
      </c>
      <c r="CG34" s="1761">
        <v>0</v>
      </c>
      <c r="CH34" s="1761">
        <v>0</v>
      </c>
      <c r="CI34" s="1175">
        <f t="shared" si="53"/>
        <v>0</v>
      </c>
      <c r="CK34" s="1756">
        <v>0</v>
      </c>
      <c r="CL34" s="1761">
        <v>0</v>
      </c>
      <c r="CM34" s="1761">
        <v>0</v>
      </c>
      <c r="CN34" s="1761">
        <v>0</v>
      </c>
      <c r="CO34" s="1175">
        <f t="shared" si="54"/>
        <v>0</v>
      </c>
    </row>
    <row r="35" spans="1:93" ht="12.75" customHeight="1">
      <c r="A35" s="982" t="s">
        <v>489</v>
      </c>
      <c r="B35" s="1196"/>
      <c r="C35" s="1196"/>
      <c r="D35" s="1134"/>
      <c r="E35" s="1194"/>
      <c r="F35" s="1134"/>
      <c r="G35" s="1134"/>
      <c r="H35" s="1134"/>
      <c r="I35" s="1242"/>
      <c r="J35" s="1134"/>
      <c r="K35" s="1194"/>
      <c r="L35" s="1134"/>
      <c r="M35" s="1134"/>
      <c r="N35" s="1134"/>
      <c r="O35" s="1242"/>
      <c r="P35" s="1134"/>
      <c r="Q35" s="1723">
        <v>0</v>
      </c>
      <c r="R35" s="1134">
        <f>R19-Q19</f>
        <v>1</v>
      </c>
      <c r="S35" s="1134">
        <f>S19-R19</f>
        <v>0</v>
      </c>
      <c r="T35" s="1241">
        <f>T19-S19</f>
        <v>1</v>
      </c>
      <c r="U35" s="1242">
        <f t="shared" si="55"/>
        <v>2</v>
      </c>
      <c r="V35" s="1242"/>
      <c r="W35" s="1027">
        <f>W19-U19</f>
        <v>-1</v>
      </c>
      <c r="X35" s="1134">
        <f>X19-W19</f>
        <v>-15</v>
      </c>
      <c r="Y35" s="1134">
        <f>Y19-X19</f>
        <v>0</v>
      </c>
      <c r="Z35" s="1241">
        <f>Z19-Y19</f>
        <v>0</v>
      </c>
      <c r="AA35" s="1242">
        <f>AA19-U19</f>
        <v>-16</v>
      </c>
      <c r="AB35" s="1242"/>
      <c r="AC35" s="1027">
        <f>AC19-AA19</f>
        <v>0</v>
      </c>
      <c r="AD35" s="1134">
        <f>AD19-AC19</f>
        <v>0</v>
      </c>
      <c r="AE35" s="1134">
        <f>AE19-AD19</f>
        <v>0</v>
      </c>
      <c r="AF35" s="1134">
        <f>AF19-AE19</f>
        <v>0</v>
      </c>
      <c r="AG35" s="1175">
        <f>AG19-AA19</f>
        <v>0</v>
      </c>
      <c r="AH35" s="1134"/>
      <c r="AI35" s="1194">
        <f>AI19-AG19</f>
        <v>0</v>
      </c>
      <c r="AJ35" s="1134">
        <f>AJ19-AI19</f>
        <v>0</v>
      </c>
      <c r="AK35" s="1134">
        <f>AK19-AJ19</f>
        <v>42</v>
      </c>
      <c r="AL35" s="1134">
        <f>AL19-AK19</f>
        <v>2</v>
      </c>
      <c r="AM35" s="1175">
        <f>AM19-AG19</f>
        <v>44</v>
      </c>
      <c r="AN35" s="1134"/>
      <c r="AO35" s="1176">
        <f>AO19-AL19</f>
        <v>2</v>
      </c>
      <c r="AP35" s="1134">
        <f>AP19-AO19</f>
        <v>-2</v>
      </c>
      <c r="AQ35" s="1134">
        <f>AQ19-AP19</f>
        <v>1</v>
      </c>
      <c r="AR35" s="1134">
        <f>AR19-AQ19</f>
        <v>1</v>
      </c>
      <c r="AS35" s="1175">
        <f>AS19-AM19</f>
        <v>2</v>
      </c>
      <c r="AT35" s="1134"/>
      <c r="AU35" s="1176">
        <f>AU19-AR19</f>
        <v>0</v>
      </c>
      <c r="AV35" s="1134">
        <f>AV19-AU19</f>
        <v>1</v>
      </c>
      <c r="AW35" s="1134">
        <f>AW19-AV19</f>
        <v>-2</v>
      </c>
      <c r="AX35" s="1134">
        <f>AX19-AW19</f>
        <v>-3</v>
      </c>
      <c r="AY35" s="1175">
        <f>AY19-AS19</f>
        <v>-4</v>
      </c>
      <c r="AZ35" s="1134"/>
      <c r="BA35" s="1176">
        <f>BA19-AX19</f>
        <v>-3</v>
      </c>
      <c r="BB35" s="1134">
        <f>BB19-BA19</f>
        <v>-1</v>
      </c>
      <c r="BC35" s="1134">
        <f>BC19-BB19</f>
        <v>-1</v>
      </c>
      <c r="BD35" s="1134">
        <f>BD19-BC19</f>
        <v>1</v>
      </c>
      <c r="BE35" s="1175">
        <f>BE19-AY19</f>
        <v>-4</v>
      </c>
      <c r="BF35" s="1134"/>
      <c r="BG35" s="1176">
        <f>BG19-BD19</f>
        <v>-1</v>
      </c>
      <c r="BH35" s="1134">
        <f>BH19-BG19</f>
        <v>3</v>
      </c>
      <c r="BI35" s="1134">
        <f>BI19-BH19</f>
        <v>-2</v>
      </c>
      <c r="BJ35" s="1134">
        <f>BJ19-BI19</f>
        <v>-38</v>
      </c>
      <c r="BK35" s="1175">
        <f>BK19-BE19</f>
        <v>-38</v>
      </c>
      <c r="BL35" s="1134"/>
      <c r="BM35" s="1176">
        <f t="shared" si="47"/>
        <v>0</v>
      </c>
      <c r="BN35" s="1134">
        <f>BN19-BM19</f>
        <v>0</v>
      </c>
      <c r="BO35" s="1134">
        <f>BO19-BN19</f>
        <v>0</v>
      </c>
      <c r="BP35" s="1134">
        <f>BP19-BO19</f>
        <v>0</v>
      </c>
      <c r="BQ35" s="1175">
        <f>BQ19-BK19</f>
        <v>0</v>
      </c>
      <c r="BR35" s="1134"/>
      <c r="BS35" s="1176">
        <f t="shared" si="50"/>
        <v>0</v>
      </c>
      <c r="BT35" s="1761">
        <v>0</v>
      </c>
      <c r="BU35" s="1761">
        <v>0</v>
      </c>
      <c r="BV35" s="1761">
        <v>0</v>
      </c>
      <c r="BW35" s="1175">
        <f>BW19-BQ19</f>
        <v>0</v>
      </c>
      <c r="BX35" s="1134"/>
      <c r="BY35" s="1756">
        <v>0</v>
      </c>
      <c r="BZ35" s="1761">
        <v>0</v>
      </c>
      <c r="CA35" s="1761">
        <v>0</v>
      </c>
      <c r="CB35" s="1761">
        <v>0</v>
      </c>
      <c r="CC35" s="1175">
        <f>CC19-BW19</f>
        <v>0</v>
      </c>
      <c r="CD35" s="1027"/>
      <c r="CE35" s="1756">
        <v>0</v>
      </c>
      <c r="CF35" s="1761">
        <v>0</v>
      </c>
      <c r="CG35" s="1761">
        <v>0</v>
      </c>
      <c r="CH35" s="1761">
        <v>0</v>
      </c>
      <c r="CI35" s="1175">
        <f t="shared" si="53"/>
        <v>0</v>
      </c>
      <c r="CK35" s="1756">
        <v>0</v>
      </c>
      <c r="CL35" s="1761">
        <v>0</v>
      </c>
      <c r="CM35" s="1761">
        <v>0</v>
      </c>
      <c r="CN35" s="1761">
        <v>0</v>
      </c>
      <c r="CO35" s="1175">
        <f t="shared" si="54"/>
        <v>0</v>
      </c>
    </row>
    <row r="36" spans="1:93" ht="12.75" customHeight="1">
      <c r="A36" s="1177" t="s">
        <v>490</v>
      </c>
      <c r="B36" s="1178"/>
      <c r="C36" s="1178"/>
      <c r="D36" s="1179"/>
      <c r="E36" s="1180"/>
      <c r="F36" s="1181"/>
      <c r="G36" s="1181"/>
      <c r="H36" s="1181"/>
      <c r="I36" s="1765"/>
      <c r="J36" s="1179"/>
      <c r="K36" s="1180"/>
      <c r="L36" s="1181"/>
      <c r="M36" s="1181"/>
      <c r="N36" s="1181"/>
      <c r="O36" s="1765"/>
      <c r="P36" s="1179"/>
      <c r="Q36" s="1762">
        <v>29</v>
      </c>
      <c r="R36" s="1181">
        <f>SUM(R26:R35)</f>
        <v>0</v>
      </c>
      <c r="S36" s="1181">
        <f>SUM(S26:S35)</f>
        <v>-1</v>
      </c>
      <c r="T36" s="1774">
        <f>SUM(T26:T35)</f>
        <v>751</v>
      </c>
      <c r="U36" s="1765">
        <f>SUM(U26:U35)</f>
        <v>779</v>
      </c>
      <c r="V36" s="1781"/>
      <c r="W36" s="1181">
        <f>SUM(W26:W35)</f>
        <v>-1494</v>
      </c>
      <c r="X36" s="1181">
        <f>SUM(X26:X35)</f>
        <v>-17</v>
      </c>
      <c r="Y36" s="1181">
        <f>SUM(Y26:Y35)</f>
        <v>784</v>
      </c>
      <c r="Z36" s="1774">
        <f>SUM(Z26:Z35)</f>
        <v>13</v>
      </c>
      <c r="AA36" s="1765">
        <f>SUM(AA26:AA35)</f>
        <v>-714</v>
      </c>
      <c r="AB36" s="1781"/>
      <c r="AC36" s="1181">
        <f>SUM(AC26:AC35)</f>
        <v>-52</v>
      </c>
      <c r="AD36" s="1181">
        <f>SUM(AD26:AD35)</f>
        <v>6</v>
      </c>
      <c r="AE36" s="1181">
        <f>SUM(AE26:AE35)</f>
        <v>24</v>
      </c>
      <c r="AF36" s="1181">
        <f>SUM(AF26:AF35)</f>
        <v>-236</v>
      </c>
      <c r="AG36" s="1182">
        <f>SUM(AG26:AG35)</f>
        <v>-258</v>
      </c>
      <c r="AH36" s="1179"/>
      <c r="AI36" s="1180">
        <f>SUM(AI26:AI35)</f>
        <v>-3</v>
      </c>
      <c r="AJ36" s="1181">
        <f>SUM(AJ26:AJ35)</f>
        <v>-3</v>
      </c>
      <c r="AK36" s="1181">
        <f>SUM(AK26:AK35)</f>
        <v>-212</v>
      </c>
      <c r="AL36" s="1181">
        <f>SUM(AL26:AL35)</f>
        <v>398</v>
      </c>
      <c r="AM36" s="1182">
        <f>SUM(AM26:AM35)</f>
        <v>180</v>
      </c>
      <c r="AN36" s="1179"/>
      <c r="AO36" s="1183">
        <f>SUM(AO26:AO35)</f>
        <v>-1</v>
      </c>
      <c r="AP36" s="1181">
        <f>SUM(AP26:AP35)</f>
        <v>-5</v>
      </c>
      <c r="AQ36" s="1181">
        <f>SUM(AQ26:AQ35)</f>
        <v>595</v>
      </c>
      <c r="AR36" s="1181">
        <f>SUM(AR26:AR35)</f>
        <v>-2</v>
      </c>
      <c r="AS36" s="1182">
        <f>SUM(AS26:AS35)</f>
        <v>587</v>
      </c>
      <c r="AT36" s="1179"/>
      <c r="AU36" s="1183">
        <f>SUM(AU26:AU35)</f>
        <v>-4</v>
      </c>
      <c r="AV36" s="1181">
        <f>SUM(AV26:AV35)</f>
        <v>-2</v>
      </c>
      <c r="AW36" s="1181">
        <f>SUM(AW26:AW35)</f>
        <v>-512</v>
      </c>
      <c r="AX36" s="1181">
        <f>SUM(AX26:AX35)</f>
        <v>-518</v>
      </c>
      <c r="AY36" s="1182">
        <f>SUM(AY26:AY35)</f>
        <v>-1036</v>
      </c>
      <c r="AZ36" s="1179"/>
      <c r="BA36" s="1183">
        <f>SUM(BA26:BA35)</f>
        <v>-5</v>
      </c>
      <c r="BB36" s="1181">
        <f>SUM(BB26:BB35)</f>
        <v>-2</v>
      </c>
      <c r="BC36" s="1181">
        <f>SUM(BC26:BC35)</f>
        <v>-1</v>
      </c>
      <c r="BD36" s="1181">
        <f>SUM(BD26:BD35)</f>
        <v>0</v>
      </c>
      <c r="BE36" s="1182">
        <f>SUM(BE26:BE35)</f>
        <v>-8</v>
      </c>
      <c r="BF36" s="1179"/>
      <c r="BG36" s="1183">
        <f>SUM(BG26:BG35)</f>
        <v>-2</v>
      </c>
      <c r="BH36" s="1181">
        <f>SUM(BH26:BH35)</f>
        <v>1</v>
      </c>
      <c r="BI36" s="1181">
        <f>SUM(BI26:BI35)</f>
        <v>-2</v>
      </c>
      <c r="BJ36" s="1181">
        <f>SUM(BJ26:BJ35)</f>
        <v>260</v>
      </c>
      <c r="BK36" s="1182">
        <f>SUM(BK26:BK35)</f>
        <v>257</v>
      </c>
      <c r="BL36" s="1179"/>
      <c r="BM36" s="1183">
        <f>SUM(BM26:BM35)</f>
        <v>-110</v>
      </c>
      <c r="BN36" s="1181">
        <f>SUM(BN26:BN35)</f>
        <v>0</v>
      </c>
      <c r="BO36" s="1181">
        <f>SUM(BO26:BO35)</f>
        <v>-1</v>
      </c>
      <c r="BP36" s="1181">
        <f>SUM(BP26:BP35)</f>
        <v>0</v>
      </c>
      <c r="BQ36" s="1182">
        <f>SUM(BQ26:BQ35)</f>
        <v>-111</v>
      </c>
      <c r="BR36" s="1179"/>
      <c r="BS36" s="1183">
        <f>SUM(BS26:BS35)</f>
        <v>-1</v>
      </c>
      <c r="BT36" s="1181">
        <f>SUM(BT26:BT35)</f>
        <v>0</v>
      </c>
      <c r="BU36" s="1181">
        <f>SUM(BU26:BU35)</f>
        <v>0</v>
      </c>
      <c r="BV36" s="1181">
        <f>SUM(BV26:BV35)</f>
        <v>0</v>
      </c>
      <c r="BW36" s="1182">
        <f>SUM(BW26:BW35)</f>
        <v>-1</v>
      </c>
      <c r="BX36" s="1179"/>
      <c r="BY36" s="1183">
        <f>SUM(BY26:BY35)</f>
        <v>0</v>
      </c>
      <c r="BZ36" s="1181">
        <f>SUM(BZ26:BZ35)</f>
        <v>0</v>
      </c>
      <c r="CA36" s="1181">
        <f>SUM(CA26:CA35)</f>
        <v>0</v>
      </c>
      <c r="CB36" s="1181">
        <f>SUM(CB26:CB35)</f>
        <v>0</v>
      </c>
      <c r="CC36" s="1182">
        <f>SUM(CC26:CC35)</f>
        <v>0</v>
      </c>
      <c r="CD36" s="1243"/>
      <c r="CE36" s="1183">
        <f>SUM(CE26:CE35)</f>
        <v>-509</v>
      </c>
      <c r="CF36" s="1181">
        <f>SUM(CF26:CF35)</f>
        <v>0</v>
      </c>
      <c r="CG36" s="1181">
        <f>SUM(CG26:CG35)</f>
        <v>0</v>
      </c>
      <c r="CH36" s="1181">
        <f>SUM(CH26:CH35)</f>
        <v>0</v>
      </c>
      <c r="CI36" s="1182">
        <f>SUM(CI26:CI35)</f>
        <v>-509</v>
      </c>
      <c r="CK36" s="1183">
        <f>SUM(CK26:CK35)</f>
        <v>-398</v>
      </c>
      <c r="CL36" s="1181">
        <f>SUM(CL26:CL35)</f>
        <v>0</v>
      </c>
      <c r="CM36" s="1181">
        <f>SUM(CM26:CM35)</f>
        <v>0</v>
      </c>
      <c r="CN36" s="1181">
        <f>SUM(CN26:CN35)</f>
        <v>0</v>
      </c>
      <c r="CO36" s="1182">
        <f>SUM(CO26:CO35)</f>
        <v>-398</v>
      </c>
    </row>
    <row r="37" spans="1:93" ht="12.75" customHeight="1">
      <c r="A37" s="1184" t="s">
        <v>491</v>
      </c>
      <c r="B37" s="1184"/>
      <c r="C37" s="1184"/>
      <c r="D37" s="1134"/>
      <c r="E37" s="1194"/>
      <c r="F37" s="1134"/>
      <c r="G37" s="1134"/>
      <c r="H37" s="1134"/>
      <c r="I37" s="1242"/>
      <c r="J37" s="1134"/>
      <c r="K37" s="1194"/>
      <c r="L37" s="1134"/>
      <c r="M37" s="1134"/>
      <c r="N37" s="1134"/>
      <c r="O37" s="1242"/>
      <c r="P37" s="1134"/>
      <c r="Q37" s="1723">
        <v>50</v>
      </c>
      <c r="R37" s="1134">
        <f t="shared" ref="R37:T38" si="56">R21-Q21</f>
        <v>-50</v>
      </c>
      <c r="S37" s="1134">
        <f t="shared" si="56"/>
        <v>0</v>
      </c>
      <c r="T37" s="1241">
        <f t="shared" si="56"/>
        <v>1</v>
      </c>
      <c r="U37" s="1242">
        <f t="shared" si="55"/>
        <v>1</v>
      </c>
      <c r="V37" s="1242"/>
      <c r="W37" s="1027">
        <f>W21-U21</f>
        <v>1500</v>
      </c>
      <c r="X37" s="1134">
        <f t="shared" ref="X37:Z38" si="57">X21-W21</f>
        <v>0</v>
      </c>
      <c r="Y37" s="1134">
        <f t="shared" si="57"/>
        <v>0</v>
      </c>
      <c r="Z37" s="1241">
        <f t="shared" si="57"/>
        <v>0</v>
      </c>
      <c r="AA37" s="1242">
        <f>AA21-U21</f>
        <v>1500</v>
      </c>
      <c r="AB37" s="1242"/>
      <c r="AC37" s="1027">
        <f>AC21-AA21</f>
        <v>-1500</v>
      </c>
      <c r="AD37" s="1134">
        <f t="shared" ref="AD37:AF38" si="58">AD21-AC21</f>
        <v>-1</v>
      </c>
      <c r="AE37" s="1134">
        <f t="shared" si="58"/>
        <v>0</v>
      </c>
      <c r="AF37" s="1134">
        <f t="shared" si="58"/>
        <v>253</v>
      </c>
      <c r="AG37" s="1175">
        <f>AG21-AA21</f>
        <v>-1248</v>
      </c>
      <c r="AH37" s="1134"/>
      <c r="AI37" s="1194">
        <f>AI21-AG21</f>
        <v>-1</v>
      </c>
      <c r="AJ37" s="1134">
        <f t="shared" ref="AJ37:AL38" si="59">AJ21-AI21</f>
        <v>-1</v>
      </c>
      <c r="AK37" s="1134">
        <f t="shared" si="59"/>
        <v>249</v>
      </c>
      <c r="AL37" s="1134">
        <f t="shared" si="59"/>
        <v>-250</v>
      </c>
      <c r="AM37" s="1175">
        <f>AM21-AG21</f>
        <v>-3</v>
      </c>
      <c r="AN37" s="1134"/>
      <c r="AO37" s="1194">
        <f>AO21-AM21</f>
        <v>0</v>
      </c>
      <c r="AP37" s="1134">
        <f t="shared" ref="AP37:AR38" si="60">AP21-AO21</f>
        <v>0</v>
      </c>
      <c r="AQ37" s="1134">
        <f t="shared" si="60"/>
        <v>-250</v>
      </c>
      <c r="AR37" s="1134">
        <f t="shared" si="60"/>
        <v>0</v>
      </c>
      <c r="AS37" s="1175">
        <f>AS21-AM21</f>
        <v>-250</v>
      </c>
      <c r="AT37" s="1134"/>
      <c r="AU37" s="1194">
        <f>AU21-AS21</f>
        <v>0</v>
      </c>
      <c r="AV37" s="1134">
        <f t="shared" ref="AV37:AX38" si="61">AV21-AU21</f>
        <v>0</v>
      </c>
      <c r="AW37" s="1134">
        <f t="shared" si="61"/>
        <v>35</v>
      </c>
      <c r="AX37" s="1134">
        <f t="shared" si="61"/>
        <v>588</v>
      </c>
      <c r="AY37" s="1175">
        <f>AY21-AS21</f>
        <v>623</v>
      </c>
      <c r="AZ37" s="1134"/>
      <c r="BA37" s="1194">
        <f>BA21-AY21</f>
        <v>-623</v>
      </c>
      <c r="BB37" s="1134">
        <f t="shared" ref="BB37:BD38" si="62">BB21-BA21</f>
        <v>0</v>
      </c>
      <c r="BC37" s="1134">
        <f t="shared" si="62"/>
        <v>0</v>
      </c>
      <c r="BD37" s="1134">
        <f t="shared" si="62"/>
        <v>0</v>
      </c>
      <c r="BE37" s="1175">
        <f>BE21-AY21</f>
        <v>-623</v>
      </c>
      <c r="BF37" s="1134"/>
      <c r="BG37" s="1194">
        <f>BG21-BE21</f>
        <v>80</v>
      </c>
      <c r="BH37" s="1134">
        <f t="shared" ref="BH37:BJ38" si="63">BH21-BG21</f>
        <v>155</v>
      </c>
      <c r="BI37" s="1134">
        <f t="shared" si="63"/>
        <v>0</v>
      </c>
      <c r="BJ37" s="1134">
        <f t="shared" si="63"/>
        <v>-235</v>
      </c>
      <c r="BK37" s="1175">
        <f>BK21-BE21</f>
        <v>0</v>
      </c>
      <c r="BL37" s="1134"/>
      <c r="BM37" s="1194">
        <f>BM21-BK21</f>
        <v>0</v>
      </c>
      <c r="BN37" s="1134">
        <f t="shared" ref="BN37:BP38" si="64">BN21-BM21</f>
        <v>241</v>
      </c>
      <c r="BO37" s="1134">
        <f t="shared" si="64"/>
        <v>39</v>
      </c>
      <c r="BP37" s="1134">
        <f t="shared" si="64"/>
        <v>-70</v>
      </c>
      <c r="BQ37" s="1175">
        <f>BQ21-BK21</f>
        <v>210</v>
      </c>
      <c r="BR37" s="1134"/>
      <c r="BS37" s="1194">
        <f>BS21-BQ21</f>
        <v>135</v>
      </c>
      <c r="BT37" s="1134">
        <f t="shared" ref="BT37:BV38" si="65">BT21-BS21</f>
        <v>0</v>
      </c>
      <c r="BU37" s="1134">
        <f t="shared" si="65"/>
        <v>0</v>
      </c>
      <c r="BV37" s="1134">
        <f t="shared" si="65"/>
        <v>0</v>
      </c>
      <c r="BW37" s="1175">
        <f>BW21-BQ21</f>
        <v>135</v>
      </c>
      <c r="BX37" s="1134"/>
      <c r="BY37" s="1194">
        <f>BY21-BW21</f>
        <v>0</v>
      </c>
      <c r="BZ37" s="1134">
        <f t="shared" ref="BZ37:CB38" si="66">BZ21-BY21</f>
        <v>0</v>
      </c>
      <c r="CA37" s="1134">
        <f t="shared" si="66"/>
        <v>0</v>
      </c>
      <c r="CB37" s="1134">
        <f t="shared" si="66"/>
        <v>0</v>
      </c>
      <c r="CC37" s="1175">
        <f>CC21-BW21</f>
        <v>0</v>
      </c>
      <c r="CD37" s="1027"/>
      <c r="CE37" s="1194">
        <f>CE21-CC21</f>
        <v>0</v>
      </c>
      <c r="CF37" s="1134">
        <f t="shared" ref="CF37:CH38" si="67">CF21-CE21</f>
        <v>0</v>
      </c>
      <c r="CG37" s="1134">
        <f t="shared" si="67"/>
        <v>0</v>
      </c>
      <c r="CH37" s="1134">
        <f t="shared" si="67"/>
        <v>0</v>
      </c>
      <c r="CI37" s="1175">
        <f>CI21-CC21</f>
        <v>0</v>
      </c>
      <c r="CK37" s="1194">
        <f>CK21-CI21</f>
        <v>0</v>
      </c>
      <c r="CL37" s="1134">
        <f t="shared" ref="CL37:CL38" si="68">CL21-CK21</f>
        <v>0</v>
      </c>
      <c r="CM37" s="1134">
        <f t="shared" ref="CM37:CM38" si="69">CM21-CL21</f>
        <v>0</v>
      </c>
      <c r="CN37" s="1134">
        <f t="shared" ref="CN37:CN38" si="70">CN21-CM21</f>
        <v>0</v>
      </c>
      <c r="CO37" s="1175">
        <f>CO21-CI21</f>
        <v>0</v>
      </c>
    </row>
    <row r="38" spans="1:93" ht="12.75" customHeight="1">
      <c r="A38" s="1185" t="s">
        <v>492</v>
      </c>
      <c r="B38" s="1186"/>
      <c r="C38" s="1186"/>
      <c r="D38" s="1179"/>
      <c r="E38" s="1180"/>
      <c r="F38" s="1181"/>
      <c r="G38" s="1181"/>
      <c r="H38" s="1181"/>
      <c r="I38" s="1765"/>
      <c r="J38" s="1179"/>
      <c r="K38" s="1180"/>
      <c r="L38" s="1181"/>
      <c r="M38" s="1181"/>
      <c r="N38" s="1181"/>
      <c r="O38" s="1765"/>
      <c r="P38" s="1179"/>
      <c r="Q38" s="1762">
        <v>29</v>
      </c>
      <c r="R38" s="1181">
        <f t="shared" si="56"/>
        <v>0</v>
      </c>
      <c r="S38" s="1181">
        <f t="shared" si="56"/>
        <v>-1</v>
      </c>
      <c r="T38" s="1774">
        <f t="shared" si="56"/>
        <v>751</v>
      </c>
      <c r="U38" s="1765">
        <f t="shared" si="55"/>
        <v>779</v>
      </c>
      <c r="V38" s="1781"/>
      <c r="W38" s="1181">
        <f>W22-U22</f>
        <v>-1494</v>
      </c>
      <c r="X38" s="1181">
        <f t="shared" si="57"/>
        <v>-17</v>
      </c>
      <c r="Y38" s="1181">
        <f t="shared" si="57"/>
        <v>784</v>
      </c>
      <c r="Z38" s="1774">
        <f t="shared" si="57"/>
        <v>13</v>
      </c>
      <c r="AA38" s="1765">
        <f>AA22-U22</f>
        <v>-714</v>
      </c>
      <c r="AB38" s="1781"/>
      <c r="AC38" s="1181">
        <f>AC22-AA22</f>
        <v>-52</v>
      </c>
      <c r="AD38" s="1181">
        <f t="shared" si="58"/>
        <v>6</v>
      </c>
      <c r="AE38" s="1181">
        <f t="shared" si="58"/>
        <v>24</v>
      </c>
      <c r="AF38" s="1181">
        <f t="shared" si="58"/>
        <v>-236</v>
      </c>
      <c r="AG38" s="1182">
        <f>AG22-AA22</f>
        <v>-258</v>
      </c>
      <c r="AH38" s="1179"/>
      <c r="AI38" s="1180">
        <f>AI22-AG22</f>
        <v>-3</v>
      </c>
      <c r="AJ38" s="1181">
        <f t="shared" si="59"/>
        <v>-3</v>
      </c>
      <c r="AK38" s="1181">
        <f t="shared" si="59"/>
        <v>-212</v>
      </c>
      <c r="AL38" s="1181">
        <f t="shared" si="59"/>
        <v>398</v>
      </c>
      <c r="AM38" s="1182">
        <f>AM22-AG22</f>
        <v>180</v>
      </c>
      <c r="AN38" s="1179"/>
      <c r="AO38" s="1183">
        <f>AO22-AM22</f>
        <v>-1</v>
      </c>
      <c r="AP38" s="1181">
        <f t="shared" si="60"/>
        <v>-5</v>
      </c>
      <c r="AQ38" s="1181">
        <f t="shared" si="60"/>
        <v>595</v>
      </c>
      <c r="AR38" s="1181">
        <f t="shared" si="60"/>
        <v>-2</v>
      </c>
      <c r="AS38" s="1182">
        <f>AS22-AM22</f>
        <v>587</v>
      </c>
      <c r="AT38" s="1179"/>
      <c r="AU38" s="1183">
        <f>AU22-AS22</f>
        <v>-4</v>
      </c>
      <c r="AV38" s="1181">
        <f t="shared" si="61"/>
        <v>-2</v>
      </c>
      <c r="AW38" s="1181">
        <f t="shared" si="61"/>
        <v>-512</v>
      </c>
      <c r="AX38" s="1181">
        <f t="shared" si="61"/>
        <v>-518</v>
      </c>
      <c r="AY38" s="1182">
        <f>AY22-AS22</f>
        <v>-1036</v>
      </c>
      <c r="AZ38" s="1179"/>
      <c r="BA38" s="1183">
        <f>BA22-AY22</f>
        <v>-5</v>
      </c>
      <c r="BB38" s="1181">
        <f t="shared" si="62"/>
        <v>-2</v>
      </c>
      <c r="BC38" s="1181">
        <f t="shared" si="62"/>
        <v>-1</v>
      </c>
      <c r="BD38" s="1181">
        <f t="shared" si="62"/>
        <v>0</v>
      </c>
      <c r="BE38" s="1182">
        <f>BE22-AY22</f>
        <v>-8</v>
      </c>
      <c r="BF38" s="1179"/>
      <c r="BG38" s="1183">
        <f>BG22-BE22</f>
        <v>-2</v>
      </c>
      <c r="BH38" s="1181">
        <f t="shared" si="63"/>
        <v>1</v>
      </c>
      <c r="BI38" s="1181">
        <f t="shared" si="63"/>
        <v>-2</v>
      </c>
      <c r="BJ38" s="1181">
        <f t="shared" si="63"/>
        <v>260</v>
      </c>
      <c r="BK38" s="1182">
        <f>BK22-BE22</f>
        <v>257</v>
      </c>
      <c r="BL38" s="1179"/>
      <c r="BM38" s="1183">
        <f>BM22-BK22</f>
        <v>-110</v>
      </c>
      <c r="BN38" s="1181">
        <f t="shared" si="64"/>
        <v>0</v>
      </c>
      <c r="BO38" s="1181">
        <f t="shared" si="64"/>
        <v>-1</v>
      </c>
      <c r="BP38" s="1181">
        <f t="shared" si="64"/>
        <v>0</v>
      </c>
      <c r="BQ38" s="1182">
        <f>BQ22-BK22</f>
        <v>-111</v>
      </c>
      <c r="BR38" s="1179"/>
      <c r="BS38" s="1183">
        <f>BS22-BQ22</f>
        <v>-1</v>
      </c>
      <c r="BT38" s="1181">
        <f t="shared" si="65"/>
        <v>0</v>
      </c>
      <c r="BU38" s="1181">
        <f t="shared" si="65"/>
        <v>0</v>
      </c>
      <c r="BV38" s="1181">
        <f t="shared" si="65"/>
        <v>0</v>
      </c>
      <c r="BW38" s="1182">
        <f>BW22-BQ22</f>
        <v>-1</v>
      </c>
      <c r="BX38" s="1179"/>
      <c r="BY38" s="1183">
        <f>BY22-BW22</f>
        <v>0</v>
      </c>
      <c r="BZ38" s="1181">
        <f t="shared" si="66"/>
        <v>0</v>
      </c>
      <c r="CA38" s="1181">
        <f t="shared" si="66"/>
        <v>0</v>
      </c>
      <c r="CB38" s="1181">
        <f t="shared" si="66"/>
        <v>0</v>
      </c>
      <c r="CC38" s="1182">
        <f>CC22-BW22</f>
        <v>0</v>
      </c>
      <c r="CD38" s="1243"/>
      <c r="CE38" s="1183">
        <f>CE22-CC22</f>
        <v>-509</v>
      </c>
      <c r="CF38" s="1181">
        <f t="shared" si="67"/>
        <v>0</v>
      </c>
      <c r="CG38" s="1181">
        <f t="shared" si="67"/>
        <v>0</v>
      </c>
      <c r="CH38" s="1181">
        <f t="shared" si="67"/>
        <v>0</v>
      </c>
      <c r="CI38" s="1182">
        <f>CI22-CC22</f>
        <v>-509</v>
      </c>
      <c r="CK38" s="1183">
        <f>CK22-CI22</f>
        <v>-398</v>
      </c>
      <c r="CL38" s="1181">
        <f t="shared" si="68"/>
        <v>0</v>
      </c>
      <c r="CM38" s="1181">
        <f t="shared" si="69"/>
        <v>0</v>
      </c>
      <c r="CN38" s="1181">
        <f t="shared" si="70"/>
        <v>0</v>
      </c>
      <c r="CO38" s="1182">
        <f>CO22-CI22</f>
        <v>-398</v>
      </c>
    </row>
    <row r="39" spans="1:93" ht="12.75" customHeight="1">
      <c r="A39" s="1184"/>
      <c r="B39" s="1184"/>
      <c r="C39" s="1184"/>
      <c r="D39" s="1133"/>
      <c r="E39" s="1197"/>
      <c r="F39" s="1133"/>
      <c r="G39" s="1133"/>
      <c r="H39" s="1133"/>
      <c r="I39" s="1766"/>
      <c r="J39" s="1133"/>
      <c r="K39" s="1197"/>
      <c r="L39" s="1133"/>
      <c r="M39" s="1133"/>
      <c r="N39" s="1133"/>
      <c r="O39" s="1766"/>
      <c r="P39" s="1133"/>
      <c r="Q39" s="1197"/>
      <c r="R39" s="1133"/>
      <c r="S39" s="1133"/>
      <c r="T39" s="1778"/>
      <c r="U39" s="1766"/>
      <c r="V39" s="1766"/>
      <c r="W39" s="1132"/>
      <c r="X39" s="1133"/>
      <c r="Y39" s="1133"/>
      <c r="Z39" s="1778"/>
      <c r="AA39" s="1766"/>
      <c r="AB39" s="1766"/>
      <c r="AC39" s="1132"/>
      <c r="AD39" s="1133"/>
      <c r="AE39" s="1133"/>
      <c r="AF39" s="1133"/>
      <c r="AG39" s="1198"/>
      <c r="AH39" s="1133"/>
      <c r="AI39" s="1197"/>
      <c r="AJ39" s="1133"/>
      <c r="AK39" s="1133"/>
      <c r="AL39" s="1133"/>
      <c r="AM39" s="1198"/>
      <c r="AN39" s="1133"/>
      <c r="AO39" s="1197"/>
      <c r="AP39" s="1133"/>
      <c r="AQ39" s="1133"/>
      <c r="AR39" s="1133"/>
      <c r="AS39" s="1198"/>
      <c r="AT39" s="1133"/>
      <c r="AU39" s="1197"/>
      <c r="AV39" s="1133"/>
      <c r="AW39" s="1133"/>
      <c r="AX39" s="1133"/>
      <c r="AY39" s="1198"/>
      <c r="AZ39" s="1133"/>
      <c r="BA39" s="1197"/>
      <c r="BB39" s="1133"/>
      <c r="BC39" s="1133"/>
      <c r="BD39" s="1133"/>
      <c r="BE39" s="1198"/>
      <c r="BF39" s="1133"/>
      <c r="BG39" s="1197"/>
      <c r="BH39" s="1133"/>
      <c r="BI39" s="1133"/>
      <c r="BJ39" s="1133"/>
      <c r="BK39" s="1198"/>
      <c r="BL39" s="1133"/>
      <c r="BM39" s="1197"/>
      <c r="BN39" s="1133"/>
      <c r="BO39" s="1133"/>
      <c r="BP39" s="1133"/>
      <c r="BQ39" s="1198"/>
      <c r="BR39" s="1133"/>
      <c r="BS39" s="1197"/>
      <c r="BT39" s="1133"/>
      <c r="BU39" s="1133"/>
      <c r="BV39" s="1133"/>
      <c r="BW39" s="1198"/>
      <c r="BX39" s="1133"/>
      <c r="BY39" s="1197"/>
      <c r="BZ39" s="1133"/>
      <c r="CA39" s="1133"/>
      <c r="CB39" s="1133"/>
      <c r="CC39" s="1198"/>
      <c r="CD39" s="1132"/>
      <c r="CE39" s="1197"/>
      <c r="CF39" s="1133"/>
      <c r="CG39" s="1133"/>
      <c r="CH39" s="1133"/>
      <c r="CI39" s="1198"/>
      <c r="CK39" s="1197"/>
      <c r="CL39" s="1133"/>
      <c r="CM39" s="1133"/>
      <c r="CN39" s="1133"/>
      <c r="CO39" s="1198"/>
    </row>
    <row r="40" spans="1:93" ht="12.75" customHeight="1">
      <c r="A40" s="1199" t="s">
        <v>493</v>
      </c>
      <c r="B40" s="1200"/>
      <c r="C40" s="1200"/>
      <c r="D40" s="1201"/>
      <c r="E40" s="1202"/>
      <c r="F40" s="1203"/>
      <c r="G40" s="1203"/>
      <c r="H40" s="1203"/>
      <c r="I40" s="1767"/>
      <c r="J40" s="1201"/>
      <c r="K40" s="1202"/>
      <c r="L40" s="1203"/>
      <c r="M40" s="1203"/>
      <c r="N40" s="1203"/>
      <c r="O40" s="1767"/>
      <c r="P40" s="1201"/>
      <c r="Q40" s="1202">
        <f>-SUMPRODUCT(Q10:Q19,$B$10:$B$19)/4</f>
        <v>-17.648625000000003</v>
      </c>
      <c r="R40" s="1203">
        <f>-SUMPRODUCT(R10:R19,$B$10:$B$19)/4</f>
        <v>-17.64</v>
      </c>
      <c r="S40" s="1203">
        <f>-SUMPRODUCT(S10:S19,$B$10:$B$19)/4</f>
        <v>-17.623750000000001</v>
      </c>
      <c r="T40" s="1779">
        <f>-SUMPRODUCT(T10:T19,$B$10:$B$19)/4</f>
        <v>-27.282500000000002</v>
      </c>
      <c r="U40" s="1767">
        <f>SUM(Q40:T40)</f>
        <v>-80.19487500000001</v>
      </c>
      <c r="V40" s="1782"/>
      <c r="W40" s="1203">
        <f>-SUMPRODUCT(W10:W19,$B$10:$B$19)/4</f>
        <v>-20.218875000000001</v>
      </c>
      <c r="X40" s="1203">
        <f>-SUMPRODUCT(X10:X19,$B$10:$B$19)/4</f>
        <v>-20.077124999999999</v>
      </c>
      <c r="Y40" s="1203">
        <f>-SUMPRODUCT(Y10:Y19,$B$10:$B$19)/4</f>
        <v>-28.337875</v>
      </c>
      <c r="Z40" s="1779">
        <f>-SUMPRODUCT(Z10:Z19,$B$10:$B$19)/4</f>
        <v>-28.510499999999997</v>
      </c>
      <c r="AA40" s="1767">
        <f>SUM(W40:Z40)</f>
        <v>-97.144374999999997</v>
      </c>
      <c r="AB40" s="1782"/>
      <c r="AC40" s="1203">
        <f>-SUMPRODUCT(AC10:AC19,$B$10:$B$19)/4</f>
        <v>-27.830624999999998</v>
      </c>
      <c r="AD40" s="1203">
        <f>-SUMPRODUCT(AD10:AD19,$B$10:$B$19)/4</f>
        <v>-27.911999999999999</v>
      </c>
      <c r="AE40" s="1203">
        <f>-SUMPRODUCT(AE10:AE19,$B$10:$B$19)/4</f>
        <v>-28.207000000000001</v>
      </c>
      <c r="AF40" s="1203">
        <f>-SUMPRODUCT(AF10:AF19,$B$10:$B$19)/4</f>
        <v>-25.6</v>
      </c>
      <c r="AG40" s="1204">
        <f>SUM(AC40:AF40)</f>
        <v>-109.54962499999999</v>
      </c>
      <c r="AH40" s="1201"/>
      <c r="AI40" s="1202">
        <f>-SUMPRODUCT(AI10:AI19,$B$10:$B$19)/4</f>
        <v>-25.557500000000001</v>
      </c>
      <c r="AJ40" s="1203">
        <f>-SUMPRODUCT(AJ10:AJ19,$B$10:$B$19)/4</f>
        <v>-25.515000000000001</v>
      </c>
      <c r="AK40" s="1203">
        <f>-SUMPRODUCT(AK10:AK19,$B$10:$B$19)/4</f>
        <v>-24.216500000000003</v>
      </c>
      <c r="AL40" s="1203">
        <f>-SUMPRODUCT(AL10:AL19,$B$10:$B$19)/4</f>
        <v>-27.38</v>
      </c>
      <c r="AM40" s="1204">
        <f>SUM(AI40:AL40)</f>
        <v>-102.66900000000001</v>
      </c>
      <c r="AN40" s="1201"/>
      <c r="AO40" s="1202">
        <f>-SUMPRODUCT(AO10:AO19,$B$10:$B$19)/4</f>
        <v>-27.35275</v>
      </c>
      <c r="AP40" s="1203">
        <f>-SUMPRODUCT(AP10:AP19,$B$10:$B$19)/4</f>
        <v>-27.295000000000002</v>
      </c>
      <c r="AQ40" s="1203">
        <f>-SUMPRODUCT(AQ10:AQ19,$B$10:$B$19)/4</f>
        <v>-33.042312500000001</v>
      </c>
      <c r="AR40" s="1203">
        <f>-SUMPRODUCT(AR10:AR19,$B$10:$B$19)/4</f>
        <v>-33.007437500000002</v>
      </c>
      <c r="AS40" s="1204">
        <f>SUM(AO40:AR40)</f>
        <v>-120.69750000000002</v>
      </c>
      <c r="AT40" s="1201"/>
      <c r="AU40" s="1202">
        <f>-SUMPRODUCT(AU10:AU19,$B$10:$B$19)/4</f>
        <v>-32.948687499999998</v>
      </c>
      <c r="AV40" s="1203">
        <f>-SUMPRODUCT(AV10:AV19,$B$10:$B$19)/4</f>
        <v>-32.912562500000007</v>
      </c>
      <c r="AW40" s="1203">
        <f>-SUMPRODUCT(AW10:AW19,$B$10:$B$19)/4</f>
        <v>-25.879500000000004</v>
      </c>
      <c r="AX40" s="1203">
        <f>-SUMPRODUCT(AX10:AX19,$B$10:$B$19)/4</f>
        <v>-17.491625000000003</v>
      </c>
      <c r="AY40" s="1204">
        <f>SUM(AU40:AX40)</f>
        <v>-109.23237500000002</v>
      </c>
      <c r="AZ40" s="1201"/>
      <c r="BA40" s="1202">
        <f>-SUMPRODUCT(BA10:BA19,$B$10:$B$19)/4</f>
        <v>-17.440000000000001</v>
      </c>
      <c r="BB40" s="1203">
        <f>-SUMPRODUCT(BB10:BB19,$B$10:$B$19)/4</f>
        <v>-17.419875000000001</v>
      </c>
      <c r="BC40" s="1203">
        <f>-SUMPRODUCT(BC10:BC19,$B$10:$B$19)/4</f>
        <v>-17.41225</v>
      </c>
      <c r="BD40" s="1203">
        <f>-SUMPRODUCT(BD10:BD19,$B$10:$B$19)/4</f>
        <v>-17.407375000000002</v>
      </c>
      <c r="BE40" s="1204">
        <f>SUM(BA40:BD40)</f>
        <v>-69.679500000000004</v>
      </c>
      <c r="BF40" s="1201"/>
      <c r="BG40" s="1202">
        <f>-SUMPRODUCT(BG10:BG19,$B$10:$B$19)/4</f>
        <v>-17.387250000000002</v>
      </c>
      <c r="BH40" s="1203">
        <f>-SUMPRODUCT(BH10:BH19,$B$10:$B$19)/4</f>
        <v>-17.381374999999998</v>
      </c>
      <c r="BI40" s="1203">
        <f>-SUMPRODUCT(BI10:BI19,$B$10:$B$19)/4</f>
        <v>-17.361625</v>
      </c>
      <c r="BJ40" s="1203">
        <f>-SUMPRODUCT(BJ10:BJ19,$B$10:$B$19)/4</f>
        <v>-19.955937499999997</v>
      </c>
      <c r="BK40" s="1204">
        <f>SUM(BG40:BJ40)</f>
        <v>-72.086187499999994</v>
      </c>
      <c r="BL40" s="1201"/>
      <c r="BM40" s="1202">
        <f>-SUMPRODUCT(BM10:BM19,$B$10:$B$19)/4</f>
        <v>-18.225249999999999</v>
      </c>
      <c r="BN40" s="1203">
        <f>-SUMPRODUCT(BN10:BN19,$B$10:$B$19)/4</f>
        <v>-18.222437499999998</v>
      </c>
      <c r="BO40" s="1203">
        <f>-SUMPRODUCT(BO10:BO19,$B$10:$B$19)/4</f>
        <v>-18.209937500000002</v>
      </c>
      <c r="BP40" s="1203">
        <f>-SUMPRODUCT(BP10:BP19,$B$10:$B$19)/4</f>
        <v>-18.209937500000002</v>
      </c>
      <c r="BQ40" s="1204">
        <f>SUM(BM40:BP40)</f>
        <v>-72.867562500000005</v>
      </c>
      <c r="BR40" s="1201"/>
      <c r="BS40" s="1202">
        <f>-SUMPRODUCT(BS10:BS19,$B$10:$B$19)/4</f>
        <v>-18.197437499999999</v>
      </c>
      <c r="BT40" s="1203">
        <f>-SUMPRODUCT(BT10:BT19,$B$10:$B$19)/4</f>
        <v>-18.197437499999999</v>
      </c>
      <c r="BU40" s="1203">
        <f>-SUMPRODUCT(BU10:BU19,$B$10:$B$19)/4</f>
        <v>-18.197437499999999</v>
      </c>
      <c r="BV40" s="1203">
        <f>-SUMPRODUCT(BV10:BV19,$B$10:$B$19)/4</f>
        <v>-18.197437499999999</v>
      </c>
      <c r="BW40" s="1204">
        <f>SUM(BS40:BV40)</f>
        <v>-72.789749999999998</v>
      </c>
      <c r="BX40" s="1201"/>
      <c r="BY40" s="1202">
        <f>-SUMPRODUCT(BY10:BY19,$B$10:$B$19)/4</f>
        <v>-18.197437499999999</v>
      </c>
      <c r="BZ40" s="1203">
        <f>-SUMPRODUCT(BZ10:BZ19,$B$10:$B$19)/4</f>
        <v>-18.197437499999999</v>
      </c>
      <c r="CA40" s="1203">
        <f>-SUMPRODUCT(CA10:CA19,$B$10:$B$19)/4</f>
        <v>-18.197437499999999</v>
      </c>
      <c r="CB40" s="1203">
        <f>-SUMPRODUCT(CB10:CB19,$B$10:$B$19)/4</f>
        <v>-18.197437499999999</v>
      </c>
      <c r="CC40" s="1204">
        <f>SUM(BY40:CB40)</f>
        <v>-72.789749999999998</v>
      </c>
      <c r="CD40" s="1027"/>
      <c r="CE40" s="1202">
        <f>-SUMPRODUCT(CE10:CE19,$B$10:$B$19)/4</f>
        <v>-11.834937500000001</v>
      </c>
      <c r="CF40" s="1203">
        <f>-SUMPRODUCT(CF10:CF19,$B$10:$B$19)/4</f>
        <v>-11.834937500000001</v>
      </c>
      <c r="CG40" s="1203">
        <f>-SUMPRODUCT(CG10:CG19,$B$10:$B$19)/4</f>
        <v>-11.834937500000001</v>
      </c>
      <c r="CH40" s="1203">
        <f>-SUMPRODUCT(CH10:CH19,$B$10:$B$19)/4</f>
        <v>-11.834937500000001</v>
      </c>
      <c r="CI40" s="1204">
        <f>SUM(CE40:CH40)</f>
        <v>-47.339750000000002</v>
      </c>
      <c r="CK40" s="1202">
        <f>-SUMPRODUCT(CK10:CK19,$B$10:$B$19)/4</f>
        <v>-8.6509374999999995</v>
      </c>
      <c r="CL40" s="1203">
        <f>-SUMPRODUCT(CL10:CL19,$B$10:$B$19)/4</f>
        <v>-8.6509374999999995</v>
      </c>
      <c r="CM40" s="1203">
        <f>-SUMPRODUCT(CM10:CM19,$B$10:$B$19)/4</f>
        <v>-8.6509374999999995</v>
      </c>
      <c r="CN40" s="1203">
        <f>-SUMPRODUCT(CN10:CN19,$B$10:$B$19)/4</f>
        <v>-8.6509374999999995</v>
      </c>
      <c r="CO40" s="1204">
        <f>SUM(CK40:CN40)</f>
        <v>-34.603749999999998</v>
      </c>
    </row>
    <row r="41" spans="1:93" ht="12.75" customHeight="1">
      <c r="A41" s="1199" t="s">
        <v>494</v>
      </c>
      <c r="B41" s="1200"/>
      <c r="C41" s="1200"/>
      <c r="D41" s="1203"/>
      <c r="E41" s="1205"/>
      <c r="F41" s="1206"/>
      <c r="G41" s="1206"/>
      <c r="H41" s="1206"/>
      <c r="I41" s="1768"/>
      <c r="J41" s="1203"/>
      <c r="K41" s="1205"/>
      <c r="L41" s="1206"/>
      <c r="M41" s="1206"/>
      <c r="N41" s="1206"/>
      <c r="O41" s="1768"/>
      <c r="P41" s="1203"/>
      <c r="Q41" s="1205">
        <f>IS!O21</f>
        <v>-23</v>
      </c>
      <c r="R41" s="1206">
        <f>IS!P21</f>
        <v>-23</v>
      </c>
      <c r="S41" s="1206">
        <f>IS!Q21</f>
        <v>-21</v>
      </c>
      <c r="T41" s="1780">
        <f>IS!R21</f>
        <v>-21</v>
      </c>
      <c r="U41" s="1768">
        <f>IS!S21</f>
        <v>-88</v>
      </c>
      <c r="V41" s="1768"/>
      <c r="W41" s="1206">
        <f>IS!U21</f>
        <v>-23</v>
      </c>
      <c r="X41" s="1206">
        <f>IS!V21</f>
        <v>-22</v>
      </c>
      <c r="Y41" s="1206">
        <f>IS!W21</f>
        <v>-24</v>
      </c>
      <c r="Z41" s="1780">
        <f>IS!X21</f>
        <v>-27</v>
      </c>
      <c r="AA41" s="1768">
        <f>IS!Y21</f>
        <v>-96</v>
      </c>
      <c r="AB41" s="1768"/>
      <c r="AC41" s="1206">
        <f>IS!AA21</f>
        <v>-23</v>
      </c>
      <c r="AD41" s="1206">
        <f>IS!AB21</f>
        <v>-20</v>
      </c>
      <c r="AE41" s="1206">
        <f>IS!AC21</f>
        <v>-20</v>
      </c>
      <c r="AF41" s="1206">
        <f>IS!AD21</f>
        <v>-23</v>
      </c>
      <c r="AG41" s="1207">
        <f>IS!AE21</f>
        <v>-86</v>
      </c>
      <c r="AH41" s="1206"/>
      <c r="AI41" s="1205">
        <f>IS!AG21</f>
        <v>-29</v>
      </c>
      <c r="AJ41" s="1206">
        <f>IS!AH21</f>
        <v>-25</v>
      </c>
      <c r="AK41" s="1206">
        <f>IS!AI21</f>
        <v>-21</v>
      </c>
      <c r="AL41" s="1206">
        <f>IS!AJ21</f>
        <v>-26</v>
      </c>
      <c r="AM41" s="1207">
        <f>IS!AK21</f>
        <v>-101</v>
      </c>
      <c r="AN41" s="1203"/>
      <c r="AO41" s="1205">
        <f>IS!AM21</f>
        <v>-25</v>
      </c>
      <c r="AP41" s="1206">
        <f>IS!AN21</f>
        <v>-25</v>
      </c>
      <c r="AQ41" s="1206">
        <f>IS!AO21</f>
        <v>-27</v>
      </c>
      <c r="AR41" s="1206">
        <f>IS!AP21</f>
        <v>-30</v>
      </c>
      <c r="AS41" s="1207">
        <f>IS!AQ21</f>
        <v>-107</v>
      </c>
      <c r="AT41" s="1203"/>
      <c r="AU41" s="1205">
        <f>IS!AS21</f>
        <v>-29</v>
      </c>
      <c r="AV41" s="1206">
        <f>IS!AT21</f>
        <v>-30</v>
      </c>
      <c r="AW41" s="1206">
        <f>IS!AU21</f>
        <v>-28</v>
      </c>
      <c r="AX41" s="1206">
        <f>IS!AV21</f>
        <v>-26</v>
      </c>
      <c r="AY41" s="1207">
        <f>IS!AW21</f>
        <v>-113</v>
      </c>
      <c r="AZ41" s="1203"/>
      <c r="BA41" s="1205">
        <f>IS!AY21</f>
        <v>-16</v>
      </c>
      <c r="BB41" s="1206">
        <f>IS!AZ21</f>
        <v>-17</v>
      </c>
      <c r="BC41" s="1206">
        <f>IS!BA21</f>
        <v>-17</v>
      </c>
      <c r="BD41" s="1206">
        <f>IS!BB21</f>
        <v>-16</v>
      </c>
      <c r="BE41" s="1207">
        <f>IS!BC21</f>
        <v>-66</v>
      </c>
      <c r="BF41" s="1203"/>
      <c r="BG41" s="1205">
        <f>IS!BE21</f>
        <v>-18</v>
      </c>
      <c r="BH41" s="1206">
        <f>IS!BF21</f>
        <v>-18</v>
      </c>
      <c r="BI41" s="1206">
        <f>IS!BG21</f>
        <v>-17</v>
      </c>
      <c r="BJ41" s="1206">
        <f>IS!BH21</f>
        <v>-19</v>
      </c>
      <c r="BK41" s="1207">
        <f>IS!BI21</f>
        <v>-72</v>
      </c>
      <c r="BL41" s="1203"/>
      <c r="BM41" s="1205">
        <f>IS!BK21</f>
        <v>-20</v>
      </c>
      <c r="BN41" s="1206">
        <f>IS!BL21</f>
        <v>-20</v>
      </c>
      <c r="BO41" s="1206">
        <f>IS!BM21</f>
        <v>-19</v>
      </c>
      <c r="BP41" s="1206">
        <f>IS!BN21</f>
        <v>-20</v>
      </c>
      <c r="BQ41" s="1207">
        <f>IS!BO21</f>
        <v>-79</v>
      </c>
      <c r="BR41" s="1203"/>
      <c r="BS41" s="1205">
        <f>IS!BQ21</f>
        <v>-20</v>
      </c>
      <c r="BT41" s="1203"/>
      <c r="BU41" s="1203"/>
      <c r="BV41" s="1203"/>
      <c r="BW41" s="1204"/>
      <c r="BX41" s="1203"/>
      <c r="BY41" s="1202"/>
      <c r="BZ41" s="1203"/>
      <c r="CA41" s="1203"/>
      <c r="CB41" s="1203"/>
      <c r="CC41" s="1204"/>
      <c r="CD41" s="1027"/>
      <c r="CE41" s="1202"/>
      <c r="CF41" s="1203"/>
      <c r="CG41" s="1203"/>
      <c r="CH41" s="1203"/>
      <c r="CI41" s="1204"/>
      <c r="CK41" s="1202"/>
      <c r="CL41" s="1203"/>
      <c r="CM41" s="1203"/>
      <c r="CN41" s="1203"/>
      <c r="CO41" s="1204"/>
    </row>
    <row r="42" spans="1:93" ht="12.75" customHeight="1">
      <c r="A42" s="958"/>
      <c r="B42" s="958"/>
      <c r="C42" s="958"/>
      <c r="D42" s="958"/>
      <c r="E42" s="1215"/>
      <c r="F42" s="958"/>
      <c r="G42" s="958"/>
      <c r="H42" s="958"/>
      <c r="I42" s="1232"/>
      <c r="J42" s="958"/>
      <c r="K42" s="1215"/>
      <c r="L42" s="958"/>
      <c r="M42" s="958"/>
      <c r="N42" s="958"/>
      <c r="O42" s="1232"/>
      <c r="P42" s="1771"/>
      <c r="Q42" s="958"/>
      <c r="R42" s="958"/>
      <c r="S42" s="958"/>
      <c r="T42" s="1245"/>
      <c r="U42" s="1232"/>
      <c r="V42" s="1232"/>
      <c r="W42" s="958"/>
      <c r="X42" s="958"/>
      <c r="Y42" s="958"/>
      <c r="Z42" s="1245"/>
      <c r="AA42" s="1232"/>
      <c r="AB42" s="1232"/>
      <c r="AC42" s="958"/>
      <c r="AD42" s="958"/>
      <c r="AE42" s="958"/>
      <c r="AF42" s="1240"/>
      <c r="AG42" s="1771"/>
      <c r="AH42" s="1771"/>
      <c r="AI42" s="958"/>
      <c r="AJ42" s="958"/>
      <c r="AK42" s="958"/>
      <c r="AL42" s="1240"/>
      <c r="AM42" s="1771"/>
      <c r="AN42" s="1771"/>
      <c r="AO42" s="958"/>
      <c r="AP42" s="958"/>
      <c r="AQ42" s="958"/>
      <c r="AR42" s="1240"/>
      <c r="AS42" s="1771"/>
      <c r="AT42" s="1771"/>
      <c r="AU42" s="958"/>
      <c r="AV42" s="958"/>
      <c r="AW42" s="958"/>
      <c r="AX42" s="1240"/>
      <c r="AY42" s="1771"/>
      <c r="AZ42" s="1771"/>
      <c r="BA42" s="958"/>
      <c r="BB42" s="958"/>
      <c r="BC42" s="958"/>
      <c r="BD42" s="1240"/>
      <c r="BE42" s="1771"/>
      <c r="BF42" s="1771"/>
      <c r="BG42" s="958"/>
      <c r="BH42" s="958"/>
      <c r="BI42" s="958"/>
      <c r="BJ42" s="958"/>
      <c r="BK42" s="1771"/>
      <c r="BL42" s="1771"/>
      <c r="BM42" s="958"/>
      <c r="BN42" s="958"/>
      <c r="BO42" s="958"/>
      <c r="BP42" s="958"/>
      <c r="BQ42" s="1771"/>
      <c r="BR42" s="1771"/>
      <c r="BS42" s="958"/>
      <c r="BT42" s="958"/>
      <c r="BU42" s="958"/>
      <c r="BV42" s="1240"/>
      <c r="BW42" s="1771"/>
      <c r="BX42" s="1771"/>
      <c r="BY42" s="958"/>
      <c r="BZ42" s="958"/>
      <c r="CA42" s="958"/>
      <c r="CB42" s="1240"/>
      <c r="CC42" s="1771"/>
      <c r="CD42" s="1131"/>
      <c r="CE42" s="958"/>
      <c r="CF42" s="958"/>
      <c r="CG42" s="958"/>
      <c r="CH42" s="1240"/>
      <c r="CI42" s="1771"/>
      <c r="CK42" s="958"/>
      <c r="CL42" s="958"/>
      <c r="CM42" s="958"/>
      <c r="CN42" s="1240"/>
      <c r="CO42" s="1771"/>
    </row>
    <row r="43" spans="1:93" ht="12.75" customHeight="1">
      <c r="A43" s="1208" t="s">
        <v>495</v>
      </c>
      <c r="B43" s="1209"/>
      <c r="C43" s="1209"/>
      <c r="D43" s="1209"/>
      <c r="E43" s="1210"/>
      <c r="F43" s="1211"/>
      <c r="G43" s="1211"/>
      <c r="H43" s="1211"/>
      <c r="I43" s="1213"/>
      <c r="J43" s="1209"/>
      <c r="K43" s="1210"/>
      <c r="L43" s="1211"/>
      <c r="M43" s="1211"/>
      <c r="N43" s="1211"/>
      <c r="O43" s="1213"/>
      <c r="P43" s="1209"/>
      <c r="Q43" s="1763">
        <v>1429</v>
      </c>
      <c r="R43" s="1211">
        <f>BS!O9+BS!O10</f>
        <v>1380</v>
      </c>
      <c r="S43" s="1211">
        <f>BS!P9+BS!P10</f>
        <v>1412</v>
      </c>
      <c r="T43" s="1212">
        <f>BS!Q9+BS!Q10</f>
        <v>1499</v>
      </c>
      <c r="U43" s="1213">
        <f>Q43</f>
        <v>1429</v>
      </c>
      <c r="V43" s="1783"/>
      <c r="W43" s="1211">
        <f>BS!R9+BS!R10</f>
        <v>2493</v>
      </c>
      <c r="X43" s="1211">
        <f>BS!U9+BS!U10</f>
        <v>4046</v>
      </c>
      <c r="Y43" s="1211">
        <f>BS!V9+BS!V10</f>
        <v>4209</v>
      </c>
      <c r="Z43" s="1212">
        <f>BS!W9+BS!W10</f>
        <v>3868</v>
      </c>
      <c r="AA43" s="1213">
        <f>BS!S9+BS!S10</f>
        <v>2493</v>
      </c>
      <c r="AB43" s="1783"/>
      <c r="AC43" s="1211">
        <f>BS!X9+BS!X10</f>
        <v>4199</v>
      </c>
      <c r="AD43" s="1211">
        <f>BS!AA9+BS!AA10</f>
        <v>2655</v>
      </c>
      <c r="AE43" s="1211">
        <f>BS!AB9+BS!AB10</f>
        <v>2975</v>
      </c>
      <c r="AF43" s="1212">
        <f>BS!AC9+BS!AC10</f>
        <v>3101</v>
      </c>
      <c r="AG43" s="1213">
        <f>BS!Y9+BS!Y10</f>
        <v>4199</v>
      </c>
      <c r="AH43" s="1214"/>
      <c r="AI43" s="1210">
        <f>BS!AD9+BS!AD10</f>
        <v>3527</v>
      </c>
      <c r="AJ43" s="1211">
        <f>BS!AG9+BS!AG10</f>
        <v>3662</v>
      </c>
      <c r="AK43" s="1211">
        <f>BS!AH9+BS!AH10</f>
        <v>3896</v>
      </c>
      <c r="AL43" s="1212">
        <f>BS!AI9+BS!AI10</f>
        <v>1923</v>
      </c>
      <c r="AM43" s="1213">
        <f>BS!AE9+BS!AE10</f>
        <v>3527</v>
      </c>
      <c r="AN43" s="1214"/>
      <c r="AO43" s="1210">
        <f>BS!AJ9+BS!AJ10</f>
        <v>2351</v>
      </c>
      <c r="AP43" s="1211">
        <f>BS!AM9+BS!AM10</f>
        <v>2450</v>
      </c>
      <c r="AQ43" s="1211">
        <f>BS!AN9+BS!AN10</f>
        <v>2519</v>
      </c>
      <c r="AR43" s="1212">
        <f>BS!AO9+BS!AO10</f>
        <v>2330</v>
      </c>
      <c r="AS43" s="1213">
        <f>BS!AK9+BS!AK10</f>
        <v>2351</v>
      </c>
      <c r="AT43" s="1209"/>
      <c r="AU43" s="1210">
        <f>BS!AP9+BS!AP10</f>
        <v>2675</v>
      </c>
      <c r="AV43" s="1211">
        <f>BS!AS9+BS!AS10</f>
        <v>2742</v>
      </c>
      <c r="AW43" s="1211">
        <f>BS!AT9+BS!AT10</f>
        <v>2950</v>
      </c>
      <c r="AX43" s="1212">
        <f>BS!AU9+BS!AU10</f>
        <v>2391</v>
      </c>
      <c r="AY43" s="1213">
        <f>BS!AQ9+BS!AQ10</f>
        <v>2675</v>
      </c>
      <c r="AZ43" s="1209"/>
      <c r="BA43" s="1210">
        <f>BS!AV9+BS!AV10</f>
        <v>2218</v>
      </c>
      <c r="BB43" s="1211">
        <f>BS!AY9+BS!AY10</f>
        <v>2118</v>
      </c>
      <c r="BC43" s="1211">
        <f>BS!AZ9+BS!AZ10</f>
        <v>2197</v>
      </c>
      <c r="BD43" s="1212">
        <f>BS!BA9+BS!BA10</f>
        <v>2075</v>
      </c>
      <c r="BE43" s="1213">
        <f>BS!AW9+BS!AW10</f>
        <v>2218</v>
      </c>
      <c r="BF43" s="1209"/>
      <c r="BG43" s="1210">
        <f>BS!BB9+BS!BB10</f>
        <v>2245</v>
      </c>
      <c r="BH43" s="1211">
        <f>BS!BE9+BS!BE10</f>
        <v>1931</v>
      </c>
      <c r="BI43" s="1211">
        <f>BS!BF9+BS!BF10</f>
        <v>2139</v>
      </c>
      <c r="BJ43" s="1211">
        <f>BS!BG9+BS!BG10</f>
        <v>2199</v>
      </c>
      <c r="BK43" s="1213">
        <f>BS!BC9+BS!BC10</f>
        <v>2245</v>
      </c>
      <c r="BL43" s="1209"/>
      <c r="BM43" s="1210">
        <f>BS!BH9+BS!BH10</f>
        <v>2289</v>
      </c>
      <c r="BN43" s="1211">
        <f>BS!BK9+BS!BK10</f>
        <v>2241</v>
      </c>
      <c r="BO43" s="1211">
        <f>BS!BL9+BS!BL10</f>
        <v>2389</v>
      </c>
      <c r="BP43" s="1211">
        <f>BS!BM9+BS!BM10</f>
        <v>2563</v>
      </c>
      <c r="BQ43" s="1213">
        <f>BS!BI9+BS!BI10</f>
        <v>2289</v>
      </c>
      <c r="BR43" s="1209"/>
      <c r="BS43" s="1210">
        <f>BS!BN9+BS!BN10</f>
        <v>2678</v>
      </c>
      <c r="BT43" s="1211">
        <f>BS!BQ9+BS!BQ10</f>
        <v>2887</v>
      </c>
      <c r="BU43" s="1211">
        <f>BS!BR9+BS!BR10</f>
        <v>2932.338783510741</v>
      </c>
      <c r="BV43" s="1212">
        <f>BS!BS9+BS!BS10</f>
        <v>3002.0140035582676</v>
      </c>
      <c r="BW43" s="1213">
        <f>BS!BO9+BS!BO10</f>
        <v>2678</v>
      </c>
      <c r="BX43" s="1209"/>
      <c r="BY43" s="1210">
        <f>BS!BT9+BS!BT10</f>
        <v>3138.8838002958869</v>
      </c>
      <c r="BZ43" s="1211">
        <f>BS!BW9+BS!BW10</f>
        <v>3156.7233860767842</v>
      </c>
      <c r="CA43" s="1211">
        <f>BS!BX9+BS!BX10</f>
        <v>3245.4556896019385</v>
      </c>
      <c r="CB43" s="1212">
        <f>BS!BY9+BS!BY10</f>
        <v>3358.5384785890251</v>
      </c>
      <c r="CC43" s="1213">
        <f>BS!BU9+BS!BU10</f>
        <v>3138.8838002958869</v>
      </c>
      <c r="CD43" s="1217"/>
      <c r="CE43" s="1210">
        <f>BS!BZ9+BS!BZ10</f>
        <v>3550.7907818206868</v>
      </c>
      <c r="CF43" s="1211">
        <f>BS!CC9+BS!CC10</f>
        <v>3092.8201646124071</v>
      </c>
      <c r="CG43" s="1211">
        <f>BS!CD9+BS!CD10</f>
        <v>3267.2801607217566</v>
      </c>
      <c r="CH43" s="1212">
        <f>BS!CE9+BS!CE10</f>
        <v>3473.2408100149532</v>
      </c>
      <c r="CI43" s="1213">
        <f>BS!CA9+BS!CA10</f>
        <v>3550.7907818206868</v>
      </c>
      <c r="CK43" s="1210">
        <f>BS!CF9+BS!CF10</f>
        <v>3772.5015225231014</v>
      </c>
      <c r="CL43" s="1211">
        <f>BS!CI9+BS!CI10</f>
        <v>3535.4444376782776</v>
      </c>
      <c r="CM43" s="1211">
        <f>BS!CJ9+BS!CJ10</f>
        <v>3666.3970480529265</v>
      </c>
      <c r="CN43" s="1212">
        <f>BS!CK9+BS!CK10</f>
        <v>3827.2388963143726</v>
      </c>
      <c r="CO43" s="1213">
        <f>BS!CG9+BS!CG10</f>
        <v>3772.5015225231014</v>
      </c>
    </row>
    <row r="44" spans="1:93" ht="12.75" customHeight="1">
      <c r="A44" s="1215" t="s">
        <v>77</v>
      </c>
      <c r="B44" s="1131"/>
      <c r="C44" s="1131"/>
      <c r="D44" s="1131"/>
      <c r="E44" s="1216"/>
      <c r="F44" s="1217"/>
      <c r="G44" s="1217"/>
      <c r="H44" s="1217"/>
      <c r="I44" s="1219"/>
      <c r="J44" s="1131"/>
      <c r="K44" s="1216"/>
      <c r="L44" s="1217"/>
      <c r="M44" s="1217"/>
      <c r="N44" s="1217"/>
      <c r="O44" s="1219"/>
      <c r="P44" s="1131"/>
      <c r="Q44" s="1216">
        <f>IS!O20</f>
        <v>14</v>
      </c>
      <c r="R44" s="1217">
        <f>IS!P20</f>
        <v>6</v>
      </c>
      <c r="S44" s="1217">
        <f>IS!Q20</f>
        <v>5</v>
      </c>
      <c r="T44" s="1218">
        <f>IS!R20</f>
        <v>4</v>
      </c>
      <c r="U44" s="1219">
        <f>IS!S20</f>
        <v>29</v>
      </c>
      <c r="V44" s="1232"/>
      <c r="W44" s="1217">
        <f>IS!U20</f>
        <v>3</v>
      </c>
      <c r="X44" s="1217">
        <f>IS!V20</f>
        <v>3</v>
      </c>
      <c r="Y44" s="1217">
        <f>IS!W20</f>
        <v>3</v>
      </c>
      <c r="Z44" s="1218">
        <f>IS!X20</f>
        <v>11</v>
      </c>
      <c r="AA44" s="1219">
        <f>IS!Y20</f>
        <v>20</v>
      </c>
      <c r="AB44" s="1232"/>
      <c r="AC44" s="1217">
        <f>IS!AA20</f>
        <v>4</v>
      </c>
      <c r="AD44" s="1217">
        <f>IS!AB20</f>
        <v>3</v>
      </c>
      <c r="AE44" s="1217">
        <f>IS!AC20</f>
        <v>3</v>
      </c>
      <c r="AF44" s="1218">
        <f>IS!AD20</f>
        <v>4</v>
      </c>
      <c r="AG44" s="1219">
        <f>IS!AE20</f>
        <v>14</v>
      </c>
      <c r="AH44" s="1131"/>
      <c r="AI44" s="1216">
        <f>IS!AG20</f>
        <v>1</v>
      </c>
      <c r="AJ44" s="1217">
        <f>IS!AH20</f>
        <v>2</v>
      </c>
      <c r="AK44" s="1217">
        <f>IS!AI20</f>
        <v>2</v>
      </c>
      <c r="AL44" s="1218">
        <f>IS!AJ20</f>
        <v>2</v>
      </c>
      <c r="AM44" s="1219">
        <f>IS!AK20</f>
        <v>7</v>
      </c>
      <c r="AN44" s="1131"/>
      <c r="AO44" s="1216">
        <f>IS!AM20</f>
        <v>2</v>
      </c>
      <c r="AP44" s="1217">
        <f>IS!AN20</f>
        <v>1</v>
      </c>
      <c r="AQ44" s="1217">
        <f>IS!AO20</f>
        <v>2</v>
      </c>
      <c r="AR44" s="1218">
        <f>IS!AP20</f>
        <v>2</v>
      </c>
      <c r="AS44" s="1219">
        <f>IS!AQ20</f>
        <v>7</v>
      </c>
      <c r="AT44" s="1131"/>
      <c r="AU44" s="1216">
        <f>IS!AS20</f>
        <v>2</v>
      </c>
      <c r="AV44" s="1217">
        <f>IS!AT20</f>
        <v>2</v>
      </c>
      <c r="AW44" s="1217">
        <f>IS!AU20</f>
        <v>3</v>
      </c>
      <c r="AX44" s="1218">
        <f>IS!AV20</f>
        <v>2</v>
      </c>
      <c r="AY44" s="1219">
        <f>IS!AW20</f>
        <v>9</v>
      </c>
      <c r="AZ44" s="1131"/>
      <c r="BA44" s="1216">
        <f>IS!AY20</f>
        <v>2</v>
      </c>
      <c r="BB44" s="1217">
        <f>IS!AZ20</f>
        <v>2</v>
      </c>
      <c r="BC44" s="1217">
        <f>IS!BA20</f>
        <v>2</v>
      </c>
      <c r="BD44" s="1218">
        <f>IS!BB20</f>
        <v>1</v>
      </c>
      <c r="BE44" s="1219">
        <f>IS!BC20</f>
        <v>7</v>
      </c>
      <c r="BF44" s="1131"/>
      <c r="BG44" s="1216">
        <f>IS!BE20</f>
        <v>2</v>
      </c>
      <c r="BH44" s="1217">
        <f>IS!BF20</f>
        <v>3</v>
      </c>
      <c r="BI44" s="1217">
        <f>IS!BG20</f>
        <v>3</v>
      </c>
      <c r="BJ44" s="1217">
        <f>IS!BH20</f>
        <v>3</v>
      </c>
      <c r="BK44" s="1219">
        <f>IS!BI20</f>
        <v>11</v>
      </c>
      <c r="BL44" s="1131"/>
      <c r="BM44" s="1216">
        <f>IS!BK20</f>
        <v>4</v>
      </c>
      <c r="BN44" s="1217">
        <f>IS!BL20</f>
        <v>5</v>
      </c>
      <c r="BO44" s="1217">
        <f>IS!BM20</f>
        <v>6</v>
      </c>
      <c r="BP44" s="1217">
        <f>IS!BN20</f>
        <v>7</v>
      </c>
      <c r="BQ44" s="894">
        <f>SUM(BM44:BP44)</f>
        <v>22</v>
      </c>
      <c r="BR44" s="1131"/>
      <c r="BS44" s="1216">
        <f>IS!BQ20</f>
        <v>9</v>
      </c>
      <c r="BT44" s="984">
        <f>BT43*BT45/4</f>
        <v>10.82625</v>
      </c>
      <c r="BU44" s="984">
        <f>BU43*BU45/4</f>
        <v>10.996270438165279</v>
      </c>
      <c r="BV44" s="984">
        <f>BV43*BV45/4</f>
        <v>11.257552513343503</v>
      </c>
      <c r="BW44" s="894">
        <f>SUM(BS44:BV44)</f>
        <v>42.080072951508782</v>
      </c>
      <c r="BX44" s="1131"/>
      <c r="BY44" s="1017">
        <f>BY43*BY45/4</f>
        <v>11.770814251109575</v>
      </c>
      <c r="BZ44" s="984">
        <f>BZ43*BZ45/4</f>
        <v>11.837712697787941</v>
      </c>
      <c r="CA44" s="984">
        <f>CA43*CA45/4</f>
        <v>12.170458836007269</v>
      </c>
      <c r="CB44" s="984">
        <f>CB43*CB45/4</f>
        <v>12.594519294708844</v>
      </c>
      <c r="CC44" s="894">
        <f>SUM(BY44:CB44)</f>
        <v>48.373505079613629</v>
      </c>
      <c r="CD44" s="984"/>
      <c r="CE44" s="1017">
        <f>CE43*CE45/4</f>
        <v>13.315465431827574</v>
      </c>
      <c r="CF44" s="984">
        <f>CF43*CF45/4</f>
        <v>92.189831829792908</v>
      </c>
      <c r="CG44" s="984">
        <f>CG43*CG45/4</f>
        <v>97.390081713821601</v>
      </c>
      <c r="CH44" s="984">
        <f>CH43*CH45/4</f>
        <v>103.52929337544573</v>
      </c>
      <c r="CI44" s="894">
        <f>SUM(CE44:CH44)</f>
        <v>306.42467235088782</v>
      </c>
      <c r="CK44" s="1017">
        <f>CK43*CK45/4</f>
        <v>112.44956461366938</v>
      </c>
      <c r="CL44" s="984">
        <f>CL43*CL45/4</f>
        <v>13.257916641293541</v>
      </c>
      <c r="CM44" s="984">
        <f>CM43*CM45/4</f>
        <v>13.748988930198474</v>
      </c>
      <c r="CN44" s="984">
        <f>CN43*CN45/4</f>
        <v>14.352145861178897</v>
      </c>
      <c r="CO44" s="894">
        <f>SUM(CK44:CN44)</f>
        <v>153.80861604634026</v>
      </c>
    </row>
    <row r="45" spans="1:93" ht="12.75" customHeight="1">
      <c r="A45" s="1220" t="s">
        <v>496</v>
      </c>
      <c r="B45" s="1221"/>
      <c r="C45" s="1221"/>
      <c r="D45" s="1221"/>
      <c r="E45" s="1222"/>
      <c r="F45" s="1223"/>
      <c r="G45" s="1223"/>
      <c r="H45" s="1244"/>
      <c r="I45" s="1225"/>
      <c r="J45" s="1221"/>
      <c r="K45" s="1222"/>
      <c r="L45" s="1223"/>
      <c r="M45" s="1223"/>
      <c r="N45" s="1244"/>
      <c r="O45" s="1225"/>
      <c r="P45" s="1221"/>
      <c r="Q45" s="1222">
        <f>(Q44*4)/Q43</f>
        <v>3.9188243526941918E-2</v>
      </c>
      <c r="R45" s="1223">
        <f>(R44*4)/R43</f>
        <v>1.7391304347826087E-2</v>
      </c>
      <c r="S45" s="1223">
        <f>(S44*4)/S43</f>
        <v>1.4164305949008499E-2</v>
      </c>
      <c r="T45" s="1224">
        <f>IF(T44&lt;0,"NM",(T44*4)/T43)</f>
        <v>1.067378252168112E-2</v>
      </c>
      <c r="U45" s="1225">
        <f>U44/U43</f>
        <v>2.0293911826452064E-2</v>
      </c>
      <c r="V45" s="911"/>
      <c r="W45" s="356">
        <f>(W44*4)/W43</f>
        <v>4.8134777376654635E-3</v>
      </c>
      <c r="X45" s="1223">
        <f>(X44*4)/X43</f>
        <v>2.9658922392486408E-3</v>
      </c>
      <c r="Y45" s="1223">
        <f>(Y44*4)/Y43</f>
        <v>2.851033499643621E-3</v>
      </c>
      <c r="Z45" s="1224">
        <f>IF(Z44&lt;0,"NM",(Z44*4)/Z43)</f>
        <v>1.1375387797311272E-2</v>
      </c>
      <c r="AA45" s="1225">
        <f>AA44/AA43</f>
        <v>8.0224628961091064E-3</v>
      </c>
      <c r="AB45" s="911"/>
      <c r="AC45" s="356">
        <f>(AC44*4)/AC43</f>
        <v>3.8104310550130982E-3</v>
      </c>
      <c r="AD45" s="1223">
        <f>(AD44*4)/AD43</f>
        <v>4.5197740112994352E-3</v>
      </c>
      <c r="AE45" s="1223">
        <f>(AE44*4)/AE43</f>
        <v>4.0336134453781512E-3</v>
      </c>
      <c r="AF45" s="1224">
        <f>IF(AF44&lt;0,"NM",(AF44*4)/AF43)</f>
        <v>5.1596259271202835E-3</v>
      </c>
      <c r="AG45" s="1225">
        <f>AG44/AG43</f>
        <v>3.334127173136461E-3</v>
      </c>
      <c r="AH45" s="1221"/>
      <c r="AI45" s="1222">
        <f>(AI44*4)/AI43</f>
        <v>1.1341083073433513E-3</v>
      </c>
      <c r="AJ45" s="1223">
        <f>(AJ44*4)/AJ43</f>
        <v>2.1845985800109228E-3</v>
      </c>
      <c r="AK45" s="1223">
        <f>(AK44*4)/AK43</f>
        <v>2.0533880903490761E-3</v>
      </c>
      <c r="AL45" s="1224">
        <f>IF(AL44&lt;0,"NM",(AL44*4)/AL43)</f>
        <v>4.1601664066562667E-3</v>
      </c>
      <c r="AM45" s="1225">
        <f>AM44/AM43</f>
        <v>1.984689537850865E-3</v>
      </c>
      <c r="AN45" s="1221"/>
      <c r="AO45" s="1222">
        <f>(AO44*4)/AO43</f>
        <v>3.4028073160357296E-3</v>
      </c>
      <c r="AP45" s="1226">
        <f>(AP44*4)/AP43</f>
        <v>1.6326530612244899E-3</v>
      </c>
      <c r="AQ45" s="1226">
        <f>(AQ44*4)/AQ43</f>
        <v>3.1758634378721714E-3</v>
      </c>
      <c r="AR45" s="1224">
        <f>IF(AR44&lt;0,"NM",(AR44*4)/AR43)</f>
        <v>3.4334763948497852E-3</v>
      </c>
      <c r="AS45" s="1225">
        <f>AS44/AS43</f>
        <v>2.9774564015312634E-3</v>
      </c>
      <c r="AT45" s="1221"/>
      <c r="AU45" s="1222">
        <f>(AU44*4)/AU43</f>
        <v>2.9906542056074765E-3</v>
      </c>
      <c r="AV45" s="1226">
        <f>(AV44*4)/AV43</f>
        <v>2.9175784099197666E-3</v>
      </c>
      <c r="AW45" s="1226">
        <f>(AW44*4)/AW43</f>
        <v>4.0677966101694916E-3</v>
      </c>
      <c r="AX45" s="1224">
        <f>IF(AX44&lt;0,"NM",(AX44*4)/AX43)</f>
        <v>3.3458803847762441E-3</v>
      </c>
      <c r="AY45" s="1225">
        <f>AY44/AY43</f>
        <v>3.3644859813084112E-3</v>
      </c>
      <c r="AZ45" s="1221"/>
      <c r="BA45" s="1222">
        <f>(BA44*4)/BA43</f>
        <v>3.6068530207394047E-3</v>
      </c>
      <c r="BB45" s="1226">
        <f>(BB44*4)/BB43</f>
        <v>3.7771482530689331E-3</v>
      </c>
      <c r="BC45" s="1226">
        <f>(BC44*4)/BC43</f>
        <v>3.6413290851160674E-3</v>
      </c>
      <c r="BD45" s="1224">
        <f>IF(BD44&lt;0,"NM",(BD44*4)/BD43)</f>
        <v>1.9277108433734939E-3</v>
      </c>
      <c r="BE45" s="1225">
        <f>BE44/BE43</f>
        <v>3.1559963931469793E-3</v>
      </c>
      <c r="BF45" s="1221"/>
      <c r="BG45" s="1222">
        <f>(BG44*4)/BG43</f>
        <v>3.5634743875278397E-3</v>
      </c>
      <c r="BH45" s="1226">
        <f>(BH44*4)/BH43</f>
        <v>6.2143966856551009E-3</v>
      </c>
      <c r="BI45" s="1226">
        <f>(BI44*4)/BI43</f>
        <v>5.6100981767180924E-3</v>
      </c>
      <c r="BJ45" s="1226">
        <f>(BJ44*4)/BJ43</f>
        <v>5.4570259208731242E-3</v>
      </c>
      <c r="BK45" s="1225">
        <f>BK44/BK43</f>
        <v>4.8997772828507794E-3</v>
      </c>
      <c r="BL45" s="1221"/>
      <c r="BM45" s="1222">
        <f>(BM44*4)/BM43</f>
        <v>6.9899519440803845E-3</v>
      </c>
      <c r="BN45" s="1226">
        <f>(BN44*4)/BN43</f>
        <v>8.9245872378402504E-3</v>
      </c>
      <c r="BO45" s="1226">
        <f>(BO44*4)/BO43</f>
        <v>1.0046044370029301E-2</v>
      </c>
      <c r="BP45" s="1226">
        <f>(BP44*4)/BP43</f>
        <v>1.092469761997659E-2</v>
      </c>
      <c r="BQ45" s="1225">
        <f>BQ44/BQ43</f>
        <v>9.6111839231105278E-3</v>
      </c>
      <c r="BR45" s="1221"/>
      <c r="BS45" s="1222">
        <f>(BS44*4)/BS43</f>
        <v>1.344286781179985E-2</v>
      </c>
      <c r="BT45" s="1228">
        <v>1.4999999999999999E-2</v>
      </c>
      <c r="BU45" s="1228">
        <v>1.4999999999999999E-2</v>
      </c>
      <c r="BV45" s="1228">
        <v>1.4999999999999999E-2</v>
      </c>
      <c r="BW45" s="1225">
        <f>BW44/BW43</f>
        <v>1.5713246061056303E-2</v>
      </c>
      <c r="BX45" s="1221"/>
      <c r="BY45" s="1227">
        <v>1.4999999999999999E-2</v>
      </c>
      <c r="BZ45" s="1228">
        <v>1.4999999999999999E-2</v>
      </c>
      <c r="CA45" s="1228">
        <v>1.4999999999999999E-2</v>
      </c>
      <c r="CB45" s="1228">
        <v>1.4999999999999999E-2</v>
      </c>
      <c r="CC45" s="1225">
        <f>CC44/CC43</f>
        <v>1.5411053150503277E-2</v>
      </c>
      <c r="CD45" s="1236"/>
      <c r="CE45" s="1227">
        <v>1.4999999999999999E-2</v>
      </c>
      <c r="CF45" s="1228">
        <v>0.11923076923076924</v>
      </c>
      <c r="CG45" s="1228">
        <v>0.11923076923076924</v>
      </c>
      <c r="CH45" s="1228">
        <v>0.11923076923076924</v>
      </c>
      <c r="CI45" s="1225">
        <f>CI44/CI43</f>
        <v>8.6297585856006678E-2</v>
      </c>
      <c r="CK45" s="1227">
        <v>0.11923076923076924</v>
      </c>
      <c r="CL45" s="1228">
        <v>1.4999999999999999E-2</v>
      </c>
      <c r="CM45" s="1228">
        <v>1.4999999999999999E-2</v>
      </c>
      <c r="CN45" s="1228">
        <v>1.4999999999999999E-2</v>
      </c>
      <c r="CO45" s="1225">
        <f>CO44/CO43</f>
        <v>4.0770988461648366E-2</v>
      </c>
    </row>
    <row r="46" spans="1:93">
      <c r="BJ46" s="2094"/>
    </row>
    <row r="47" spans="1:93" ht="12.75" customHeight="1">
      <c r="BJ47" s="2094"/>
    </row>
    <row r="48" spans="1:93">
      <c r="BA48" s="1821"/>
      <c r="BB48" s="1821"/>
      <c r="BC48" s="1821"/>
      <c r="BD48" s="1821"/>
    </row>
  </sheetData>
  <pageMargins left="0" right="0" top="0" bottom="0" header="0" footer="0"/>
  <pageSetup scale="48" orientation="portrait" r:id="rId1"/>
  <ignoredErrors>
    <ignoredError sqref="B36:BH36 BK36:BL36 BQ36:BR36 BM36:BO38 BT36:CC3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>
      <selection activeCell="B42" sqref="B42"/>
    </sheetView>
  </sheetViews>
  <sheetFormatPr defaultRowHeight="12.75"/>
  <cols>
    <col min="1" max="1" width="29.5703125" style="2495" bestFit="1" customWidth="1"/>
    <col min="2" max="2" width="19.85546875" style="2517" customWidth="1"/>
    <col min="3" max="3" width="12" style="2495" bestFit="1" customWidth="1"/>
    <col min="4" max="256" width="9.140625" style="2495"/>
    <col min="257" max="257" width="29.5703125" style="2495" bestFit="1" customWidth="1"/>
    <col min="258" max="258" width="19.85546875" style="2495" customWidth="1"/>
    <col min="259" max="259" width="12" style="2495" bestFit="1" customWidth="1"/>
    <col min="260" max="512" width="9.140625" style="2495"/>
    <col min="513" max="513" width="29.5703125" style="2495" bestFit="1" customWidth="1"/>
    <col min="514" max="514" width="19.85546875" style="2495" customWidth="1"/>
    <col min="515" max="515" width="12" style="2495" bestFit="1" customWidth="1"/>
    <col min="516" max="768" width="9.140625" style="2495"/>
    <col min="769" max="769" width="29.5703125" style="2495" bestFit="1" customWidth="1"/>
    <col min="770" max="770" width="19.85546875" style="2495" customWidth="1"/>
    <col min="771" max="771" width="12" style="2495" bestFit="1" customWidth="1"/>
    <col min="772" max="1024" width="9.140625" style="2495"/>
    <col min="1025" max="1025" width="29.5703125" style="2495" bestFit="1" customWidth="1"/>
    <col min="1026" max="1026" width="19.85546875" style="2495" customWidth="1"/>
    <col min="1027" max="1027" width="12" style="2495" bestFit="1" customWidth="1"/>
    <col min="1028" max="1280" width="9.140625" style="2495"/>
    <col min="1281" max="1281" width="29.5703125" style="2495" bestFit="1" customWidth="1"/>
    <col min="1282" max="1282" width="19.85546875" style="2495" customWidth="1"/>
    <col min="1283" max="1283" width="12" style="2495" bestFit="1" customWidth="1"/>
    <col min="1284" max="1536" width="9.140625" style="2495"/>
    <col min="1537" max="1537" width="29.5703125" style="2495" bestFit="1" customWidth="1"/>
    <col min="1538" max="1538" width="19.85546875" style="2495" customWidth="1"/>
    <col min="1539" max="1539" width="12" style="2495" bestFit="1" customWidth="1"/>
    <col min="1540" max="1792" width="9.140625" style="2495"/>
    <col min="1793" max="1793" width="29.5703125" style="2495" bestFit="1" customWidth="1"/>
    <col min="1794" max="1794" width="19.85546875" style="2495" customWidth="1"/>
    <col min="1795" max="1795" width="12" style="2495" bestFit="1" customWidth="1"/>
    <col min="1796" max="2048" width="9.140625" style="2495"/>
    <col min="2049" max="2049" width="29.5703125" style="2495" bestFit="1" customWidth="1"/>
    <col min="2050" max="2050" width="19.85546875" style="2495" customWidth="1"/>
    <col min="2051" max="2051" width="12" style="2495" bestFit="1" customWidth="1"/>
    <col min="2052" max="2304" width="9.140625" style="2495"/>
    <col min="2305" max="2305" width="29.5703125" style="2495" bestFit="1" customWidth="1"/>
    <col min="2306" max="2306" width="19.85546875" style="2495" customWidth="1"/>
    <col min="2307" max="2307" width="12" style="2495" bestFit="1" customWidth="1"/>
    <col min="2308" max="2560" width="9.140625" style="2495"/>
    <col min="2561" max="2561" width="29.5703125" style="2495" bestFit="1" customWidth="1"/>
    <col min="2562" max="2562" width="19.85546875" style="2495" customWidth="1"/>
    <col min="2563" max="2563" width="12" style="2495" bestFit="1" customWidth="1"/>
    <col min="2564" max="2816" width="9.140625" style="2495"/>
    <col min="2817" max="2817" width="29.5703125" style="2495" bestFit="1" customWidth="1"/>
    <col min="2818" max="2818" width="19.85546875" style="2495" customWidth="1"/>
    <col min="2819" max="2819" width="12" style="2495" bestFit="1" customWidth="1"/>
    <col min="2820" max="3072" width="9.140625" style="2495"/>
    <col min="3073" max="3073" width="29.5703125" style="2495" bestFit="1" customWidth="1"/>
    <col min="3074" max="3074" width="19.85546875" style="2495" customWidth="1"/>
    <col min="3075" max="3075" width="12" style="2495" bestFit="1" customWidth="1"/>
    <col min="3076" max="3328" width="9.140625" style="2495"/>
    <col min="3329" max="3329" width="29.5703125" style="2495" bestFit="1" customWidth="1"/>
    <col min="3330" max="3330" width="19.85546875" style="2495" customWidth="1"/>
    <col min="3331" max="3331" width="12" style="2495" bestFit="1" customWidth="1"/>
    <col min="3332" max="3584" width="9.140625" style="2495"/>
    <col min="3585" max="3585" width="29.5703125" style="2495" bestFit="1" customWidth="1"/>
    <col min="3586" max="3586" width="19.85546875" style="2495" customWidth="1"/>
    <col min="3587" max="3587" width="12" style="2495" bestFit="1" customWidth="1"/>
    <col min="3588" max="3840" width="9.140625" style="2495"/>
    <col min="3841" max="3841" width="29.5703125" style="2495" bestFit="1" customWidth="1"/>
    <col min="3842" max="3842" width="19.85546875" style="2495" customWidth="1"/>
    <col min="3843" max="3843" width="12" style="2495" bestFit="1" customWidth="1"/>
    <col min="3844" max="4096" width="9.140625" style="2495"/>
    <col min="4097" max="4097" width="29.5703125" style="2495" bestFit="1" customWidth="1"/>
    <col min="4098" max="4098" width="19.85546875" style="2495" customWidth="1"/>
    <col min="4099" max="4099" width="12" style="2495" bestFit="1" customWidth="1"/>
    <col min="4100" max="4352" width="9.140625" style="2495"/>
    <col min="4353" max="4353" width="29.5703125" style="2495" bestFit="1" customWidth="1"/>
    <col min="4354" max="4354" width="19.85546875" style="2495" customWidth="1"/>
    <col min="4355" max="4355" width="12" style="2495" bestFit="1" customWidth="1"/>
    <col min="4356" max="4608" width="9.140625" style="2495"/>
    <col min="4609" max="4609" width="29.5703125" style="2495" bestFit="1" customWidth="1"/>
    <col min="4610" max="4610" width="19.85546875" style="2495" customWidth="1"/>
    <col min="4611" max="4611" width="12" style="2495" bestFit="1" customWidth="1"/>
    <col min="4612" max="4864" width="9.140625" style="2495"/>
    <col min="4865" max="4865" width="29.5703125" style="2495" bestFit="1" customWidth="1"/>
    <col min="4866" max="4866" width="19.85546875" style="2495" customWidth="1"/>
    <col min="4867" max="4867" width="12" style="2495" bestFit="1" customWidth="1"/>
    <col min="4868" max="5120" width="9.140625" style="2495"/>
    <col min="5121" max="5121" width="29.5703125" style="2495" bestFit="1" customWidth="1"/>
    <col min="5122" max="5122" width="19.85546875" style="2495" customWidth="1"/>
    <col min="5123" max="5123" width="12" style="2495" bestFit="1" customWidth="1"/>
    <col min="5124" max="5376" width="9.140625" style="2495"/>
    <col min="5377" max="5377" width="29.5703125" style="2495" bestFit="1" customWidth="1"/>
    <col min="5378" max="5378" width="19.85546875" style="2495" customWidth="1"/>
    <col min="5379" max="5379" width="12" style="2495" bestFit="1" customWidth="1"/>
    <col min="5380" max="5632" width="9.140625" style="2495"/>
    <col min="5633" max="5633" width="29.5703125" style="2495" bestFit="1" customWidth="1"/>
    <col min="5634" max="5634" width="19.85546875" style="2495" customWidth="1"/>
    <col min="5635" max="5635" width="12" style="2495" bestFit="1" customWidth="1"/>
    <col min="5636" max="5888" width="9.140625" style="2495"/>
    <col min="5889" max="5889" width="29.5703125" style="2495" bestFit="1" customWidth="1"/>
    <col min="5890" max="5890" width="19.85546875" style="2495" customWidth="1"/>
    <col min="5891" max="5891" width="12" style="2495" bestFit="1" customWidth="1"/>
    <col min="5892" max="6144" width="9.140625" style="2495"/>
    <col min="6145" max="6145" width="29.5703125" style="2495" bestFit="1" customWidth="1"/>
    <col min="6146" max="6146" width="19.85546875" style="2495" customWidth="1"/>
    <col min="6147" max="6147" width="12" style="2495" bestFit="1" customWidth="1"/>
    <col min="6148" max="6400" width="9.140625" style="2495"/>
    <col min="6401" max="6401" width="29.5703125" style="2495" bestFit="1" customWidth="1"/>
    <col min="6402" max="6402" width="19.85546875" style="2495" customWidth="1"/>
    <col min="6403" max="6403" width="12" style="2495" bestFit="1" customWidth="1"/>
    <col min="6404" max="6656" width="9.140625" style="2495"/>
    <col min="6657" max="6657" width="29.5703125" style="2495" bestFit="1" customWidth="1"/>
    <col min="6658" max="6658" width="19.85546875" style="2495" customWidth="1"/>
    <col min="6659" max="6659" width="12" style="2495" bestFit="1" customWidth="1"/>
    <col min="6660" max="6912" width="9.140625" style="2495"/>
    <col min="6913" max="6913" width="29.5703125" style="2495" bestFit="1" customWidth="1"/>
    <col min="6914" max="6914" width="19.85546875" style="2495" customWidth="1"/>
    <col min="6915" max="6915" width="12" style="2495" bestFit="1" customWidth="1"/>
    <col min="6916" max="7168" width="9.140625" style="2495"/>
    <col min="7169" max="7169" width="29.5703125" style="2495" bestFit="1" customWidth="1"/>
    <col min="7170" max="7170" width="19.85546875" style="2495" customWidth="1"/>
    <col min="7171" max="7171" width="12" style="2495" bestFit="1" customWidth="1"/>
    <col min="7172" max="7424" width="9.140625" style="2495"/>
    <col min="7425" max="7425" width="29.5703125" style="2495" bestFit="1" customWidth="1"/>
    <col min="7426" max="7426" width="19.85546875" style="2495" customWidth="1"/>
    <col min="7427" max="7427" width="12" style="2495" bestFit="1" customWidth="1"/>
    <col min="7428" max="7680" width="9.140625" style="2495"/>
    <col min="7681" max="7681" width="29.5703125" style="2495" bestFit="1" customWidth="1"/>
    <col min="7682" max="7682" width="19.85546875" style="2495" customWidth="1"/>
    <col min="7683" max="7683" width="12" style="2495" bestFit="1" customWidth="1"/>
    <col min="7684" max="7936" width="9.140625" style="2495"/>
    <col min="7937" max="7937" width="29.5703125" style="2495" bestFit="1" customWidth="1"/>
    <col min="7938" max="7938" width="19.85546875" style="2495" customWidth="1"/>
    <col min="7939" max="7939" width="12" style="2495" bestFit="1" customWidth="1"/>
    <col min="7940" max="8192" width="9.140625" style="2495"/>
    <col min="8193" max="8193" width="29.5703125" style="2495" bestFit="1" customWidth="1"/>
    <col min="8194" max="8194" width="19.85546875" style="2495" customWidth="1"/>
    <col min="8195" max="8195" width="12" style="2495" bestFit="1" customWidth="1"/>
    <col min="8196" max="8448" width="9.140625" style="2495"/>
    <col min="8449" max="8449" width="29.5703125" style="2495" bestFit="1" customWidth="1"/>
    <col min="8450" max="8450" width="19.85546875" style="2495" customWidth="1"/>
    <col min="8451" max="8451" width="12" style="2495" bestFit="1" customWidth="1"/>
    <col min="8452" max="8704" width="9.140625" style="2495"/>
    <col min="8705" max="8705" width="29.5703125" style="2495" bestFit="1" customWidth="1"/>
    <col min="8706" max="8706" width="19.85546875" style="2495" customWidth="1"/>
    <col min="8707" max="8707" width="12" style="2495" bestFit="1" customWidth="1"/>
    <col min="8708" max="8960" width="9.140625" style="2495"/>
    <col min="8961" max="8961" width="29.5703125" style="2495" bestFit="1" customWidth="1"/>
    <col min="8962" max="8962" width="19.85546875" style="2495" customWidth="1"/>
    <col min="8963" max="8963" width="12" style="2495" bestFit="1" customWidth="1"/>
    <col min="8964" max="9216" width="9.140625" style="2495"/>
    <col min="9217" max="9217" width="29.5703125" style="2495" bestFit="1" customWidth="1"/>
    <col min="9218" max="9218" width="19.85546875" style="2495" customWidth="1"/>
    <col min="9219" max="9219" width="12" style="2495" bestFit="1" customWidth="1"/>
    <col min="9220" max="9472" width="9.140625" style="2495"/>
    <col min="9473" max="9473" width="29.5703125" style="2495" bestFit="1" customWidth="1"/>
    <col min="9474" max="9474" width="19.85546875" style="2495" customWidth="1"/>
    <col min="9475" max="9475" width="12" style="2495" bestFit="1" customWidth="1"/>
    <col min="9476" max="9728" width="9.140625" style="2495"/>
    <col min="9729" max="9729" width="29.5703125" style="2495" bestFit="1" customWidth="1"/>
    <col min="9730" max="9730" width="19.85546875" style="2495" customWidth="1"/>
    <col min="9731" max="9731" width="12" style="2495" bestFit="1" customWidth="1"/>
    <col min="9732" max="9984" width="9.140625" style="2495"/>
    <col min="9985" max="9985" width="29.5703125" style="2495" bestFit="1" customWidth="1"/>
    <col min="9986" max="9986" width="19.85546875" style="2495" customWidth="1"/>
    <col min="9987" max="9987" width="12" style="2495" bestFit="1" customWidth="1"/>
    <col min="9988" max="10240" width="9.140625" style="2495"/>
    <col min="10241" max="10241" width="29.5703125" style="2495" bestFit="1" customWidth="1"/>
    <col min="10242" max="10242" width="19.85546875" style="2495" customWidth="1"/>
    <col min="10243" max="10243" width="12" style="2495" bestFit="1" customWidth="1"/>
    <col min="10244" max="10496" width="9.140625" style="2495"/>
    <col min="10497" max="10497" width="29.5703125" style="2495" bestFit="1" customWidth="1"/>
    <col min="10498" max="10498" width="19.85546875" style="2495" customWidth="1"/>
    <col min="10499" max="10499" width="12" style="2495" bestFit="1" customWidth="1"/>
    <col min="10500" max="10752" width="9.140625" style="2495"/>
    <col min="10753" max="10753" width="29.5703125" style="2495" bestFit="1" customWidth="1"/>
    <col min="10754" max="10754" width="19.85546875" style="2495" customWidth="1"/>
    <col min="10755" max="10755" width="12" style="2495" bestFit="1" customWidth="1"/>
    <col min="10756" max="11008" width="9.140625" style="2495"/>
    <col min="11009" max="11009" width="29.5703125" style="2495" bestFit="1" customWidth="1"/>
    <col min="11010" max="11010" width="19.85546875" style="2495" customWidth="1"/>
    <col min="11011" max="11011" width="12" style="2495" bestFit="1" customWidth="1"/>
    <col min="11012" max="11264" width="9.140625" style="2495"/>
    <col min="11265" max="11265" width="29.5703125" style="2495" bestFit="1" customWidth="1"/>
    <col min="11266" max="11266" width="19.85546875" style="2495" customWidth="1"/>
    <col min="11267" max="11267" width="12" style="2495" bestFit="1" customWidth="1"/>
    <col min="11268" max="11520" width="9.140625" style="2495"/>
    <col min="11521" max="11521" width="29.5703125" style="2495" bestFit="1" customWidth="1"/>
    <col min="11522" max="11522" width="19.85546875" style="2495" customWidth="1"/>
    <col min="11523" max="11523" width="12" style="2495" bestFit="1" customWidth="1"/>
    <col min="11524" max="11776" width="9.140625" style="2495"/>
    <col min="11777" max="11777" width="29.5703125" style="2495" bestFit="1" customWidth="1"/>
    <col min="11778" max="11778" width="19.85546875" style="2495" customWidth="1"/>
    <col min="11779" max="11779" width="12" style="2495" bestFit="1" customWidth="1"/>
    <col min="11780" max="12032" width="9.140625" style="2495"/>
    <col min="12033" max="12033" width="29.5703125" style="2495" bestFit="1" customWidth="1"/>
    <col min="12034" max="12034" width="19.85546875" style="2495" customWidth="1"/>
    <col min="12035" max="12035" width="12" style="2495" bestFit="1" customWidth="1"/>
    <col min="12036" max="12288" width="9.140625" style="2495"/>
    <col min="12289" max="12289" width="29.5703125" style="2495" bestFit="1" customWidth="1"/>
    <col min="12290" max="12290" width="19.85546875" style="2495" customWidth="1"/>
    <col min="12291" max="12291" width="12" style="2495" bestFit="1" customWidth="1"/>
    <col min="12292" max="12544" width="9.140625" style="2495"/>
    <col min="12545" max="12545" width="29.5703125" style="2495" bestFit="1" customWidth="1"/>
    <col min="12546" max="12546" width="19.85546875" style="2495" customWidth="1"/>
    <col min="12547" max="12547" width="12" style="2495" bestFit="1" customWidth="1"/>
    <col min="12548" max="12800" width="9.140625" style="2495"/>
    <col min="12801" max="12801" width="29.5703125" style="2495" bestFit="1" customWidth="1"/>
    <col min="12802" max="12802" width="19.85546875" style="2495" customWidth="1"/>
    <col min="12803" max="12803" width="12" style="2495" bestFit="1" customWidth="1"/>
    <col min="12804" max="13056" width="9.140625" style="2495"/>
    <col min="13057" max="13057" width="29.5703125" style="2495" bestFit="1" customWidth="1"/>
    <col min="13058" max="13058" width="19.85546875" style="2495" customWidth="1"/>
    <col min="13059" max="13059" width="12" style="2495" bestFit="1" customWidth="1"/>
    <col min="13060" max="13312" width="9.140625" style="2495"/>
    <col min="13313" max="13313" width="29.5703125" style="2495" bestFit="1" customWidth="1"/>
    <col min="13314" max="13314" width="19.85546875" style="2495" customWidth="1"/>
    <col min="13315" max="13315" width="12" style="2495" bestFit="1" customWidth="1"/>
    <col min="13316" max="13568" width="9.140625" style="2495"/>
    <col min="13569" max="13569" width="29.5703125" style="2495" bestFit="1" customWidth="1"/>
    <col min="13570" max="13570" width="19.85546875" style="2495" customWidth="1"/>
    <col min="13571" max="13571" width="12" style="2495" bestFit="1" customWidth="1"/>
    <col min="13572" max="13824" width="9.140625" style="2495"/>
    <col min="13825" max="13825" width="29.5703125" style="2495" bestFit="1" customWidth="1"/>
    <col min="13826" max="13826" width="19.85546875" style="2495" customWidth="1"/>
    <col min="13827" max="13827" width="12" style="2495" bestFit="1" customWidth="1"/>
    <col min="13828" max="14080" width="9.140625" style="2495"/>
    <col min="14081" max="14081" width="29.5703125" style="2495" bestFit="1" customWidth="1"/>
    <col min="14082" max="14082" width="19.85546875" style="2495" customWidth="1"/>
    <col min="14083" max="14083" width="12" style="2495" bestFit="1" customWidth="1"/>
    <col min="14084" max="14336" width="9.140625" style="2495"/>
    <col min="14337" max="14337" width="29.5703125" style="2495" bestFit="1" customWidth="1"/>
    <col min="14338" max="14338" width="19.85546875" style="2495" customWidth="1"/>
    <col min="14339" max="14339" width="12" style="2495" bestFit="1" customWidth="1"/>
    <col min="14340" max="14592" width="9.140625" style="2495"/>
    <col min="14593" max="14593" width="29.5703125" style="2495" bestFit="1" customWidth="1"/>
    <col min="14594" max="14594" width="19.85546875" style="2495" customWidth="1"/>
    <col min="14595" max="14595" width="12" style="2495" bestFit="1" customWidth="1"/>
    <col min="14596" max="14848" width="9.140625" style="2495"/>
    <col min="14849" max="14849" width="29.5703125" style="2495" bestFit="1" customWidth="1"/>
    <col min="14850" max="14850" width="19.85546875" style="2495" customWidth="1"/>
    <col min="14851" max="14851" width="12" style="2495" bestFit="1" customWidth="1"/>
    <col min="14852" max="15104" width="9.140625" style="2495"/>
    <col min="15105" max="15105" width="29.5703125" style="2495" bestFit="1" customWidth="1"/>
    <col min="15106" max="15106" width="19.85546875" style="2495" customWidth="1"/>
    <col min="15107" max="15107" width="12" style="2495" bestFit="1" customWidth="1"/>
    <col min="15108" max="15360" width="9.140625" style="2495"/>
    <col min="15361" max="15361" width="29.5703125" style="2495" bestFit="1" customWidth="1"/>
    <col min="15362" max="15362" width="19.85546875" style="2495" customWidth="1"/>
    <col min="15363" max="15363" width="12" style="2495" bestFit="1" customWidth="1"/>
    <col min="15364" max="15616" width="9.140625" style="2495"/>
    <col min="15617" max="15617" width="29.5703125" style="2495" bestFit="1" customWidth="1"/>
    <col min="15618" max="15618" width="19.85546875" style="2495" customWidth="1"/>
    <col min="15619" max="15619" width="12" style="2495" bestFit="1" customWidth="1"/>
    <col min="15620" max="15872" width="9.140625" style="2495"/>
    <col min="15873" max="15873" width="29.5703125" style="2495" bestFit="1" customWidth="1"/>
    <col min="15874" max="15874" width="19.85546875" style="2495" customWidth="1"/>
    <col min="15875" max="15875" width="12" style="2495" bestFit="1" customWidth="1"/>
    <col min="15876" max="16128" width="9.140625" style="2495"/>
    <col min="16129" max="16129" width="29.5703125" style="2495" bestFit="1" customWidth="1"/>
    <col min="16130" max="16130" width="19.85546875" style="2495" customWidth="1"/>
    <col min="16131" max="16131" width="12" style="2495" bestFit="1" customWidth="1"/>
    <col min="16132" max="16384" width="9.140625" style="2495"/>
  </cols>
  <sheetData>
    <row r="1" spans="1:2">
      <c r="A1" s="2495" t="s">
        <v>917</v>
      </c>
      <c r="B1" s="2516">
        <v>6.1</v>
      </c>
    </row>
    <row r="2" spans="1:2">
      <c r="A2" s="2495" t="s">
        <v>918</v>
      </c>
      <c r="B2" s="2519">
        <v>43192.701041666667</v>
      </c>
    </row>
    <row r="3" spans="1:2">
      <c r="A3" s="2495" t="s">
        <v>919</v>
      </c>
      <c r="B3" s="2517" t="s">
        <v>622</v>
      </c>
    </row>
    <row r="4" spans="1:2">
      <c r="A4" s="2495" t="s">
        <v>920</v>
      </c>
      <c r="B4" s="2517" t="s">
        <v>533</v>
      </c>
    </row>
    <row r="5" spans="1:2">
      <c r="A5" s="2495" t="s">
        <v>921</v>
      </c>
      <c r="B5" s="2517" t="s">
        <v>585</v>
      </c>
    </row>
    <row r="6" spans="1:2">
      <c r="A6" s="2495" t="s">
        <v>922</v>
      </c>
    </row>
    <row r="7" spans="1:2">
      <c r="A7" s="2495" t="s">
        <v>923</v>
      </c>
      <c r="B7" s="2517" t="s">
        <v>502</v>
      </c>
    </row>
    <row r="8" spans="1:2">
      <c r="A8" s="2495" t="s">
        <v>924</v>
      </c>
      <c r="B8" s="2517" t="s">
        <v>925</v>
      </c>
    </row>
    <row r="9" spans="1:2">
      <c r="A9" s="2495" t="s">
        <v>926</v>
      </c>
      <c r="B9" s="2517" t="s">
        <v>962</v>
      </c>
    </row>
    <row r="10" spans="1:2">
      <c r="A10" s="2495" t="s">
        <v>927</v>
      </c>
    </row>
    <row r="11" spans="1:2">
      <c r="A11" s="2495" t="s">
        <v>928</v>
      </c>
    </row>
    <row r="12" spans="1:2">
      <c r="A12" s="2495" t="s">
        <v>929</v>
      </c>
    </row>
    <row r="13" spans="1:2">
      <c r="A13" s="2495" t="s">
        <v>930</v>
      </c>
    </row>
    <row r="14" spans="1:2">
      <c r="A14" s="2495" t="s">
        <v>931</v>
      </c>
    </row>
    <row r="15" spans="1:2">
      <c r="A15" s="2495" t="s">
        <v>932</v>
      </c>
    </row>
    <row r="16" spans="1:2">
      <c r="A16" s="2495" t="s">
        <v>933</v>
      </c>
    </row>
    <row r="17" spans="1:4">
      <c r="A17" s="2495" t="s">
        <v>934</v>
      </c>
      <c r="B17" s="2517" t="s">
        <v>963</v>
      </c>
    </row>
    <row r="18" spans="1:4">
      <c r="A18" s="2495" t="s">
        <v>935</v>
      </c>
      <c r="B18" s="2517" t="s">
        <v>966</v>
      </c>
    </row>
    <row r="19" spans="1:4">
      <c r="A19" s="2495" t="s">
        <v>936</v>
      </c>
      <c r="B19" s="2517" t="s">
        <v>501</v>
      </c>
    </row>
    <row r="20" spans="1:4">
      <c r="A20" s="2495" t="s">
        <v>937</v>
      </c>
      <c r="B20" s="2518" t="s">
        <v>967</v>
      </c>
    </row>
    <row r="21" spans="1:4">
      <c r="A21" s="2495" t="s">
        <v>938</v>
      </c>
      <c r="B21" s="2517" t="s">
        <v>501</v>
      </c>
    </row>
    <row r="22" spans="1:4">
      <c r="A22" s="2495" t="s">
        <v>939</v>
      </c>
      <c r="B22" s="2518">
        <v>2520153</v>
      </c>
    </row>
    <row r="23" spans="1:4">
      <c r="A23" s="2495" t="s">
        <v>498</v>
      </c>
      <c r="B23" s="2516">
        <v>64.430000000000007</v>
      </c>
    </row>
    <row r="24" spans="1:4">
      <c r="A24" s="2495" t="s">
        <v>503</v>
      </c>
      <c r="B24" s="2517" t="s">
        <v>505</v>
      </c>
      <c r="D24" s="2495" t="s">
        <v>113</v>
      </c>
    </row>
    <row r="25" spans="1:4">
      <c r="A25" s="2495" t="s">
        <v>940</v>
      </c>
      <c r="B25" s="2517" t="s">
        <v>968</v>
      </c>
    </row>
    <row r="26" spans="1:4">
      <c r="A26" s="2495" t="s">
        <v>941</v>
      </c>
      <c r="B26" s="2517">
        <v>0</v>
      </c>
    </row>
    <row r="27" spans="1:4">
      <c r="A27" s="2495" t="s">
        <v>942</v>
      </c>
      <c r="B27" s="2517" t="s">
        <v>469</v>
      </c>
    </row>
    <row r="28" spans="1:4">
      <c r="A28" s="2495" t="s">
        <v>943</v>
      </c>
      <c r="B28" s="2517" t="s">
        <v>944</v>
      </c>
    </row>
    <row r="29" spans="1:4">
      <c r="A29" s="2495" t="s">
        <v>945</v>
      </c>
    </row>
    <row r="30" spans="1:4">
      <c r="A30" s="2495" t="s">
        <v>946</v>
      </c>
    </row>
    <row r="31" spans="1:4">
      <c r="A31" s="2495" t="s">
        <v>947</v>
      </c>
    </row>
    <row r="32" spans="1:4">
      <c r="A32" s="2495" t="s">
        <v>948</v>
      </c>
      <c r="B32" s="2516"/>
    </row>
    <row r="33" spans="1:2">
      <c r="A33" s="2495" t="s">
        <v>949</v>
      </c>
      <c r="B33" s="2516"/>
    </row>
    <row r="34" spans="1:2">
      <c r="A34" s="2495" t="s">
        <v>950</v>
      </c>
      <c r="B34" s="2516"/>
    </row>
    <row r="35" spans="1:2">
      <c r="A35" s="2495" t="s">
        <v>951</v>
      </c>
      <c r="B35" s="2517">
        <v>1000000</v>
      </c>
    </row>
    <row r="36" spans="1:2">
      <c r="A36" s="2495" t="s">
        <v>952</v>
      </c>
      <c r="B36" s="2517" t="s">
        <v>964</v>
      </c>
    </row>
    <row r="37" spans="1:2">
      <c r="A37" s="2495" t="s">
        <v>953</v>
      </c>
      <c r="B37" s="2517" t="s">
        <v>954</v>
      </c>
    </row>
    <row r="38" spans="1:2">
      <c r="A38" s="2495" t="s">
        <v>955</v>
      </c>
      <c r="B38" s="2517" t="s">
        <v>956</v>
      </c>
    </row>
    <row r="39" spans="1:2">
      <c r="A39" s="2495" t="s">
        <v>957</v>
      </c>
      <c r="B39" s="2517" t="s">
        <v>965</v>
      </c>
    </row>
    <row r="40" spans="1:2">
      <c r="A40" s="2495" t="s">
        <v>958</v>
      </c>
      <c r="B40" s="2517">
        <v>1500005571</v>
      </c>
    </row>
    <row r="41" spans="1:2">
      <c r="A41" s="2495" t="s">
        <v>959</v>
      </c>
      <c r="B41" s="2517">
        <v>1</v>
      </c>
    </row>
    <row r="42" spans="1:2">
      <c r="A42" s="1087" t="s">
        <v>960</v>
      </c>
    </row>
    <row r="43" spans="1:2">
      <c r="A43" s="2495" t="s">
        <v>961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3"/>
  <sheetViews>
    <sheetView workbookViewId="0">
      <selection activeCell="E11" sqref="E11"/>
    </sheetView>
  </sheetViews>
  <sheetFormatPr defaultRowHeight="12.75"/>
  <cols>
    <col min="1" max="1" width="28.5703125" style="2495" bestFit="1" customWidth="1"/>
    <col min="2" max="256" width="9.140625" style="2495"/>
    <col min="257" max="257" width="28.5703125" style="2495" bestFit="1" customWidth="1"/>
    <col min="258" max="512" width="9.140625" style="2495"/>
    <col min="513" max="513" width="28.5703125" style="2495" bestFit="1" customWidth="1"/>
    <col min="514" max="768" width="9.140625" style="2495"/>
    <col min="769" max="769" width="28.5703125" style="2495" bestFit="1" customWidth="1"/>
    <col min="770" max="1024" width="9.140625" style="2495"/>
    <col min="1025" max="1025" width="28.5703125" style="2495" bestFit="1" customWidth="1"/>
    <col min="1026" max="1280" width="9.140625" style="2495"/>
    <col min="1281" max="1281" width="28.5703125" style="2495" bestFit="1" customWidth="1"/>
    <col min="1282" max="1536" width="9.140625" style="2495"/>
    <col min="1537" max="1537" width="28.5703125" style="2495" bestFit="1" customWidth="1"/>
    <col min="1538" max="1792" width="9.140625" style="2495"/>
    <col min="1793" max="1793" width="28.5703125" style="2495" bestFit="1" customWidth="1"/>
    <col min="1794" max="2048" width="9.140625" style="2495"/>
    <col min="2049" max="2049" width="28.5703125" style="2495" bestFit="1" customWidth="1"/>
    <col min="2050" max="2304" width="9.140625" style="2495"/>
    <col min="2305" max="2305" width="28.5703125" style="2495" bestFit="1" customWidth="1"/>
    <col min="2306" max="2560" width="9.140625" style="2495"/>
    <col min="2561" max="2561" width="28.5703125" style="2495" bestFit="1" customWidth="1"/>
    <col min="2562" max="2816" width="9.140625" style="2495"/>
    <col min="2817" max="2817" width="28.5703125" style="2495" bestFit="1" customWidth="1"/>
    <col min="2818" max="3072" width="9.140625" style="2495"/>
    <col min="3073" max="3073" width="28.5703125" style="2495" bestFit="1" customWidth="1"/>
    <col min="3074" max="3328" width="9.140625" style="2495"/>
    <col min="3329" max="3329" width="28.5703125" style="2495" bestFit="1" customWidth="1"/>
    <col min="3330" max="3584" width="9.140625" style="2495"/>
    <col min="3585" max="3585" width="28.5703125" style="2495" bestFit="1" customWidth="1"/>
    <col min="3586" max="3840" width="9.140625" style="2495"/>
    <col min="3841" max="3841" width="28.5703125" style="2495" bestFit="1" customWidth="1"/>
    <col min="3842" max="4096" width="9.140625" style="2495"/>
    <col min="4097" max="4097" width="28.5703125" style="2495" bestFit="1" customWidth="1"/>
    <col min="4098" max="4352" width="9.140625" style="2495"/>
    <col min="4353" max="4353" width="28.5703125" style="2495" bestFit="1" customWidth="1"/>
    <col min="4354" max="4608" width="9.140625" style="2495"/>
    <col min="4609" max="4609" width="28.5703125" style="2495" bestFit="1" customWidth="1"/>
    <col min="4610" max="4864" width="9.140625" style="2495"/>
    <col min="4865" max="4865" width="28.5703125" style="2495" bestFit="1" customWidth="1"/>
    <col min="4866" max="5120" width="9.140625" style="2495"/>
    <col min="5121" max="5121" width="28.5703125" style="2495" bestFit="1" customWidth="1"/>
    <col min="5122" max="5376" width="9.140625" style="2495"/>
    <col min="5377" max="5377" width="28.5703125" style="2495" bestFit="1" customWidth="1"/>
    <col min="5378" max="5632" width="9.140625" style="2495"/>
    <col min="5633" max="5633" width="28.5703125" style="2495" bestFit="1" customWidth="1"/>
    <col min="5634" max="5888" width="9.140625" style="2495"/>
    <col min="5889" max="5889" width="28.5703125" style="2495" bestFit="1" customWidth="1"/>
    <col min="5890" max="6144" width="9.140625" style="2495"/>
    <col min="6145" max="6145" width="28.5703125" style="2495" bestFit="1" customWidth="1"/>
    <col min="6146" max="6400" width="9.140625" style="2495"/>
    <col min="6401" max="6401" width="28.5703125" style="2495" bestFit="1" customWidth="1"/>
    <col min="6402" max="6656" width="9.140625" style="2495"/>
    <col min="6657" max="6657" width="28.5703125" style="2495" bestFit="1" customWidth="1"/>
    <col min="6658" max="6912" width="9.140625" style="2495"/>
    <col min="6913" max="6913" width="28.5703125" style="2495" bestFit="1" customWidth="1"/>
    <col min="6914" max="7168" width="9.140625" style="2495"/>
    <col min="7169" max="7169" width="28.5703125" style="2495" bestFit="1" customWidth="1"/>
    <col min="7170" max="7424" width="9.140625" style="2495"/>
    <col min="7425" max="7425" width="28.5703125" style="2495" bestFit="1" customWidth="1"/>
    <col min="7426" max="7680" width="9.140625" style="2495"/>
    <col min="7681" max="7681" width="28.5703125" style="2495" bestFit="1" customWidth="1"/>
    <col min="7682" max="7936" width="9.140625" style="2495"/>
    <col min="7937" max="7937" width="28.5703125" style="2495" bestFit="1" customWidth="1"/>
    <col min="7938" max="8192" width="9.140625" style="2495"/>
    <col min="8193" max="8193" width="28.5703125" style="2495" bestFit="1" customWidth="1"/>
    <col min="8194" max="8448" width="9.140625" style="2495"/>
    <col min="8449" max="8449" width="28.5703125" style="2495" bestFit="1" customWidth="1"/>
    <col min="8450" max="8704" width="9.140625" style="2495"/>
    <col min="8705" max="8705" width="28.5703125" style="2495" bestFit="1" customWidth="1"/>
    <col min="8706" max="8960" width="9.140625" style="2495"/>
    <col min="8961" max="8961" width="28.5703125" style="2495" bestFit="1" customWidth="1"/>
    <col min="8962" max="9216" width="9.140625" style="2495"/>
    <col min="9217" max="9217" width="28.5703125" style="2495" bestFit="1" customWidth="1"/>
    <col min="9218" max="9472" width="9.140625" style="2495"/>
    <col min="9473" max="9473" width="28.5703125" style="2495" bestFit="1" customWidth="1"/>
    <col min="9474" max="9728" width="9.140625" style="2495"/>
    <col min="9729" max="9729" width="28.5703125" style="2495" bestFit="1" customWidth="1"/>
    <col min="9730" max="9984" width="9.140625" style="2495"/>
    <col min="9985" max="9985" width="28.5703125" style="2495" bestFit="1" customWidth="1"/>
    <col min="9986" max="10240" width="9.140625" style="2495"/>
    <col min="10241" max="10241" width="28.5703125" style="2495" bestFit="1" customWidth="1"/>
    <col min="10242" max="10496" width="9.140625" style="2495"/>
    <col min="10497" max="10497" width="28.5703125" style="2495" bestFit="1" customWidth="1"/>
    <col min="10498" max="10752" width="9.140625" style="2495"/>
    <col min="10753" max="10753" width="28.5703125" style="2495" bestFit="1" customWidth="1"/>
    <col min="10754" max="11008" width="9.140625" style="2495"/>
    <col min="11009" max="11009" width="28.5703125" style="2495" bestFit="1" customWidth="1"/>
    <col min="11010" max="11264" width="9.140625" style="2495"/>
    <col min="11265" max="11265" width="28.5703125" style="2495" bestFit="1" customWidth="1"/>
    <col min="11266" max="11520" width="9.140625" style="2495"/>
    <col min="11521" max="11521" width="28.5703125" style="2495" bestFit="1" customWidth="1"/>
    <col min="11522" max="11776" width="9.140625" style="2495"/>
    <col min="11777" max="11777" width="28.5703125" style="2495" bestFit="1" customWidth="1"/>
    <col min="11778" max="12032" width="9.140625" style="2495"/>
    <col min="12033" max="12033" width="28.5703125" style="2495" bestFit="1" customWidth="1"/>
    <col min="12034" max="12288" width="9.140625" style="2495"/>
    <col min="12289" max="12289" width="28.5703125" style="2495" bestFit="1" customWidth="1"/>
    <col min="12290" max="12544" width="9.140625" style="2495"/>
    <col min="12545" max="12545" width="28.5703125" style="2495" bestFit="1" customWidth="1"/>
    <col min="12546" max="12800" width="9.140625" style="2495"/>
    <col min="12801" max="12801" width="28.5703125" style="2495" bestFit="1" customWidth="1"/>
    <col min="12802" max="13056" width="9.140625" style="2495"/>
    <col min="13057" max="13057" width="28.5703125" style="2495" bestFit="1" customWidth="1"/>
    <col min="13058" max="13312" width="9.140625" style="2495"/>
    <col min="13313" max="13313" width="28.5703125" style="2495" bestFit="1" customWidth="1"/>
    <col min="13314" max="13568" width="9.140625" style="2495"/>
    <col min="13569" max="13569" width="28.5703125" style="2495" bestFit="1" customWidth="1"/>
    <col min="13570" max="13824" width="9.140625" style="2495"/>
    <col min="13825" max="13825" width="28.5703125" style="2495" bestFit="1" customWidth="1"/>
    <col min="13826" max="14080" width="9.140625" style="2495"/>
    <col min="14081" max="14081" width="28.5703125" style="2495" bestFit="1" customWidth="1"/>
    <col min="14082" max="14336" width="9.140625" style="2495"/>
    <col min="14337" max="14337" width="28.5703125" style="2495" bestFit="1" customWidth="1"/>
    <col min="14338" max="14592" width="9.140625" style="2495"/>
    <col min="14593" max="14593" width="28.5703125" style="2495" bestFit="1" customWidth="1"/>
    <col min="14594" max="14848" width="9.140625" style="2495"/>
    <col min="14849" max="14849" width="28.5703125" style="2495" bestFit="1" customWidth="1"/>
    <col min="14850" max="15104" width="9.140625" style="2495"/>
    <col min="15105" max="15105" width="28.5703125" style="2495" bestFit="1" customWidth="1"/>
    <col min="15106" max="15360" width="9.140625" style="2495"/>
    <col min="15361" max="15361" width="28.5703125" style="2495" bestFit="1" customWidth="1"/>
    <col min="15362" max="15616" width="9.140625" style="2495"/>
    <col min="15617" max="15617" width="28.5703125" style="2495" bestFit="1" customWidth="1"/>
    <col min="15618" max="15872" width="9.140625" style="2495"/>
    <col min="15873" max="15873" width="28.5703125" style="2495" bestFit="1" customWidth="1"/>
    <col min="15874" max="16128" width="9.140625" style="2495"/>
    <col min="16129" max="16129" width="28.5703125" style="2495" bestFit="1" customWidth="1"/>
    <col min="16130" max="16384" width="9.140625" style="2495"/>
  </cols>
  <sheetData>
    <row r="1" spans="1:1">
      <c r="A1" s="2520" t="s">
        <v>969</v>
      </c>
    </row>
    <row r="2" spans="1:1">
      <c r="A2" s="2520" t="s">
        <v>974</v>
      </c>
    </row>
    <row r="3" spans="1:1">
      <c r="A3" s="2520" t="s">
        <v>975</v>
      </c>
    </row>
    <row r="4" spans="1:1">
      <c r="A4" s="2520" t="s">
        <v>976</v>
      </c>
    </row>
    <row r="5" spans="1:1">
      <c r="A5" s="2520" t="s">
        <v>977</v>
      </c>
    </row>
    <row r="6" spans="1:1">
      <c r="A6" s="2520" t="s">
        <v>970</v>
      </c>
    </row>
    <row r="7" spans="1:1">
      <c r="A7" s="2520" t="s">
        <v>978</v>
      </c>
    </row>
    <row r="8" spans="1:1">
      <c r="A8" s="2520" t="s">
        <v>979</v>
      </c>
    </row>
    <row r="9" spans="1:1">
      <c r="A9" s="2520" t="s">
        <v>980</v>
      </c>
    </row>
    <row r="10" spans="1:1">
      <c r="A10" s="2520" t="s">
        <v>971</v>
      </c>
    </row>
    <row r="11" spans="1:1">
      <c r="A11" s="2520" t="s">
        <v>981</v>
      </c>
    </row>
    <row r="12" spans="1:1">
      <c r="A12" s="2520" t="s">
        <v>972</v>
      </c>
    </row>
    <row r="13" spans="1:1">
      <c r="A13" s="2520" t="s">
        <v>973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/>
  </sheetViews>
  <sheetFormatPr defaultRowHeight="15"/>
  <sheetData>
    <row r="1" spans="1:6">
      <c r="A1" t="s">
        <v>517</v>
      </c>
    </row>
    <row r="2" spans="1:6">
      <c r="A2" s="1849" t="s">
        <v>516</v>
      </c>
      <c r="B2" s="1849" t="s">
        <v>621</v>
      </c>
      <c r="C2" s="1849" t="s">
        <v>514</v>
      </c>
      <c r="D2" s="1849" t="s">
        <v>505</v>
      </c>
      <c r="E2" s="1849" t="s">
        <v>515</v>
      </c>
      <c r="F2" s="1849" t="s">
        <v>518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3177a4dc-a882-4269-a255-ea40d89bc85b</GUID>
    <SOURCE_ALTADDRESS>$Q$53:$U$85</SOURCE_ALTADDRESS>
    <SOURCETYPE>Table</SOURCETYPE>
    <SOURCE_OBJECTNAME>Linking_Range_87</SOURCE_OBJECTNAME>
    <OBJECTTYPE>Native</OBJECTTYPE>
    <SOURCE_SHEETCODE>Sheet12</SOURCE_SHEETCODE>
    <SOURCE_SHEETNAME>Q Variance</SOURCE_SHEETNAME>
    <SOURCEAPPLICATION>EXCEL_SOURCE</SOURCEAPPLICATION>
    <UPDATEDAT>4/9/2015 11:25:55 PM</UPDATEDAT>
    <SOURCE_ISOUTOFDATE>False</SOURCE_ISOUTOFDATE>
    <SOURCE_WORKBOOKNAME>A.xls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/MSResearch/Content/ExternalAssets/2015-04/Images/hh22QKCJP0qKdTo-1xKqRA--.png</TARGET_BINARYFULLNAME>
    <TARGET_STORYFULLNAME>/MSResearch/Content/ExternalAssets/2015-04/Sections/20150407_075955_Linking_Range_87.xml</TARGET_STORYFULLNAME>
    <TARGET_UUID>307bb7ba-dd82-11e4-9cfb-6eb77350c59b</TARGET_UUID>
    <LINKSTATUS>Unknown</LINKSTATUS>
  </Link>
  <Link>
    <GUID>7259fd2d-c92f-43f4-9d02-2892fb2de4c3</GUID>
    <SOURCE_ALTADDRESS>$A$8:$BU$118</SOURCE_ALTADDRESS>
    <SOURCETYPE>Table</SOURCETYPE>
    <SOURCE_OBJECTNAME>Linking_Range_99</SOURCE_OBJECTNAME>
    <OBJECTTYPE>Native</OBJECTTYPE>
    <SOURCE_SHEETCODE>Sheet1</SOURCE_SHEETCODE>
    <SOURCE_SHEETNAME>IS</SOURCE_SHEETNAME>
    <SOURCEAPPLICATION>EXCEL_SOURCE</SOURCEAPPLICATION>
    <UPDATEDAT>4/14/2015 12:55:45 PM</UPDATEDAT>
    <SOURCE_ISOUTOFDATE>False</SOURCE_ISOUTOFDATE>
    <SOURCE_WORKBOOKNAME>A.xls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/MSResearch/Content/ExternalAssets/2015-04/Images/zLGNSWsQXUqtr5Ili5W1AA--.png</TARGET_BINARYFULLNAME>
    <TARGET_STORYFULLNAME>/MSResearch/Content/ExternalAssets/2015-04/Sections/20150414_025543_Linking_Range_99.xml</TARGET_STORYFULLNAME>
    <TARGET_UUID>da0039a0-e2d7-11e4-8428-e799a3b9280a</TARGET_UUID>
  </Link>
  <Link>
    <GUID>6bf3c282-b4a3-4383-9753-5808d7e4c85f</GUID>
    <SOURCE_ALTADDRESS>$A$5:$BU$54</SOURCE_ALTADDRESS>
    <SOURCETYPE>Table</SOURCETYPE>
    <SOURCE_OBJECTNAME>Linking_Range_95</SOURCE_OBJECTNAME>
    <OBJECTTYPE>Native</OBJECTTYPE>
    <SOURCE_SHEETCODE>Sheet2</SOURCE_SHEETCODE>
    <SOURCE_SHEETNAME>RevBuild</SOURCE_SHEETNAME>
    <SOURCEAPPLICATION>EXCEL_SOURCE</SOURCEAPPLICATION>
    <UPDATEDAT>4/14/2015 12:56:25 PM</UPDATEDAT>
    <SOURCE_ISOUTOFDATE>False</SOURCE_ISOUTOFDATE>
    <SOURCE_WORKBOOKNAME>A.xls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/MSResearch/Content/ExternalAssets/2015-04/Images/96psVtMQhke1UQ2Ib2H5Ww--.png</TARGET_BINARYFULLNAME>
    <TARGET_STORYFULLNAME>/MSResearch/Content/ExternalAssets/2015-04/Sections/20150414_025623_Linking_Range_95.xml</TARGET_STORYFULLNAME>
    <TARGET_UUID>f20376e8-e2d7-11e4-8428-e799a3b9280a</TARGET_UUID>
  </Link>
  <Link>
    <GUID>5e421c91-637d-4c5d-8ae6-121b8b0c6589</GUID>
    <SOURCE_ALTADDRESS>$A$12:$J$43</SOURCE_ALTADDRESS>
    <SOURCETYPE>Table</SOURCETYPE>
    <SOURCE_OBJECTNAME>Linking_Range_15</SOURCE_OBJECTNAME>
    <OBJECTTYPE>Native</OBJECTTYPE>
    <SOURCE_SHEETCODE>Sheet12</SOURCE_SHEETCODE>
    <SOURCE_SHEETNAME>Q Variance</SOURCE_SHEETNAME>
    <SOURCEAPPLICATION>EXCEL_SOURCE</SOURCEAPPLICATION>
    <UPDATEDAT>5/18/2015 10:05:30 PM</UPDATEDAT>
    <SOURCE_ISOUTOFDATE>False</SOURCE_ISOUTOFDATE>
    <SOURCE_WORKBOOKNAME>A.xls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/MSResearch/Content/ExternalAssets/2015-04/Images/wn2cCQaJ80_KQwZY3eiO6Q--.png</TARGET_BINARYFULLNAME>
    <TARGET_STORYFULLNAME>/MSResearch/Content/ExternalAssets/2015-04/Sections/20150414_023405_Linking_Range_15.xml</TARGET_STORYFULLNAME>
    <TARGET_UUID>d48a8604-e2d4-11e4-8428-e799a3b9280a</TARGET_UUID>
    <TRANSPARENTBACKGROUND>False</TRANSPARENTBACKGROUND>
    <TRANSPARENTPLOTAREA>False</TRANSPARENTPLOTAREA>
    <LINKSTATUS>Unknown</LINKSTATUS>
  </Link>
  <Link>
    <GUID>a67b7dd0-db4f-47cd-a144-3817f0617f94</GUID>
    <SOURCE_ALTADDRESS>$A$5:$Q$45</SOURCE_ALTADDRESS>
    <SOURCETYPE>Table</SOURCETYPE>
    <SOURCE_OBJECTNAME>Linking_Range_83</SOURCE_OBJECTNAME>
    <OBJECTTYPE>Native</OBJECTTYPE>
    <SOURCE_SHEETCODE>Sheet24</SOURCE_SHEETCODE>
    <SOURCE_SHEETNAME>Guidance</SOURCE_SHEETNAME>
    <SOURCEAPPLICATION>EXCEL_SOURCE</SOURCEAPPLICATION>
    <UPDATEDAT>5/18/2015 10:06:29 PM</UPDATEDAT>
    <SOURCE_ISOUTOFDATE>False</SOURCE_ISOUTOFDATE>
    <SOURCE_WORKBOOKNAME>A.xls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/MSResearch/Content/ExternalAssets/2015-04/Images/IrJeSvnY5kKyqegAOjOz6Q--.png</TARGET_BINARYFULLNAME>
    <TARGET_STORYFULLNAME>/MSResearch/Content/ExternalAssets/2015-04/Sections/20150414_022917_Linking_Range_83.xml</TARGET_STORYFULLNAME>
    <TARGET_UUID>28aec912-e2d4-11e4-8428-e799a3b9280a</TARGET_UUID>
    <TRANSPARENTBACKGROUND>False</TRANSPARENTBACKGROUND>
    <TRANSPARENTPLOTAREA>False</TRANSPARENTPLOTAREA>
  </Link>
  <Link>
    <GUID>afefe01e-c564-47f6-bd14-a88817907c6a</GUID>
    <SOURCE_ALTADDRESS>$E$21:$M$61</SOURCE_ALTADDRESS>
    <SOURCETYPE>Table</SOURCETYPE>
    <SOURCE_OBJECTNAME>Linking_Range_64</SOURCE_OBJECTNAME>
    <OBJECTTYPE>Native</OBJECTTYPE>
    <SOURCE_SHEETCODE>Sheet13</SOURCE_SHEETCODE>
    <SOURCE_SHEETNAME>EPS Charts</SOURCE_SHEETNAME>
    <SOURCEAPPLICATION>EXCEL_SOURCE</SOURCEAPPLICATION>
    <UPDATEDAT>5/18/2015 10:08:40 PM</UPDATEDAT>
    <SOURCE_ISOUTOFDATE>False</SOURCE_ISOUTOFDATE>
    <SOURCE_WORKBOOKNAME>A.xls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/MSResearch/Content/ExternalAssets/2015-04/Images/k5p1UdMNNU2cYcdj6KO-Ug--.png</TARGET_BINARYFULLNAME>
    <TARGET_STORYFULLNAME>/MSResearch/Content/ExternalAssets/2015-04/Sections/20150414_023144_Linking_Range_64.xml</TARGET_STORYFULLNAME>
    <TARGET_UUID>80918e12-e2d4-11e4-8428-e799a3b9280a</TARGET_UUID>
    <TRANSPARENTBACKGROUND>False</TRANSPARENTBACKGROUND>
    <TRANSPARENTPLOTAREA>False</TRANSPARENTPLOTAREA>
    <LINKSTATUS>Unknown</LINKSTATUS>
  </Link>
  <Link>
    <GUID>3d3a213e-4f60-49f5-8f95-eeb25d7409f3</GUID>
    <SOURCETYPE>Chart</SOURCETYPE>
    <SOURCE_OBJECTNAME>A Incr EBIT</SOURCE_OBJECTNAME>
    <SOURCE_SHEETCODE>Sheet13</SOURCE_SHEETCODE>
    <SOURCE_SHEETNAME>EPS Charts</SOURCE_SHEETNAME>
    <OBJECTTYPE>Native</OBJECTTYPE>
    <SOURCEAPPLICATION>EXCEL_SOURCE</SOURCEAPPLICATION>
    <UPDATEDAT>5/18/2015 10:13:14 PM</UPDATEDAT>
    <SOURCE_ISOUTOFDATE>False</SOURCE_ISOUTOFDATE>
    <SOURCE_WORKBOOKNAME>A.xls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/MSResearch/Content/ExternalAssets/2015-04/Images/z2XIQs0rjk_-lgl9L7HwKA--.png</TARGET_BINARYFULLNAME>
    <TARGET_STORYFULLNAME>/MSResearch/Content/ExternalAssets/2015-04/Sections/20150414_022006_AIncrEBIT.xml</TARGET_STORYFULLNAME>
    <TARGET_UUID>e076d1ae-e2d2-11e4-8428-e799a3b9280a</TARGET_UUID>
    <HIDEGRIDLINES>False</HIDEGRIDLINES>
  </Link>
  <Link>
    <GUID>e6c89fa1-f031-4347-868b-4464a83ffb64</GUID>
    <SOURCE_ALTADDRESS>$B$2:$C$18</SOURCE_ALTADDRESS>
    <SOURCETYPE>Table</SOURCETYPE>
    <SOURCE_OBJECTNAME>Linking_Range_49</SOURCE_OBJECTNAME>
    <OBJECTTYPE>Native</OBJECTTYPE>
    <SOURCE_SHEETCODE>Sheet13</SOURCE_SHEETCODE>
    <SOURCE_SHEETNAME>EPS Charts</SOURCE_SHEETNAME>
    <SOURCEAPPLICATION>EXCEL_SOURCE</SOURCEAPPLICATION>
    <UPDATEDAT>5/18/2015 10:27:12 PM</UPDATEDAT>
    <SOURCE_ISOUTOFDATE>False</SOURCE_ISOUTOFDATE>
    <SOURCE_WORKBOOKNAME>A.xls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/MSResearch/Content/ExternalAssets/2015-04/Images/wi9gAJCwYEqYz5XS0lewzA--.png</TARGET_BINARYFULLNAME>
    <TARGET_STORYFULLNAME>/MSResearch/Content/ExternalAssets/2015-04/Sections/20150414_021708_Linking_Range_49.xml</TARGET_STORYFULLNAME>
    <TARGET_UUID>7672fc2e-e2d2-11e4-8428-e799a3b9280a</TARGET_UUID>
    <TRANSPARENTBACKGROUND>False</TRANSPARENTBACKGROUND>
    <TRANSPARENTPLOTAREA>False</TRANSPARENTPLOTAREA>
  </Link>
  <Link>
    <GUID>37429dbb-292c-4547-977e-76e06b2bfbb7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5/18/2015 11:10:18 PM</UPDATEDAT>
    <SOURCE_ISOUTOFDATE>False</SOURCE_ISOUTOFDATE>
    <SOURCE_WORKBOOKNAME>A.xls</SOURCE_WORKBOOKNAME>
    <SOURCE_WORKBOOKPATH>\\MSAD\ROOT\NA\NY\LIB\ER\HEALTH\Tools\Models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/MSResearch/Content/ExternalAssets/2015-04/Images/tsIbiztONUCT_f1uTlvbig--.png</TARGET_BINARYFULLNAME>
    <TARGET_STORYFULLNAME>/MSResearch/Content/ExternalAssets/2015-04/Sections/20150407_075310_MWA_Risk_Reward.xml</TARGET_STORYFULLNAME>
    <TARGET_UUID>3ee1e47e-dd81-11e4-9cfb-6eb77350c59b</TARGET_UUID>
    <LINKSTATUS>Unknown</LINKSTATUS>
  </Link>
  <Link>
    <GUID>36c0baea-338c-467d-ab2e-ac6b1a4f3997</GUID>
    <SOURCE_ALTADDRESS>$A$8:$BO$118</SOURCE_ALTADDRESS>
    <SOURCETYPE>Table</SOURCETYPE>
    <SOURCE_OBJECTNAME>Linking_Range_39</SOURCE_OBJECTNAME>
    <OBJECTTYPE>Native</OBJECTTYPE>
    <SOURCE_SHEETCODE>Sheet1</SOURCE_SHEETCODE>
    <SOURCE_SHEETNAME>IS</SOURCE_SHEETNAME>
    <SOURCEAPPLICATION>EXCEL_SOURCE</SOURCEAPPLICATION>
    <UPDATEDAT>5/19/2015 12:07:06 AM</UPDATEDAT>
    <SOURCE_ISOUTOFDATE>False</SOURCE_ISOUTOFDATE>
    <SOURCE_WORKBOOKNAME>A.xls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/MSResearch/Content/ExternalAssets/2015-04/Images/KCjq0B-znUehzeA_YzPogg--.png</TARGET_BINARYFULLNAME>
    <TARGET_STORYFULLNAME>/MSResearch/Content/ExternalAssets/2015-04/Sections/20150414_025437_Linking_Range_39.xml</TARGET_STORYFULLNAME>
    <TARGET_UUID>b2c7dc44-e2d7-11e4-8428-e799a3b9280a</TARGET_UUID>
    <TRANSPARENTBACKGROUND>False</TRANSPARENTBACKGROUND>
    <TRANSPARENTPLOTAREA>False</TRANSPARENTPLOTAREA>
  </Link>
  <Link>
    <GUID>f99b998a-41ce-4b72-b791-9d8bbd7e16ae</GUID>
    <SOURCE_ALTADDRESS>$A$5:$BO$54</SOURCE_ALTADDRESS>
    <SOURCETYPE>Table</SOURCETYPE>
    <SOURCE_OBJECTNAME>Linking_Range_61</SOURCE_OBJECTNAME>
    <OBJECTTYPE>Native</OBJECTTYPE>
    <SOURCE_SHEETCODE>Sheet2</SOURCE_SHEETCODE>
    <SOURCE_SHEETNAME>RevBuild</SOURCE_SHEETNAME>
    <SOURCEAPPLICATION>EXCEL_SOURCE</SOURCEAPPLICATION>
    <UPDATEDAT>5/19/2015 12:07:47 AM</UPDATEDAT>
    <SOURCE_ISOUTOFDATE>False</SOURCE_ISOUTOFDATE>
    <SOURCE_WORKBOOKNAME>A.xls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/MSResearch/Content/ExternalAssets/2015-05/Images/iFj8i11PaUaVAwZMiGZbFA--.png</TARGET_BINARYFULLNAME>
    <TARGET_STORYFULLNAME>/MSResearch/Content/ExternalAssets/2015-05/Sections/20150519_120744_Linking_Range_61.xml</TARGET_STORYFULLNAME>
    <TARGET_UUID>99f54e16-fddc-11e4-816b-9b441484c75b</TARGET_UUID>
  </Link>
  <Link>
    <GUID>9ea9f28e-596a-47c8-a077-050a329464fe</GUID>
    <SOURCE_ALTADDRESS>$BX$7:$CO$31</SOURCE_ALTADDRESS>
    <SOURCETYPE>Table</SOURCETYPE>
    <SOURCE_OBJECTNAME>Linking_Range_98</SOURCE_OBJECTNAME>
    <OBJECTTYPE>Native</OBJECTTYPE>
    <SOURCE_SHEETCODE>Sheet8</SOURCE_SHEETCODE>
    <SOURCE_SHEETNAME>OrgRev</SOURCE_SHEETNAME>
    <SOURCEAPPLICATION>EXCEL_SOURCE</SOURCEAPPLICATION>
    <UPDATEDAT>5/28/2015 8:00:10 PM</UPDATEDAT>
    <SOURCE_ISOUTOFDATE>False</SOURCE_ISOUTOFDATE>
    <SOURCE_WORKBOOKNAME>A.xls</SOURCE_WORKBOOKNAME>
    <SOURCE_WORKBOOKPATH>\\MSAD\ROOT\NA\NY\LIB\ER\HEALTH\Tools\Models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/MSResearch/Content/ExternalAssets/2015-04/Images/HC5N8vafcE6io84Pgg8giA--.png</TARGET_BINARYFULLNAME>
    <TARGET_STORYFULLNAME>/MSResearch/Content/ExternalAssets/2015-04/Sections/20150407_024256_Linking_Range_98.xml</TARGET_STORYFULLNAME>
    <TARGET_UUID>e84011b6-dd55-11e4-9cfb-6eb77350c59b</TARGET_UUID>
    <TRANSPARENTBACKGROUND>False</TRANSPARENTBACKGROUND>
    <TRANSPARENTPLOTAREA>False</TRANSPARENTPLOTAREA>
    <LINKSTATUS>Unknown</LINKSTATUS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C3E1CA86-4CF0-49A8-B7A0-00CB9DD82593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00CB1AE7-1930-405B-9FE2-01EFB4C149DB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164</vt:i4>
      </vt:variant>
    </vt:vector>
  </HeadingPairs>
  <TitlesOfParts>
    <vt:vector size="173" baseType="lpstr">
      <vt:lpstr>ImportantDisclosures</vt:lpstr>
      <vt:lpstr>IS</vt:lpstr>
      <vt:lpstr>RevBuild</vt:lpstr>
      <vt:lpstr>OrgRev</vt:lpstr>
      <vt:lpstr>BS</vt:lpstr>
      <vt:lpstr>CF</vt:lpstr>
      <vt:lpstr>Debt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Linking_10</vt:lpstr>
      <vt:lpstr>Linking_13</vt:lpstr>
      <vt:lpstr>Linking_17</vt:lpstr>
      <vt:lpstr>Linking_18</vt:lpstr>
      <vt:lpstr>Linking_25</vt:lpstr>
      <vt:lpstr>Linking_26</vt:lpstr>
      <vt:lpstr>Linking_28</vt:lpstr>
      <vt:lpstr>Linking_3</vt:lpstr>
      <vt:lpstr>Linking_36</vt:lpstr>
      <vt:lpstr>Linking_37</vt:lpstr>
      <vt:lpstr>Linking_38</vt:lpstr>
      <vt:lpstr>Linking_6</vt:lpstr>
      <vt:lpstr>Linking_Range_10</vt:lpstr>
      <vt:lpstr>Linking_Range_100</vt:lpstr>
      <vt:lpstr>Linking_Range_101</vt:lpstr>
      <vt:lpstr>Linking_Range_102</vt:lpstr>
      <vt:lpstr>Linking_Range_103</vt:lpstr>
      <vt:lpstr>Linking_Range_104</vt:lpstr>
      <vt:lpstr>Linking_Range_105</vt:lpstr>
      <vt:lpstr>Linking_Range_109</vt:lpstr>
      <vt:lpstr>Linking_Range_11</vt:lpstr>
      <vt:lpstr>Linking_Range_110</vt:lpstr>
      <vt:lpstr>Linking_Range_111</vt:lpstr>
      <vt:lpstr>Linking_Range_113</vt:lpstr>
      <vt:lpstr>Linking_Range_114</vt:lpstr>
      <vt:lpstr>Linking_Range_115</vt:lpstr>
      <vt:lpstr>Linking_Range_116</vt:lpstr>
      <vt:lpstr>Linking_Range_117</vt:lpstr>
      <vt:lpstr>Linking_Range_12</vt:lpstr>
      <vt:lpstr>Linking_Range_13</vt:lpstr>
      <vt:lpstr>Linking_Range_14</vt:lpstr>
      <vt:lpstr>Linking_Range_19</vt:lpstr>
      <vt:lpstr>Linking_Range_20</vt:lpstr>
      <vt:lpstr>Linking_Range_26</vt:lpstr>
      <vt:lpstr>Linking_Range_27</vt:lpstr>
      <vt:lpstr>Linking_Range_28</vt:lpstr>
      <vt:lpstr>Linking_Range_29</vt:lpstr>
      <vt:lpstr>Linking_Range_31</vt:lpstr>
      <vt:lpstr>Linking_Range_33</vt:lpstr>
      <vt:lpstr>Linking_Range_34</vt:lpstr>
      <vt:lpstr>Linking_Range_38</vt:lpstr>
      <vt:lpstr>Linking_Range_39</vt:lpstr>
      <vt:lpstr>Linking_Range_40</vt:lpstr>
      <vt:lpstr>Linking_Range_41</vt:lpstr>
      <vt:lpstr>Linking_Range_42</vt:lpstr>
      <vt:lpstr>Linking_Range_43</vt:lpstr>
      <vt:lpstr>Linking_Range_44</vt:lpstr>
      <vt:lpstr>Linking_Range_45</vt:lpstr>
      <vt:lpstr>Linking_Range_46</vt:lpstr>
      <vt:lpstr>Linking_Range_47</vt:lpstr>
      <vt:lpstr>Linking_Range_48</vt:lpstr>
      <vt:lpstr>Linking_Range_50</vt:lpstr>
      <vt:lpstr>Linking_Range_51</vt:lpstr>
      <vt:lpstr>Linking_Range_52</vt:lpstr>
      <vt:lpstr>Linking_Range_53</vt:lpstr>
      <vt:lpstr>Linking_Range_54</vt:lpstr>
      <vt:lpstr>Linking_Range_55</vt:lpstr>
      <vt:lpstr>Linking_Range_56</vt:lpstr>
      <vt:lpstr>Linking_Range_57</vt:lpstr>
      <vt:lpstr>Linking_Range_58</vt:lpstr>
      <vt:lpstr>Linking_Range_59</vt:lpstr>
      <vt:lpstr>Linking_Range_61</vt:lpstr>
      <vt:lpstr>Linking_Range_62</vt:lpstr>
      <vt:lpstr>Linking_Range_63</vt:lpstr>
      <vt:lpstr>Linking_Range_65</vt:lpstr>
      <vt:lpstr>Linking_Range_66</vt:lpstr>
      <vt:lpstr>Linking_Range_67</vt:lpstr>
      <vt:lpstr>Linking_Range_68</vt:lpstr>
      <vt:lpstr>Linking_Range_69</vt:lpstr>
      <vt:lpstr>Linking_Range_71</vt:lpstr>
      <vt:lpstr>Linking_Range_72</vt:lpstr>
      <vt:lpstr>Linking_Range_73</vt:lpstr>
      <vt:lpstr>Linking_Range_75</vt:lpstr>
      <vt:lpstr>Linking_Range_78</vt:lpstr>
      <vt:lpstr>Linking_Range_79</vt:lpstr>
      <vt:lpstr>Linking_Range_80</vt:lpstr>
      <vt:lpstr>Linking_Range_81</vt:lpstr>
      <vt:lpstr>Linking_Range_82</vt:lpstr>
      <vt:lpstr>Linking_Range_85</vt:lpstr>
      <vt:lpstr>Linking_Range_88</vt:lpstr>
      <vt:lpstr>Linking_Range_89</vt:lpstr>
      <vt:lpstr>Linking_Range_9</vt:lpstr>
      <vt:lpstr>Linking_Range_90</vt:lpstr>
      <vt:lpstr>Linking_Range_92</vt:lpstr>
      <vt:lpstr>Linking_Range_93</vt:lpstr>
      <vt:lpstr>Linking_Range_94</vt:lpstr>
      <vt:lpstr>Linking_Range_95</vt:lpstr>
      <vt:lpstr>Linking_Range_96</vt:lpstr>
      <vt:lpstr>Linking_Range_97</vt:lpstr>
      <vt:lpstr>Linking_Range_98</vt:lpstr>
      <vt:lpstr>Linking_Range_99</vt:lpstr>
      <vt:lpstr>Linking_Text_1</vt:lpstr>
      <vt:lpstr>Linking_Text_2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IS!Print_Area</vt:lpstr>
      <vt:lpstr>RevBuild!Print_Area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2015-02-26T17:02:38Z</dcterms:created>
  <dc:creator>Ramirez, Jose (Research)</dc:creator>
  <cp:lastModifiedBy>Rosenberg, Jeremy (Research)</cp:lastModifiedBy>
  <cp:lastPrinted>2018-02-15T04:11:36Z</cp:lastPrinted>
  <dcterms:modified xsi:type="dcterms:W3CDTF">2018-04-02T20:49:35Z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117</vt:lpwstr>
  </property>
  <property fmtid="{D5CDD505-2E9C-101B-9397-08002B2CF9AE}" name="{A44787D4-0540-4523-9961-78E4036D8C6D}" pid="3">
    <vt:lpwstr>{938887AC-BE7C-40E2-99D4-0631C1DCB397}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759018</vt:lpwstr>
  </property>
  <property fmtid="{D5CDD505-2E9C-101B-9397-08002B2CF9AE}" name="ERModPubCompanyName" pid="7">
    <vt:lpwstr>Agilent Technologies, Inc.</vt:lpwstr>
  </property>
  <property fmtid="{D5CDD505-2E9C-101B-9397-08002B2CF9AE}" name="MSDH34TAG" pid="8">
    <vt:lpwstr>.TEZUF76X5TAHATHESADREYAK-00-INB160+*94600-06=5fa24702/-36b7/-11e8/-bf62/-2af41e5950fc,MD=20180402170154/-0400,ZZ=000Z-4f13.</vt:lpwstr>
  </property>
</Properties>
</file>